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rhanatav/Documents/"/>
    </mc:Choice>
  </mc:AlternateContent>
  <xr:revisionPtr revIDLastSave="0" documentId="13_ncr:1_{0D34461E-1AAC-034B-8957-443815BF5606}" xr6:coauthVersionLast="47" xr6:coauthVersionMax="47" xr10:uidLastSave="{00000000-0000-0000-0000-000000000000}"/>
  <bookViews>
    <workbookView xWindow="1320" yWindow="500" windowWidth="28800" windowHeight="16360" activeTab="6" xr2:uid="{00000000-000D-0000-FFFF-FFFF00000000}"/>
  </bookViews>
  <sheets>
    <sheet name="Takip Tablosu" sheetId="1" r:id="rId1"/>
    <sheet name="V_Arbitraj" sheetId="2" state="hidden" r:id="rId2"/>
    <sheet name="Arbitraj" sheetId="3" r:id="rId3"/>
    <sheet name="V_Mutlak Getiri" sheetId="4" state="hidden" r:id="rId4"/>
    <sheet name="Mutlak Getiri" sheetId="5" r:id="rId5"/>
    <sheet name="V_Para Piyasası" sheetId="6" state="hidden" r:id="rId6"/>
    <sheet name="Para Piyasası" sheetId="7" r:id="rId7"/>
    <sheet name="V_Hisse" sheetId="8" state="hidden" r:id="rId8"/>
    <sheet name="Hisse" sheetId="9" r:id="rId9"/>
    <sheet name="V_Dengeli Değişken" sheetId="10" state="hidden" r:id="rId10"/>
    <sheet name="Dengeli Değişken" sheetId="11" r:id="rId11"/>
    <sheet name="V_Altın" sheetId="12" state="hidden" r:id="rId12"/>
    <sheet name="Altın" sheetId="13" r:id="rId13"/>
    <sheet name="V_RUT" sheetId="14" state="hidden" r:id="rId14"/>
    <sheet name="RUT" sheetId="15" r:id="rId15"/>
    <sheet name="V_Oyun" sheetId="16" state="hidden" r:id="rId16"/>
    <sheet name="Oyun" sheetId="17" r:id="rId17"/>
    <sheet name="V_Teknoloji" sheetId="18" state="hidden" r:id="rId18"/>
    <sheet name="Teknoloji" sheetId="19" r:id="rId19"/>
    <sheet name="V_Tüm Teknoloji" sheetId="20" state="hidden" r:id="rId20"/>
    <sheet name="Tüm Teknoloji" sheetId="21" r:id="rId21"/>
    <sheet name="V_Döviz" sheetId="22" state="hidden" r:id="rId22"/>
    <sheet name="Döviz" sheetId="23" r:id="rId23"/>
    <sheet name="VeriTakip" sheetId="24" state="hidden" r:id="rId24"/>
    <sheet name="Günlük Getiriler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24" l="1"/>
  <c r="J14" i="24"/>
  <c r="J13" i="24"/>
  <c r="J12" i="24"/>
  <c r="J11" i="24"/>
  <c r="J10" i="24"/>
  <c r="J9" i="24"/>
  <c r="J8" i="24"/>
  <c r="J7" i="24"/>
  <c r="J6" i="24"/>
  <c r="J5" i="24"/>
  <c r="J4" i="24"/>
  <c r="J3" i="24"/>
  <c r="J2" i="24"/>
  <c r="AL28" i="22"/>
  <c r="AL27" i="22"/>
  <c r="AL26" i="22"/>
  <c r="AL25" i="22"/>
  <c r="AL24" i="22"/>
  <c r="AL23" i="22"/>
  <c r="AL22" i="22"/>
  <c r="AL21" i="22"/>
  <c r="AL20" i="22"/>
  <c r="AL19" i="22"/>
  <c r="AL18" i="22"/>
  <c r="AL17" i="22"/>
  <c r="AL16" i="22"/>
  <c r="AL15" i="22"/>
  <c r="AL14" i="22"/>
  <c r="AL13" i="22"/>
  <c r="AL12" i="22"/>
  <c r="AL11" i="22"/>
  <c r="AL10" i="22"/>
  <c r="AL9" i="22"/>
  <c r="AL8" i="22"/>
  <c r="AL7" i="22"/>
  <c r="AL6" i="22"/>
  <c r="AL5" i="22"/>
  <c r="AL4" i="22"/>
  <c r="AL3" i="22"/>
  <c r="AL2" i="22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D54" i="21"/>
  <c r="AC54" i="21"/>
  <c r="AB54" i="21"/>
  <c r="AA54" i="21"/>
  <c r="Z54" i="21"/>
  <c r="Y54" i="21"/>
  <c r="X54" i="21"/>
  <c r="W54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AE59" i="20"/>
  <c r="AE58" i="20"/>
  <c r="AE57" i="20"/>
  <c r="AE56" i="20"/>
  <c r="AE55" i="20"/>
  <c r="AE54" i="20"/>
  <c r="AE53" i="20"/>
  <c r="AE52" i="20"/>
  <c r="AE51" i="20"/>
  <c r="AE50" i="20"/>
  <c r="AE49" i="20"/>
  <c r="AE48" i="20"/>
  <c r="AE47" i="20"/>
  <c r="AE46" i="20"/>
  <c r="AE45" i="20"/>
  <c r="AE44" i="20"/>
  <c r="AE43" i="20"/>
  <c r="AE42" i="20"/>
  <c r="AE41" i="20"/>
  <c r="AE40" i="20"/>
  <c r="AE39" i="20"/>
  <c r="AE38" i="20"/>
  <c r="AE37" i="20"/>
  <c r="AE36" i="20"/>
  <c r="AE35" i="20"/>
  <c r="AE34" i="20"/>
  <c r="AE33" i="20"/>
  <c r="AE32" i="20"/>
  <c r="AE31" i="20"/>
  <c r="AE30" i="20"/>
  <c r="AE29" i="20"/>
  <c r="AE28" i="20"/>
  <c r="AE27" i="20"/>
  <c r="AE26" i="20"/>
  <c r="AE25" i="20"/>
  <c r="AE24" i="20"/>
  <c r="AE23" i="20"/>
  <c r="AE22" i="20"/>
  <c r="AE21" i="20"/>
  <c r="AE20" i="20"/>
  <c r="AE19" i="20"/>
  <c r="AE18" i="20"/>
  <c r="AE17" i="20"/>
  <c r="AE16" i="20"/>
  <c r="AE15" i="20"/>
  <c r="AE14" i="20"/>
  <c r="AE13" i="20"/>
  <c r="AE12" i="20"/>
  <c r="AE11" i="20"/>
  <c r="AE10" i="20"/>
  <c r="AE9" i="20"/>
  <c r="AE8" i="20"/>
  <c r="AE7" i="20"/>
  <c r="AE6" i="20"/>
  <c r="AE5" i="20"/>
  <c r="AE4" i="20"/>
  <c r="AE3" i="20"/>
  <c r="AE2" i="20"/>
  <c r="AE19" i="18"/>
  <c r="AE18" i="18"/>
  <c r="AE17" i="18"/>
  <c r="AE16" i="18"/>
  <c r="AE15" i="18"/>
  <c r="AE14" i="18"/>
  <c r="AE13" i="18"/>
  <c r="AE12" i="18"/>
  <c r="AE11" i="18"/>
  <c r="AE10" i="18"/>
  <c r="AE9" i="18"/>
  <c r="AE8" i="18"/>
  <c r="AE7" i="18"/>
  <c r="AE6" i="18"/>
  <c r="AE5" i="18"/>
  <c r="AE4" i="18"/>
  <c r="AE3" i="18"/>
  <c r="AE2" i="18"/>
  <c r="AE3" i="16"/>
  <c r="AE2" i="16"/>
  <c r="AE10" i="14"/>
  <c r="AE9" i="14"/>
  <c r="AE8" i="14"/>
  <c r="AE7" i="14"/>
  <c r="AE6" i="14"/>
  <c r="AE5" i="14"/>
  <c r="AE4" i="14"/>
  <c r="AE3" i="14"/>
  <c r="AE2" i="14"/>
  <c r="AC48" i="12"/>
  <c r="AC47" i="12"/>
  <c r="AC46" i="12"/>
  <c r="AC45" i="12"/>
  <c r="AC44" i="12"/>
  <c r="AC43" i="12"/>
  <c r="AC42" i="12"/>
  <c r="AC41" i="12"/>
  <c r="AC40" i="12"/>
  <c r="AC39" i="12"/>
  <c r="AC38" i="12"/>
  <c r="AC37" i="12"/>
  <c r="AC36" i="12"/>
  <c r="AC35" i="12"/>
  <c r="AC34" i="12"/>
  <c r="AC33" i="12"/>
  <c r="AC32" i="12"/>
  <c r="AC31" i="12"/>
  <c r="AC30" i="12"/>
  <c r="AC29" i="12"/>
  <c r="AC28" i="12"/>
  <c r="AC27" i="12"/>
  <c r="AC26" i="12"/>
  <c r="AC25" i="12"/>
  <c r="AC24" i="12"/>
  <c r="AC23" i="12"/>
  <c r="AC22" i="12"/>
  <c r="AC21" i="12"/>
  <c r="AC20" i="12"/>
  <c r="AC19" i="12"/>
  <c r="AC18" i="12"/>
  <c r="AC17" i="12"/>
  <c r="AC16" i="12"/>
  <c r="AC15" i="12"/>
  <c r="AC14" i="12"/>
  <c r="AC13" i="12"/>
  <c r="AC12" i="12"/>
  <c r="AC11" i="12"/>
  <c r="AC10" i="12"/>
  <c r="AC9" i="12"/>
  <c r="AC8" i="12"/>
  <c r="AC7" i="12"/>
  <c r="AC6" i="12"/>
  <c r="AC5" i="12"/>
  <c r="AC4" i="12"/>
  <c r="AC3" i="12"/>
  <c r="AC2" i="12"/>
  <c r="F49" i="13" s="1"/>
  <c r="AD29" i="10"/>
  <c r="AD28" i="10"/>
  <c r="AD27" i="10"/>
  <c r="AD26" i="10"/>
  <c r="AD25" i="10"/>
  <c r="AD24" i="10"/>
  <c r="AD23" i="10"/>
  <c r="AD22" i="10"/>
  <c r="AD21" i="10"/>
  <c r="AD20" i="10"/>
  <c r="AD19" i="10"/>
  <c r="AD18" i="10"/>
  <c r="AD17" i="10"/>
  <c r="AD16" i="10"/>
  <c r="AD15" i="10"/>
  <c r="AD14" i="10"/>
  <c r="AD13" i="10"/>
  <c r="AD12" i="10"/>
  <c r="AD11" i="10"/>
  <c r="AD10" i="10"/>
  <c r="AD9" i="10"/>
  <c r="AD8" i="10"/>
  <c r="AD7" i="10"/>
  <c r="AD6" i="10"/>
  <c r="AD5" i="10"/>
  <c r="AD4" i="10"/>
  <c r="AD3" i="10"/>
  <c r="AD2" i="10"/>
  <c r="AC42" i="8"/>
  <c r="AC41" i="8"/>
  <c r="AC40" i="8"/>
  <c r="AC39" i="8"/>
  <c r="AC38" i="8"/>
  <c r="AC3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AC6" i="8"/>
  <c r="AC5" i="8"/>
  <c r="AC4" i="8"/>
  <c r="AC3" i="8"/>
  <c r="AC2" i="8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AC62" i="6"/>
  <c r="AC61" i="6"/>
  <c r="AC60" i="6"/>
  <c r="AC59" i="6"/>
  <c r="AC58" i="6"/>
  <c r="AC57" i="6"/>
  <c r="AC56" i="6"/>
  <c r="AC55" i="6"/>
  <c r="AC54" i="6"/>
  <c r="AC53" i="6"/>
  <c r="AC52" i="6"/>
  <c r="AC51" i="6"/>
  <c r="AC50" i="6"/>
  <c r="AC49" i="6"/>
  <c r="AC48" i="6"/>
  <c r="AC47" i="6"/>
  <c r="AC46" i="6"/>
  <c r="AC45" i="6"/>
  <c r="AC44" i="6"/>
  <c r="AC43" i="6"/>
  <c r="AC42" i="6"/>
  <c r="AC41" i="6"/>
  <c r="AC40" i="6"/>
  <c r="AC39" i="6"/>
  <c r="AC38" i="6"/>
  <c r="AC37" i="6"/>
  <c r="AC36" i="6"/>
  <c r="AC35" i="6"/>
  <c r="AC34" i="6"/>
  <c r="AC33" i="6"/>
  <c r="AC32" i="6"/>
  <c r="AC31" i="6"/>
  <c r="AC30" i="6"/>
  <c r="AC29" i="6"/>
  <c r="AC28" i="6"/>
  <c r="AC27" i="6"/>
  <c r="AC26" i="6"/>
  <c r="AC25" i="6"/>
  <c r="AC24" i="6"/>
  <c r="AC23" i="6"/>
  <c r="AC22" i="6"/>
  <c r="AC21" i="6"/>
  <c r="AC20" i="6"/>
  <c r="AC19" i="6"/>
  <c r="AC18" i="6"/>
  <c r="AC17" i="6"/>
  <c r="AC16" i="6"/>
  <c r="AC15" i="6"/>
  <c r="AC14" i="6"/>
  <c r="AC13" i="6"/>
  <c r="AC12" i="6"/>
  <c r="AC11" i="6"/>
  <c r="AC10" i="6"/>
  <c r="AC9" i="6"/>
  <c r="AC8" i="6"/>
  <c r="AC7" i="6"/>
  <c r="AC6" i="6"/>
  <c r="AC5" i="6"/>
  <c r="AC4" i="6"/>
  <c r="AC3" i="6"/>
  <c r="AC2" i="6"/>
  <c r="AC25" i="4"/>
  <c r="AC24" i="4"/>
  <c r="AC23" i="4"/>
  <c r="AC22" i="4"/>
  <c r="AC21" i="4"/>
  <c r="AC20" i="4"/>
  <c r="AC19" i="4"/>
  <c r="AC18" i="4"/>
  <c r="AC17" i="4"/>
  <c r="AC16" i="4"/>
  <c r="AC15" i="4"/>
  <c r="AC14" i="4"/>
  <c r="AC13" i="4"/>
  <c r="AC12" i="4"/>
  <c r="AC11" i="4"/>
  <c r="AC10" i="4"/>
  <c r="AC9" i="4"/>
  <c r="AC8" i="4"/>
  <c r="AC7" i="4"/>
  <c r="AC6" i="4"/>
  <c r="AC5" i="4"/>
  <c r="AC4" i="4"/>
  <c r="AC3" i="4"/>
  <c r="AC2" i="4"/>
  <c r="AC14" i="2"/>
  <c r="AC13" i="2"/>
  <c r="AC12" i="2"/>
  <c r="AC11" i="2"/>
  <c r="AC10" i="2"/>
  <c r="AC9" i="2"/>
  <c r="AC8" i="2"/>
  <c r="AC7" i="2"/>
  <c r="AC6" i="2"/>
  <c r="AC5" i="2"/>
  <c r="AC4" i="2"/>
  <c r="AC3" i="2"/>
  <c r="AC2" i="2"/>
  <c r="A17" i="1"/>
  <c r="H16" i="1"/>
  <c r="G16" i="1"/>
  <c r="F16" i="1"/>
  <c r="E16" i="1"/>
  <c r="D16" i="1"/>
  <c r="C16" i="1"/>
  <c r="B16" i="1"/>
  <c r="A16" i="1"/>
  <c r="H15" i="1"/>
  <c r="G15" i="1"/>
  <c r="F15" i="1"/>
  <c r="E15" i="1"/>
  <c r="D15" i="1"/>
  <c r="C15" i="1"/>
  <c r="B15" i="1"/>
  <c r="A15" i="1"/>
  <c r="H14" i="1"/>
  <c r="G14" i="1"/>
  <c r="F14" i="1"/>
  <c r="E14" i="1"/>
  <c r="D14" i="1"/>
  <c r="C14" i="1"/>
  <c r="B14" i="1"/>
  <c r="A14" i="1"/>
  <c r="H13" i="1"/>
  <c r="G13" i="1"/>
  <c r="F13" i="1"/>
  <c r="E13" i="1"/>
  <c r="D13" i="1"/>
  <c r="C13" i="1"/>
  <c r="B13" i="1"/>
  <c r="A13" i="1"/>
  <c r="H12" i="1"/>
  <c r="G12" i="1"/>
  <c r="F12" i="1"/>
  <c r="E12" i="1"/>
  <c r="D12" i="1"/>
  <c r="C12" i="1"/>
  <c r="B12" i="1"/>
  <c r="A12" i="1"/>
  <c r="H11" i="1"/>
  <c r="G11" i="1"/>
  <c r="F11" i="1"/>
  <c r="E11" i="1"/>
  <c r="D11" i="1"/>
  <c r="C11" i="1"/>
  <c r="B11" i="1"/>
  <c r="A11" i="1"/>
  <c r="H10" i="1"/>
  <c r="G10" i="1"/>
  <c r="F10" i="1"/>
  <c r="E10" i="1"/>
  <c r="D10" i="1"/>
  <c r="C10" i="1"/>
  <c r="B10" i="1"/>
  <c r="A10" i="1"/>
  <c r="H9" i="1"/>
  <c r="G9" i="1"/>
  <c r="F9" i="1"/>
  <c r="E9" i="1"/>
  <c r="D9" i="1"/>
  <c r="C9" i="1"/>
  <c r="B9" i="1"/>
  <c r="A9" i="1"/>
  <c r="H8" i="1"/>
  <c r="G8" i="1"/>
  <c r="F8" i="1"/>
  <c r="E8" i="1"/>
  <c r="D8" i="1"/>
  <c r="C8" i="1"/>
  <c r="B8" i="1"/>
  <c r="A8" i="1"/>
  <c r="H7" i="1"/>
  <c r="G7" i="1"/>
  <c r="F7" i="1"/>
  <c r="E7" i="1"/>
  <c r="D7" i="1"/>
  <c r="C7" i="1"/>
  <c r="B7" i="1"/>
  <c r="A7" i="1"/>
  <c r="H6" i="1"/>
  <c r="G6" i="1"/>
  <c r="F6" i="1"/>
  <c r="E6" i="1"/>
  <c r="D6" i="1"/>
  <c r="C6" i="1"/>
  <c r="B6" i="1"/>
  <c r="A6" i="1"/>
  <c r="H5" i="1"/>
  <c r="G5" i="1"/>
  <c r="F5" i="1"/>
  <c r="E5" i="1"/>
  <c r="D5" i="1"/>
  <c r="C5" i="1"/>
  <c r="B5" i="1"/>
  <c r="A5" i="1"/>
  <c r="H4" i="1"/>
  <c r="G4" i="1"/>
  <c r="F4" i="1"/>
  <c r="E4" i="1"/>
  <c r="D4" i="1"/>
  <c r="C4" i="1"/>
  <c r="B4" i="1"/>
  <c r="A4" i="1"/>
  <c r="V33" i="9" l="1"/>
  <c r="Z44" i="9"/>
  <c r="X44" i="9"/>
  <c r="W44" i="9"/>
  <c r="V44" i="9"/>
  <c r="U44" i="9"/>
  <c r="T44" i="9"/>
  <c r="S44" i="9"/>
  <c r="R44" i="9"/>
  <c r="Q44" i="9"/>
  <c r="P44" i="9"/>
  <c r="M44" i="9"/>
  <c r="L44" i="9"/>
  <c r="K44" i="9"/>
  <c r="H44" i="9"/>
  <c r="E44" i="9"/>
  <c r="C44" i="9"/>
  <c r="AA43" i="9"/>
  <c r="Y43" i="9"/>
  <c r="V43" i="9"/>
  <c r="T43" i="9"/>
  <c r="D43" i="9"/>
  <c r="Z42" i="9"/>
  <c r="U42" i="9"/>
  <c r="T42" i="9"/>
  <c r="O42" i="9"/>
  <c r="N42" i="9"/>
  <c r="I42" i="9"/>
  <c r="F42" i="9"/>
  <c r="C42" i="9"/>
  <c r="Y41" i="9"/>
  <c r="X41" i="9"/>
  <c r="S41" i="9"/>
  <c r="Q41" i="9"/>
  <c r="M41" i="9"/>
  <c r="H41" i="9"/>
  <c r="G41" i="9"/>
  <c r="C41" i="9"/>
  <c r="Z40" i="9"/>
  <c r="Y40" i="9"/>
  <c r="U40" i="9"/>
  <c r="S40" i="9"/>
  <c r="P40" i="9"/>
  <c r="L40" i="9"/>
  <c r="J40" i="9"/>
  <c r="G40" i="9"/>
  <c r="E40" i="9"/>
  <c r="AB39" i="9"/>
  <c r="Z39" i="9"/>
  <c r="W39" i="9"/>
  <c r="R39" i="9"/>
  <c r="Q39" i="9"/>
  <c r="N39" i="9"/>
  <c r="M39" i="9"/>
  <c r="J39" i="9"/>
  <c r="H39" i="9"/>
  <c r="F39" i="9"/>
  <c r="C39" i="9"/>
  <c r="B39" i="9"/>
  <c r="Z38" i="9"/>
  <c r="Y38" i="9"/>
  <c r="V38" i="9"/>
  <c r="S38" i="9"/>
  <c r="R38" i="9"/>
  <c r="O38" i="9"/>
  <c r="N38" i="9"/>
  <c r="K38" i="9"/>
  <c r="H38" i="9"/>
  <c r="F38" i="9"/>
  <c r="B38" i="9"/>
  <c r="AB37" i="9"/>
  <c r="X37" i="9"/>
  <c r="U37" i="9"/>
  <c r="S37" i="9"/>
  <c r="N37" i="9"/>
  <c r="L37" i="9"/>
  <c r="H37" i="9"/>
  <c r="D37" i="9"/>
  <c r="B37" i="9"/>
  <c r="Y36" i="9"/>
  <c r="U36" i="9"/>
  <c r="R36" i="9"/>
  <c r="N36" i="9"/>
  <c r="K36" i="9"/>
  <c r="G36" i="9"/>
  <c r="E36" i="9"/>
  <c r="W35" i="9"/>
  <c r="R35" i="9"/>
  <c r="O35" i="9"/>
  <c r="L35" i="9"/>
  <c r="G35" i="9"/>
  <c r="D35" i="9"/>
  <c r="AB34" i="9"/>
  <c r="W34" i="9"/>
  <c r="U34" i="9"/>
  <c r="Q34" i="9"/>
  <c r="N34" i="9"/>
  <c r="K34" i="9"/>
  <c r="F34" i="9"/>
  <c r="E34" i="9"/>
  <c r="AA33" i="9"/>
  <c r="Z33" i="9"/>
  <c r="U33" i="9"/>
  <c r="T33" i="9"/>
  <c r="O33" i="9"/>
  <c r="K33" i="9"/>
  <c r="I33" i="9"/>
  <c r="D33" i="9"/>
  <c r="C33" i="9"/>
  <c r="Y32" i="9"/>
  <c r="T32" i="9"/>
  <c r="S32" i="9"/>
  <c r="N32" i="9"/>
  <c r="M32" i="9"/>
  <c r="H32" i="9"/>
  <c r="G32" i="9"/>
  <c r="B32" i="9"/>
  <c r="Y31" i="9"/>
  <c r="W31" i="9"/>
  <c r="R31" i="9"/>
  <c r="Q31" i="9"/>
  <c r="L31" i="9"/>
  <c r="AA44" i="9"/>
  <c r="O44" i="9"/>
  <c r="J44" i="9"/>
  <c r="F44" i="9"/>
  <c r="B44" i="9"/>
  <c r="W43" i="9"/>
  <c r="S43" i="9"/>
  <c r="R43" i="9"/>
  <c r="P43" i="9"/>
  <c r="M43" i="9"/>
  <c r="I43" i="9"/>
  <c r="E43" i="9"/>
  <c r="AA42" i="9"/>
  <c r="V42" i="9"/>
  <c r="P42" i="9"/>
  <c r="K42" i="9"/>
  <c r="E42" i="9"/>
  <c r="Z41" i="9"/>
  <c r="T41" i="9"/>
  <c r="N41" i="9"/>
  <c r="J41" i="9"/>
  <c r="D41" i="9"/>
  <c r="AB40" i="9"/>
  <c r="W40" i="9"/>
  <c r="T40" i="9"/>
  <c r="O40" i="9"/>
  <c r="K40" i="9"/>
  <c r="F40" i="9"/>
  <c r="B40" i="9"/>
  <c r="X39" i="9"/>
  <c r="S39" i="9"/>
  <c r="P39" i="9"/>
  <c r="L39" i="9"/>
  <c r="I39" i="9"/>
  <c r="E39" i="9"/>
  <c r="AB38" i="9"/>
  <c r="X38" i="9"/>
  <c r="T38" i="9"/>
  <c r="P38" i="9"/>
  <c r="L38" i="9"/>
  <c r="J38" i="9"/>
  <c r="D38" i="9"/>
  <c r="AA37" i="9"/>
  <c r="W37" i="9"/>
  <c r="R37" i="9"/>
  <c r="J37" i="9"/>
  <c r="E37" i="9"/>
  <c r="AA36" i="9"/>
  <c r="V36" i="9"/>
  <c r="P36" i="9"/>
  <c r="I36" i="9"/>
  <c r="D36" i="9"/>
  <c r="AA35" i="9"/>
  <c r="V35" i="9"/>
  <c r="Q35" i="9"/>
  <c r="K35" i="9"/>
  <c r="E35" i="9"/>
  <c r="Z34" i="9"/>
  <c r="T34" i="9"/>
  <c r="O34" i="9"/>
  <c r="J34" i="9"/>
  <c r="D34" i="9"/>
  <c r="AB44" i="9"/>
  <c r="Q33" i="9"/>
  <c r="L33" i="9"/>
  <c r="G33" i="9"/>
  <c r="AB32" i="9"/>
  <c r="U32" i="9"/>
  <c r="O32" i="9"/>
  <c r="J32" i="9"/>
  <c r="D32" i="9"/>
  <c r="Z31" i="9"/>
  <c r="T31" i="9"/>
  <c r="M31" i="9"/>
  <c r="Y44" i="9"/>
  <c r="N44" i="9"/>
  <c r="I44" i="9"/>
  <c r="G44" i="9"/>
  <c r="AB43" i="9"/>
  <c r="X43" i="9"/>
  <c r="U43" i="9"/>
  <c r="Q43" i="9"/>
  <c r="O43" i="9"/>
  <c r="N43" i="9"/>
  <c r="J43" i="9"/>
  <c r="F43" i="9"/>
  <c r="AB42" i="9"/>
  <c r="W42" i="9"/>
  <c r="Q42" i="9"/>
  <c r="J42" i="9"/>
  <c r="D42" i="9"/>
  <c r="AB41" i="9"/>
  <c r="V41" i="9"/>
  <c r="P41" i="9"/>
  <c r="K41" i="9"/>
  <c r="U39" i="9"/>
  <c r="O39" i="9"/>
  <c r="K39" i="9"/>
  <c r="G39" i="9"/>
  <c r="D39" i="9"/>
  <c r="AA38" i="9"/>
  <c r="W38" i="9"/>
  <c r="U38" i="9"/>
  <c r="Q38" i="9"/>
  <c r="M38" i="9"/>
  <c r="I38" i="9"/>
  <c r="E38" i="9"/>
  <c r="Z37" i="9"/>
  <c r="V37" i="9"/>
  <c r="Q37" i="9"/>
  <c r="K37" i="9"/>
  <c r="F37" i="9"/>
  <c r="Z36" i="9"/>
  <c r="T36" i="9"/>
  <c r="O36" i="9"/>
  <c r="J36" i="9"/>
  <c r="C36" i="9"/>
  <c r="Z35" i="9"/>
  <c r="U35" i="9"/>
  <c r="P35" i="9"/>
  <c r="J35" i="9"/>
  <c r="F35" i="9"/>
  <c r="AA34" i="9"/>
  <c r="V34" i="9"/>
  <c r="P34" i="9"/>
  <c r="I34" i="9"/>
  <c r="C34" i="9"/>
  <c r="Y33" i="9"/>
  <c r="S33" i="9"/>
  <c r="N33" i="9"/>
  <c r="F33" i="9"/>
  <c r="Z32" i="9"/>
  <c r="V32" i="9"/>
  <c r="P32" i="9"/>
  <c r="I32" i="9"/>
  <c r="C32" i="9"/>
  <c r="X31" i="9"/>
  <c r="S31" i="9"/>
  <c r="N31" i="9"/>
  <c r="Z43" i="9"/>
  <c r="L43" i="9"/>
  <c r="H43" i="9"/>
  <c r="C43" i="9"/>
  <c r="Y42" i="9"/>
  <c r="S42" i="9"/>
  <c r="L42" i="9"/>
  <c r="G42" i="9"/>
  <c r="B42" i="9"/>
  <c r="W41" i="9"/>
  <c r="R41" i="9"/>
  <c r="L41" i="9"/>
  <c r="F41" i="9"/>
  <c r="B41" i="9"/>
  <c r="X40" i="9"/>
  <c r="R40" i="9"/>
  <c r="M40" i="9"/>
  <c r="H40" i="9"/>
  <c r="C40" i="9"/>
  <c r="Y39" i="9"/>
  <c r="T39" i="9"/>
  <c r="G38" i="9"/>
  <c r="C38" i="9"/>
  <c r="Y37" i="9"/>
  <c r="T37" i="9"/>
  <c r="P37" i="9"/>
  <c r="M37" i="9"/>
  <c r="G37" i="9"/>
  <c r="AB36" i="9"/>
  <c r="W36" i="9"/>
  <c r="Q36" i="9"/>
  <c r="L36" i="9"/>
  <c r="F36" i="9"/>
  <c r="AB35" i="9"/>
  <c r="X35" i="9"/>
  <c r="S35" i="9"/>
  <c r="M35" i="9"/>
  <c r="H35" i="9"/>
  <c r="C35" i="9"/>
  <c r="Y34" i="9"/>
  <c r="S34" i="9"/>
  <c r="M34" i="9"/>
  <c r="H34" i="9"/>
  <c r="B34" i="9"/>
  <c r="W33" i="9"/>
  <c r="P33" i="9"/>
  <c r="J33" i="9"/>
  <c r="E33" i="9"/>
  <c r="AA32" i="9"/>
  <c r="W32" i="9"/>
  <c r="Q32" i="9"/>
  <c r="L32" i="9"/>
  <c r="E32" i="9"/>
  <c r="AA31" i="9"/>
  <c r="V31" i="9"/>
  <c r="P31" i="9"/>
  <c r="K31" i="9"/>
  <c r="D44" i="9"/>
  <c r="K43" i="9"/>
  <c r="G43" i="9"/>
  <c r="B43" i="9"/>
  <c r="X42" i="9"/>
  <c r="R42" i="9"/>
  <c r="M42" i="9"/>
  <c r="H42" i="9"/>
  <c r="AA41" i="9"/>
  <c r="U41" i="9"/>
  <c r="O41" i="9"/>
  <c r="I41" i="9"/>
  <c r="E41" i="9"/>
  <c r="AA40" i="9"/>
  <c r="V40" i="9"/>
  <c r="Q40" i="9"/>
  <c r="N40" i="9"/>
  <c r="I40" i="9"/>
  <c r="D40" i="9"/>
  <c r="AA39" i="9"/>
  <c r="V39" i="9"/>
  <c r="O37" i="9"/>
  <c r="I37" i="9"/>
  <c r="C37" i="9"/>
  <c r="X36" i="9"/>
  <c r="S36" i="9"/>
  <c r="M36" i="9"/>
  <c r="H36" i="9"/>
  <c r="B36" i="9"/>
  <c r="Y35" i="9"/>
  <c r="T35" i="9"/>
  <c r="N35" i="9"/>
  <c r="I35" i="9"/>
  <c r="B35" i="9"/>
  <c r="X34" i="9"/>
  <c r="R34" i="9"/>
  <c r="L34" i="9"/>
  <c r="G34" i="9"/>
  <c r="AB33" i="9"/>
  <c r="X33" i="9"/>
  <c r="R33" i="9"/>
  <c r="M33" i="9"/>
  <c r="H33" i="9"/>
  <c r="B33" i="9"/>
  <c r="X32" i="9"/>
  <c r="R32" i="9"/>
  <c r="K32" i="9"/>
  <c r="F32" i="9"/>
  <c r="AB31" i="9"/>
  <c r="U31" i="9"/>
  <c r="O31" i="9"/>
  <c r="E17" i="1"/>
  <c r="C17" i="1"/>
  <c r="F17" i="1"/>
  <c r="G17" i="1"/>
  <c r="D17" i="1"/>
  <c r="H17" i="1"/>
  <c r="B17" i="1"/>
  <c r="D4" i="23"/>
  <c r="AK30" i="23"/>
  <c r="J4" i="23"/>
  <c r="AI30" i="23"/>
  <c r="AJ30" i="23"/>
  <c r="AG30" i="23"/>
  <c r="AF30" i="23"/>
  <c r="R9" i="23"/>
  <c r="AH30" i="23"/>
  <c r="Q9" i="23"/>
  <c r="AB30" i="23"/>
  <c r="P9" i="23"/>
  <c r="Z30" i="23"/>
  <c r="O9" i="23"/>
  <c r="X30" i="23"/>
  <c r="N9" i="23"/>
  <c r="V30" i="23"/>
  <c r="M9" i="23"/>
  <c r="T30" i="23"/>
  <c r="L9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AK28" i="23"/>
  <c r="AJ28" i="23"/>
  <c r="AI28" i="23"/>
  <c r="AH28" i="23"/>
  <c r="AG28" i="23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AK27" i="23"/>
  <c r="AJ27" i="23"/>
  <c r="AI27" i="23"/>
  <c r="AH27" i="23"/>
  <c r="AG27" i="23"/>
  <c r="AF27" i="23"/>
  <c r="AE27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AK26" i="23"/>
  <c r="AJ26" i="23"/>
  <c r="AI26" i="23"/>
  <c r="AH26" i="23"/>
  <c r="AG26" i="23"/>
  <c r="AF26" i="23"/>
  <c r="AE26" i="23"/>
  <c r="AD26" i="23"/>
  <c r="AC26" i="23"/>
  <c r="AB26" i="23"/>
  <c r="AA26" i="23"/>
  <c r="Z26" i="23"/>
  <c r="Y26" i="23"/>
  <c r="X26" i="23"/>
  <c r="W26" i="23"/>
  <c r="V26" i="23"/>
  <c r="U26" i="23"/>
  <c r="T26" i="23"/>
  <c r="S26" i="23"/>
  <c r="R26" i="23"/>
  <c r="Q26" i="23"/>
  <c r="P26" i="23"/>
  <c r="O26" i="23"/>
  <c r="N26" i="23"/>
  <c r="M26" i="23"/>
  <c r="L26" i="23"/>
  <c r="K26" i="23"/>
  <c r="J26" i="23"/>
  <c r="I26" i="23"/>
  <c r="H26" i="23"/>
  <c r="G26" i="23"/>
  <c r="F26" i="23"/>
  <c r="E26" i="23"/>
  <c r="D26" i="23"/>
  <c r="C26" i="23"/>
  <c r="B26" i="23"/>
  <c r="AK25" i="23"/>
  <c r="AJ25" i="23"/>
  <c r="AI25" i="23"/>
  <c r="AH25" i="23"/>
  <c r="AG25" i="23"/>
  <c r="AF25" i="23"/>
  <c r="AE25" i="23"/>
  <c r="AD25" i="23"/>
  <c r="AC25" i="23"/>
  <c r="AB25" i="23"/>
  <c r="AA25" i="23"/>
  <c r="Z25" i="23"/>
  <c r="Y25" i="23"/>
  <c r="X25" i="23"/>
  <c r="W25" i="23"/>
  <c r="V25" i="23"/>
  <c r="U25" i="23"/>
  <c r="T25" i="23"/>
  <c r="S25" i="23"/>
  <c r="R25" i="23"/>
  <c r="Q25" i="23"/>
  <c r="P25" i="23"/>
  <c r="O25" i="23"/>
  <c r="N25" i="23"/>
  <c r="M25" i="23"/>
  <c r="L25" i="23"/>
  <c r="K25" i="23"/>
  <c r="J25" i="23"/>
  <c r="I25" i="23"/>
  <c r="H25" i="23"/>
  <c r="G25" i="23"/>
  <c r="F25" i="23"/>
  <c r="E25" i="23"/>
  <c r="D25" i="23"/>
  <c r="C25" i="23"/>
  <c r="B25" i="23"/>
  <c r="AK24" i="23"/>
  <c r="AJ24" i="23"/>
  <c r="AI24" i="23"/>
  <c r="AH24" i="23"/>
  <c r="AG24" i="23"/>
  <c r="AF24" i="23"/>
  <c r="AE24" i="23"/>
  <c r="AD24" i="23"/>
  <c r="AC24" i="23"/>
  <c r="AB24" i="23"/>
  <c r="AA24" i="23"/>
  <c r="Z24" i="23"/>
  <c r="Y24" i="23"/>
  <c r="X24" i="23"/>
  <c r="W24" i="23"/>
  <c r="V24" i="23"/>
  <c r="U24" i="23"/>
  <c r="T24" i="23"/>
  <c r="S24" i="23"/>
  <c r="R24" i="23"/>
  <c r="Q24" i="23"/>
  <c r="P24" i="23"/>
  <c r="O24" i="23"/>
  <c r="N24" i="23"/>
  <c r="M24" i="23"/>
  <c r="L24" i="23"/>
  <c r="K24" i="23"/>
  <c r="J24" i="23"/>
  <c r="I24" i="23"/>
  <c r="H24" i="23"/>
  <c r="G24" i="23"/>
  <c r="F24" i="23"/>
  <c r="E24" i="23"/>
  <c r="D24" i="23"/>
  <c r="C24" i="23"/>
  <c r="B24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AK15" i="23"/>
  <c r="AJ15" i="23"/>
  <c r="AI15" i="23"/>
  <c r="AH15" i="23"/>
  <c r="AG15" i="23"/>
  <c r="AF15" i="23"/>
  <c r="AE15" i="23"/>
  <c r="AD15" i="23"/>
  <c r="AC15" i="23"/>
  <c r="AB15" i="23"/>
  <c r="AA15" i="23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5" i="23"/>
  <c r="F15" i="23"/>
  <c r="E15" i="23"/>
  <c r="D15" i="23"/>
  <c r="C15" i="23"/>
  <c r="B15" i="23"/>
  <c r="AK14" i="23"/>
  <c r="AJ14" i="23"/>
  <c r="AI14" i="23"/>
  <c r="AH14" i="23"/>
  <c r="AG14" i="23"/>
  <c r="AF14" i="23"/>
  <c r="AE14" i="23"/>
  <c r="AD14" i="23"/>
  <c r="AC14" i="23"/>
  <c r="AB14" i="23"/>
  <c r="AA14" i="23"/>
  <c r="Z14" i="23"/>
  <c r="Y14" i="23"/>
  <c r="X14" i="23"/>
  <c r="W14" i="23"/>
  <c r="V14" i="23"/>
  <c r="U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H14" i="23"/>
  <c r="G14" i="23"/>
  <c r="F14" i="23"/>
  <c r="E14" i="23"/>
  <c r="D14" i="23"/>
  <c r="C14" i="23"/>
  <c r="B14" i="23"/>
  <c r="AK13" i="23"/>
  <c r="AJ13" i="23"/>
  <c r="AI13" i="23"/>
  <c r="AH13" i="23"/>
  <c r="AG13" i="23"/>
  <c r="AF13" i="23"/>
  <c r="AE13" i="23"/>
  <c r="AD13" i="23"/>
  <c r="AC13" i="23"/>
  <c r="AB13" i="23"/>
  <c r="AA13" i="23"/>
  <c r="Z13" i="23"/>
  <c r="Y13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H13" i="23"/>
  <c r="G13" i="23"/>
  <c r="F13" i="23"/>
  <c r="E13" i="23"/>
  <c r="D13" i="23"/>
  <c r="C13" i="23"/>
  <c r="B13" i="23"/>
  <c r="AK12" i="23"/>
  <c r="AJ12" i="23"/>
  <c r="AI12" i="23"/>
  <c r="AH12" i="23"/>
  <c r="AG12" i="23"/>
  <c r="AF12" i="23"/>
  <c r="AE12" i="23"/>
  <c r="AD12" i="23"/>
  <c r="AC12" i="23"/>
  <c r="AB12" i="23"/>
  <c r="AA12" i="23"/>
  <c r="Z12" i="23"/>
  <c r="Y12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E12" i="23"/>
  <c r="D12" i="23"/>
  <c r="C12" i="23"/>
  <c r="B12" i="23"/>
  <c r="AK11" i="23"/>
  <c r="AJ11" i="23"/>
  <c r="AI11" i="23"/>
  <c r="AH11" i="23"/>
  <c r="AG11" i="23"/>
  <c r="AF11" i="23"/>
  <c r="AE11" i="23"/>
  <c r="AD11" i="23"/>
  <c r="AC11" i="23"/>
  <c r="AB11" i="23"/>
  <c r="AA11" i="23"/>
  <c r="Z11" i="23"/>
  <c r="Y11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H11" i="23"/>
  <c r="G11" i="23"/>
  <c r="F11" i="23"/>
  <c r="E11" i="23"/>
  <c r="D11" i="23"/>
  <c r="C11" i="23"/>
  <c r="B11" i="23"/>
  <c r="AK10" i="23"/>
  <c r="AJ10" i="23"/>
  <c r="AI10" i="23"/>
  <c r="AH10" i="23"/>
  <c r="AG10" i="23"/>
  <c r="AF10" i="23"/>
  <c r="AE10" i="23"/>
  <c r="AD10" i="23"/>
  <c r="AC10" i="23"/>
  <c r="AB10" i="23"/>
  <c r="AA10" i="23"/>
  <c r="Z10" i="23"/>
  <c r="Y10" i="23"/>
  <c r="X10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K10" i="23"/>
  <c r="J10" i="23"/>
  <c r="I10" i="23"/>
  <c r="H10" i="23"/>
  <c r="G10" i="23"/>
  <c r="F10" i="23"/>
  <c r="E10" i="23"/>
  <c r="D10" i="23"/>
  <c r="C10" i="23"/>
  <c r="B10" i="23"/>
  <c r="AK9" i="23"/>
  <c r="AJ9" i="23"/>
  <c r="AI9" i="23"/>
  <c r="AH9" i="23"/>
  <c r="AG9" i="23"/>
  <c r="AF9" i="23"/>
  <c r="AE9" i="23"/>
  <c r="AD9" i="23"/>
  <c r="AC9" i="23"/>
  <c r="AB9" i="23"/>
  <c r="AA9" i="23"/>
  <c r="Z9" i="23"/>
  <c r="Y9" i="23"/>
  <c r="X9" i="23"/>
  <c r="W9" i="23"/>
  <c r="V9" i="23"/>
  <c r="U9" i="23"/>
  <c r="T9" i="23"/>
  <c r="S9" i="23"/>
  <c r="AC30" i="23"/>
  <c r="AA30" i="23"/>
  <c r="Y30" i="23"/>
  <c r="W30" i="23"/>
  <c r="U30" i="23"/>
  <c r="S30" i="23"/>
  <c r="R30" i="23"/>
  <c r="K9" i="23"/>
  <c r="J9" i="23"/>
  <c r="I9" i="23"/>
  <c r="H9" i="23"/>
  <c r="G9" i="23"/>
  <c r="F9" i="23"/>
  <c r="E9" i="23"/>
  <c r="D9" i="23"/>
  <c r="C9" i="23"/>
  <c r="B9" i="23"/>
  <c r="AK8" i="23"/>
  <c r="AJ8" i="23"/>
  <c r="AI8" i="23"/>
  <c r="AH8" i="23"/>
  <c r="AG8" i="23"/>
  <c r="AF8" i="23"/>
  <c r="AE8" i="23"/>
  <c r="AD8" i="23"/>
  <c r="AC8" i="23"/>
  <c r="AB8" i="23"/>
  <c r="AA8" i="23"/>
  <c r="Z8" i="23"/>
  <c r="Y8" i="23"/>
  <c r="X8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I8" i="23"/>
  <c r="H8" i="23"/>
  <c r="E8" i="23"/>
  <c r="C8" i="23"/>
  <c r="AJ7" i="23"/>
  <c r="AG7" i="23"/>
  <c r="AD7" i="23"/>
  <c r="AA7" i="23"/>
  <c r="X7" i="23"/>
  <c r="U7" i="23"/>
  <c r="R7" i="23"/>
  <c r="P7" i="23"/>
  <c r="M7" i="23"/>
  <c r="J7" i="23"/>
  <c r="G7" i="23"/>
  <c r="D7" i="23"/>
  <c r="AK6" i="23"/>
  <c r="AH6" i="23"/>
  <c r="AE6" i="23"/>
  <c r="AB6" i="23"/>
  <c r="X6" i="23"/>
  <c r="U6" i="23"/>
  <c r="Q6" i="23"/>
  <c r="O6" i="23"/>
  <c r="K6" i="23"/>
  <c r="H6" i="23"/>
  <c r="E6" i="23"/>
  <c r="B6" i="23"/>
  <c r="AJ5" i="23"/>
  <c r="AG5" i="23"/>
  <c r="AD5" i="23"/>
  <c r="AA5" i="23"/>
  <c r="X5" i="23"/>
  <c r="U5" i="23"/>
  <c r="R5" i="23"/>
  <c r="N5" i="23"/>
  <c r="K5" i="23"/>
  <c r="H5" i="23"/>
  <c r="E5" i="23"/>
  <c r="B5" i="23"/>
  <c r="AI4" i="23"/>
  <c r="AF4" i="23"/>
  <c r="AC4" i="23"/>
  <c r="Z4" i="23"/>
  <c r="X4" i="23"/>
  <c r="U4" i="23"/>
  <c r="R4" i="23"/>
  <c r="O4" i="23"/>
  <c r="L4" i="23"/>
  <c r="I4" i="23"/>
  <c r="F4" i="23"/>
  <c r="C4" i="23"/>
  <c r="G8" i="23"/>
  <c r="B8" i="23"/>
  <c r="AI7" i="23"/>
  <c r="AF7" i="23"/>
  <c r="AC7" i="23"/>
  <c r="Z7" i="23"/>
  <c r="W7" i="23"/>
  <c r="T7" i="23"/>
  <c r="Q7" i="23"/>
  <c r="N7" i="23"/>
  <c r="K7" i="23"/>
  <c r="H7" i="23"/>
  <c r="E7" i="23"/>
  <c r="B7" i="23"/>
  <c r="AI6" i="23"/>
  <c r="AF6" i="23"/>
  <c r="AC6" i="23"/>
  <c r="Z6" i="23"/>
  <c r="W6" i="23"/>
  <c r="T6" i="23"/>
  <c r="R6" i="23"/>
  <c r="N6" i="23"/>
  <c r="L6" i="23"/>
  <c r="I6" i="23"/>
  <c r="F6" i="23"/>
  <c r="C6" i="23"/>
  <c r="AI5" i="23"/>
  <c r="AF5" i="23"/>
  <c r="AC5" i="23"/>
  <c r="Z5" i="23"/>
  <c r="W5" i="23"/>
  <c r="T5" i="23"/>
  <c r="Q5" i="23"/>
  <c r="O5" i="23"/>
  <c r="L5" i="23"/>
  <c r="I5" i="23"/>
  <c r="F5" i="23"/>
  <c r="C5" i="23"/>
  <c r="AJ4" i="23"/>
  <c r="AG4" i="23"/>
  <c r="AD4" i="23"/>
  <c r="AA4" i="23"/>
  <c r="W4" i="23"/>
  <c r="T4" i="23"/>
  <c r="Q4" i="23"/>
  <c r="N4" i="23"/>
  <c r="K4" i="23"/>
  <c r="H4" i="23"/>
  <c r="E4" i="23"/>
  <c r="B4" i="23"/>
  <c r="J8" i="23"/>
  <c r="F8" i="23"/>
  <c r="D8" i="23"/>
  <c r="AK7" i="23"/>
  <c r="AH7" i="23"/>
  <c r="AE7" i="23"/>
  <c r="AB7" i="23"/>
  <c r="Y7" i="23"/>
  <c r="V7" i="23"/>
  <c r="S7" i="23"/>
  <c r="O7" i="23"/>
  <c r="L7" i="23"/>
  <c r="I7" i="23"/>
  <c r="F7" i="23"/>
  <c r="C7" i="23"/>
  <c r="AJ6" i="23"/>
  <c r="AG6" i="23"/>
  <c r="AD6" i="23"/>
  <c r="AA6" i="23"/>
  <c r="Y6" i="23"/>
  <c r="V6" i="23"/>
  <c r="S6" i="23"/>
  <c r="P6" i="23"/>
  <c r="M6" i="23"/>
  <c r="J6" i="23"/>
  <c r="G6" i="23"/>
  <c r="D6" i="23"/>
  <c r="AK5" i="23"/>
  <c r="AH5" i="23"/>
  <c r="AE5" i="23"/>
  <c r="AB5" i="23"/>
  <c r="Y5" i="23"/>
  <c r="V5" i="23"/>
  <c r="S5" i="23"/>
  <c r="P5" i="23"/>
  <c r="M5" i="23"/>
  <c r="J5" i="23"/>
  <c r="G5" i="23"/>
  <c r="D5" i="23"/>
  <c r="AK4" i="23"/>
  <c r="AH4" i="23"/>
  <c r="AE4" i="23"/>
  <c r="AB4" i="23"/>
  <c r="Y4" i="23"/>
  <c r="V4" i="23"/>
  <c r="S4" i="23"/>
  <c r="P4" i="23"/>
  <c r="M4" i="23"/>
  <c r="AD30" i="23"/>
  <c r="AE30" i="23"/>
  <c r="G4" i="23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V8" i="19"/>
  <c r="Y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AD15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B15" i="19"/>
  <c r="AD14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B14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B13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B12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B11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B10" i="19"/>
  <c r="AD9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B9" i="19"/>
  <c r="AD8" i="19"/>
  <c r="AC8" i="19"/>
  <c r="AB8" i="19"/>
  <c r="AA8" i="19"/>
  <c r="Z8" i="19"/>
  <c r="S18" i="19"/>
  <c r="T18" i="19"/>
  <c r="U18" i="19"/>
  <c r="V1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E8" i="19"/>
  <c r="D8" i="19"/>
  <c r="C8" i="19"/>
  <c r="B8" i="19"/>
  <c r="AD7" i="19"/>
  <c r="AC7" i="19"/>
  <c r="AB7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B7" i="19"/>
  <c r="AD6" i="19"/>
  <c r="AC6" i="19"/>
  <c r="AB6" i="19"/>
  <c r="AA6" i="19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B6" i="19"/>
  <c r="AD5" i="19"/>
  <c r="AC5" i="19"/>
  <c r="AB5" i="19"/>
  <c r="AA5" i="19"/>
  <c r="Z5" i="19"/>
  <c r="Y5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B5" i="19"/>
  <c r="AD4" i="19"/>
  <c r="AC4" i="19"/>
  <c r="AB4" i="19"/>
  <c r="AA4" i="19"/>
  <c r="Z4" i="19"/>
  <c r="Y4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C4" i="19"/>
  <c r="B4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AD18" i="19"/>
  <c r="AC18" i="19"/>
  <c r="AB18" i="19"/>
  <c r="AA18" i="19"/>
  <c r="Z18" i="19"/>
  <c r="Y18" i="19"/>
  <c r="X18" i="19"/>
  <c r="W18" i="19"/>
  <c r="W8" i="19"/>
  <c r="R18" i="19"/>
  <c r="X8" i="19"/>
  <c r="AD5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Y4" i="17"/>
  <c r="Z4" i="17"/>
  <c r="AA4" i="17"/>
  <c r="AB4" i="17"/>
  <c r="AC4" i="17"/>
  <c r="AD4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Y5" i="17"/>
  <c r="Z5" i="17"/>
  <c r="AA5" i="17"/>
  <c r="AB5" i="17"/>
  <c r="AC5" i="17"/>
  <c r="E6" i="15"/>
  <c r="U11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T11" i="15"/>
  <c r="D6" i="15"/>
  <c r="C6" i="15"/>
  <c r="B6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R9" i="15"/>
  <c r="C5" i="15"/>
  <c r="B5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S9" i="15"/>
  <c r="T9" i="15"/>
  <c r="U9" i="15"/>
  <c r="V9" i="15"/>
  <c r="W9" i="15"/>
  <c r="X9" i="15"/>
  <c r="Y9" i="15"/>
  <c r="Z9" i="15"/>
  <c r="AA9" i="15"/>
  <c r="AB9" i="15"/>
  <c r="AC9" i="15"/>
  <c r="AD9" i="15"/>
  <c r="B10" i="15"/>
  <c r="C10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T10" i="15"/>
  <c r="U10" i="15"/>
  <c r="V10" i="15"/>
  <c r="W10" i="15"/>
  <c r="X10" i="15"/>
  <c r="Y10" i="15"/>
  <c r="Z10" i="15"/>
  <c r="AA10" i="15"/>
  <c r="AB10" i="15"/>
  <c r="AC10" i="15"/>
  <c r="AD10" i="15"/>
  <c r="B11" i="15"/>
  <c r="C11" i="15"/>
  <c r="D11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D11" i="15"/>
  <c r="AC11" i="15"/>
  <c r="AB11" i="15"/>
  <c r="AA11" i="15"/>
  <c r="Z11" i="15"/>
  <c r="Y11" i="15"/>
  <c r="X11" i="15"/>
  <c r="W11" i="15"/>
  <c r="S11" i="15"/>
  <c r="V11" i="15"/>
  <c r="D5" i="15"/>
  <c r="D17" i="13"/>
  <c r="W26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B26" i="13"/>
  <c r="AA26" i="13"/>
  <c r="Z26" i="13"/>
  <c r="Y26" i="13"/>
  <c r="X26" i="13"/>
  <c r="T34" i="13"/>
  <c r="U34" i="13"/>
  <c r="V34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W34" i="13"/>
  <c r="C17" i="13"/>
  <c r="B17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S34" i="13"/>
  <c r="E11" i="13"/>
  <c r="D11" i="13"/>
  <c r="C11" i="13"/>
  <c r="B11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H8" i="13"/>
  <c r="E8" i="13"/>
  <c r="C8" i="13"/>
  <c r="AB7" i="13"/>
  <c r="Z7" i="13"/>
  <c r="X7" i="13"/>
  <c r="V7" i="13"/>
  <c r="T7" i="13"/>
  <c r="R7" i="13"/>
  <c r="P7" i="13"/>
  <c r="N7" i="13"/>
  <c r="L7" i="13"/>
  <c r="J7" i="13"/>
  <c r="H7" i="13"/>
  <c r="F7" i="13"/>
  <c r="D7" i="13"/>
  <c r="B7" i="13"/>
  <c r="AA6" i="13"/>
  <c r="Y6" i="13"/>
  <c r="W6" i="13"/>
  <c r="U6" i="13"/>
  <c r="S6" i="13"/>
  <c r="Q6" i="13"/>
  <c r="O6" i="13"/>
  <c r="M6" i="13"/>
  <c r="K6" i="13"/>
  <c r="I6" i="13"/>
  <c r="G6" i="13"/>
  <c r="E6" i="13"/>
  <c r="C6" i="13"/>
  <c r="AB5" i="13"/>
  <c r="Z5" i="13"/>
  <c r="X5" i="13"/>
  <c r="V5" i="13"/>
  <c r="T5" i="13"/>
  <c r="R5" i="13"/>
  <c r="P5" i="13"/>
  <c r="N5" i="13"/>
  <c r="L5" i="13"/>
  <c r="J5" i="13"/>
  <c r="H5" i="13"/>
  <c r="F5" i="13"/>
  <c r="D5" i="13"/>
  <c r="B5" i="13"/>
  <c r="AA4" i="13"/>
  <c r="Y4" i="13"/>
  <c r="W4" i="13"/>
  <c r="U4" i="13"/>
  <c r="S4" i="13"/>
  <c r="Q4" i="13"/>
  <c r="O4" i="13"/>
  <c r="M4" i="13"/>
  <c r="K4" i="13"/>
  <c r="G4" i="13"/>
  <c r="V26" i="13"/>
  <c r="E49" i="13"/>
  <c r="D49" i="13"/>
  <c r="C49" i="13"/>
  <c r="B49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B48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47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AB37" i="13"/>
  <c r="AA37" i="13"/>
  <c r="Z37" i="13"/>
  <c r="Y37" i="13"/>
  <c r="X37" i="13"/>
  <c r="W37" i="13"/>
  <c r="V37" i="13"/>
  <c r="U37" i="13"/>
  <c r="T37" i="13"/>
  <c r="S37" i="13"/>
  <c r="R37" i="13"/>
  <c r="P37" i="13"/>
  <c r="N37" i="13"/>
  <c r="L37" i="13"/>
  <c r="J37" i="13"/>
  <c r="H37" i="13"/>
  <c r="F37" i="13"/>
  <c r="D37" i="13"/>
  <c r="B37" i="13"/>
  <c r="AA36" i="13"/>
  <c r="Y36" i="13"/>
  <c r="W36" i="13"/>
  <c r="U36" i="13"/>
  <c r="S36" i="13"/>
  <c r="Q36" i="13"/>
  <c r="O36" i="13"/>
  <c r="M36" i="13"/>
  <c r="K36" i="13"/>
  <c r="I36" i="13"/>
  <c r="G36" i="13"/>
  <c r="E36" i="13"/>
  <c r="C36" i="13"/>
  <c r="AB35" i="13"/>
  <c r="Z35" i="13"/>
  <c r="X35" i="13"/>
  <c r="V35" i="13"/>
  <c r="T35" i="13"/>
  <c r="R35" i="13"/>
  <c r="P35" i="13"/>
  <c r="N35" i="13"/>
  <c r="L8" i="13"/>
  <c r="K8" i="13"/>
  <c r="J8" i="13"/>
  <c r="I8" i="13"/>
  <c r="G8" i="13"/>
  <c r="F8" i="13"/>
  <c r="D8" i="13"/>
  <c r="B8" i="13"/>
  <c r="AA7" i="13"/>
  <c r="Y7" i="13"/>
  <c r="W7" i="13"/>
  <c r="U7" i="13"/>
  <c r="S7" i="13"/>
  <c r="Q7" i="13"/>
  <c r="O7" i="13"/>
  <c r="M7" i="13"/>
  <c r="K7" i="13"/>
  <c r="I7" i="13"/>
  <c r="G7" i="13"/>
  <c r="E7" i="13"/>
  <c r="C7" i="13"/>
  <c r="AB6" i="13"/>
  <c r="Z6" i="13"/>
  <c r="X6" i="13"/>
  <c r="V6" i="13"/>
  <c r="T6" i="13"/>
  <c r="R6" i="13"/>
  <c r="P6" i="13"/>
  <c r="N6" i="13"/>
  <c r="L6" i="13"/>
  <c r="J6" i="13"/>
  <c r="H6" i="13"/>
  <c r="F6" i="13"/>
  <c r="D6" i="13"/>
  <c r="B6" i="13"/>
  <c r="AA5" i="13"/>
  <c r="Y5" i="13"/>
  <c r="W5" i="13"/>
  <c r="U5" i="13"/>
  <c r="S5" i="13"/>
  <c r="Q5" i="13"/>
  <c r="O5" i="13"/>
  <c r="M5" i="13"/>
  <c r="K5" i="13"/>
  <c r="I5" i="13"/>
  <c r="G5" i="13"/>
  <c r="E5" i="13"/>
  <c r="C5" i="13"/>
  <c r="AB4" i="13"/>
  <c r="Z4" i="13"/>
  <c r="X4" i="13"/>
  <c r="V4" i="13"/>
  <c r="T4" i="13"/>
  <c r="R4" i="13"/>
  <c r="P4" i="13"/>
  <c r="N4" i="13"/>
  <c r="L4" i="13"/>
  <c r="H4" i="13"/>
  <c r="D4" i="13"/>
  <c r="X34" i="13"/>
  <c r="Y34" i="13"/>
  <c r="Z34" i="13"/>
  <c r="AA34" i="13"/>
  <c r="AB34" i="13"/>
  <c r="B35" i="13"/>
  <c r="C35" i="13"/>
  <c r="D35" i="13"/>
  <c r="E35" i="13"/>
  <c r="F35" i="13"/>
  <c r="G35" i="13"/>
  <c r="H35" i="13"/>
  <c r="I35" i="13"/>
  <c r="J35" i="13"/>
  <c r="K35" i="13"/>
  <c r="L35" i="13"/>
  <c r="M35" i="13"/>
  <c r="O35" i="13"/>
  <c r="Q35" i="13"/>
  <c r="S35" i="13"/>
  <c r="U35" i="13"/>
  <c r="W35" i="13"/>
  <c r="Y35" i="13"/>
  <c r="AA35" i="13"/>
  <c r="B36" i="13"/>
  <c r="D36" i="13"/>
  <c r="F36" i="13"/>
  <c r="H36" i="13"/>
  <c r="J36" i="13"/>
  <c r="L36" i="13"/>
  <c r="N36" i="13"/>
  <c r="P36" i="13"/>
  <c r="R36" i="13"/>
  <c r="T36" i="13"/>
  <c r="V36" i="13"/>
  <c r="X36" i="13"/>
  <c r="Z36" i="13"/>
  <c r="AB36" i="13"/>
  <c r="C37" i="13"/>
  <c r="E37" i="13"/>
  <c r="G37" i="13"/>
  <c r="I37" i="13"/>
  <c r="K37" i="13"/>
  <c r="M37" i="13"/>
  <c r="O37" i="13"/>
  <c r="Q37" i="13"/>
  <c r="G49" i="13"/>
  <c r="H49" i="13"/>
  <c r="I49" i="13"/>
  <c r="J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W49" i="13"/>
  <c r="X49" i="13"/>
  <c r="Y49" i="13"/>
  <c r="Z49" i="13"/>
  <c r="AA49" i="13"/>
  <c r="AB49" i="13"/>
  <c r="B50" i="13"/>
  <c r="C50" i="13"/>
  <c r="D50" i="13"/>
  <c r="E50" i="13"/>
  <c r="F50" i="13"/>
  <c r="G50" i="13"/>
  <c r="H50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AB50" i="13"/>
  <c r="C4" i="13"/>
  <c r="J4" i="13"/>
  <c r="E4" i="13"/>
  <c r="B4" i="13"/>
  <c r="I4" i="13"/>
  <c r="F4" i="13"/>
  <c r="U26" i="13"/>
  <c r="F11" i="13"/>
  <c r="B23" i="11"/>
  <c r="N28" i="11"/>
  <c r="G28" i="11"/>
  <c r="F28" i="11"/>
  <c r="E28" i="11"/>
  <c r="D28" i="11"/>
  <c r="C28" i="11"/>
  <c r="B28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I28" i="11"/>
  <c r="J28" i="11"/>
  <c r="K28" i="11"/>
  <c r="L28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M28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C23" i="11"/>
  <c r="H28" i="11"/>
  <c r="E23" i="11"/>
  <c r="O28" i="11"/>
  <c r="D23" i="11"/>
  <c r="X13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B13" i="9"/>
  <c r="AA13" i="9"/>
  <c r="Z13" i="9"/>
  <c r="Y13" i="9"/>
  <c r="P27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J31" i="9"/>
  <c r="I31" i="9"/>
  <c r="H31" i="9"/>
  <c r="G31" i="9"/>
  <c r="F31" i="9"/>
  <c r="E31" i="9"/>
  <c r="D31" i="9"/>
  <c r="C31" i="9"/>
  <c r="B31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AB27" i="9"/>
  <c r="AA27" i="9"/>
  <c r="Z27" i="9"/>
  <c r="Y27" i="9"/>
  <c r="X27" i="9"/>
  <c r="W27" i="9"/>
  <c r="V27" i="9"/>
  <c r="U27" i="9"/>
  <c r="O27" i="9"/>
  <c r="T27" i="9"/>
  <c r="S27" i="9"/>
  <c r="R27" i="9"/>
  <c r="Q27" i="9"/>
  <c r="V21" i="7"/>
  <c r="L61" i="7"/>
  <c r="D61" i="7"/>
  <c r="C61" i="7"/>
  <c r="B61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B59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AB56" i="7"/>
  <c r="AA56" i="7"/>
  <c r="Z56" i="7"/>
  <c r="Y56" i="7"/>
  <c r="F61" i="7"/>
  <c r="G61" i="7"/>
  <c r="H36" i="7"/>
  <c r="I36" i="7"/>
  <c r="G36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B63" i="7"/>
  <c r="AB62" i="7"/>
  <c r="AA62" i="7"/>
  <c r="Z62" i="7"/>
  <c r="Y62" i="7"/>
  <c r="X62" i="7"/>
  <c r="W62" i="7"/>
  <c r="V62" i="7"/>
  <c r="U62" i="7"/>
  <c r="T62" i="7"/>
  <c r="C46" i="7"/>
  <c r="B46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H61" i="7"/>
  <c r="I61" i="7"/>
  <c r="J61" i="7"/>
  <c r="F36" i="7"/>
  <c r="E36" i="7"/>
  <c r="D36" i="7"/>
  <c r="C36" i="7"/>
  <c r="B36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AB21" i="7"/>
  <c r="AA21" i="7"/>
  <c r="Z21" i="7"/>
  <c r="Y21" i="7"/>
  <c r="X21" i="7"/>
  <c r="W21" i="7"/>
  <c r="K6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E61" i="7"/>
  <c r="B8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C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47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O23" i="5"/>
  <c r="N25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K13" i="5"/>
  <c r="J13" i="5"/>
  <c r="I13" i="5"/>
  <c r="H13" i="5"/>
  <c r="G13" i="5"/>
  <c r="F13" i="5"/>
  <c r="E13" i="5"/>
  <c r="D13" i="5"/>
  <c r="C13" i="5"/>
  <c r="B13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M12" i="5"/>
  <c r="K12" i="5"/>
  <c r="I12" i="5"/>
  <c r="G12" i="5"/>
  <c r="E12" i="5"/>
  <c r="C12" i="5"/>
  <c r="AB11" i="5"/>
  <c r="Z11" i="5"/>
  <c r="X11" i="5"/>
  <c r="V11" i="5"/>
  <c r="T11" i="5"/>
  <c r="R11" i="5"/>
  <c r="P11" i="5"/>
  <c r="N11" i="5"/>
  <c r="L11" i="5"/>
  <c r="J11" i="5"/>
  <c r="H11" i="5"/>
  <c r="F11" i="5"/>
  <c r="D11" i="5"/>
  <c r="B11" i="5"/>
  <c r="AA10" i="5"/>
  <c r="Y10" i="5"/>
  <c r="W10" i="5"/>
  <c r="U10" i="5"/>
  <c r="S10" i="5"/>
  <c r="Q10" i="5"/>
  <c r="O10" i="5"/>
  <c r="M10" i="5"/>
  <c r="K10" i="5"/>
  <c r="I10" i="5"/>
  <c r="G10" i="5"/>
  <c r="E10" i="5"/>
  <c r="C10" i="5"/>
  <c r="AB9" i="5"/>
  <c r="Z9" i="5"/>
  <c r="X9" i="5"/>
  <c r="V9" i="5"/>
  <c r="T9" i="5"/>
  <c r="R9" i="5"/>
  <c r="P9" i="5"/>
  <c r="N9" i="5"/>
  <c r="L9" i="5"/>
  <c r="J9" i="5"/>
  <c r="H9" i="5"/>
  <c r="F9" i="5"/>
  <c r="D9" i="5"/>
  <c r="B9" i="5"/>
  <c r="AA8" i="5"/>
  <c r="Y8" i="5"/>
  <c r="W8" i="5"/>
  <c r="U8" i="5"/>
  <c r="S8" i="5"/>
  <c r="Q8" i="5"/>
  <c r="O8" i="5"/>
  <c r="M8" i="5"/>
  <c r="K8" i="5"/>
  <c r="I8" i="5"/>
  <c r="G8" i="5"/>
  <c r="E8" i="5"/>
  <c r="C8" i="5"/>
  <c r="AB7" i="5"/>
  <c r="Z7" i="5"/>
  <c r="X7" i="5"/>
  <c r="V7" i="5"/>
  <c r="T7" i="5"/>
  <c r="R7" i="5"/>
  <c r="P7" i="5"/>
  <c r="N7" i="5"/>
  <c r="L7" i="5"/>
  <c r="J7" i="5"/>
  <c r="H7" i="5"/>
  <c r="F7" i="5"/>
  <c r="D7" i="5"/>
  <c r="B7" i="5"/>
  <c r="AA6" i="5"/>
  <c r="Y6" i="5"/>
  <c r="W6" i="5"/>
  <c r="U6" i="5"/>
  <c r="S6" i="5"/>
  <c r="Q6" i="5"/>
  <c r="O6" i="5"/>
  <c r="M6" i="5"/>
  <c r="L6" i="5"/>
  <c r="J6" i="5"/>
  <c r="H6" i="5"/>
  <c r="F6" i="5"/>
  <c r="D6" i="5"/>
  <c r="B6" i="5"/>
  <c r="AA5" i="5"/>
  <c r="Y5" i="5"/>
  <c r="W5" i="5"/>
  <c r="U5" i="5"/>
  <c r="S5" i="5"/>
  <c r="Q5" i="5"/>
  <c r="O5" i="5"/>
  <c r="M25" i="5"/>
  <c r="K5" i="5"/>
  <c r="I5" i="5"/>
  <c r="G5" i="5"/>
  <c r="E5" i="5"/>
  <c r="C5" i="5"/>
  <c r="AB4" i="5"/>
  <c r="Z4" i="5"/>
  <c r="X4" i="5"/>
  <c r="V4" i="5"/>
  <c r="T4" i="5"/>
  <c r="R4" i="5"/>
  <c r="P4" i="5"/>
  <c r="N4" i="5"/>
  <c r="L4" i="5"/>
  <c r="J4" i="5"/>
  <c r="H4" i="5"/>
  <c r="F4" i="5"/>
  <c r="D4" i="5"/>
  <c r="B4" i="5"/>
  <c r="L23" i="5"/>
  <c r="K23" i="5"/>
  <c r="J23" i="5"/>
  <c r="I23" i="5"/>
  <c r="H23" i="5"/>
  <c r="G23" i="5"/>
  <c r="F23" i="5"/>
  <c r="E23" i="5"/>
  <c r="D23" i="5"/>
  <c r="C23" i="5"/>
  <c r="B23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AB21" i="5"/>
  <c r="AA21" i="5"/>
  <c r="Z21" i="5"/>
  <c r="Y21" i="5"/>
  <c r="X21" i="5"/>
  <c r="W21" i="5"/>
  <c r="V21" i="5"/>
  <c r="U21" i="5"/>
  <c r="T21" i="5"/>
  <c r="S21" i="5"/>
  <c r="C4" i="5"/>
  <c r="E4" i="5"/>
  <c r="G4" i="5"/>
  <c r="I4" i="5"/>
  <c r="K4" i="5"/>
  <c r="M4" i="5"/>
  <c r="O4" i="5"/>
  <c r="Q4" i="5"/>
  <c r="S4" i="5"/>
  <c r="U4" i="5"/>
  <c r="W4" i="5"/>
  <c r="Y4" i="5"/>
  <c r="AA4" i="5"/>
  <c r="B5" i="5"/>
  <c r="D5" i="5"/>
  <c r="F5" i="5"/>
  <c r="H5" i="5"/>
  <c r="J5" i="5"/>
  <c r="L5" i="5"/>
  <c r="N5" i="5"/>
  <c r="P5" i="5"/>
  <c r="R5" i="5"/>
  <c r="T5" i="5"/>
  <c r="V5" i="5"/>
  <c r="X5" i="5"/>
  <c r="Z5" i="5"/>
  <c r="AB5" i="5"/>
  <c r="C6" i="5"/>
  <c r="E6" i="5"/>
  <c r="G6" i="5"/>
  <c r="I6" i="5"/>
  <c r="K6" i="5"/>
  <c r="N6" i="5"/>
  <c r="P6" i="5"/>
  <c r="R6" i="5"/>
  <c r="T6" i="5"/>
  <c r="V6" i="5"/>
  <c r="X6" i="5"/>
  <c r="Z6" i="5"/>
  <c r="AB6" i="5"/>
  <c r="C7" i="5"/>
  <c r="E7" i="5"/>
  <c r="G7" i="5"/>
  <c r="I7" i="5"/>
  <c r="K7" i="5"/>
  <c r="M7" i="5"/>
  <c r="O7" i="5"/>
  <c r="Q7" i="5"/>
  <c r="S7" i="5"/>
  <c r="U7" i="5"/>
  <c r="W7" i="5"/>
  <c r="Y7" i="5"/>
  <c r="AA7" i="5"/>
  <c r="B8" i="5"/>
  <c r="D8" i="5"/>
  <c r="F8" i="5"/>
  <c r="H8" i="5"/>
  <c r="J8" i="5"/>
  <c r="L8" i="5"/>
  <c r="N8" i="5"/>
  <c r="P8" i="5"/>
  <c r="R8" i="5"/>
  <c r="T8" i="5"/>
  <c r="V8" i="5"/>
  <c r="X8" i="5"/>
  <c r="Z8" i="5"/>
  <c r="AB8" i="5"/>
  <c r="C9" i="5"/>
  <c r="E9" i="5"/>
  <c r="G9" i="5"/>
  <c r="I9" i="5"/>
  <c r="K9" i="5"/>
  <c r="M9" i="5"/>
  <c r="N23" i="5"/>
  <c r="C21" i="5"/>
  <c r="M23" i="5"/>
  <c r="O9" i="5"/>
  <c r="Q9" i="5"/>
  <c r="S9" i="5"/>
  <c r="U9" i="5"/>
  <c r="W9" i="5"/>
  <c r="Y9" i="5"/>
  <c r="AA9" i="5"/>
  <c r="B10" i="5"/>
  <c r="D10" i="5"/>
  <c r="F10" i="5"/>
  <c r="H10" i="5"/>
  <c r="J10" i="5"/>
  <c r="L10" i="5"/>
  <c r="N10" i="5"/>
  <c r="P10" i="5"/>
  <c r="R10" i="5"/>
  <c r="T10" i="5"/>
  <c r="V10" i="5"/>
  <c r="X10" i="5"/>
  <c r="Z10" i="5"/>
  <c r="AB10" i="5"/>
  <c r="C11" i="5"/>
  <c r="E11" i="5"/>
  <c r="G11" i="5"/>
  <c r="I11" i="5"/>
  <c r="K11" i="5"/>
  <c r="M11" i="5"/>
  <c r="O11" i="5"/>
  <c r="Q11" i="5"/>
  <c r="S11" i="5"/>
  <c r="U11" i="5"/>
  <c r="W11" i="5"/>
  <c r="B21" i="5"/>
  <c r="Y11" i="5"/>
  <c r="AA11" i="5"/>
  <c r="B12" i="5"/>
  <c r="D12" i="5"/>
  <c r="F12" i="5"/>
  <c r="H12" i="5"/>
  <c r="J12" i="5"/>
  <c r="L12" i="5"/>
  <c r="N12" i="5"/>
  <c r="L13" i="5"/>
  <c r="M13" i="5"/>
  <c r="N13" i="5"/>
  <c r="X24" i="5"/>
  <c r="Y24" i="5"/>
  <c r="Z24" i="5"/>
  <c r="AA24" i="5"/>
  <c r="AB24" i="5"/>
  <c r="B25" i="5"/>
  <c r="C25" i="5"/>
  <c r="D25" i="5"/>
  <c r="E25" i="5"/>
  <c r="F25" i="5"/>
  <c r="G25" i="5"/>
  <c r="H25" i="5"/>
  <c r="I25" i="5"/>
  <c r="J25" i="5"/>
  <c r="K25" i="5"/>
  <c r="L25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M5" i="5"/>
  <c r="C6" i="3"/>
  <c r="G8" i="3"/>
  <c r="E4" i="3"/>
  <c r="G4" i="3"/>
  <c r="I4" i="3"/>
  <c r="K4" i="3"/>
  <c r="M4" i="3"/>
  <c r="O4" i="3"/>
  <c r="Q4" i="3"/>
  <c r="S4" i="3"/>
  <c r="U4" i="3"/>
  <c r="W4" i="3"/>
  <c r="Y4" i="3"/>
  <c r="AA4" i="3"/>
  <c r="B5" i="3"/>
  <c r="D5" i="3"/>
  <c r="F5" i="3"/>
  <c r="H5" i="3"/>
  <c r="J5" i="3"/>
  <c r="L5" i="3"/>
  <c r="N5" i="3"/>
  <c r="P5" i="3"/>
  <c r="R5" i="3"/>
  <c r="T5" i="3"/>
  <c r="V5" i="3"/>
  <c r="X5" i="3"/>
  <c r="Z5" i="3"/>
  <c r="AB5" i="3"/>
  <c r="B6" i="3"/>
  <c r="D6" i="3"/>
  <c r="E6" i="3"/>
  <c r="F6" i="3"/>
  <c r="G6" i="3"/>
  <c r="H6" i="3"/>
  <c r="I6" i="3"/>
  <c r="J6" i="3"/>
  <c r="K6" i="3"/>
  <c r="L6" i="3"/>
  <c r="M6" i="3"/>
  <c r="O6" i="3"/>
  <c r="Q6" i="3"/>
  <c r="S6" i="3"/>
  <c r="U6" i="3"/>
  <c r="W6" i="3"/>
  <c r="Y6" i="3"/>
  <c r="AA6" i="3"/>
  <c r="B7" i="3"/>
  <c r="D7" i="3"/>
  <c r="F7" i="3"/>
  <c r="H7" i="3"/>
  <c r="J7" i="3"/>
  <c r="L7" i="3"/>
  <c r="N7" i="3"/>
  <c r="P7" i="3"/>
  <c r="R7" i="3"/>
  <c r="T7" i="3"/>
  <c r="V7" i="3"/>
  <c r="X7" i="3"/>
  <c r="Z7" i="3"/>
  <c r="AB7" i="3"/>
  <c r="C8" i="3"/>
  <c r="K8" i="3"/>
  <c r="M8" i="3"/>
  <c r="O8" i="3"/>
  <c r="Q8" i="3"/>
  <c r="S8" i="3"/>
  <c r="U8" i="3"/>
  <c r="W8" i="3"/>
  <c r="Y8" i="3"/>
  <c r="AA8" i="3"/>
  <c r="B9" i="3"/>
  <c r="D9" i="3"/>
  <c r="F9" i="3"/>
  <c r="H9" i="3"/>
  <c r="J9" i="3"/>
  <c r="L9" i="3"/>
  <c r="N9" i="3"/>
  <c r="P9" i="3"/>
  <c r="R9" i="3"/>
  <c r="T9" i="3"/>
  <c r="V9" i="3"/>
  <c r="X9" i="3"/>
  <c r="Z9" i="3"/>
  <c r="AB9" i="3"/>
  <c r="C10" i="3"/>
  <c r="E10" i="3"/>
  <c r="G10" i="3"/>
  <c r="J10" i="3"/>
  <c r="L10" i="3"/>
  <c r="N10" i="3"/>
  <c r="P10" i="3"/>
  <c r="R10" i="3"/>
  <c r="T10" i="3"/>
  <c r="V10" i="3"/>
  <c r="X10" i="3"/>
  <c r="Z10" i="3"/>
  <c r="AB10" i="3"/>
  <c r="C11" i="3"/>
  <c r="E11" i="3"/>
  <c r="G11" i="3"/>
  <c r="I11" i="3"/>
  <c r="K11" i="3"/>
  <c r="M11" i="3"/>
  <c r="O11" i="3"/>
  <c r="Q11" i="3"/>
  <c r="S11" i="3"/>
  <c r="U11" i="3"/>
  <c r="W11" i="3"/>
  <c r="Y11" i="3"/>
  <c r="AA11" i="3"/>
  <c r="B12" i="3"/>
  <c r="C12" i="3"/>
  <c r="E12" i="3"/>
  <c r="G12" i="3"/>
  <c r="I12" i="3"/>
  <c r="L12" i="3"/>
  <c r="N12" i="3"/>
  <c r="P12" i="3"/>
  <c r="R12" i="3"/>
  <c r="T12" i="3"/>
  <c r="V12" i="3"/>
  <c r="X12" i="3"/>
  <c r="Z12" i="3"/>
  <c r="AB12" i="3"/>
  <c r="C13" i="3"/>
  <c r="E13" i="3"/>
  <c r="G13" i="3"/>
  <c r="I13" i="3"/>
  <c r="K13" i="3"/>
  <c r="M13" i="3"/>
  <c r="O13" i="3"/>
  <c r="Q13" i="3"/>
  <c r="S13" i="3"/>
  <c r="U13" i="3"/>
  <c r="R16" i="3"/>
  <c r="P16" i="3"/>
  <c r="N16" i="3"/>
  <c r="L16" i="3"/>
  <c r="J16" i="3"/>
  <c r="H16" i="3"/>
  <c r="F16" i="3"/>
  <c r="D16" i="3"/>
  <c r="B16" i="3"/>
  <c r="AA15" i="3"/>
  <c r="Y15" i="3"/>
  <c r="W15" i="3"/>
  <c r="U15" i="3"/>
  <c r="S15" i="3"/>
  <c r="Q15" i="3"/>
  <c r="O15" i="3"/>
  <c r="M15" i="3"/>
  <c r="K15" i="3"/>
  <c r="I15" i="3"/>
  <c r="G15" i="3"/>
  <c r="E15" i="3"/>
  <c r="C15" i="3"/>
  <c r="AB14" i="3"/>
  <c r="Z14" i="3"/>
  <c r="X14" i="3"/>
  <c r="V14" i="3"/>
  <c r="T14" i="3"/>
  <c r="R14" i="3"/>
  <c r="P14" i="3"/>
  <c r="N14" i="3"/>
  <c r="L14" i="3"/>
  <c r="J14" i="3"/>
  <c r="H14" i="3"/>
  <c r="F14" i="3"/>
  <c r="D14" i="3"/>
  <c r="B14" i="3"/>
  <c r="AA13" i="3"/>
  <c r="Y13" i="3"/>
  <c r="W13" i="3"/>
  <c r="V13" i="3"/>
  <c r="T13" i="3"/>
  <c r="R13" i="3"/>
  <c r="C4" i="3"/>
  <c r="N13" i="3"/>
  <c r="L13" i="3"/>
  <c r="J13" i="3"/>
  <c r="H13" i="3"/>
  <c r="F13" i="3"/>
  <c r="D13" i="3"/>
  <c r="B13" i="3"/>
  <c r="AA12" i="3"/>
  <c r="Y12" i="3"/>
  <c r="W12" i="3"/>
  <c r="U12" i="3"/>
  <c r="S12" i="3"/>
  <c r="Q12" i="3"/>
  <c r="O12" i="3"/>
  <c r="M12" i="3"/>
  <c r="K12" i="3"/>
  <c r="J12" i="3"/>
  <c r="H12" i="3"/>
  <c r="F12" i="3"/>
  <c r="D12" i="3"/>
  <c r="AB11" i="3"/>
  <c r="Z11" i="3"/>
  <c r="X11" i="3"/>
  <c r="V11" i="3"/>
  <c r="T11" i="3"/>
  <c r="R11" i="3"/>
  <c r="P11" i="3"/>
  <c r="N11" i="3"/>
  <c r="L11" i="3"/>
  <c r="J11" i="3"/>
  <c r="H11" i="3"/>
  <c r="F11" i="3"/>
  <c r="D11" i="3"/>
  <c r="B11" i="3"/>
  <c r="AA10" i="3"/>
  <c r="Y10" i="3"/>
  <c r="W10" i="3"/>
  <c r="U10" i="3"/>
  <c r="S10" i="3"/>
  <c r="Q10" i="3"/>
  <c r="O10" i="3"/>
  <c r="M10" i="3"/>
  <c r="K10" i="3"/>
  <c r="I10" i="3"/>
  <c r="H10" i="3"/>
  <c r="F10" i="3"/>
  <c r="D10" i="3"/>
  <c r="B10" i="3"/>
  <c r="AA9" i="3"/>
  <c r="Y9" i="3"/>
  <c r="W9" i="3"/>
  <c r="U9" i="3"/>
  <c r="S9" i="3"/>
  <c r="Q9" i="3"/>
  <c r="O9" i="3"/>
  <c r="M9" i="3"/>
  <c r="K9" i="3"/>
  <c r="I9" i="3"/>
  <c r="G9" i="3"/>
  <c r="E9" i="3"/>
  <c r="C9" i="3"/>
  <c r="AB8" i="3"/>
  <c r="Z8" i="3"/>
  <c r="X8" i="3"/>
  <c r="V8" i="3"/>
  <c r="T8" i="3"/>
  <c r="R8" i="3"/>
  <c r="P8" i="3"/>
  <c r="N8" i="3"/>
  <c r="L8" i="3"/>
  <c r="J8" i="3"/>
  <c r="H8" i="3"/>
  <c r="F8" i="3"/>
  <c r="D8" i="3"/>
  <c r="B8" i="3"/>
  <c r="AA7" i="3"/>
  <c r="Y7" i="3"/>
  <c r="W7" i="3"/>
  <c r="U7" i="3"/>
  <c r="S7" i="3"/>
  <c r="Q7" i="3"/>
  <c r="O7" i="3"/>
  <c r="M7" i="3"/>
  <c r="K7" i="3"/>
  <c r="I7" i="3"/>
  <c r="G7" i="3"/>
  <c r="E7" i="3"/>
  <c r="C7" i="3"/>
  <c r="AB6" i="3"/>
  <c r="Z6" i="3"/>
  <c r="X6" i="3"/>
  <c r="V6" i="3"/>
  <c r="T6" i="3"/>
  <c r="R6" i="3"/>
  <c r="P6" i="3"/>
  <c r="N6" i="3"/>
  <c r="AA5" i="3"/>
  <c r="Y5" i="3"/>
  <c r="W5" i="3"/>
  <c r="U5" i="3"/>
  <c r="S5" i="3"/>
  <c r="Q5" i="3"/>
  <c r="O5" i="3"/>
  <c r="M5" i="3"/>
  <c r="K5" i="3"/>
  <c r="I5" i="3"/>
  <c r="G5" i="3"/>
  <c r="E5" i="3"/>
  <c r="C5" i="3"/>
  <c r="AB4" i="3"/>
  <c r="Z4" i="3"/>
  <c r="X4" i="3"/>
  <c r="V4" i="3"/>
  <c r="T4" i="3"/>
  <c r="R4" i="3"/>
  <c r="P4" i="3"/>
  <c r="N4" i="3"/>
  <c r="L4" i="3"/>
  <c r="J4" i="3"/>
  <c r="H4" i="3"/>
  <c r="F4" i="3"/>
  <c r="D4" i="3"/>
  <c r="B4" i="3"/>
  <c r="X13" i="3"/>
  <c r="Z13" i="3"/>
  <c r="AB13" i="3"/>
  <c r="C14" i="3"/>
  <c r="E14" i="3"/>
  <c r="G14" i="3"/>
  <c r="I14" i="3"/>
  <c r="K14" i="3"/>
  <c r="M14" i="3"/>
  <c r="O14" i="3"/>
  <c r="Q14" i="3"/>
  <c r="S14" i="3"/>
  <c r="U14" i="3"/>
  <c r="W14" i="3"/>
  <c r="Y14" i="3"/>
  <c r="AA14" i="3"/>
  <c r="B15" i="3"/>
  <c r="D15" i="3"/>
  <c r="F15" i="3"/>
  <c r="H15" i="3"/>
  <c r="J15" i="3"/>
  <c r="L15" i="3"/>
  <c r="N15" i="3"/>
  <c r="P15" i="3"/>
  <c r="R15" i="3"/>
  <c r="T15" i="3"/>
  <c r="V15" i="3"/>
  <c r="X15" i="3"/>
  <c r="Z15" i="3"/>
  <c r="AB15" i="3"/>
  <c r="C16" i="3"/>
  <c r="E16" i="3"/>
  <c r="G16" i="3"/>
  <c r="I16" i="3"/>
  <c r="K16" i="3"/>
  <c r="M16" i="3"/>
  <c r="O16" i="3"/>
  <c r="Q16" i="3"/>
  <c r="S16" i="3"/>
  <c r="T16" i="3"/>
  <c r="U16" i="3"/>
  <c r="V16" i="3"/>
  <c r="W16" i="3"/>
  <c r="X16" i="3"/>
  <c r="Y16" i="3"/>
  <c r="Z16" i="3"/>
  <c r="AA16" i="3"/>
  <c r="AB16" i="3"/>
  <c r="E8" i="3"/>
  <c r="I8" i="3"/>
  <c r="P13" i="3"/>
</calcChain>
</file>

<file path=xl/sharedStrings.xml><?xml version="1.0" encoding="utf-8"?>
<sst xmlns="http://schemas.openxmlformats.org/spreadsheetml/2006/main" count="3071" uniqueCount="722">
  <si>
    <t>Sırala:</t>
  </si>
  <si>
    <t>Günlük Sıra</t>
  </si>
  <si>
    <t>◀ seçince tablo o sıraya göre dizilir</t>
  </si>
  <si>
    <t>Fon Kodu</t>
  </si>
  <si>
    <t>Haftalık Sıra</t>
  </si>
  <si>
    <t>Aylık Sıra</t>
  </si>
  <si>
    <t>Yılbaşına Göre</t>
  </si>
  <si>
    <t>Yıllık Sıra</t>
  </si>
  <si>
    <t>Kat. Toplam</t>
  </si>
  <si>
    <t>Kategori</t>
  </si>
  <si>
    <t>Arbitraj Fonları</t>
  </si>
  <si>
    <t>Yönetici</t>
  </si>
  <si>
    <t>FYÜ%</t>
  </si>
  <si>
    <t>Günlük%</t>
  </si>
  <si>
    <t>Haftalık</t>
  </si>
  <si>
    <t>Aylık</t>
  </si>
  <si>
    <t>Yıllık</t>
  </si>
  <si>
    <t>Yatırımcı Sayısı T-30</t>
  </si>
  <si>
    <t>Yatırımcı Sayısı T-1</t>
  </si>
  <si>
    <t>YS Değişim</t>
  </si>
  <si>
    <t>Önceki Ay FTD</t>
  </si>
  <si>
    <t>T-1 FTD</t>
  </si>
  <si>
    <t>FTD Değişim</t>
  </si>
  <si>
    <t>Standart Sapma (Aylık)</t>
  </si>
  <si>
    <t>TEFAS Durumu</t>
  </si>
  <si>
    <t>Mevduat (TL)</t>
  </si>
  <si>
    <t>Vadeli İşlemler Nakit Teminatları</t>
  </si>
  <si>
    <t>Ters Repo Oranı</t>
  </si>
  <si>
    <t>Hisse Oranı</t>
  </si>
  <si>
    <t>Para Piyasaları Oranı</t>
  </si>
  <si>
    <t>Yatırım Fonları Katılma Payları</t>
  </si>
  <si>
    <t>Özel Tahvil/Bono Oranı</t>
  </si>
  <si>
    <t>Finansman Bonosu Oranı</t>
  </si>
  <si>
    <t>Diğer Oran</t>
  </si>
  <si>
    <t>Toplam</t>
  </si>
  <si>
    <t>ICN</t>
  </si>
  <si>
    <t>İstanbul Portföy Üçüncü İstatistiksel Arbitraj Serbest (TL) Fon</t>
  </si>
  <si>
    <t>İstanbul Portföy</t>
  </si>
  <si>
    <t>Görmüyor</t>
  </si>
  <si>
    <t>IRV</t>
  </si>
  <si>
    <t>İstanbul Portföy İstatistiksel Arbitraj Serbest Fon</t>
  </si>
  <si>
    <t>Görüyor</t>
  </si>
  <si>
    <t>LPH</t>
  </si>
  <si>
    <t>Statech Portföy İstatistiksel Arbitraj Hisse Senedi Serbest (TL) Fon (Hisse Senedi Yoğun Fon)</t>
  </si>
  <si>
    <t>Statech Portföy</t>
  </si>
  <si>
    <t>TCI</t>
  </si>
  <si>
    <t>Tacirler Portföy İstatistiksel Arbitraj Serbest Fon</t>
  </si>
  <si>
    <t>Tacirler Portföy</t>
  </si>
  <si>
    <t>BVZ</t>
  </si>
  <si>
    <t>BV Portföy İstatistiksel Arbitraj Serbest (TL) Fon</t>
  </si>
  <si>
    <t>BV Portföy</t>
  </si>
  <si>
    <t>SST</t>
  </si>
  <si>
    <t>Strateji Portföy İstatistiksel Arbitraj Serbest Fon</t>
  </si>
  <si>
    <t>Strateji Portföy</t>
  </si>
  <si>
    <t>MPI</t>
  </si>
  <si>
    <t>Meksa Portföy İstatistiksel Arbitraj Serbest (TL) Fon</t>
  </si>
  <si>
    <t>Meksa Portföy</t>
  </si>
  <si>
    <t>NIS</t>
  </si>
  <si>
    <t>Neo Portföy İstatistiksel Arbitraj Serbest Fon</t>
  </si>
  <si>
    <t>Neo Portföy</t>
  </si>
  <si>
    <t>INZ</t>
  </si>
  <si>
    <t>Inveo Portföy İstatistiksel Arbitraj Serbest (TL) Fon</t>
  </si>
  <si>
    <t>Inveo Portföy</t>
  </si>
  <si>
    <t>AC5</t>
  </si>
  <si>
    <t>Pardus Portföy İstatistiksel Arbitraj Hisse Senedi Serbest (TL) Fon (Hisse Senedi Yoğun Fon)</t>
  </si>
  <si>
    <t>Pardus Portföy</t>
  </si>
  <si>
    <t>OFB</t>
  </si>
  <si>
    <t>Oyak Portföy İstatistiksel Arbitraj Serbest (TL) Fon</t>
  </si>
  <si>
    <t>Oyak Portföy</t>
  </si>
  <si>
    <t>DPI</t>
  </si>
  <si>
    <t>Deniz Portföy İstatistiksel Arbitraj Hisse Senedi Serbest Fon (Hisse Senedi Yoğun Fon)</t>
  </si>
  <si>
    <t>Deniz Portföy</t>
  </si>
  <si>
    <t>UZY</t>
  </si>
  <si>
    <t>Ünlü Portföy İkinci İstatistiksel Arbitraj Serbest Fon</t>
  </si>
  <si>
    <t>Ünlü Portföy</t>
  </si>
  <si>
    <t>T-1: 14.07.2026</t>
  </si>
  <si>
    <t>Mutlak Getiri Fonları</t>
  </si>
  <si>
    <t>ZBO</t>
  </si>
  <si>
    <t>Ziraat Portföy Mutlak Getiri Hedefli Hisse Senedi Serbest Fon (Hisse Senedi Yoğun Fon)</t>
  </si>
  <si>
    <t>Ziraat Portföy</t>
  </si>
  <si>
    <t>MUT</t>
  </si>
  <si>
    <t>Garanti Portföy Mutlak Getiri Hedefli Hisse Senedi Serbest Fon (Hisse Senedi Yoğun Fon)</t>
  </si>
  <si>
    <t>Garanti Portföy</t>
  </si>
  <si>
    <t>FYF</t>
  </si>
  <si>
    <t>Strateji Portföy Mutlak Getiri Hedefli Hisse Senedi Serbest Fon(hisse Senedi Yoğun)</t>
  </si>
  <si>
    <t>MGH</t>
  </si>
  <si>
    <t>Teb Portföy Mutlak Getiri Hedefli Hisse Senedi Serbest Fon (Hisse Senedi Yoğun Fon)</t>
  </si>
  <si>
    <t>Teb Portföy</t>
  </si>
  <si>
    <t>HMG</t>
  </si>
  <si>
    <t>Hsbc Pyş Mutlak Getiri Hedefli Hisse Senedi Serbest (TL) Fon(hisse Senedi Yoğun Fon)</t>
  </si>
  <si>
    <t>Hsbc Portföy</t>
  </si>
  <si>
    <t>MTG</t>
  </si>
  <si>
    <t>Deniz Portföy Mutlak Getiri Hedefli Hisse Senedi Serbest Fon (Hisse Senedi Yogun Fon)</t>
  </si>
  <si>
    <t>BHI</t>
  </si>
  <si>
    <t>BV Portföy Mutlak Getiri Hedefli Hisse Senedi Serbest (TL) Fon (Hisse Senedi Yoğun Fon)</t>
  </si>
  <si>
    <t>PPM</t>
  </si>
  <si>
    <t>Piramit Portföy Mutlak Getiri Hedefli Hisse Senedi Serbest Fon (Hisse Senedi Yoğun Fon)</t>
  </si>
  <si>
    <t>Piramit Portföy</t>
  </si>
  <si>
    <t>YMH</t>
  </si>
  <si>
    <t>Yapı Kredi Portföy Mutlak Getiri Hedefli Hisse Senedi Serbest Fon (Hisse Senedi Yoğun Fon)</t>
  </si>
  <si>
    <t>Yapı Kredi Portföy</t>
  </si>
  <si>
    <t>HIM</t>
  </si>
  <si>
    <t>Hedef Portföy İkinci Mutlak Getiri Hedefli Hisse Senedi Serbest Fon (Hisse Senedi Yoğun Fon)</t>
  </si>
  <si>
    <t>Hedef Portföy</t>
  </si>
  <si>
    <t>HVN</t>
  </si>
  <si>
    <t>Hedef Portföy Mutlak Getiri Hedefli Hisse Senedi Serbest Fon (Hisse Senedi Yoğun Fon)</t>
  </si>
  <si>
    <t>HDK</t>
  </si>
  <si>
    <t>Hedef Portföy Vega İstatistiksel Arbitraj Hisse Senedi Serbest Fon (Hisse Senedi Yoğun Fon)</t>
  </si>
  <si>
    <t>HAT</t>
  </si>
  <si>
    <t>Hedef Portföy Atlas İstatistiksel Arbitraj Hisse Senedi Serbest Fon (Hisse Senedi Yoğun Fon)</t>
  </si>
  <si>
    <t>HIS</t>
  </si>
  <si>
    <t>Hedef Portföy İkinci İstatistiksel Arbitraj Hisse Senedi Serbest Fon (Hisse Senedi Yoğun Fon)</t>
  </si>
  <si>
    <t>IAU</t>
  </si>
  <si>
    <t>Pardus Portföy İkinci İstatistiksel Arbitraj Hisse Senedi Serbest (TL) Fon (Hisse Senedi Yoğun Fon)</t>
  </si>
  <si>
    <t>KIH</t>
  </si>
  <si>
    <t>Kare Portföy İstatistiksel Arbitraj Serbest Fon</t>
  </si>
  <si>
    <t>Kare Portföy</t>
  </si>
  <si>
    <t>HEH</t>
  </si>
  <si>
    <t>Hedef Portföy Algo Everest İstatistiksel Arbitraj Hisse Senedi Serbest Fon (Hisse Senedi Yoğun Fon)</t>
  </si>
  <si>
    <t>SPN</t>
  </si>
  <si>
    <t>Azimut Portföy İstatistiksel Arbitraj Hisse Senedi Serbest Fon (Hisse Senedi Yoğun Fon)</t>
  </si>
  <si>
    <t>Azimut Portföy</t>
  </si>
  <si>
    <t>LTC</t>
  </si>
  <si>
    <t>AK Portföy Birinci İstatistiksel Arbitraj Hisse Senedi Serbest Fon (Hisse Senedi Yoğun Fon)</t>
  </si>
  <si>
    <t>AK Portföy</t>
  </si>
  <si>
    <t>MTF</t>
  </si>
  <si>
    <t>MT Portföy Birinci İstatistiksel Arbitraj Hisse Senedi Serbest (TL) Fon (Hisse Senedi Yoğun Fon)</t>
  </si>
  <si>
    <t>MT Portföy</t>
  </si>
  <si>
    <t>NSH</t>
  </si>
  <si>
    <t>Nurol Portföy İstatistiksel Arbitraj Hisse Senedi Serbest Fon (Hisse Senedi Yoğun Fon)</t>
  </si>
  <si>
    <t>Nurol Portföy</t>
  </si>
  <si>
    <t>HDA</t>
  </si>
  <si>
    <t>Hedef Portföy Dördüncü İstatistiksel Arbitraj Hisse Senedi Serbest (TL) Fon (Hisse Senedi Yoğun Fon)</t>
  </si>
  <si>
    <t>FS5</t>
  </si>
  <si>
    <t>One Portföy Birinci İstatistiksel Arbitraj Hisse Senedi Serbest Fon (Hisse Senedi Yoğun Fon)</t>
  </si>
  <si>
    <t>One Portföy</t>
  </si>
  <si>
    <t>MGB</t>
  </si>
  <si>
    <t>İŞ Portföy Mutlak Getiri Hedefli Hisse Senedi Serbest Fon (Hisse Senedi Yoğun Fon)</t>
  </si>
  <si>
    <t>İŞ Portföy</t>
  </si>
  <si>
    <t>Para Piyasası Fonları</t>
  </si>
  <si>
    <t>PRY</t>
  </si>
  <si>
    <t>Pusula Portföy Para Piyasası (TL) Fonu</t>
  </si>
  <si>
    <t>Pusula Portföy</t>
  </si>
  <si>
    <t>MPL</t>
  </si>
  <si>
    <t>MT Portföy Para Piyasası (TL) Fonu</t>
  </si>
  <si>
    <t>IDL</t>
  </si>
  <si>
    <t>Aktif Portföy Para Piyasası (TL) Fonu</t>
  </si>
  <si>
    <t>Aktif Portföy</t>
  </si>
  <si>
    <t>GO6</t>
  </si>
  <si>
    <t>One Portföy Para Piyasası (TL) Fonu</t>
  </si>
  <si>
    <t>VK6</t>
  </si>
  <si>
    <t>V Portföy Vakıfbank Para Piyasası (TL) Fonu</t>
  </si>
  <si>
    <t>V Portföy</t>
  </si>
  <si>
    <t>PPT</t>
  </si>
  <si>
    <t>Atlas Portföy Para Piyasası (TL) Fonu</t>
  </si>
  <si>
    <t>Atlas Portföy</t>
  </si>
  <si>
    <t>EIL</t>
  </si>
  <si>
    <t>Astra Portföy Para Piyasası (TL) Fonu</t>
  </si>
  <si>
    <t>Astra Portföy</t>
  </si>
  <si>
    <t>PPN</t>
  </si>
  <si>
    <t>Nurol Portföy Para Piyasası (TL) Fonu</t>
  </si>
  <si>
    <t>IOO</t>
  </si>
  <si>
    <t>İŞ Portföy İkinci Para Piyasası (TL) Fonu</t>
  </si>
  <si>
    <t>BVF</t>
  </si>
  <si>
    <t>BV Portföy Para Piyasası (TL) Fon</t>
  </si>
  <si>
    <t>-</t>
  </si>
  <si>
    <t>RBP</t>
  </si>
  <si>
    <t>Re-pıe Portföy Birinci Para Piyasası (TL) Fonu</t>
  </si>
  <si>
    <t>Re-pıe Portföy</t>
  </si>
  <si>
    <t>GTL</t>
  </si>
  <si>
    <t>Garanti Portföy Birinci Para Piyasası (TL) Fonu</t>
  </si>
  <si>
    <t>IUZ</t>
  </si>
  <si>
    <t>İŞ Portföy Anadolubank Para Piyasası (TL) Fonu</t>
  </si>
  <si>
    <t>AC4</t>
  </si>
  <si>
    <t>Pardus Portföy Para Piyasası (TL) Fon</t>
  </si>
  <si>
    <t>YLB</t>
  </si>
  <si>
    <t>Yapı Kredi Portföy Para Piyasası Fonu</t>
  </si>
  <si>
    <t>ANL</t>
  </si>
  <si>
    <t>AK Portföy Alternatif Bank Para Piyasası (Tl)fonu</t>
  </si>
  <si>
    <t>YVD</t>
  </si>
  <si>
    <t>Yapı Kredi Portföy İkinci Para Piyasası (TL) Fonu</t>
  </si>
  <si>
    <t>PRD</t>
  </si>
  <si>
    <t>Piramit Portföy Para Piyasası (TL) Fonu</t>
  </si>
  <si>
    <t>DLY</t>
  </si>
  <si>
    <t>Deniz Portföy Para Piyasası (TL) Fonu</t>
  </si>
  <si>
    <t>HVT</t>
  </si>
  <si>
    <t>Allbatross Portföy Birinci Para Piyasası (TL) Fonu</t>
  </si>
  <si>
    <t>Allbatross Portföy</t>
  </si>
  <si>
    <t>KIE</t>
  </si>
  <si>
    <t>Trıve Portföy Para Piyasası (TL) Fonu</t>
  </si>
  <si>
    <t>Trıve Portföy</t>
  </si>
  <si>
    <t>BRG</t>
  </si>
  <si>
    <t>Teb Portföy Burgan Bank Para Piyasası (TL) Fonu</t>
  </si>
  <si>
    <t>PRH</t>
  </si>
  <si>
    <t>Aura Portföy Para Piyasası (TL) Fonu</t>
  </si>
  <si>
    <t>Aura Portföy</t>
  </si>
  <si>
    <t>DL2</t>
  </si>
  <si>
    <t>Deniz Portföy İkinci Para Piyasası (TL) Fonu</t>
  </si>
  <si>
    <t>OYL</t>
  </si>
  <si>
    <t>Oyak Portföy Birinci Para Piyasası (TL) Fonu</t>
  </si>
  <si>
    <t>IOP</t>
  </si>
  <si>
    <t>İŞ Portföy Odeabank Para Piyasası (TL) Fonu</t>
  </si>
  <si>
    <t>IGL</t>
  </si>
  <si>
    <t>Teb Portföy Ing Bank Para Piyasası (TL) Fonu</t>
  </si>
  <si>
    <t>ZBJ</t>
  </si>
  <si>
    <t>Ziraat Portföy Başak Para Piyasası (TL) Fonu</t>
  </si>
  <si>
    <t>PPZ</t>
  </si>
  <si>
    <t>Azimut Portföy Para Piyasası (TL) Fonu</t>
  </si>
  <si>
    <t>GAL</t>
  </si>
  <si>
    <t>Garanti Portföy İkinci Para Piyasası (TL) Fonu</t>
  </si>
  <si>
    <t>HLL</t>
  </si>
  <si>
    <t>Ziraat Portföy Halkbank Para Piyasası (TL) Fonu</t>
  </si>
  <si>
    <t>BGP</t>
  </si>
  <si>
    <t>AK Portföy Üçüncü Para Piyasası (TL) Fonu</t>
  </si>
  <si>
    <t>KPP</t>
  </si>
  <si>
    <t>Kare Portföy Para Piyasası Fonu</t>
  </si>
  <si>
    <t>HSL</t>
  </si>
  <si>
    <t>Hsbc Portföy Para Piyasası (TL) Fonu</t>
  </si>
  <si>
    <t>IJV</t>
  </si>
  <si>
    <t>İstanbul Portföy Birinci Para Piyasası (TL) Fonu</t>
  </si>
  <si>
    <t>IRY</t>
  </si>
  <si>
    <t>Inveo Portföy Para Piyasası (TL) Fonu</t>
  </si>
  <si>
    <t>NRG</t>
  </si>
  <si>
    <t>Neo Portföy Birinci Para Piyasası Fonu</t>
  </si>
  <si>
    <t>TI1</t>
  </si>
  <si>
    <t>İŞ Portföy Para Piyasası (TL) Fonu</t>
  </si>
  <si>
    <t>FI5</t>
  </si>
  <si>
    <t>Qnb Portföy Para Piyasası (TL) Fonu</t>
  </si>
  <si>
    <t>Qnb Portföy</t>
  </si>
  <si>
    <t>TCB</t>
  </si>
  <si>
    <t>Tacirler Portföy Para Piyasası Fonu</t>
  </si>
  <si>
    <t>TZL</t>
  </si>
  <si>
    <t>Ziraat Portföy Para Piyasası (TL) Fonu</t>
  </si>
  <si>
    <t>CFO</t>
  </si>
  <si>
    <t>Rota Portföy İkinci Para Piyasası Fonu</t>
  </si>
  <si>
    <t>Rota Portföy</t>
  </si>
  <si>
    <t>NVB</t>
  </si>
  <si>
    <t>Neo Portföy İkinci Para Piyasası (TL) Fon</t>
  </si>
  <si>
    <t>FSK</t>
  </si>
  <si>
    <t>Qnb Portföy İkinci Para Piyasası (TL) Fonu</t>
  </si>
  <si>
    <t>ALE</t>
  </si>
  <si>
    <t>AK Portföy Para Piyasası (TL) Fonu</t>
  </si>
  <si>
    <t>HIP</t>
  </si>
  <si>
    <t>Hsbc Portföy İkinci Para Piyasası (TL) Fonu</t>
  </si>
  <si>
    <t>UPP</t>
  </si>
  <si>
    <t>Ünlü Portföy Para Piyasası (TL) Fonu</t>
  </si>
  <si>
    <t>PPP</t>
  </si>
  <si>
    <t>Perform Portföy Para Piyasası (TL) Fonu</t>
  </si>
  <si>
    <t>Perform Portföy</t>
  </si>
  <si>
    <t>GPZ</t>
  </si>
  <si>
    <t>Garanti Portföy Üçüncü Para Piyasası Fonu</t>
  </si>
  <si>
    <t>ECB</t>
  </si>
  <si>
    <t>Global MD Portföy Para Piyasası (TL) Fonu</t>
  </si>
  <si>
    <t>Global MD Portföy</t>
  </si>
  <si>
    <t>RPP</t>
  </si>
  <si>
    <t>Rota Portföy Para Piyasası (TL) Fonu</t>
  </si>
  <si>
    <t>TKM</t>
  </si>
  <si>
    <t>Teb Portföy Para Piyasası (TL) Fonu</t>
  </si>
  <si>
    <t>SLF</t>
  </si>
  <si>
    <t>Rota Portföy Şekerbank Para Piyasası (TL) Fonu</t>
  </si>
  <si>
    <t>FIL</t>
  </si>
  <si>
    <t>Fiba Portföy Para Piyasası (TL) Fonu</t>
  </si>
  <si>
    <t>Fiba Portföy</t>
  </si>
  <si>
    <t>PJL</t>
  </si>
  <si>
    <t>Phillip Portföy Para Piyasası Fonu</t>
  </si>
  <si>
    <t>Phillip Portföy</t>
  </si>
  <si>
    <t>PPI</t>
  </si>
  <si>
    <t>Yapı Kredi Portföy Üçüncü Para Piyasası (TL) Fonu</t>
  </si>
  <si>
    <t>HYV</t>
  </si>
  <si>
    <t>Hedef Portföy Para Piyasası (TL) Fonu</t>
  </si>
  <si>
    <t>FFD</t>
  </si>
  <si>
    <t>Fiba Portföy Üçüncü Para Piyasası (TL) Fonu</t>
  </si>
  <si>
    <t>ICE</t>
  </si>
  <si>
    <t>Icbc Turkey Portföy Para Piyasası (TL) Fonu</t>
  </si>
  <si>
    <t>Icbc Turkey Portföy</t>
  </si>
  <si>
    <t>FPI</t>
  </si>
  <si>
    <t>Fonmap Portföy Birinci Para Piyasası (TL) Fonu</t>
  </si>
  <si>
    <t>Fonmap Portföy</t>
  </si>
  <si>
    <t>AAL</t>
  </si>
  <si>
    <t>Ata Portföy Para Piyasası (TL) Fonu</t>
  </si>
  <si>
    <t>Ata Portföy</t>
  </si>
  <si>
    <t>Hisse Fonları</t>
  </si>
  <si>
    <t>PHE</t>
  </si>
  <si>
    <t>Pusula Portföy Hisse Senedi Fonu (Hisse Senedi Yoğun Fon)</t>
  </si>
  <si>
    <t>NNF</t>
  </si>
  <si>
    <t>Hedef Portföy Birinci Hisse Senedi (TL) Fonu (Hisse Senedi Yoğun Fon)</t>
  </si>
  <si>
    <t>BIH</t>
  </si>
  <si>
    <t>Pardus Portföy Birinci Hisse Senedi (TL) Fonu (Hisse Senedi Yoğun Fon)</t>
  </si>
  <si>
    <t>GO9</t>
  </si>
  <si>
    <t>One Portföy Birinci Hisse Senedi Fonu (Hisse Senedi Yoğun Fon)</t>
  </si>
  <si>
    <t>MTH</t>
  </si>
  <si>
    <t>MT Portföy Birinci Hisse Senedi Fonu (Hisse Senedi Yoğun Fon)</t>
  </si>
  <si>
    <t>THD</t>
  </si>
  <si>
    <t>Trıve Portföy Birinci Hisse Senedi (TL) Fon (Hisse Senedi Yoğun Fon)</t>
  </si>
  <si>
    <t>NHY</t>
  </si>
  <si>
    <t>Neo Portföy Birinci Hisse Senedi (TL) Fonu (Hisse Senedi Yoğun Fon)</t>
  </si>
  <si>
    <t>TLH</t>
  </si>
  <si>
    <t>Aura Portföy Hisse Senedi Fonu (Hisse Senedi Yoğun Fon)</t>
  </si>
  <si>
    <t>ST1</t>
  </si>
  <si>
    <t>Strateji Portföy Birinci Hisse Senedi Fonu (Hisse Senedi Yoğun Fon)</t>
  </si>
  <si>
    <t>EC2</t>
  </si>
  <si>
    <t>Global MD Portföy Birinci Hisse Senedi Fonu(hisse Senedi Yoğun Fon)</t>
  </si>
  <si>
    <t>ICF</t>
  </si>
  <si>
    <t>Icbc Turkey Portföy Hisse Senedi Fonu(hisse Senedi Yoğun Fon)</t>
  </si>
  <si>
    <t>BHA</t>
  </si>
  <si>
    <t>Bulls Portföy Hisse Senedi (TL) Fonu (Hisse Senedi Yoğun Fon)</t>
  </si>
  <si>
    <t>Bulls Portföy</t>
  </si>
  <si>
    <t>HVZ</t>
  </si>
  <si>
    <t>Allbatross Portföy Birinci Hisse Senedi (TL) Fonu (Hisse Senedi Yoğun Fon)</t>
  </si>
  <si>
    <t>EID</t>
  </si>
  <si>
    <t>Astra Portföy Hisse Senedi Fonu (Hisse Yoğun Fon)</t>
  </si>
  <si>
    <t>RHI</t>
  </si>
  <si>
    <t>Re-pıe Portföy Birinci Hisse Senedi (TL) Fonu (Hisse Senedi Yoğun Fon)</t>
  </si>
  <si>
    <t>TZD</t>
  </si>
  <si>
    <t>Ziraat Portföy Hisse Senedi Fonu (Hisse Senedi Yoğun Fon)</t>
  </si>
  <si>
    <t>KYA</t>
  </si>
  <si>
    <t>Kare Portföy Hisse Senedi Fonu(hisse Senedi Yoğun Fon)</t>
  </si>
  <si>
    <t>HVS</t>
  </si>
  <si>
    <t>Hsbc Portföy Hisse Senedi (TL) Fonu (Hisse Senedi Yoğun Fon)</t>
  </si>
  <si>
    <t>AK3</t>
  </si>
  <si>
    <t>AK Portföy Hisse Senedi (TL) Fonu (Hisse Senedi Yoğun Fon)</t>
  </si>
  <si>
    <t>OPH</t>
  </si>
  <si>
    <t>Osmanlı Portföy Birinci Hisse Senedi Fonu(hisse Senedi Yoğun Fon)</t>
  </si>
  <si>
    <t>Osmanlı Portföy</t>
  </si>
  <si>
    <t>NPH</t>
  </si>
  <si>
    <t>Nurol Portföy Birinci Hisse Senedi Fonu (Hisse Senedi Yoğun Fon)</t>
  </si>
  <si>
    <t>DAH</t>
  </si>
  <si>
    <t>Deniz Portföy Hisse Senedi Fonu (Hisse Senedi Yoğun Fon)</t>
  </si>
  <si>
    <t>BV1</t>
  </si>
  <si>
    <t>BV Portföy Birinci Hisse Senedi (TL) Fon (Hisse Senedi Yoğun Fon)</t>
  </si>
  <si>
    <t>RHS</t>
  </si>
  <si>
    <t>Rota Portföy Hisse Senedi (TL) Fon (Hisse Senedi Yoğun Fon)</t>
  </si>
  <si>
    <t>OHB</t>
  </si>
  <si>
    <t>Oyak Portföy Birinci Hisse Senedi (TL) Fonu (Hisse Senedi Yoğun Fon)</t>
  </si>
  <si>
    <t>TI2</t>
  </si>
  <si>
    <t>İŞ Portföy Hisse Senedi (TL) Fonu (Hisse Senedi Yoğun Fon)</t>
  </si>
  <si>
    <t>FPH</t>
  </si>
  <si>
    <t>Fiba Portföy Hisse Senedi (TL) Fonu (Hisse Senedi Yoğun Fon)</t>
  </si>
  <si>
    <t>YHS</t>
  </si>
  <si>
    <t>Yapı Kredi Portföy Birinci Hisse Senedi Fonu (Hisse Senedi Yoğun Fon)</t>
  </si>
  <si>
    <t>ASJ</t>
  </si>
  <si>
    <t>Aktif Portföy Hisse Senedi (TL) Fonu (Hisse Senedi Yoğun Fon)</t>
  </si>
  <si>
    <t>PHI</t>
  </si>
  <si>
    <t>Piramit Portföy Hisse Senedi Fonu (Hisse Senedi Yoğun Fon)</t>
  </si>
  <si>
    <t>UPH</t>
  </si>
  <si>
    <t>Ünlü Portföy Hisse Senedi (TL) Fonu(hisse Senedi Yoğun Fon)</t>
  </si>
  <si>
    <t>FYD</t>
  </si>
  <si>
    <t>Qnb Portföy Birinci Hisse Senedi Fonu (Hisse Senedi Yoğun Fon)</t>
  </si>
  <si>
    <t>AHI</t>
  </si>
  <si>
    <t>Atlas Portföy Birinci Hisse Senedi Fonu(hisse Senedi Yoğun)</t>
  </si>
  <si>
    <t>MAC</t>
  </si>
  <si>
    <t>Marmara Capıtal Portföy Hisse Senedi (TL) Fonu (Hisse Senedi Yoğun Fon)</t>
  </si>
  <si>
    <t>Marmara Capital Portföy</t>
  </si>
  <si>
    <t>TYH</t>
  </si>
  <si>
    <t>Teb Portföy Hisse Senedi Fonu (Hisse Senedi Yoğun Fon)</t>
  </si>
  <si>
    <t>THF</t>
  </si>
  <si>
    <t>Tera Portföy Hisse Senedi (TL) Fonu (Hisse Senedi Yoğun Fon)</t>
  </si>
  <si>
    <t>Tera Portföy</t>
  </si>
  <si>
    <t>GAF</t>
  </si>
  <si>
    <t>Inveo Portföy Birinci Hisse Senedi Fonu (Hisse Senedi Yoğun Fon)</t>
  </si>
  <si>
    <t>GL1</t>
  </si>
  <si>
    <t>Azimut Pyş Birinci Hisse Senedi Fonu (Hisse Senedi Yoğun Fon)</t>
  </si>
  <si>
    <t>TKF</t>
  </si>
  <si>
    <t>Tacirler Portföy Hisse Senedi Fonu (Hisse Senedi Yoğun Fon)</t>
  </si>
  <si>
    <t>GHS</t>
  </si>
  <si>
    <t>Garanti Portföy Hisse Senedi (TL) Fonu (Hisse Senedi Yoğun Fon)</t>
  </si>
  <si>
    <t>PPB</t>
  </si>
  <si>
    <t>Phillip Portföy Birinci Hisse Senedi Fonu (Hisse Senedi Yoğun Fon)</t>
  </si>
  <si>
    <t>Dengeli Değişken Fonları</t>
  </si>
  <si>
    <t>Ay Başından Bu güne</t>
  </si>
  <si>
    <t>ADE</t>
  </si>
  <si>
    <t>AK Portföy Mutlak Getiri Hedefli Değişken Fon</t>
  </si>
  <si>
    <t>DID</t>
  </si>
  <si>
    <t>Deniz Portföy İkinci Değişken Fon</t>
  </si>
  <si>
    <t>EIB</t>
  </si>
  <si>
    <t>Astra Portföy Değişken Fon</t>
  </si>
  <si>
    <t>AGC</t>
  </si>
  <si>
    <t>AK Portföy İkinci Değişken Fon</t>
  </si>
  <si>
    <t>TE4</t>
  </si>
  <si>
    <t>Teb Portföy Birinci Değişken Fon</t>
  </si>
  <si>
    <t>TI4</t>
  </si>
  <si>
    <t>İŞ Portföy Temkinli Değişken Fon</t>
  </si>
  <si>
    <t>HPO</t>
  </si>
  <si>
    <t>Hsbc Portföy Çoklu Varlık Birinci Değişken Fon</t>
  </si>
  <si>
    <t>BVD</t>
  </si>
  <si>
    <t>BV Portföy Birinci Değişken Fon</t>
  </si>
  <si>
    <t>MBL</t>
  </si>
  <si>
    <t>Meksa Portföy İkinci Değişken Fon</t>
  </si>
  <si>
    <t>RD1</t>
  </si>
  <si>
    <t>Rota Portföy Birinci Değişken Fon</t>
  </si>
  <si>
    <t>SUA</t>
  </si>
  <si>
    <t>Ünlü Portföy Birinci Değişken Fon</t>
  </si>
  <si>
    <t>RPD</t>
  </si>
  <si>
    <t>Re-pıe Portföy Birinci Değişken Fon</t>
  </si>
  <si>
    <t>PID</t>
  </si>
  <si>
    <t>Piramit Portföy Değişken Fon</t>
  </si>
  <si>
    <t>ICD</t>
  </si>
  <si>
    <t>Icbc Turkey Portföy Birinci Değişken Fon</t>
  </si>
  <si>
    <t>GPB</t>
  </si>
  <si>
    <t>Garanti Portföy Birinci Değişken Fon</t>
  </si>
  <si>
    <t>RKC</t>
  </si>
  <si>
    <t>Rota Portföy İkinci Değişken Fon</t>
  </si>
  <si>
    <t>ZDD</t>
  </si>
  <si>
    <t>Ziraat Portföy Temkinli Değişken Fon</t>
  </si>
  <si>
    <t>GAH</t>
  </si>
  <si>
    <t>Garanti Portföy Mutlak Getiri Hedefli Değişken Fon</t>
  </si>
  <si>
    <t>GPI</t>
  </si>
  <si>
    <t>Garanti Portföy İkinci Değişken Fon</t>
  </si>
  <si>
    <t>FNO</t>
  </si>
  <si>
    <t>Qnb Portföy Birinci Değişken Fon</t>
  </si>
  <si>
    <t>DGF</t>
  </si>
  <si>
    <t>A1 Capital Portföy Değişken Fon</t>
  </si>
  <si>
    <t>A1 Capital Portföy</t>
  </si>
  <si>
    <t>RIK</t>
  </si>
  <si>
    <t>Re-pıe Portföy İkinci Değişken Fon</t>
  </si>
  <si>
    <t>OPL</t>
  </si>
  <si>
    <t>Osmanlı Portföy İkinci Değişken Fon</t>
  </si>
  <si>
    <t>HVU</t>
  </si>
  <si>
    <t>Allbatross Portföy Birinci Değişken Fon</t>
  </si>
  <si>
    <t>IYB</t>
  </si>
  <si>
    <t>Aura Portföy Değişken Fonu</t>
  </si>
  <si>
    <t>NKP</t>
  </si>
  <si>
    <t>Neo Portföy Kar Payı Ödeyen Değişken Fon</t>
  </si>
  <si>
    <t>TE3</t>
  </si>
  <si>
    <t>Teb Portföy Mutlak Getiri Hedefli Değişken Fon</t>
  </si>
  <si>
    <t>PGD</t>
  </si>
  <si>
    <t>Astra Portföy Agresif Değişken Fon</t>
  </si>
  <si>
    <t>Altın Fonları</t>
  </si>
  <si>
    <t>NJF</t>
  </si>
  <si>
    <t>Nurol Portföy Altın Katılım Fonu</t>
  </si>
  <si>
    <t>AU1</t>
  </si>
  <si>
    <t>A1 Capital Portföy Altın Fonu</t>
  </si>
  <si>
    <t>NAU</t>
  </si>
  <si>
    <t>Neo Portföy Altın Fonu</t>
  </si>
  <si>
    <t>HAI</t>
  </si>
  <si>
    <t>Ahlatcı Portföy Altın Fonu</t>
  </si>
  <si>
    <t>Ahlatcı Portföy</t>
  </si>
  <si>
    <t>NAK</t>
  </si>
  <si>
    <t>Neo Portföy Altın Katılım Fonu</t>
  </si>
  <si>
    <t>TRO</t>
  </si>
  <si>
    <t>Trıve Portföy Altın Fonu</t>
  </si>
  <si>
    <t>KCR</t>
  </si>
  <si>
    <t>AK Portföy Külçe Altın Katılım Fonu</t>
  </si>
  <si>
    <t>PKF</t>
  </si>
  <si>
    <t>Ata Portföy Altın Katılım Fonu</t>
  </si>
  <si>
    <t>PEA</t>
  </si>
  <si>
    <t>Perform Portföy Altın Fonu</t>
  </si>
  <si>
    <t>PAF</t>
  </si>
  <si>
    <t>Pardus Portföy Altın Fonu</t>
  </si>
  <si>
    <t>GGK</t>
  </si>
  <si>
    <t>Inveo Portföy Altın Fon</t>
  </si>
  <si>
    <t>KZU</t>
  </si>
  <si>
    <t>Kuveyt Türk Portföy İkinci Altın Katılım Fonu</t>
  </si>
  <si>
    <t>Kuveyt Türk Portföy</t>
  </si>
  <si>
    <t>LKF</t>
  </si>
  <si>
    <t>İŞ Portföy Altın Katılım Fonu</t>
  </si>
  <si>
    <t>GOL</t>
  </si>
  <si>
    <t>Garanti Portföy Altın Katılım Fonu</t>
  </si>
  <si>
    <t>VLT</t>
  </si>
  <si>
    <t>Vakıf Katılım Portföy Altın Katılım Fonu</t>
  </si>
  <si>
    <t>Vakıf Katılım Portföy</t>
  </si>
  <si>
    <t>ICA</t>
  </si>
  <si>
    <t>Icbc Turkey Portföy Altın Fonu</t>
  </si>
  <si>
    <t>KAN</t>
  </si>
  <si>
    <t>Kuveyt Türk Portföy Altın Katılım Serbest Fon</t>
  </si>
  <si>
    <t>UP1</t>
  </si>
  <si>
    <t>Ünlü Portföy Altın Fonu</t>
  </si>
  <si>
    <t>YKT</t>
  </si>
  <si>
    <t>Yapı Kredi Portföy Altın Fonu</t>
  </si>
  <si>
    <t>KZL</t>
  </si>
  <si>
    <t>Kuveyt Türk Portföy Altın Katılım Fonu</t>
  </si>
  <si>
    <t>TTA</t>
  </si>
  <si>
    <t>İŞ Portföy Altın Fonu</t>
  </si>
  <si>
    <t>RJG</t>
  </si>
  <si>
    <t>Re-pıe Portföy Altın Katılım Fonu</t>
  </si>
  <si>
    <t>KMF</t>
  </si>
  <si>
    <t>Azimut Portföy Altın Katılım Fonu</t>
  </si>
  <si>
    <t>OJK</t>
  </si>
  <si>
    <t>Qnb Portföy Altın Fonu</t>
  </si>
  <si>
    <t>AFO</t>
  </si>
  <si>
    <t>AK Portföy Altın Fonu</t>
  </si>
  <si>
    <t>DBA</t>
  </si>
  <si>
    <t>Deniz Portföy Altın Fonu</t>
  </si>
  <si>
    <t>BLT</t>
  </si>
  <si>
    <t>Bulls Portföy Altın Fonu</t>
  </si>
  <si>
    <t>IAY</t>
  </si>
  <si>
    <t>Inveo Portföy Altın Katılım Fonu</t>
  </si>
  <si>
    <t>OGD</t>
  </si>
  <si>
    <t>Oyak Portföy Altın Katılım Fonu</t>
  </si>
  <si>
    <t>PIR</t>
  </si>
  <si>
    <t>Piramit Portföy Altın Fonu</t>
  </si>
  <si>
    <t>GTA</t>
  </si>
  <si>
    <t>Garanti Portföy Altın Fonu</t>
  </si>
  <si>
    <t>VFO</t>
  </si>
  <si>
    <t>V Portföy Altın Katılım Fonu</t>
  </si>
  <si>
    <t>TUA</t>
  </si>
  <si>
    <t>Teb Portföy Altın Fonu</t>
  </si>
  <si>
    <t>HBF</t>
  </si>
  <si>
    <t>Hsbc Portföy Altın Fonu</t>
  </si>
  <si>
    <t>BAI</t>
  </si>
  <si>
    <t>BV Portföy Altın Katılım Fonu</t>
  </si>
  <si>
    <t>HAM</t>
  </si>
  <si>
    <t>Hedef Portföy Altın Katılım Fonu</t>
  </si>
  <si>
    <t>PA2</t>
  </si>
  <si>
    <t>Pusula Portföy Altın Katılım Fonu</t>
  </si>
  <si>
    <t>RBA</t>
  </si>
  <si>
    <t>Albaraka Portföy Bereket Vakfı NA Destek Altın Katılım Fonu</t>
  </si>
  <si>
    <t>Albaraka Portföy</t>
  </si>
  <si>
    <t>FIB</t>
  </si>
  <si>
    <t>Fiba Portföy Altın Fonu</t>
  </si>
  <si>
    <t>PTN</t>
  </si>
  <si>
    <t>Phillip Portföy Altın Fonu</t>
  </si>
  <si>
    <t>MKG</t>
  </si>
  <si>
    <t>Aktif Portföy Altın Katılım Fonu</t>
  </si>
  <si>
    <t>TAL</t>
  </si>
  <si>
    <t>Atlas Portföy Altın Katılım Fonu</t>
  </si>
  <si>
    <t>TCA</t>
  </si>
  <si>
    <t>Ziraat Portföy Altın Katılım Fonu</t>
  </si>
  <si>
    <t>OIL</t>
  </si>
  <si>
    <t>Osmanlı Portföy Altın Fon Sepeti Fonu</t>
  </si>
  <si>
    <t>FAL</t>
  </si>
  <si>
    <t>One Portföy Altın Fonu</t>
  </si>
  <si>
    <t>RPG</t>
  </si>
  <si>
    <t>Rota Portföy Altın Fonu</t>
  </si>
  <si>
    <t>FAK</t>
  </si>
  <si>
    <t>Fonmap Portföy Altın Katılım Fonu</t>
  </si>
  <si>
    <t>RUT Fonları</t>
  </si>
  <si>
    <t>Yabancı Hisse Oranı</t>
  </si>
  <si>
    <t>Yabancı Borsa Yatırım Fonları</t>
  </si>
  <si>
    <t>KIB</t>
  </si>
  <si>
    <t>Trıve Portföy Robotik Teknolojileri Değişken Fon</t>
  </si>
  <si>
    <t>DTZ</t>
  </si>
  <si>
    <t>AK Portföy Robotik Teknolojiler Değişken Fon</t>
  </si>
  <si>
    <t>GPT</t>
  </si>
  <si>
    <t>Aktif Portföy Robotik Teknolojileri Değişken Fon</t>
  </si>
  <si>
    <t>JET</t>
  </si>
  <si>
    <t>Ata Portföy Havacılık VE Savunma Teknolojileri Değişken Fon</t>
  </si>
  <si>
    <t>YJK</t>
  </si>
  <si>
    <t>Yapı Kredi Portföy Robotik VE Yarı İletken Teknolojileri Fon Sepeti Fonu</t>
  </si>
  <si>
    <t>RTG</t>
  </si>
  <si>
    <t>Ata Portföy Robotik Teknolojileri Değişken Fon</t>
  </si>
  <si>
    <t>IRO</t>
  </si>
  <si>
    <t>İstanbul Portföy Robotik Teknolojileri Serbest Fon</t>
  </si>
  <si>
    <t>RUT</t>
  </si>
  <si>
    <t>BV Portföy Robotik VE Uzay Teknolojileri Değişken Fon</t>
  </si>
  <si>
    <t>RBL</t>
  </si>
  <si>
    <t>Qnb Portföy Robotik VE Blockchain Teknolojileri Serbest Fon</t>
  </si>
  <si>
    <t>Oyun Fonları</t>
  </si>
  <si>
    <t>IJB</t>
  </si>
  <si>
    <t>İŞ Portföy Dijital Oyun Sektörü Karma Fon</t>
  </si>
  <si>
    <t>BTE</t>
  </si>
  <si>
    <t>BV Portföy Oyun VE Teknoloji Değişken Fon</t>
  </si>
  <si>
    <t>Teknoloji Fonları</t>
  </si>
  <si>
    <t>HTJ</t>
  </si>
  <si>
    <t>Hedef Portföy Teknoloji Değişken Fon</t>
  </si>
  <si>
    <t>KTJ</t>
  </si>
  <si>
    <t>Kuveyt Türk Portföy Teknoloji Katılım Fonu</t>
  </si>
  <si>
    <t>FBZ</t>
  </si>
  <si>
    <t>Fiba Portföy Teknoloji Serbest Fon</t>
  </si>
  <si>
    <t>TFF</t>
  </si>
  <si>
    <t>Teb Portföy Amerika Teknoloji Yabancı Byf Fon Sepeti Fonu</t>
  </si>
  <si>
    <t>ITP</t>
  </si>
  <si>
    <t>İŞ Portföy Teknoloji Karma Fon</t>
  </si>
  <si>
    <t>CPU</t>
  </si>
  <si>
    <t>Aktif Portföy Teknoloji Katılım Fonu</t>
  </si>
  <si>
    <t>OJT</t>
  </si>
  <si>
    <t>Qnb Portföy Teknoloji Fon Sepeti Fonu</t>
  </si>
  <si>
    <t>HOA</t>
  </si>
  <si>
    <t>Hsbc Portföy Teknoloji Değişken Fon</t>
  </si>
  <si>
    <t>RTD</t>
  </si>
  <si>
    <t>Re-pıe Portföy Teknoloji Değişken Fon</t>
  </si>
  <si>
    <t>AFT</t>
  </si>
  <si>
    <t>AK Portföy Yeni Teknolojiler Yabancı Hisse Senedi Fonu</t>
  </si>
  <si>
    <t>IRT</t>
  </si>
  <si>
    <t>Inveo Portföy Teknoloji Değişken Fon</t>
  </si>
  <si>
    <t>MTD</t>
  </si>
  <si>
    <t>BV Portföy Malzeme Teknolojileri Değişken Fon</t>
  </si>
  <si>
    <t>TEJ</t>
  </si>
  <si>
    <t>Azimut Portföy Teknoloji Fon Sepeti Fonu</t>
  </si>
  <si>
    <t>BVV</t>
  </si>
  <si>
    <t>BV Portföy Teknoloji Değişken Fon</t>
  </si>
  <si>
    <t>NTI</t>
  </si>
  <si>
    <t>Neo Portföy Teknoloji VE İnovasyon Değişken Fon</t>
  </si>
  <si>
    <t>GUH</t>
  </si>
  <si>
    <t>Garanti Portföy Yabancı Teknoloji Hisse Senedi Fonu</t>
  </si>
  <si>
    <t>YAY</t>
  </si>
  <si>
    <t>Yapı Kredi Portföy Yabancı Teknoloji Sektörü Hisse Senedi Fonu</t>
  </si>
  <si>
    <t>BTK</t>
  </si>
  <si>
    <t>BV Portföy Teknoloji Katılım Fonu</t>
  </si>
  <si>
    <t>Tüm Teknoloji Fonları</t>
  </si>
  <si>
    <t>SPR</t>
  </si>
  <si>
    <t>BV Portföy Spor Endüstrisi Değişken Fon</t>
  </si>
  <si>
    <t>TAR</t>
  </si>
  <si>
    <t>AK Portföy Tarım VE Gıda Teknolojileri Değişken Fon</t>
  </si>
  <si>
    <t>ZMY</t>
  </si>
  <si>
    <t>Ziraat Portföy Metaverse VE Yeni Teknolojiler Değişken Fon</t>
  </si>
  <si>
    <t>YHZ</t>
  </si>
  <si>
    <t>Yapı Kredi Portföy Bıst Teknoloji Ağırlık Sınırlamalı Endeksi Hisse Senedi Fonu ( Hisse Senedi Yoğun Fon)</t>
  </si>
  <si>
    <t>MTV</t>
  </si>
  <si>
    <t>AK Portföy Metaverse VE Dijital Yaşam Teknolojileri Değişken Fon</t>
  </si>
  <si>
    <t>GRT</t>
  </si>
  <si>
    <t>Garanti Portföy Teknoloji Şirketleri Hisse Senedi (TL) Fonu (Hisse Senedi Yoğun Fon)</t>
  </si>
  <si>
    <t>TTE</t>
  </si>
  <si>
    <t>İŞ Portföy Bıst Teknoloji Ağırlık Sınırlamalı Endeksi Hisse Senedi (TL) Fonu (Hisse Senedi Yoğun Fon)</t>
  </si>
  <si>
    <t>ICZ</t>
  </si>
  <si>
    <t>AK Portföy Teknoloji Şirketleri Hisse Senedi (TL) Fonu (Hisse Senedi Yoğun Fon)</t>
  </si>
  <si>
    <t>RPM</t>
  </si>
  <si>
    <t>Rota Portföy İlaç VE Medikal Teknolojileri Değişken Fon</t>
  </si>
  <si>
    <t>DVT</t>
  </si>
  <si>
    <t>Deniz Portföy Metaverse VE Dijital Yaşam Teknolojileri Değişken Fon</t>
  </si>
  <si>
    <t>VCY</t>
  </si>
  <si>
    <t>AK Portföy Elektrikli VE Otonom Araç Teknolojileri Değişken Fon</t>
  </si>
  <si>
    <t>FJB</t>
  </si>
  <si>
    <t>Fiba Portföy Blok Zinciri Teknolojileri Serbest Fon</t>
  </si>
  <si>
    <t>MET</t>
  </si>
  <si>
    <t>Garanti Portföy Metaverse VE Yeni Teknolojiler Değişken Fon</t>
  </si>
  <si>
    <t>DYN</t>
  </si>
  <si>
    <t>Deniz Portföy Elektrikli VE Otonom Araç Teknolojileri Değişken Fon</t>
  </si>
  <si>
    <t>IUH</t>
  </si>
  <si>
    <t>Inveo Portföy Dönüştürücü Teknolojiler Fon Sepeti Fonu</t>
  </si>
  <si>
    <t>ZFB</t>
  </si>
  <si>
    <t>AK Portföy Fintek VE Blokzinciri Teknolojileri Değişken Fon</t>
  </si>
  <si>
    <t>MTX</t>
  </si>
  <si>
    <t>Teb Portföy Üçüncü Değişken Fon</t>
  </si>
  <si>
    <t>YZC</t>
  </si>
  <si>
    <t>Yapı Kredi Portföy Fintech VE Blockchain Teknolojileri Değişken Fon</t>
  </si>
  <si>
    <t>DHJ</t>
  </si>
  <si>
    <t>Deniz Portföy Teknoloji Şirketleri Hisse Senedi Fonu (Hisse Senedi Yoğun Fon)</t>
  </si>
  <si>
    <t>BCK</t>
  </si>
  <si>
    <t>Deniz Portföy Blockchain VE Fıntech Teknolojileri Değişken Fon</t>
  </si>
  <si>
    <t>IJP</t>
  </si>
  <si>
    <t>İŞ Portföy Blockchain Teknolojileri Karma Fon</t>
  </si>
  <si>
    <t>FLY</t>
  </si>
  <si>
    <t>Aktif Portföy Havacılık VE Savunma Teknolojileri Değişken Fon</t>
  </si>
  <si>
    <t>PIL</t>
  </si>
  <si>
    <t>Rota Portföy Pil Teknolojileri VE Enerji Fon Sepeti Fonu</t>
  </si>
  <si>
    <t>CPT</t>
  </si>
  <si>
    <t>Rota Portföy Çip Teknolojileri Değişken Fon</t>
  </si>
  <si>
    <t>YIT</t>
  </si>
  <si>
    <t>Garanti Portföy Yarı İletken Teknolojileri Değişken Fon</t>
  </si>
  <si>
    <t>GBV</t>
  </si>
  <si>
    <t>Garanti Portföy Blockchain Teknolojileri Değişken Fon</t>
  </si>
  <si>
    <t>IVY</t>
  </si>
  <si>
    <t>İstanbul Portföy Blockchaın Teknolojileri Değişken Fon</t>
  </si>
  <si>
    <t>SGT</t>
  </si>
  <si>
    <t>Garanti Portföy Siber Güvenlik Teknolojileri Değişken Fon</t>
  </si>
  <si>
    <t>IJZ</t>
  </si>
  <si>
    <t>İŞ Portföy Siber Güvenlik Teknolojileri Değişken Fon</t>
  </si>
  <si>
    <t>IJC</t>
  </si>
  <si>
    <t>İŞ Portföy Yarı İletken Teknolojileri Değişken Fon</t>
  </si>
  <si>
    <t>Döviz Fonları</t>
  </si>
  <si>
    <t>Yıllıklandırılmış Günlük%</t>
  </si>
  <si>
    <t>Yıllıklandırılmış Haftalık</t>
  </si>
  <si>
    <t>Yıllıklandırılmış Aylık</t>
  </si>
  <si>
    <t>Yıllıklandırılmış Ay Başına Göre</t>
  </si>
  <si>
    <t>Yıllıklandırılmış Yılbaşına Göre</t>
  </si>
  <si>
    <t>Yıllıklandırılmış Yıllık</t>
  </si>
  <si>
    <t>NBZ</t>
  </si>
  <si>
    <t>Neo Portföy Birinci Serbest (Döviz) Fon</t>
  </si>
  <si>
    <t>NCS</t>
  </si>
  <si>
    <t>Nurol Portföy Üçüncü Serbest (Döviz) Fon</t>
  </si>
  <si>
    <t>PAL</t>
  </si>
  <si>
    <t>AK Portföy Altıncı Serbest(döviz) Fon</t>
  </si>
  <si>
    <t>FBI</t>
  </si>
  <si>
    <t>Fiba Portföy Birinci Serbest (Döviz) Fon</t>
  </si>
  <si>
    <t>GAG</t>
  </si>
  <si>
    <t>Inveo Portföy Birinci Serbest (Dövız) Fon</t>
  </si>
  <si>
    <t>DOL</t>
  </si>
  <si>
    <t>Aktif Portföy Üçüncü Aktif Serbest (Döviz) Fon</t>
  </si>
  <si>
    <t>YP4</t>
  </si>
  <si>
    <t>Yapı Kredi Portföy Feriköy Serbest (Döviz) Fon</t>
  </si>
  <si>
    <t>GPL</t>
  </si>
  <si>
    <t>Garanti Portföy Birinci Serbest (Döviz) Fon</t>
  </si>
  <si>
    <t>DAS</t>
  </si>
  <si>
    <t>Deniz Portföy Onikinci Serbest (Döviz) Fon</t>
  </si>
  <si>
    <t>OJB</t>
  </si>
  <si>
    <t>Qnb Portföy Beşinci Serbest (Döviz) Fon</t>
  </si>
  <si>
    <t>GRO</t>
  </si>
  <si>
    <t>Garanti Portföy Otuzuncu Serbest (Döviz) Fon</t>
  </si>
  <si>
    <t>KDS</t>
  </si>
  <si>
    <t>Kuveyt Türk Portföy Yedinci Katılım Serbest (Döviz) Fon</t>
  </si>
  <si>
    <t>FPZ</t>
  </si>
  <si>
    <t>Qnb Portföy Birinci Serbest (Döviz) Fon</t>
  </si>
  <si>
    <t>ONS</t>
  </si>
  <si>
    <t>İŞ Portföy Onikinci Serbest (Döviz) Fon</t>
  </si>
  <si>
    <t>HME</t>
  </si>
  <si>
    <t>Hsbc Portföy Dördüncü Serbest (Döviz) Fon</t>
  </si>
  <si>
    <t>OBR</t>
  </si>
  <si>
    <t>AK Portföy Onbirinci Serbest (Döviz) Fon</t>
  </si>
  <si>
    <t>AL5</t>
  </si>
  <si>
    <t>Albaraka Portföy Katılım Serbest (Döviz) Fon</t>
  </si>
  <si>
    <t>HP3</t>
  </si>
  <si>
    <t>Hedef Portföy Lidya Serbest (Döviz) Fon</t>
  </si>
  <si>
    <t>KDL</t>
  </si>
  <si>
    <t>Kuveyt Türk Portföy Beşinci Katılım Serbest (Döviz) Fon</t>
  </si>
  <si>
    <t>ROD</t>
  </si>
  <si>
    <t>Rota Portföy Odeabank Birinci Serbest (Döviz) Özel Fon</t>
  </si>
  <si>
    <t>TB9</t>
  </si>
  <si>
    <t>Teb Portföy Dokuzuncu Serbest (Döviz) Fon</t>
  </si>
  <si>
    <t>OFK</t>
  </si>
  <si>
    <t>Oyak Portföy Türkiye Finans Katılım Serbest (Döviz-abd Doları) Fon</t>
  </si>
  <si>
    <t>YDZ</t>
  </si>
  <si>
    <t>Yapı Kredi Portföy Odeabank Dördüncü Serbest (Döviz) Özel Fon</t>
  </si>
  <si>
    <t>YPL</t>
  </si>
  <si>
    <t>Yapı Kredi Portföy Balat Serbest (Döviz) Fon</t>
  </si>
  <si>
    <t>BSD</t>
  </si>
  <si>
    <t>BV Portföy Serbest (Döviz) Fon</t>
  </si>
  <si>
    <t>TRU</t>
  </si>
  <si>
    <t>Tera Portföy Katılım Serbest (Döviz) Fon</t>
  </si>
  <si>
    <t>BIS</t>
  </si>
  <si>
    <t>BV Portföy Birinci Serbest Fon</t>
  </si>
  <si>
    <t>Arbitraj</t>
  </si>
  <si>
    <t>Mutlak Getiri</t>
  </si>
  <si>
    <t>Döviz</t>
  </si>
  <si>
    <t>Hisse</t>
  </si>
  <si>
    <t>Para Piyasası</t>
  </si>
  <si>
    <t>Dengeli Değişken</t>
  </si>
  <si>
    <t>Teknoloji</t>
  </si>
  <si>
    <t>Oyun</t>
  </si>
  <si>
    <t>Tüm Teknoloji</t>
  </si>
  <si>
    <t>Altın</t>
  </si>
  <si>
    <t>Fon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</si>
</sst>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.mm\.yyyy"/>
    <numFmt numFmtId="166" formatCode="#,##0.0000"/>
    <numFmt numFmtId="167" formatCode="dd\.mm"/>
  </numFmts>
  <fonts count="4" x14ac:knownFonts="1">
    <font>
      <sz val="11"/>
      <color theme="1"/>
      <name val="Calibri"/>
      <family val="2"/>
      <scheme val="minor"/>
    </font>
    <font>
      <i/>
      <sz val="11"/>
      <color rgb="FF80808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65" fontId="1" fillId="0" borderId="0" xfId="0" applyNumberFormat="1" applyFont="1"/>
    <xf numFmtId="0" fontId="2" fillId="0" borderId="0" xfId="0" applyFont="1" applyAlignment="1">
      <alignment horizontal="right" vertical="center"/>
    </xf>
    <xf numFmtId="10" fontId="0" fillId="0" borderId="1" xfId="0" applyNumberFormat="1" applyBorder="1"/>
    <xf numFmtId="166" fontId="0" fillId="0" borderId="1" xfId="0" applyNumberFormat="1" applyBorder="1"/>
    <xf numFmtId="3" fontId="0" fillId="0" borderId="1" xfId="0" applyNumberFormat="1" applyBorder="1"/>
    <xf numFmtId="4" fontId="0" fillId="0" borderId="1" xfId="0" applyNumberFormat="1" applyBorder="1"/>
    <xf numFmtId="167" fontId="2" fillId="0" borderId="0" xfId="0" applyNumberFormat="1" applyFont="1"/>
    <xf numFmtId="166" fontId="0" fillId="0" borderId="0" xfId="0" applyNumberFormat="1"/>
    <xf numFmtId="0" fontId="0" fillId="4" borderId="0" xfId="0" applyFill="1"/>
    <xf numFmtId="166" fontId="0" fillId="4" borderId="0" xfId="0" applyNumberFormat="1" applyFill="1"/>
  </cellXfs>
  <cellStyles count="1">
    <cellStyle name="Normal" xfId="0" builtinId="0"/>
  </cellStyles>
  <dxfs count="11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13" customWidth="1"/>
    <col min="4" max="4" width="11" customWidth="1"/>
    <col min="5" max="5" width="14" customWidth="1"/>
    <col min="6" max="7" width="11" customWidth="1"/>
    <col min="8" max="8" width="18" customWidth="1"/>
  </cols>
  <sheetData>
    <row r="1" spans="1:8" ht="22" customHeight="1" x14ac:dyDescent="0.2">
      <c r="A1" s="1" t="s">
        <v>0</v>
      </c>
      <c r="B1" s="2" t="s">
        <v>4</v>
      </c>
      <c r="C1" s="3" t="s">
        <v>2</v>
      </c>
    </row>
    <row r="3" spans="1:8" ht="16" x14ac:dyDescent="0.2">
      <c r="A3" s="4" t="s">
        <v>3</v>
      </c>
      <c r="B3" s="4" t="s">
        <v>1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x14ac:dyDescent="0.2">
      <c r="A4" s="5" t="str">
        <f>INDEX(VeriTakip!A$2:A$15,MATCH(SMALL(VeriTakip!$J$2:$J$15,ROW()-3),VeriTakip!$J$2:$J$15,0))</f>
        <v>BIS</v>
      </c>
      <c r="B4" s="5">
        <f>INDEX(VeriTakip!B$2:B$15,MATCH(SMALL(VeriTakip!$J$2:$J$15,ROW()-3),VeriTakip!$J$2:$J$15,0))</f>
        <v>27</v>
      </c>
      <c r="C4" s="5">
        <f>INDEX(VeriTakip!C$2:C$15,MATCH(SMALL(VeriTakip!$J$2:$J$15,ROW()-3),VeriTakip!$J$2:$J$15,0))</f>
        <v>1</v>
      </c>
      <c r="D4" s="5">
        <f>INDEX(VeriTakip!D$2:D$15,MATCH(SMALL(VeriTakip!$J$2:$J$15,ROW()-3),VeriTakip!$J$2:$J$15,0))</f>
        <v>2</v>
      </c>
      <c r="E4" s="5">
        <f>INDEX(VeriTakip!E$2:E$15,MATCH(SMALL(VeriTakip!$J$2:$J$15,ROW()-3),VeriTakip!$J$2:$J$15,0))</f>
        <v>1</v>
      </c>
      <c r="F4" s="5">
        <f>INDEX(VeriTakip!F$2:F$15,MATCH(SMALL(VeriTakip!$J$2:$J$15,ROW()-3),VeriTakip!$J$2:$J$15,0))</f>
        <v>2</v>
      </c>
      <c r="G4" s="5">
        <f>INDEX(VeriTakip!G$2:G$15,MATCH(SMALL(VeriTakip!$J$2:$J$15,ROW()-3),VeriTakip!$J$2:$J$15,0))</f>
        <v>27</v>
      </c>
      <c r="H4" s="5" t="str">
        <f>INDEX(VeriTakip!H$2:H$15,MATCH(SMALL(VeriTakip!$J$2:$J$15,ROW()-3),VeriTakip!$J$2:$J$15,0))</f>
        <v>Döviz</v>
      </c>
    </row>
    <row r="5" spans="1:8" x14ac:dyDescent="0.2">
      <c r="A5" s="5" t="str">
        <f>INDEX(VeriTakip!A$2:A$15,MATCH(SMALL(VeriTakip!$J$2:$J$15,ROW()-3),VeriTakip!$J$2:$J$15,0))</f>
        <v>SPR</v>
      </c>
      <c r="B5" s="5">
        <f>INDEX(VeriTakip!B$2:B$15,MATCH(SMALL(VeriTakip!$J$2:$J$15,ROW()-3),VeriTakip!$J$2:$J$15,0))</f>
        <v>1</v>
      </c>
      <c r="C5" s="5">
        <f>INDEX(VeriTakip!C$2:C$15,MATCH(SMALL(VeriTakip!$J$2:$J$15,ROW()-3),VeriTakip!$J$2:$J$15,0))</f>
        <v>1</v>
      </c>
      <c r="D5" s="5">
        <f>INDEX(VeriTakip!D$2:D$15,MATCH(SMALL(VeriTakip!$J$2:$J$15,ROW()-3),VeriTakip!$J$2:$J$15,0))</f>
        <v>10</v>
      </c>
      <c r="E5" s="5">
        <f>INDEX(VeriTakip!E$2:E$15,MATCH(SMALL(VeriTakip!$J$2:$J$15,ROW()-3),VeriTakip!$J$2:$J$15,0))</f>
        <v>57</v>
      </c>
      <c r="F5" s="5">
        <f>INDEX(VeriTakip!F$2:F$15,MATCH(SMALL(VeriTakip!$J$2:$J$15,ROW()-3),VeriTakip!$J$2:$J$15,0))</f>
        <v>55</v>
      </c>
      <c r="G5" s="5">
        <f>INDEX(VeriTakip!G$2:G$15,MATCH(SMALL(VeriTakip!$J$2:$J$15,ROW()-3),VeriTakip!$J$2:$J$15,0))</f>
        <v>58</v>
      </c>
      <c r="H5" s="5" t="str">
        <f>INDEX(VeriTakip!H$2:H$15,MATCH(SMALL(VeriTakip!$J$2:$J$15,ROW()-3),VeriTakip!$J$2:$J$15,0))</f>
        <v>Tüm Teknoloji</v>
      </c>
    </row>
    <row r="6" spans="1:8" x14ac:dyDescent="0.2">
      <c r="A6" s="5" t="str">
        <f>INDEX(VeriTakip!A$2:A$15,MATCH(SMALL(VeriTakip!$J$2:$J$15,ROW()-3),VeriTakip!$J$2:$J$15,0))</f>
        <v>BVZ</v>
      </c>
      <c r="B6" s="5">
        <f>INDEX(VeriTakip!B$2:B$15,MATCH(SMALL(VeriTakip!$J$2:$J$15,ROW()-3),VeriTakip!$J$2:$J$15,0))</f>
        <v>5</v>
      </c>
      <c r="C6" s="5">
        <f>INDEX(VeriTakip!C$2:C$15,MATCH(SMALL(VeriTakip!$J$2:$J$15,ROW()-3),VeriTakip!$J$2:$J$15,0))</f>
        <v>2</v>
      </c>
      <c r="D6" s="5">
        <f>INDEX(VeriTakip!D$2:D$15,MATCH(SMALL(VeriTakip!$J$2:$J$15,ROW()-3),VeriTakip!$J$2:$J$15,0))</f>
        <v>4</v>
      </c>
      <c r="E6" s="5">
        <f>INDEX(VeriTakip!E$2:E$15,MATCH(SMALL(VeriTakip!$J$2:$J$15,ROW()-3),VeriTakip!$J$2:$J$15,0))</f>
        <v>4</v>
      </c>
      <c r="F6" s="5">
        <f>INDEX(VeriTakip!F$2:F$15,MATCH(SMALL(VeriTakip!$J$2:$J$15,ROW()-3),VeriTakip!$J$2:$J$15,0))</f>
        <v>5</v>
      </c>
      <c r="G6" s="5">
        <f>INDEX(VeriTakip!G$2:G$15,MATCH(SMALL(VeriTakip!$J$2:$J$15,ROW()-3),VeriTakip!$J$2:$J$15,0))</f>
        <v>13</v>
      </c>
      <c r="H6" s="5" t="str">
        <f>INDEX(VeriTakip!H$2:H$15,MATCH(SMALL(VeriTakip!$J$2:$J$15,ROW()-3),VeriTakip!$J$2:$J$15,0))</f>
        <v>Arbitraj</v>
      </c>
    </row>
    <row r="7" spans="1:8" x14ac:dyDescent="0.2">
      <c r="A7" s="5" t="str">
        <f>INDEX(VeriTakip!A$2:A$15,MATCH(SMALL(VeriTakip!$J$2:$J$15,ROW()-3),VeriTakip!$J$2:$J$15,0))</f>
        <v>BTE</v>
      </c>
      <c r="B7" s="5">
        <f>INDEX(VeriTakip!B$2:B$15,MATCH(SMALL(VeriTakip!$J$2:$J$15,ROW()-3),VeriTakip!$J$2:$J$15,0))</f>
        <v>2</v>
      </c>
      <c r="C7" s="5">
        <f>INDEX(VeriTakip!C$2:C$15,MATCH(SMALL(VeriTakip!$J$2:$J$15,ROW()-3),VeriTakip!$J$2:$J$15,0))</f>
        <v>2</v>
      </c>
      <c r="D7" s="5">
        <f>INDEX(VeriTakip!D$2:D$15,MATCH(SMALL(VeriTakip!$J$2:$J$15,ROW()-3),VeriTakip!$J$2:$J$15,0))</f>
        <v>1</v>
      </c>
      <c r="E7" s="5">
        <f>INDEX(VeriTakip!E$2:E$15,MATCH(SMALL(VeriTakip!$J$2:$J$15,ROW()-3),VeriTakip!$J$2:$J$15,0))</f>
        <v>1</v>
      </c>
      <c r="F7" s="5">
        <f>INDEX(VeriTakip!F$2:F$15,MATCH(SMALL(VeriTakip!$J$2:$J$15,ROW()-3),VeriTakip!$J$2:$J$15,0))</f>
        <v>1</v>
      </c>
      <c r="G7" s="5">
        <f>INDEX(VeriTakip!G$2:G$15,MATCH(SMALL(VeriTakip!$J$2:$J$15,ROW()-3),VeriTakip!$J$2:$J$15,0))</f>
        <v>2</v>
      </c>
      <c r="H7" s="5" t="str">
        <f>INDEX(VeriTakip!H$2:H$15,MATCH(SMALL(VeriTakip!$J$2:$J$15,ROW()-3),VeriTakip!$J$2:$J$15,0))</f>
        <v>Oyun</v>
      </c>
    </row>
    <row r="8" spans="1:8" x14ac:dyDescent="0.2">
      <c r="A8" s="5" t="str">
        <f>INDEX(VeriTakip!A$2:A$15,MATCH(SMALL(VeriTakip!$J$2:$J$15,ROW()-3),VeriTakip!$J$2:$J$15,0))</f>
        <v>BSD</v>
      </c>
      <c r="B8" s="5">
        <f>INDEX(VeriTakip!B$2:B$15,MATCH(SMALL(VeriTakip!$J$2:$J$15,ROW()-3),VeriTakip!$J$2:$J$15,0))</f>
        <v>25</v>
      </c>
      <c r="C8" s="5">
        <f>INDEX(VeriTakip!C$2:C$15,MATCH(SMALL(VeriTakip!$J$2:$J$15,ROW()-3),VeriTakip!$J$2:$J$15,0))</f>
        <v>3</v>
      </c>
      <c r="D8" s="5">
        <f>INDEX(VeriTakip!D$2:D$15,MATCH(SMALL(VeriTakip!$J$2:$J$15,ROW()-3),VeriTakip!$J$2:$J$15,0))</f>
        <v>4</v>
      </c>
      <c r="E8" s="5">
        <f>INDEX(VeriTakip!E$2:E$15,MATCH(SMALL(VeriTakip!$J$2:$J$15,ROW()-3),VeriTakip!$J$2:$J$15,0))</f>
        <v>3</v>
      </c>
      <c r="F8" s="5" t="str">
        <f>INDEX(VeriTakip!F$2:F$15,MATCH(SMALL(VeriTakip!$J$2:$J$15,ROW()-3),VeriTakip!$J$2:$J$15,0))</f>
        <v>-</v>
      </c>
      <c r="G8" s="5">
        <f>INDEX(VeriTakip!G$2:G$15,MATCH(SMALL(VeriTakip!$J$2:$J$15,ROW()-3),VeriTakip!$J$2:$J$15,0))</f>
        <v>27</v>
      </c>
      <c r="H8" s="5" t="str">
        <f>INDEX(VeriTakip!H$2:H$15,MATCH(SMALL(VeriTakip!$J$2:$J$15,ROW()-3),VeriTakip!$J$2:$J$15,0))</f>
        <v>Döviz</v>
      </c>
    </row>
    <row r="9" spans="1:8" x14ac:dyDescent="0.2">
      <c r="A9" s="5" t="str">
        <f>INDEX(VeriTakip!A$2:A$15,MATCH(SMALL(VeriTakip!$J$2:$J$15,ROW()-3),VeriTakip!$J$2:$J$15,0))</f>
        <v>BVD</v>
      </c>
      <c r="B9" s="5">
        <f>INDEX(VeriTakip!B$2:B$15,MATCH(SMALL(VeriTakip!$J$2:$J$15,ROW()-3),VeriTakip!$J$2:$J$15,0))</f>
        <v>8</v>
      </c>
      <c r="C9" s="5">
        <f>INDEX(VeriTakip!C$2:C$15,MATCH(SMALL(VeriTakip!$J$2:$J$15,ROW()-3),VeriTakip!$J$2:$J$15,0))</f>
        <v>3</v>
      </c>
      <c r="D9" s="5">
        <f>INDEX(VeriTakip!D$2:D$15,MATCH(SMALL(VeriTakip!$J$2:$J$15,ROW()-3),VeriTakip!$J$2:$J$15,0))</f>
        <v>6</v>
      </c>
      <c r="E9" s="5">
        <f>INDEX(VeriTakip!E$2:E$15,MATCH(SMALL(VeriTakip!$J$2:$J$15,ROW()-3),VeriTakip!$J$2:$J$15,0))</f>
        <v>1</v>
      </c>
      <c r="F9" s="5" t="str">
        <f>INDEX(VeriTakip!F$2:F$15,MATCH(SMALL(VeriTakip!$J$2:$J$15,ROW()-3),VeriTakip!$J$2:$J$15,0))</f>
        <v>-</v>
      </c>
      <c r="G9" s="5">
        <f>INDEX(VeriTakip!G$2:G$15,MATCH(SMALL(VeriTakip!$J$2:$J$15,ROW()-3),VeriTakip!$J$2:$J$15,0))</f>
        <v>28</v>
      </c>
      <c r="H9" s="5" t="str">
        <f>INDEX(VeriTakip!H$2:H$15,MATCH(SMALL(VeriTakip!$J$2:$J$15,ROW()-3),VeriTakip!$J$2:$J$15,0))</f>
        <v>Dengeli Değişken</v>
      </c>
    </row>
    <row r="10" spans="1:8" x14ac:dyDescent="0.2">
      <c r="A10" s="5" t="str">
        <f>INDEX(VeriTakip!A$2:A$15,MATCH(SMALL(VeriTakip!$J$2:$J$15,ROW()-3),VeriTakip!$J$2:$J$15,0))</f>
        <v>BHI</v>
      </c>
      <c r="B10" s="5">
        <f>INDEX(VeriTakip!B$2:B$15,MATCH(SMALL(VeriTakip!$J$2:$J$15,ROW()-3),VeriTakip!$J$2:$J$15,0))</f>
        <v>7</v>
      </c>
      <c r="C10" s="5">
        <f>INDEX(VeriTakip!C$2:C$15,MATCH(SMALL(VeriTakip!$J$2:$J$15,ROW()-3),VeriTakip!$J$2:$J$15,0))</f>
        <v>7</v>
      </c>
      <c r="D10" s="5">
        <f>INDEX(VeriTakip!D$2:D$15,MATCH(SMALL(VeriTakip!$J$2:$J$15,ROW()-3),VeriTakip!$J$2:$J$15,0))</f>
        <v>3</v>
      </c>
      <c r="E10" s="5">
        <f>INDEX(VeriTakip!E$2:E$15,MATCH(SMALL(VeriTakip!$J$2:$J$15,ROW()-3),VeriTakip!$J$2:$J$15,0))</f>
        <v>1</v>
      </c>
      <c r="F10" s="5">
        <f>INDEX(VeriTakip!F$2:F$15,MATCH(SMALL(VeriTakip!$J$2:$J$15,ROW()-3),VeriTakip!$J$2:$J$15,0))</f>
        <v>1</v>
      </c>
      <c r="G10" s="5">
        <f>INDEX(VeriTakip!G$2:G$15,MATCH(SMALL(VeriTakip!$J$2:$J$15,ROW()-3),VeriTakip!$J$2:$J$15,0))</f>
        <v>24</v>
      </c>
      <c r="H10" s="5" t="str">
        <f>INDEX(VeriTakip!H$2:H$15,MATCH(SMALL(VeriTakip!$J$2:$J$15,ROW()-3),VeriTakip!$J$2:$J$15,0))</f>
        <v>Mutlak Getiri</v>
      </c>
    </row>
    <row r="11" spans="1:8" x14ac:dyDescent="0.2">
      <c r="A11" s="5" t="str">
        <f>INDEX(VeriTakip!A$2:A$15,MATCH(SMALL(VeriTakip!$J$2:$J$15,ROW()-3),VeriTakip!$J$2:$J$15,0))</f>
        <v>BVF</v>
      </c>
      <c r="B11" s="5">
        <f>INDEX(VeriTakip!B$2:B$15,MATCH(SMALL(VeriTakip!$J$2:$J$15,ROW()-3),VeriTakip!$J$2:$J$15,0))</f>
        <v>10</v>
      </c>
      <c r="C11" s="5">
        <f>INDEX(VeriTakip!C$2:C$15,MATCH(SMALL(VeriTakip!$J$2:$J$15,ROW()-3),VeriTakip!$J$2:$J$15,0))</f>
        <v>7</v>
      </c>
      <c r="D11" s="5">
        <f>INDEX(VeriTakip!D$2:D$15,MATCH(SMALL(VeriTakip!$J$2:$J$15,ROW()-3),VeriTakip!$J$2:$J$15,0))</f>
        <v>10</v>
      </c>
      <c r="E11" s="5">
        <f>INDEX(VeriTakip!E$2:E$15,MATCH(SMALL(VeriTakip!$J$2:$J$15,ROW()-3),VeriTakip!$J$2:$J$15,0))</f>
        <v>7</v>
      </c>
      <c r="F11" s="5" t="str">
        <f>INDEX(VeriTakip!F$2:F$15,MATCH(SMALL(VeriTakip!$J$2:$J$15,ROW()-3),VeriTakip!$J$2:$J$15,0))</f>
        <v>-</v>
      </c>
      <c r="G11" s="5">
        <f>INDEX(VeriTakip!G$2:G$15,MATCH(SMALL(VeriTakip!$J$2:$J$15,ROW()-3),VeriTakip!$J$2:$J$15,0))</f>
        <v>61</v>
      </c>
      <c r="H11" s="5" t="str">
        <f>INDEX(VeriTakip!H$2:H$15,MATCH(SMALL(VeriTakip!$J$2:$J$15,ROW()-3),VeriTakip!$J$2:$J$15,0))</f>
        <v>Para Piyasası</v>
      </c>
    </row>
    <row r="12" spans="1:8" x14ac:dyDescent="0.2">
      <c r="A12" s="5" t="str">
        <f>INDEX(VeriTakip!A$2:A$15,MATCH(SMALL(VeriTakip!$J$2:$J$15,ROW()-3),VeriTakip!$J$2:$J$15,0))</f>
        <v>RUT</v>
      </c>
      <c r="B12" s="5">
        <f>INDEX(VeriTakip!B$2:B$15,MATCH(SMALL(VeriTakip!$J$2:$J$15,ROW()-3),VeriTakip!$J$2:$J$15,0))</f>
        <v>8</v>
      </c>
      <c r="C12" s="5">
        <f>INDEX(VeriTakip!C$2:C$15,MATCH(SMALL(VeriTakip!$J$2:$J$15,ROW()-3),VeriTakip!$J$2:$J$15,0))</f>
        <v>7</v>
      </c>
      <c r="D12" s="5">
        <f>INDEX(VeriTakip!D$2:D$15,MATCH(SMALL(VeriTakip!$J$2:$J$15,ROW()-3),VeriTakip!$J$2:$J$15,0))</f>
        <v>6</v>
      </c>
      <c r="E12" s="5">
        <f>INDEX(VeriTakip!E$2:E$15,MATCH(SMALL(VeriTakip!$J$2:$J$15,ROW()-3),VeriTakip!$J$2:$J$15,0))</f>
        <v>4</v>
      </c>
      <c r="F12" s="5">
        <f>INDEX(VeriTakip!F$2:F$15,MATCH(SMALL(VeriTakip!$J$2:$J$15,ROW()-3),VeriTakip!$J$2:$J$15,0))</f>
        <v>4</v>
      </c>
      <c r="G12" s="5">
        <f>INDEX(VeriTakip!G$2:G$15,MATCH(SMALL(VeriTakip!$J$2:$J$15,ROW()-3),VeriTakip!$J$2:$J$15,0))</f>
        <v>9</v>
      </c>
      <c r="H12" s="5" t="str">
        <f>INDEX(VeriTakip!H$2:H$15,MATCH(SMALL(VeriTakip!$J$2:$J$15,ROW()-3),VeriTakip!$J$2:$J$15,0))</f>
        <v>RUT</v>
      </c>
    </row>
    <row r="13" spans="1:8" x14ac:dyDescent="0.2">
      <c r="A13" s="5" t="str">
        <f>INDEX(VeriTakip!A$2:A$15,MATCH(SMALL(VeriTakip!$J$2:$J$15,ROW()-3),VeriTakip!$J$2:$J$15,0))</f>
        <v>BV1</v>
      </c>
      <c r="B13" s="5">
        <f>INDEX(VeriTakip!B$2:B$15,MATCH(SMALL(VeriTakip!$J$2:$J$15,ROW()-3),VeriTakip!$J$2:$J$15,0))</f>
        <v>23</v>
      </c>
      <c r="C13" s="5">
        <f>INDEX(VeriTakip!C$2:C$15,MATCH(SMALL(VeriTakip!$J$2:$J$15,ROW()-3),VeriTakip!$J$2:$J$15,0))</f>
        <v>8</v>
      </c>
      <c r="D13" s="5">
        <f>INDEX(VeriTakip!D$2:D$15,MATCH(SMALL(VeriTakip!$J$2:$J$15,ROW()-3),VeriTakip!$J$2:$J$15,0))</f>
        <v>11</v>
      </c>
      <c r="E13" s="5">
        <f>INDEX(VeriTakip!E$2:E$15,MATCH(SMALL(VeriTakip!$J$2:$J$15,ROW()-3),VeriTakip!$J$2:$J$15,0))</f>
        <v>19</v>
      </c>
      <c r="F13" s="5">
        <f>INDEX(VeriTakip!F$2:F$15,MATCH(SMALL(VeriTakip!$J$2:$J$15,ROW()-3),VeriTakip!$J$2:$J$15,0))</f>
        <v>7</v>
      </c>
      <c r="G13" s="5">
        <f>INDEX(VeriTakip!G$2:G$15,MATCH(SMALL(VeriTakip!$J$2:$J$15,ROW()-3),VeriTakip!$J$2:$J$15,0))</f>
        <v>41</v>
      </c>
      <c r="H13" s="5" t="str">
        <f>INDEX(VeriTakip!H$2:H$15,MATCH(SMALL(VeriTakip!$J$2:$J$15,ROW()-3),VeriTakip!$J$2:$J$15,0))</f>
        <v>Hisse</v>
      </c>
    </row>
    <row r="14" spans="1:8" x14ac:dyDescent="0.2">
      <c r="A14" s="5" t="str">
        <f>INDEX(VeriTakip!A$2:A$15,MATCH(SMALL(VeriTakip!$J$2:$J$15,ROW()-3),VeriTakip!$J$2:$J$15,0))</f>
        <v>MTD</v>
      </c>
      <c r="B14" s="5">
        <f>INDEX(VeriTakip!B$2:B$15,MATCH(SMALL(VeriTakip!$J$2:$J$15,ROW()-3),VeriTakip!$J$2:$J$15,0))</f>
        <v>12</v>
      </c>
      <c r="C14" s="5">
        <f>INDEX(VeriTakip!C$2:C$15,MATCH(SMALL(VeriTakip!$J$2:$J$15,ROW()-3),VeriTakip!$J$2:$J$15,0))</f>
        <v>12</v>
      </c>
      <c r="D14" s="5">
        <f>INDEX(VeriTakip!D$2:D$15,MATCH(SMALL(VeriTakip!$J$2:$J$15,ROW()-3),VeriTakip!$J$2:$J$15,0))</f>
        <v>17</v>
      </c>
      <c r="E14" s="5">
        <f>INDEX(VeriTakip!E$2:E$15,MATCH(SMALL(VeriTakip!$J$2:$J$15,ROW()-3),VeriTakip!$J$2:$J$15,0))</f>
        <v>17</v>
      </c>
      <c r="F14" s="5" t="str">
        <f>INDEX(VeriTakip!F$2:F$15,MATCH(SMALL(VeriTakip!$J$2:$J$15,ROW()-3),VeriTakip!$J$2:$J$15,0))</f>
        <v>-</v>
      </c>
      <c r="G14" s="5">
        <f>INDEX(VeriTakip!G$2:G$15,MATCH(SMALL(VeriTakip!$J$2:$J$15,ROW()-3),VeriTakip!$J$2:$J$15,0))</f>
        <v>18</v>
      </c>
      <c r="H14" s="5" t="str">
        <f>INDEX(VeriTakip!H$2:H$15,MATCH(SMALL(VeriTakip!$J$2:$J$15,ROW()-3),VeriTakip!$J$2:$J$15,0))</f>
        <v>Teknoloji</v>
      </c>
    </row>
    <row r="15" spans="1:8" x14ac:dyDescent="0.2">
      <c r="A15" s="5" t="str">
        <f>INDEX(VeriTakip!A$2:A$15,MATCH(SMALL(VeriTakip!$J$2:$J$15,ROW()-3),VeriTakip!$J$2:$J$15,0))</f>
        <v>BVV</v>
      </c>
      <c r="B15" s="5">
        <f>INDEX(VeriTakip!B$2:B$15,MATCH(SMALL(VeriTakip!$J$2:$J$15,ROW()-3),VeriTakip!$J$2:$J$15,0))</f>
        <v>14</v>
      </c>
      <c r="C15" s="5">
        <f>INDEX(VeriTakip!C$2:C$15,MATCH(SMALL(VeriTakip!$J$2:$J$15,ROW()-3),VeriTakip!$J$2:$J$15,0))</f>
        <v>14</v>
      </c>
      <c r="D15" s="5">
        <f>INDEX(VeriTakip!D$2:D$15,MATCH(SMALL(VeriTakip!$J$2:$J$15,ROW()-3),VeriTakip!$J$2:$J$15,0))</f>
        <v>8</v>
      </c>
      <c r="E15" s="5">
        <f>INDEX(VeriTakip!E$2:E$15,MATCH(SMALL(VeriTakip!$J$2:$J$15,ROW()-3),VeriTakip!$J$2:$J$15,0))</f>
        <v>3</v>
      </c>
      <c r="F15" s="5">
        <f>INDEX(VeriTakip!F$2:F$15,MATCH(SMALL(VeriTakip!$J$2:$J$15,ROW()-3),VeriTakip!$J$2:$J$15,0))</f>
        <v>2</v>
      </c>
      <c r="G15" s="5">
        <f>INDEX(VeriTakip!G$2:G$15,MATCH(SMALL(VeriTakip!$J$2:$J$15,ROW()-3),VeriTakip!$J$2:$J$15,0))</f>
        <v>18</v>
      </c>
      <c r="H15" s="5" t="str">
        <f>INDEX(VeriTakip!H$2:H$15,MATCH(SMALL(VeriTakip!$J$2:$J$15,ROW()-3),VeriTakip!$J$2:$J$15,0))</f>
        <v>Teknoloji</v>
      </c>
    </row>
    <row r="16" spans="1:8" x14ac:dyDescent="0.2">
      <c r="A16" s="5" t="str">
        <f>INDEX(VeriTakip!A$2:A$15,MATCH(SMALL(VeriTakip!$J$2:$J$15,ROW()-3),VeriTakip!$J$2:$J$15,0))</f>
        <v>BTK</v>
      </c>
      <c r="B16" s="5">
        <f>INDEX(VeriTakip!B$2:B$15,MATCH(SMALL(VeriTakip!$J$2:$J$15,ROW()-3),VeriTakip!$J$2:$J$15,0))</f>
        <v>18</v>
      </c>
      <c r="C16" s="5">
        <f>INDEX(VeriTakip!C$2:C$15,MATCH(SMALL(VeriTakip!$J$2:$J$15,ROW()-3),VeriTakip!$J$2:$J$15,0))</f>
        <v>17</v>
      </c>
      <c r="D16" s="5">
        <f>INDEX(VeriTakip!D$2:D$15,MATCH(SMALL(VeriTakip!$J$2:$J$15,ROW()-3),VeriTakip!$J$2:$J$15,0))</f>
        <v>14</v>
      </c>
      <c r="E16" s="5">
        <f>INDEX(VeriTakip!E$2:E$15,MATCH(SMALL(VeriTakip!$J$2:$J$15,ROW()-3),VeriTakip!$J$2:$J$15,0))</f>
        <v>2</v>
      </c>
      <c r="F16" s="5" t="str">
        <f>INDEX(VeriTakip!F$2:F$15,MATCH(SMALL(VeriTakip!$J$2:$J$15,ROW()-3),VeriTakip!$J$2:$J$15,0))</f>
        <v>-</v>
      </c>
      <c r="G16" s="5">
        <f>INDEX(VeriTakip!G$2:G$15,MATCH(SMALL(VeriTakip!$J$2:$J$15,ROW()-3),VeriTakip!$J$2:$J$15,0))</f>
        <v>18</v>
      </c>
      <c r="H16" s="5" t="str">
        <f>INDEX(VeriTakip!H$2:H$15,MATCH(SMALL(VeriTakip!$J$2:$J$15,ROW()-3),VeriTakip!$J$2:$J$15,0))</f>
        <v>Teknoloji</v>
      </c>
    </row>
    <row r="17" spans="1:8" x14ac:dyDescent="0.2">
      <c r="A17" s="5" t="str">
        <f>INDEX(VeriTakip!A$2:A$15,MATCH(SMALL(VeriTakip!$J$2:$J$15,ROW()-3),VeriTakip!$J$2:$J$15,0))</f>
        <v>BAI</v>
      </c>
      <c r="B17" s="5">
        <f>INDEX(VeriTakip!B$2:B$15,MATCH(SMALL(VeriTakip!$J$2:$J$15,ROW()-3),VeriTakip!$J$2:$J$15,0))</f>
        <v>35</v>
      </c>
      <c r="C17" s="5" t="str">
        <f>INDEX(VeriTakip!C$2:C$15,MATCH(SMALL(VeriTakip!$J$2:$J$15,ROW()-3),VeriTakip!$J$2:$J$15,0))</f>
        <v>-</v>
      </c>
      <c r="D17" s="5" t="str">
        <f>INDEX(VeriTakip!D$2:D$15,MATCH(SMALL(VeriTakip!$J$2:$J$15,ROW()-3),VeriTakip!$J$2:$J$15,0))</f>
        <v>-</v>
      </c>
      <c r="E17" s="5" t="str">
        <f>INDEX(VeriTakip!E$2:E$15,MATCH(SMALL(VeriTakip!$J$2:$J$15,ROW()-3),VeriTakip!$J$2:$J$15,0))</f>
        <v>-</v>
      </c>
      <c r="F17" s="5" t="str">
        <f>INDEX(VeriTakip!F$2:F$15,MATCH(SMALL(VeriTakip!$J$2:$J$15,ROW()-3),VeriTakip!$J$2:$J$15,0))</f>
        <v>-</v>
      </c>
      <c r="G17" s="5">
        <f>INDEX(VeriTakip!G$2:G$15,MATCH(SMALL(VeriTakip!$J$2:$J$15,ROW()-3),VeriTakip!$J$2:$J$15,0))</f>
        <v>47</v>
      </c>
      <c r="H17" s="5" t="str">
        <f>INDEX(VeriTakip!H$2:H$15,MATCH(SMALL(VeriTakip!$J$2:$J$15,ROW()-3),VeriTakip!$J$2:$J$15,0))</f>
        <v>Altın</v>
      </c>
    </row>
  </sheetData>
  <dataValidations count="1">
    <dataValidation type="list" sqref="B1" xr:uid="{00000000-0002-0000-0000-000000000000}">
      <formula1>"Günlük Sıra,Haftalık Sıra,Aylık Sıra,Yılbaşına Göre,Yıllık Sıra"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4"/>
  <sheetViews>
    <sheetView workbookViewId="0"/>
  </sheetViews>
  <sheetFormatPr baseColWidth="10" defaultColWidth="8.83203125" defaultRowHeight="15" x14ac:dyDescent="0.2"/>
  <sheetData>
    <row r="1" spans="1:29" x14ac:dyDescent="0.2">
      <c r="A1" t="s">
        <v>3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</row>
    <row r="2" spans="1:29" x14ac:dyDescent="0.2">
      <c r="A2" t="s">
        <v>35</v>
      </c>
      <c r="B2" t="s">
        <v>36</v>
      </c>
      <c r="C2" t="s">
        <v>37</v>
      </c>
      <c r="D2">
        <v>3.15E-2</v>
      </c>
      <c r="E2">
        <v>0.4712247726233354</v>
      </c>
      <c r="F2">
        <v>0.81708437064507144</v>
      </c>
      <c r="G2">
        <v>3.2703728776323659</v>
      </c>
      <c r="H2">
        <v>25.837835415066461</v>
      </c>
      <c r="I2">
        <v>52.908759516185341</v>
      </c>
      <c r="J2">
        <v>15</v>
      </c>
      <c r="K2">
        <v>14</v>
      </c>
      <c r="L2">
        <v>-6.6666666666666652E-2</v>
      </c>
      <c r="M2">
        <v>165502158.78</v>
      </c>
      <c r="N2">
        <v>170480853.25999999</v>
      </c>
      <c r="O2">
        <v>3.008235370886081E-2</v>
      </c>
      <c r="P2">
        <v>0.1498040933050547</v>
      </c>
      <c r="Q2" t="s">
        <v>38</v>
      </c>
      <c r="R2">
        <v>0</v>
      </c>
      <c r="S2">
        <v>0.29630000000000001</v>
      </c>
      <c r="T2">
        <v>0</v>
      </c>
      <c r="U2">
        <v>0</v>
      </c>
      <c r="V2">
        <v>0</v>
      </c>
      <c r="W2">
        <v>0.70310000000000006</v>
      </c>
      <c r="X2">
        <v>0</v>
      </c>
      <c r="Y2">
        <v>0</v>
      </c>
      <c r="Z2">
        <v>0</v>
      </c>
      <c r="AA2">
        <v>0.99940000000000007</v>
      </c>
      <c r="AC2">
        <f>IF(ISNUMBER(INDEX($A$2:$AA$14,1,MATCH(Arbitraj!$E$2,$A$1:$AA$1,0))),INDEX($A$2:$AA$14,1,MATCH(Arbitraj!$E$2,$A$1:$AA$1,0)),-1000000000)-ROW()/10000000</f>
        <v>0.47122457262333539</v>
      </c>
    </row>
    <row r="3" spans="1:29" x14ac:dyDescent="0.2">
      <c r="A3" t="s">
        <v>39</v>
      </c>
      <c r="B3" t="s">
        <v>40</v>
      </c>
      <c r="C3" t="s">
        <v>37</v>
      </c>
      <c r="D3">
        <v>0.03</v>
      </c>
      <c r="E3">
        <v>0.29038707992716789</v>
      </c>
      <c r="F3">
        <v>0.61558927093838811</v>
      </c>
      <c r="G3">
        <v>3.8708499773818521</v>
      </c>
      <c r="H3">
        <v>18.470972826733359</v>
      </c>
      <c r="I3">
        <v>38.288144045666513</v>
      </c>
      <c r="J3">
        <v>35</v>
      </c>
      <c r="K3">
        <v>36</v>
      </c>
      <c r="L3">
        <v>2.857142857142847E-2</v>
      </c>
      <c r="M3">
        <v>252270148.37</v>
      </c>
      <c r="N3">
        <v>286454934.74000001</v>
      </c>
      <c r="O3">
        <v>0.13550864654767561</v>
      </c>
      <c r="P3">
        <v>0.19501498680550991</v>
      </c>
      <c r="Q3" t="s">
        <v>41</v>
      </c>
      <c r="R3">
        <v>0</v>
      </c>
      <c r="S3">
        <v>0.17879999999999999</v>
      </c>
      <c r="T3">
        <v>0</v>
      </c>
      <c r="U3">
        <v>0.60719999999999996</v>
      </c>
      <c r="V3">
        <v>0</v>
      </c>
      <c r="W3">
        <v>0.13900000000000001</v>
      </c>
      <c r="X3">
        <v>0</v>
      </c>
      <c r="Y3">
        <v>7.6700000000000004E-2</v>
      </c>
      <c r="Z3">
        <v>-2.0999999999999999E-3</v>
      </c>
      <c r="AA3">
        <v>0.99959999999999993</v>
      </c>
      <c r="AC3">
        <f>IF(ISNUMBER(INDEX($A$2:$AA$14,2,MATCH(Arbitraj!$E$2,$A$1:$AA$1,0))),INDEX($A$2:$AA$14,2,MATCH(Arbitraj!$E$2,$A$1:$AA$1,0)),-1000000000)-ROW()/10000000</f>
        <v>0.29038677992716788</v>
      </c>
    </row>
    <row r="4" spans="1:29" x14ac:dyDescent="0.2">
      <c r="A4" t="s">
        <v>42</v>
      </c>
      <c r="B4" t="s">
        <v>43</v>
      </c>
      <c r="C4" t="s">
        <v>44</v>
      </c>
      <c r="D4">
        <v>3.5000000000000003E-2</v>
      </c>
      <c r="E4">
        <v>0.28554762647066129</v>
      </c>
      <c r="F4">
        <v>0.95667655958020514</v>
      </c>
      <c r="G4">
        <v>3.4575853669200911</v>
      </c>
      <c r="H4">
        <v>31.611834569439878</v>
      </c>
      <c r="I4">
        <v>64.932362983353613</v>
      </c>
      <c r="J4">
        <v>1661</v>
      </c>
      <c r="K4">
        <v>1683</v>
      </c>
      <c r="L4">
        <v>1.3245033112582851E-2</v>
      </c>
      <c r="M4">
        <v>1624428680.78</v>
      </c>
      <c r="N4">
        <v>2240362781.3699999</v>
      </c>
      <c r="O4">
        <v>0.37916967847073951</v>
      </c>
      <c r="P4">
        <v>0.13407651676832191</v>
      </c>
      <c r="Q4" t="s">
        <v>41</v>
      </c>
      <c r="R4">
        <v>0</v>
      </c>
      <c r="S4">
        <v>0.14630000000000001</v>
      </c>
      <c r="T4">
        <v>0</v>
      </c>
      <c r="U4">
        <v>0.85370000000000001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C4">
        <f>IF(ISNUMBER(INDEX($A$2:$AA$14,3,MATCH(Arbitraj!$E$2,$A$1:$AA$1,0))),INDEX($A$2:$AA$14,3,MATCH(Arbitraj!$E$2,$A$1:$AA$1,0)),-1000000000)-ROW()/10000000</f>
        <v>0.28554722647066128</v>
      </c>
    </row>
    <row r="5" spans="1:29" x14ac:dyDescent="0.2">
      <c r="A5" t="s">
        <v>45</v>
      </c>
      <c r="B5" t="s">
        <v>46</v>
      </c>
      <c r="C5" t="s">
        <v>47</v>
      </c>
      <c r="D5">
        <v>3.5000000000000003E-2</v>
      </c>
      <c r="E5">
        <v>0.2609060489499937</v>
      </c>
      <c r="F5">
        <v>0.70593744597697849</v>
      </c>
      <c r="G5">
        <v>3.2436741917455159</v>
      </c>
      <c r="H5">
        <v>21.828323595495711</v>
      </c>
      <c r="I5">
        <v>44.31173620391484</v>
      </c>
      <c r="J5">
        <v>17</v>
      </c>
      <c r="K5">
        <v>16</v>
      </c>
      <c r="L5">
        <v>-5.8823529411764719E-2</v>
      </c>
      <c r="M5">
        <v>1385613227.95</v>
      </c>
      <c r="N5">
        <v>1352534182.3199999</v>
      </c>
      <c r="O5">
        <v>-2.3873217260591661E-2</v>
      </c>
      <c r="P5">
        <v>8.6020675440340671E-2</v>
      </c>
      <c r="Q5" t="s">
        <v>38</v>
      </c>
      <c r="R5">
        <v>0.15440000000000001</v>
      </c>
      <c r="S5">
        <v>7.400000000000001E-2</v>
      </c>
      <c r="T5">
        <v>0.33050000000000002</v>
      </c>
      <c r="U5">
        <v>0.12089999999999999</v>
      </c>
      <c r="V5">
        <v>4.0000000000000002E-4</v>
      </c>
      <c r="W5">
        <v>0.186</v>
      </c>
      <c r="X5">
        <v>0</v>
      </c>
      <c r="Y5">
        <v>0.1338</v>
      </c>
      <c r="Z5">
        <v>0</v>
      </c>
      <c r="AA5">
        <v>1</v>
      </c>
      <c r="AC5">
        <f>IF(ISNUMBER(INDEX($A$2:$AA$14,4,MATCH(Arbitraj!$E$2,$A$1:$AA$1,0))),INDEX($A$2:$AA$14,4,MATCH(Arbitraj!$E$2,$A$1:$AA$1,0)),-1000000000)-ROW()/10000000</f>
        <v>0.26090554894999368</v>
      </c>
    </row>
    <row r="6" spans="1:29" x14ac:dyDescent="0.2">
      <c r="A6" t="s">
        <v>48</v>
      </c>
      <c r="B6" t="s">
        <v>49</v>
      </c>
      <c r="C6" t="s">
        <v>50</v>
      </c>
      <c r="D6">
        <v>4.2000000000000003E-2</v>
      </c>
      <c r="E6">
        <v>0.2470981106840853</v>
      </c>
      <c r="F6">
        <v>0.86947754328132731</v>
      </c>
      <c r="G6">
        <v>3.574856442801067</v>
      </c>
      <c r="H6">
        <v>23.814920601270241</v>
      </c>
      <c r="I6">
        <v>47.823585646196477</v>
      </c>
      <c r="J6">
        <v>704</v>
      </c>
      <c r="K6">
        <v>678</v>
      </c>
      <c r="L6">
        <v>-3.6931818181818232E-2</v>
      </c>
      <c r="M6">
        <v>2953049780.3200002</v>
      </c>
      <c r="N6">
        <v>2697504220.9200001</v>
      </c>
      <c r="O6">
        <v>-8.6536150221046548E-2</v>
      </c>
      <c r="P6">
        <v>8.3391417846245638E-2</v>
      </c>
      <c r="Q6" t="s">
        <v>41</v>
      </c>
      <c r="R6">
        <v>0</v>
      </c>
      <c r="S6">
        <v>2.4799999999999999E-2</v>
      </c>
      <c r="T6">
        <v>0.43619999999999998</v>
      </c>
      <c r="U6">
        <v>0.1326</v>
      </c>
      <c r="V6">
        <v>0.27239999999999998</v>
      </c>
      <c r="W6">
        <v>6.4000000000000003E-3</v>
      </c>
      <c r="X6">
        <v>0</v>
      </c>
      <c r="Y6">
        <v>7.4800000000000005E-2</v>
      </c>
      <c r="Z6">
        <v>1.0800000000000001E-2</v>
      </c>
      <c r="AA6">
        <v>0.95799999999999996</v>
      </c>
      <c r="AC6">
        <f>IF(ISNUMBER(INDEX($A$2:$AA$14,5,MATCH(Arbitraj!$E$2,$A$1:$AA$1,0))),INDEX($A$2:$AA$14,5,MATCH(Arbitraj!$E$2,$A$1:$AA$1,0)),-1000000000)-ROW()/10000000</f>
        <v>0.24709751068408531</v>
      </c>
    </row>
    <row r="7" spans="1:29" x14ac:dyDescent="0.2">
      <c r="A7" t="s">
        <v>51</v>
      </c>
      <c r="B7" t="s">
        <v>52</v>
      </c>
      <c r="C7" t="s">
        <v>53</v>
      </c>
      <c r="D7">
        <v>0.03</v>
      </c>
      <c r="E7">
        <v>0.21290220743270799</v>
      </c>
      <c r="F7">
        <v>0.42212813019422152</v>
      </c>
      <c r="G7">
        <v>2.533229516397784</v>
      </c>
      <c r="H7">
        <v>16.4061073367793</v>
      </c>
      <c r="I7">
        <v>34.04513717530029</v>
      </c>
      <c r="J7">
        <v>22</v>
      </c>
      <c r="K7">
        <v>22</v>
      </c>
      <c r="L7">
        <v>0</v>
      </c>
      <c r="M7">
        <v>8987622.25</v>
      </c>
      <c r="N7">
        <v>9215302.9100000001</v>
      </c>
      <c r="O7">
        <v>2.533269130219629E-2</v>
      </c>
      <c r="P7">
        <v>0.1162117098546475</v>
      </c>
      <c r="Q7" t="s">
        <v>38</v>
      </c>
      <c r="R7">
        <v>0</v>
      </c>
      <c r="S7">
        <v>0.46239999999999998</v>
      </c>
      <c r="T7">
        <v>0</v>
      </c>
      <c r="U7">
        <v>0.52139999999999997</v>
      </c>
      <c r="V7">
        <v>0</v>
      </c>
      <c r="W7">
        <v>0</v>
      </c>
      <c r="X7">
        <v>0</v>
      </c>
      <c r="Y7">
        <v>0</v>
      </c>
      <c r="Z7">
        <v>0</v>
      </c>
      <c r="AA7">
        <v>0.98380000000000001</v>
      </c>
      <c r="AC7">
        <f>IF(ISNUMBER(INDEX($A$2:$AA$14,6,MATCH(Arbitraj!$E$2,$A$1:$AA$1,0))),INDEX($A$2:$AA$14,6,MATCH(Arbitraj!$E$2,$A$1:$AA$1,0)),-1000000000)-ROW()/10000000</f>
        <v>0.212901507432708</v>
      </c>
    </row>
    <row r="8" spans="1:29" x14ac:dyDescent="0.2">
      <c r="A8" t="s">
        <v>54</v>
      </c>
      <c r="B8" t="s">
        <v>55</v>
      </c>
      <c r="C8" t="s">
        <v>56</v>
      </c>
      <c r="D8">
        <v>0.02</v>
      </c>
      <c r="E8">
        <v>0.16491231124302619</v>
      </c>
      <c r="F8">
        <v>0.76124045418479724</v>
      </c>
      <c r="G8">
        <v>3.0372908065784849</v>
      </c>
      <c r="H8">
        <v>21.226000175844419</v>
      </c>
      <c r="I8">
        <v>44.148713728770119</v>
      </c>
      <c r="J8">
        <v>35</v>
      </c>
      <c r="K8">
        <v>34</v>
      </c>
      <c r="L8">
        <v>-2.8571428571428581E-2</v>
      </c>
      <c r="M8">
        <v>76274279.560000002</v>
      </c>
      <c r="N8">
        <v>75635369.209999993</v>
      </c>
      <c r="O8">
        <v>-8.3764848869849473E-3</v>
      </c>
      <c r="P8">
        <v>0.1110712748961966</v>
      </c>
      <c r="Q8" t="s">
        <v>41</v>
      </c>
      <c r="R8">
        <v>0</v>
      </c>
      <c r="S8">
        <v>0.10059999999999999</v>
      </c>
      <c r="T8">
        <v>0</v>
      </c>
      <c r="U8">
        <v>0.52790000000000004</v>
      </c>
      <c r="V8">
        <v>0.25119999999999998</v>
      </c>
      <c r="W8">
        <v>0</v>
      </c>
      <c r="X8">
        <v>5.7200000000000001E-2</v>
      </c>
      <c r="Y8">
        <v>6.3099999999999989E-2</v>
      </c>
      <c r="Z8">
        <v>0</v>
      </c>
      <c r="AA8">
        <v>1</v>
      </c>
      <c r="AC8">
        <f>IF(ISNUMBER(INDEX($A$2:$AA$14,7,MATCH(Arbitraj!$E$2,$A$1:$AA$1,0))),INDEX($A$2:$AA$14,7,MATCH(Arbitraj!$E$2,$A$1:$AA$1,0)),-1000000000)-ROW()/10000000</f>
        <v>0.16491151124302619</v>
      </c>
    </row>
    <row r="9" spans="1:29" x14ac:dyDescent="0.2">
      <c r="A9" t="s">
        <v>57</v>
      </c>
      <c r="B9" t="s">
        <v>58</v>
      </c>
      <c r="C9" t="s">
        <v>59</v>
      </c>
      <c r="D9">
        <v>1.4999999999999999E-2</v>
      </c>
      <c r="E9">
        <v>0.13565284437269121</v>
      </c>
      <c r="F9">
        <v>0.83867844755316501</v>
      </c>
      <c r="G9">
        <v>3.80087180713593</v>
      </c>
      <c r="H9">
        <v>23.4121846343897</v>
      </c>
      <c r="I9">
        <v>52.24887762185886</v>
      </c>
      <c r="J9">
        <v>24</v>
      </c>
      <c r="K9">
        <v>26</v>
      </c>
      <c r="L9">
        <v>8.3333333333333259E-2</v>
      </c>
      <c r="M9">
        <v>1086829715.6900001</v>
      </c>
      <c r="N9">
        <v>1479332157.51</v>
      </c>
      <c r="O9">
        <v>0.36114437814281719</v>
      </c>
      <c r="P9">
        <v>5.1375268498743153E-2</v>
      </c>
      <c r="Q9" t="s">
        <v>38</v>
      </c>
      <c r="R9">
        <v>0</v>
      </c>
      <c r="S9">
        <v>0.1973</v>
      </c>
      <c r="T9">
        <v>0</v>
      </c>
      <c r="U9">
        <v>0.16569999999999999</v>
      </c>
      <c r="V9">
        <v>0.43780000000000002</v>
      </c>
      <c r="W9">
        <v>0.19919999999999999</v>
      </c>
      <c r="X9">
        <v>0</v>
      </c>
      <c r="Y9">
        <v>0</v>
      </c>
      <c r="Z9">
        <v>0</v>
      </c>
      <c r="AA9">
        <v>1</v>
      </c>
      <c r="AC9">
        <f>IF(ISNUMBER(INDEX($A$2:$AA$14,8,MATCH(Arbitraj!$E$2,$A$1:$AA$1,0))),INDEX($A$2:$AA$14,8,MATCH(Arbitraj!$E$2,$A$1:$AA$1,0)),-1000000000)-ROW()/10000000</f>
        <v>0.13565194437269121</v>
      </c>
    </row>
    <row r="10" spans="1:29" x14ac:dyDescent="0.2">
      <c r="A10" t="s">
        <v>60</v>
      </c>
      <c r="B10" t="s">
        <v>61</v>
      </c>
      <c r="C10" t="s">
        <v>62</v>
      </c>
      <c r="D10">
        <v>0.04</v>
      </c>
      <c r="E10">
        <v>0.13490678177421331</v>
      </c>
      <c r="F10">
        <v>0.34534478983641043</v>
      </c>
      <c r="G10">
        <v>3.1833472825266722</v>
      </c>
      <c r="H10">
        <v>18.1498710298474</v>
      </c>
      <c r="I10">
        <v>34.046446472561072</v>
      </c>
      <c r="J10">
        <v>15</v>
      </c>
      <c r="K10">
        <v>15</v>
      </c>
      <c r="L10">
        <v>0</v>
      </c>
      <c r="M10">
        <v>110316087.63</v>
      </c>
      <c r="N10">
        <v>113827815.20999999</v>
      </c>
      <c r="O10">
        <v>3.1833322368885357E-2</v>
      </c>
      <c r="P10">
        <v>0.1241042436929867</v>
      </c>
      <c r="Q10" t="s">
        <v>38</v>
      </c>
      <c r="R10">
        <v>0</v>
      </c>
      <c r="S10">
        <v>0.19059999999999999</v>
      </c>
      <c r="T10">
        <v>0</v>
      </c>
      <c r="U10">
        <v>0.14660000000000001</v>
      </c>
      <c r="V10">
        <v>0.61599999999999999</v>
      </c>
      <c r="W10">
        <v>4.6799999999999987E-2</v>
      </c>
      <c r="X10">
        <v>0</v>
      </c>
      <c r="Y10">
        <v>0</v>
      </c>
      <c r="Z10">
        <v>0</v>
      </c>
      <c r="AA10">
        <v>1</v>
      </c>
      <c r="AC10">
        <f>IF(ISNUMBER(INDEX($A$2:$AA$14,9,MATCH(Arbitraj!$E$2,$A$1:$AA$1,0))),INDEX($A$2:$AA$14,9,MATCH(Arbitraj!$E$2,$A$1:$AA$1,0)),-1000000000)-ROW()/10000000</f>
        <v>0.13490578177421331</v>
      </c>
    </row>
    <row r="11" spans="1:29" x14ac:dyDescent="0.2">
      <c r="A11" t="s">
        <v>63</v>
      </c>
      <c r="B11" t="s">
        <v>64</v>
      </c>
      <c r="C11" t="s">
        <v>65</v>
      </c>
      <c r="D11">
        <v>1.4999999999999999E-2</v>
      </c>
      <c r="E11">
        <v>0.13120766751562041</v>
      </c>
      <c r="F11">
        <v>0.65602274338454336</v>
      </c>
      <c r="G11">
        <v>2.4328060014241482</v>
      </c>
      <c r="H11">
        <v>16.77491492778962</v>
      </c>
      <c r="I11">
        <v>37.519523222359233</v>
      </c>
      <c r="J11">
        <v>159</v>
      </c>
      <c r="K11">
        <v>147</v>
      </c>
      <c r="L11">
        <v>-7.547169811320753E-2</v>
      </c>
      <c r="M11">
        <v>21318576.690000001</v>
      </c>
      <c r="N11">
        <v>21779407.48</v>
      </c>
      <c r="O11">
        <v>2.1616395723836671E-2</v>
      </c>
      <c r="P11">
        <v>0.14962380486874041</v>
      </c>
      <c r="Q11" t="s">
        <v>41</v>
      </c>
      <c r="R11">
        <v>0</v>
      </c>
      <c r="S11">
        <v>0.1953</v>
      </c>
      <c r="T11">
        <v>0</v>
      </c>
      <c r="U11">
        <v>0.80469999999999997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C11">
        <f>IF(ISNUMBER(INDEX($A$2:$AA$14,10,MATCH(Arbitraj!$E$2,$A$1:$AA$1,0))),INDEX($A$2:$AA$14,10,MATCH(Arbitraj!$E$2,$A$1:$AA$1,0)),-1000000000)-ROW()/10000000</f>
        <v>0.1312065675156204</v>
      </c>
    </row>
    <row r="12" spans="1:29" x14ac:dyDescent="0.2">
      <c r="A12" t="s">
        <v>66</v>
      </c>
      <c r="B12" t="s">
        <v>67</v>
      </c>
      <c r="C12" t="s">
        <v>68</v>
      </c>
      <c r="D12">
        <v>5.0000000000000001E-3</v>
      </c>
      <c r="E12">
        <v>0.1216872348071663</v>
      </c>
      <c r="F12">
        <v>0.74531815665503931</v>
      </c>
      <c r="G12">
        <v>3.450754954875856</v>
      </c>
      <c r="H12">
        <v>22.280029450191719</v>
      </c>
      <c r="I12">
        <v>46.764647444214532</v>
      </c>
      <c r="J12">
        <v>13</v>
      </c>
      <c r="K12">
        <v>13</v>
      </c>
      <c r="L12">
        <v>0</v>
      </c>
      <c r="M12">
        <v>948129351.40999997</v>
      </c>
      <c r="N12">
        <v>975256445.59000003</v>
      </c>
      <c r="O12">
        <v>2.8611174350481109E-2</v>
      </c>
      <c r="P12">
        <v>7.7584274755853874E-2</v>
      </c>
      <c r="Q12" t="s">
        <v>38</v>
      </c>
      <c r="R12">
        <v>0</v>
      </c>
      <c r="S12">
        <v>7.4700000000000003E-2</v>
      </c>
      <c r="T12">
        <v>0.92469999999999997</v>
      </c>
      <c r="U12">
        <v>0</v>
      </c>
      <c r="V12">
        <v>5.9999999999999995E-4</v>
      </c>
      <c r="W12">
        <v>0</v>
      </c>
      <c r="X12">
        <v>0</v>
      </c>
      <c r="Y12">
        <v>0</v>
      </c>
      <c r="Z12">
        <v>0</v>
      </c>
      <c r="AA12">
        <v>1</v>
      </c>
      <c r="AC12">
        <f>IF(ISNUMBER(INDEX($A$2:$AA$14,11,MATCH(Arbitraj!$E$2,$A$1:$AA$1,0))),INDEX($A$2:$AA$14,11,MATCH(Arbitraj!$E$2,$A$1:$AA$1,0)),-1000000000)-ROW()/10000000</f>
        <v>0.12168603480716629</v>
      </c>
    </row>
    <row r="13" spans="1:29" x14ac:dyDescent="0.2">
      <c r="A13" t="s">
        <v>69</v>
      </c>
      <c r="B13" t="s">
        <v>70</v>
      </c>
      <c r="C13" t="s">
        <v>71</v>
      </c>
      <c r="D13">
        <v>3.2500000000000001E-2</v>
      </c>
      <c r="E13">
        <v>3.5155974795353373E-2</v>
      </c>
      <c r="F13">
        <v>0.63732317672613448</v>
      </c>
      <c r="G13">
        <v>2.494659901622764</v>
      </c>
      <c r="H13">
        <v>19.813222289752421</v>
      </c>
      <c r="I13">
        <v>41.457412587250573</v>
      </c>
      <c r="J13">
        <v>120</v>
      </c>
      <c r="K13">
        <v>121</v>
      </c>
      <c r="L13">
        <v>8.3333333333333037E-3</v>
      </c>
      <c r="M13">
        <v>357559968.27999997</v>
      </c>
      <c r="N13">
        <v>360938761.91000003</v>
      </c>
      <c r="O13">
        <v>9.4495858869585447E-3</v>
      </c>
      <c r="P13">
        <v>9.2173478945688461E-2</v>
      </c>
      <c r="Q13" t="s">
        <v>41</v>
      </c>
      <c r="R13">
        <v>2.2000000000000001E-3</v>
      </c>
      <c r="S13">
        <v>0.1368</v>
      </c>
      <c r="T13">
        <v>0</v>
      </c>
      <c r="U13">
        <v>0.89569999999999994</v>
      </c>
      <c r="V13">
        <v>0</v>
      </c>
      <c r="W13">
        <v>0</v>
      </c>
      <c r="X13">
        <v>0</v>
      </c>
      <c r="Y13">
        <v>0</v>
      </c>
      <c r="Z13">
        <v>0</v>
      </c>
      <c r="AA13">
        <v>1.0347</v>
      </c>
      <c r="AC13">
        <f>IF(ISNUMBER(INDEX($A$2:$AA$14,12,MATCH(Arbitraj!$E$2,$A$1:$AA$1,0))),INDEX($A$2:$AA$14,12,MATCH(Arbitraj!$E$2,$A$1:$AA$1,0)),-1000000000)-ROW()/10000000</f>
        <v>3.515467479535337E-2</v>
      </c>
    </row>
    <row r="14" spans="1:29" x14ac:dyDescent="0.2">
      <c r="A14" t="s">
        <v>72</v>
      </c>
      <c r="B14" t="s">
        <v>73</v>
      </c>
      <c r="C14" t="s">
        <v>74</v>
      </c>
      <c r="D14">
        <v>0.03</v>
      </c>
      <c r="E14">
        <v>-3.5231897450027638E-2</v>
      </c>
      <c r="F14">
        <v>0.56923257416818807</v>
      </c>
      <c r="G14">
        <v>434.52364146220287</v>
      </c>
      <c r="H14">
        <v>86.579076713516784</v>
      </c>
      <c r="I14">
        <v>120.66540700478809</v>
      </c>
      <c r="J14">
        <v>16</v>
      </c>
      <c r="K14">
        <v>32</v>
      </c>
      <c r="L14">
        <v>1</v>
      </c>
      <c r="M14">
        <v>52088.23</v>
      </c>
      <c r="N14">
        <v>143582429.84999999</v>
      </c>
      <c r="O14">
        <v>2755.5234958070182</v>
      </c>
      <c r="P14">
        <v>0.12751641920484169</v>
      </c>
      <c r="Q14" t="s">
        <v>38</v>
      </c>
      <c r="R14">
        <v>0</v>
      </c>
      <c r="S14">
        <v>0</v>
      </c>
      <c r="T14">
        <v>0.84660000000000002</v>
      </c>
      <c r="U14">
        <v>0.14990000000000001</v>
      </c>
      <c r="V14">
        <v>3.5000000000000001E-3</v>
      </c>
      <c r="W14">
        <v>0</v>
      </c>
      <c r="X14">
        <v>0</v>
      </c>
      <c r="Y14">
        <v>0</v>
      </c>
      <c r="Z14">
        <v>0</v>
      </c>
      <c r="AA14">
        <v>1</v>
      </c>
      <c r="AC14">
        <f>IF(ISNUMBER(INDEX($A$2:$AA$14,13,MATCH(Arbitraj!$E$2,$A$1:$AA$1,0))),INDEX($A$2:$AA$14,13,MATCH(Arbitraj!$E$2,$A$1:$AA$1,0)),-1000000000)-ROW()/10000000</f>
        <v>-3.5233297450027637E-2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6"/>
  <sheetViews>
    <sheetView workbookViewId="0">
      <pane xSplit="3" ySplit="3" topLeftCell="D4" activePane="bottomRight" state="frozen"/>
      <selection pane="topRight"/>
      <selection pane="bottomLeft"/>
      <selection pane="bottomRight" activeCell="E2" sqref="E2"/>
    </sheetView>
  </sheetViews>
  <sheetFormatPr baseColWidth="10" defaultColWidth="8.83203125" defaultRowHeight="15" x14ac:dyDescent="0.2"/>
  <cols>
    <col min="2" max="2" width="9" customWidth="1"/>
    <col min="3" max="3" width="68" customWidth="1"/>
    <col min="4" max="4" width="26" customWidth="1"/>
    <col min="5" max="28" width="13" customWidth="1"/>
  </cols>
  <sheetData>
    <row r="1" spans="1:28" x14ac:dyDescent="0.2">
      <c r="F1" s="6">
        <v>46216</v>
      </c>
      <c r="G1" s="6">
        <v>46210</v>
      </c>
      <c r="H1" s="6">
        <v>46185</v>
      </c>
      <c r="I1" s="6">
        <v>46022</v>
      </c>
      <c r="J1" s="6">
        <v>45852</v>
      </c>
    </row>
    <row r="2" spans="1:28" x14ac:dyDescent="0.2">
      <c r="B2" s="3" t="s">
        <v>75</v>
      </c>
      <c r="D2" s="7" t="s">
        <v>0</v>
      </c>
      <c r="E2" s="2" t="s">
        <v>13</v>
      </c>
    </row>
    <row r="3" spans="1:28" ht="48" x14ac:dyDescent="0.2">
      <c r="B3" s="4" t="s">
        <v>3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6</v>
      </c>
      <c r="J3" s="4" t="s">
        <v>16</v>
      </c>
      <c r="K3" s="4" t="s">
        <v>17</v>
      </c>
      <c r="L3" s="4" t="s">
        <v>18</v>
      </c>
      <c r="M3" s="4" t="s">
        <v>19</v>
      </c>
      <c r="N3" s="4" t="s">
        <v>20</v>
      </c>
      <c r="O3" s="4" t="s">
        <v>21</v>
      </c>
      <c r="P3" s="4" t="s">
        <v>22</v>
      </c>
      <c r="Q3" s="4" t="s">
        <v>23</v>
      </c>
      <c r="R3" s="4" t="s">
        <v>24</v>
      </c>
      <c r="S3" s="4" t="s">
        <v>25</v>
      </c>
      <c r="T3" s="4" t="s">
        <v>26</v>
      </c>
      <c r="U3" s="4" t="s">
        <v>27</v>
      </c>
      <c r="V3" s="4" t="s">
        <v>28</v>
      </c>
      <c r="W3" s="4" t="s">
        <v>29</v>
      </c>
      <c r="X3" s="4" t="s">
        <v>30</v>
      </c>
      <c r="Y3" s="4" t="s">
        <v>31</v>
      </c>
      <c r="Z3" s="4" t="s">
        <v>32</v>
      </c>
      <c r="AA3" s="4" t="s">
        <v>33</v>
      </c>
      <c r="AB3" s="4" t="s">
        <v>34</v>
      </c>
    </row>
    <row r="4" spans="1:28" x14ac:dyDescent="0.2">
      <c r="A4">
        <v>1</v>
      </c>
      <c r="B4" s="5" t="str">
        <f>INDEX(V_Arbitraj!A$2:A$14,MATCH(LARGE(V_Arbitraj!$AC$2:$AC$14,ROW()-3),V_Arbitraj!$AC$2:$AC$14,0))</f>
        <v>ICN</v>
      </c>
      <c r="C4" s="5" t="str">
        <f>INDEX(V_Arbitraj!B$2:B$14,MATCH(LARGE(V_Arbitraj!$AC$2:$AC$14,ROW()-3),V_Arbitraj!$AC$2:$AC$14,0))</f>
        <v>İstanbul Portföy Üçüncü İstatistiksel Arbitraj Serbest (TL) Fon</v>
      </c>
      <c r="D4" s="5" t="str">
        <f>INDEX(V_Arbitraj!C$2:C$14,MATCH(LARGE(V_Arbitraj!$AC$2:$AC$14,ROW()-3),V_Arbitraj!$AC$2:$AC$14,0))</f>
        <v>İstanbul Portföy</v>
      </c>
      <c r="E4" s="8">
        <f>INDEX(V_Arbitraj!D$2:D$14,MATCH(LARGE(V_Arbitraj!$AC$2:$AC$14,ROW()-3),V_Arbitraj!$AC$2:$AC$14,0))</f>
        <v>3.15E-2</v>
      </c>
      <c r="F4" s="9">
        <f>INDEX(V_Arbitraj!E$2:E$14,MATCH(LARGE(V_Arbitraj!$AC$2:$AC$14,ROW()-3),V_Arbitraj!$AC$2:$AC$14,0))</f>
        <v>0.4712247726233354</v>
      </c>
      <c r="G4" s="9">
        <f>INDEX(V_Arbitraj!F$2:F$14,MATCH(LARGE(V_Arbitraj!$AC$2:$AC$14,ROW()-3),V_Arbitraj!$AC$2:$AC$14,0))</f>
        <v>0.81708437064507144</v>
      </c>
      <c r="H4" s="9">
        <f>INDEX(V_Arbitraj!G$2:G$14,MATCH(LARGE(V_Arbitraj!$AC$2:$AC$14,ROW()-3),V_Arbitraj!$AC$2:$AC$14,0))</f>
        <v>3.2703728776323659</v>
      </c>
      <c r="I4" s="9">
        <f>INDEX(V_Arbitraj!H$2:H$14,MATCH(LARGE(V_Arbitraj!$AC$2:$AC$14,ROW()-3),V_Arbitraj!$AC$2:$AC$14,0))</f>
        <v>25.837835415066461</v>
      </c>
      <c r="J4" s="9">
        <f>INDEX(V_Arbitraj!I$2:I$14,MATCH(LARGE(V_Arbitraj!$AC$2:$AC$14,ROW()-3),V_Arbitraj!$AC$2:$AC$14,0))</f>
        <v>52.908759516185341</v>
      </c>
      <c r="K4" s="10">
        <f>INDEX(V_Arbitraj!J$2:J$14,MATCH(LARGE(V_Arbitraj!$AC$2:$AC$14,ROW()-3),V_Arbitraj!$AC$2:$AC$14,0))</f>
        <v>15</v>
      </c>
      <c r="L4" s="10">
        <f>INDEX(V_Arbitraj!K$2:K$14,MATCH(LARGE(V_Arbitraj!$AC$2:$AC$14,ROW()-3),V_Arbitraj!$AC$2:$AC$14,0))</f>
        <v>14</v>
      </c>
      <c r="M4" s="8">
        <f>INDEX(V_Arbitraj!L$2:L$14,MATCH(LARGE(V_Arbitraj!$AC$2:$AC$14,ROW()-3),V_Arbitraj!$AC$2:$AC$14,0))</f>
        <v>-6.6666666666666652E-2</v>
      </c>
      <c r="N4" s="11">
        <f>INDEX(V_Arbitraj!M$2:M$14,MATCH(LARGE(V_Arbitraj!$AC$2:$AC$14,ROW()-3),V_Arbitraj!$AC$2:$AC$14,0))</f>
        <v>165502158.78</v>
      </c>
      <c r="O4" s="11">
        <f>INDEX(V_Arbitraj!N$2:N$14,MATCH(LARGE(V_Arbitraj!$AC$2:$AC$14,ROW()-3),V_Arbitraj!$AC$2:$AC$14,0))</f>
        <v>170480853.25999999</v>
      </c>
      <c r="P4" s="8">
        <f>INDEX(V_Arbitraj!O$2:O$14,MATCH(LARGE(V_Arbitraj!$AC$2:$AC$14,ROW()-3),V_Arbitraj!$AC$2:$AC$14,0))</f>
        <v>3.008235370886081E-2</v>
      </c>
      <c r="Q4" s="9">
        <f>INDEX(V_Arbitraj!P$2:P$14,MATCH(LARGE(V_Arbitraj!$AC$2:$AC$14,ROW()-3),V_Arbitraj!$AC$2:$AC$14,0))</f>
        <v>0.1498040933050547</v>
      </c>
      <c r="R4" s="5" t="str">
        <f>INDEX(V_Arbitraj!Q$2:Q$14,MATCH(LARGE(V_Arbitraj!$AC$2:$AC$14,ROW()-3),V_Arbitraj!$AC$2:$AC$14,0))</f>
        <v>Görmüyor</v>
      </c>
      <c r="S4" s="8">
        <f>INDEX(V_Arbitraj!R$2:R$14,MATCH(LARGE(V_Arbitraj!$AC$2:$AC$14,ROW()-3),V_Arbitraj!$AC$2:$AC$14,0))</f>
        <v>0</v>
      </c>
      <c r="T4" s="8">
        <f>INDEX(V_Arbitraj!S$2:S$14,MATCH(LARGE(V_Arbitraj!$AC$2:$AC$14,ROW()-3),V_Arbitraj!$AC$2:$AC$14,0))</f>
        <v>0.29630000000000001</v>
      </c>
      <c r="U4" s="8">
        <f>INDEX(V_Arbitraj!T$2:T$14,MATCH(LARGE(V_Arbitraj!$AC$2:$AC$14,ROW()-3),V_Arbitraj!$AC$2:$AC$14,0))</f>
        <v>0</v>
      </c>
      <c r="V4" s="8">
        <f>INDEX(V_Arbitraj!U$2:U$14,MATCH(LARGE(V_Arbitraj!$AC$2:$AC$14,ROW()-3),V_Arbitraj!$AC$2:$AC$14,0))</f>
        <v>0</v>
      </c>
      <c r="W4" s="8">
        <f>INDEX(V_Arbitraj!V$2:V$14,MATCH(LARGE(V_Arbitraj!$AC$2:$AC$14,ROW()-3),V_Arbitraj!$AC$2:$AC$14,0))</f>
        <v>0</v>
      </c>
      <c r="X4" s="8">
        <f>INDEX(V_Arbitraj!W$2:W$14,MATCH(LARGE(V_Arbitraj!$AC$2:$AC$14,ROW()-3),V_Arbitraj!$AC$2:$AC$14,0))</f>
        <v>0.70310000000000006</v>
      </c>
      <c r="Y4" s="8">
        <f>INDEX(V_Arbitraj!X$2:X$14,MATCH(LARGE(V_Arbitraj!$AC$2:$AC$14,ROW()-3),V_Arbitraj!$AC$2:$AC$14,0))</f>
        <v>0</v>
      </c>
      <c r="Z4" s="8">
        <f>INDEX(V_Arbitraj!Y$2:Y$14,MATCH(LARGE(V_Arbitraj!$AC$2:$AC$14,ROW()-3),V_Arbitraj!$AC$2:$AC$14,0))</f>
        <v>0</v>
      </c>
      <c r="AA4" s="8">
        <f>INDEX(V_Arbitraj!Z$2:Z$14,MATCH(LARGE(V_Arbitraj!$AC$2:$AC$14,ROW()-3),V_Arbitraj!$AC$2:$AC$14,0))</f>
        <v>0</v>
      </c>
      <c r="AB4" s="8">
        <f>INDEX(V_Arbitraj!AA$2:AA$14,MATCH(LARGE(V_Arbitraj!$AC$2:$AC$14,ROW()-3),V_Arbitraj!$AC$2:$AC$14,0))</f>
        <v>0.99940000000000007</v>
      </c>
    </row>
    <row r="5" spans="1:28" x14ac:dyDescent="0.2">
      <c r="A5">
        <v>2</v>
      </c>
      <c r="B5" s="5" t="str">
        <f>INDEX(V_Arbitraj!A$2:A$14,MATCH(LARGE(V_Arbitraj!$AC$2:$AC$14,ROW()-3),V_Arbitraj!$AC$2:$AC$14,0))</f>
        <v>IRV</v>
      </c>
      <c r="C5" s="5" t="str">
        <f>INDEX(V_Arbitraj!B$2:B$14,MATCH(LARGE(V_Arbitraj!$AC$2:$AC$14,ROW()-3),V_Arbitraj!$AC$2:$AC$14,0))</f>
        <v>İstanbul Portföy İstatistiksel Arbitraj Serbest Fon</v>
      </c>
      <c r="D5" s="5" t="str">
        <f>INDEX(V_Arbitraj!C$2:C$14,MATCH(LARGE(V_Arbitraj!$AC$2:$AC$14,ROW()-3),V_Arbitraj!$AC$2:$AC$14,0))</f>
        <v>İstanbul Portföy</v>
      </c>
      <c r="E5" s="8">
        <f>INDEX(V_Arbitraj!D$2:D$14,MATCH(LARGE(V_Arbitraj!$AC$2:$AC$14,ROW()-3),V_Arbitraj!$AC$2:$AC$14,0))</f>
        <v>0.03</v>
      </c>
      <c r="F5" s="9">
        <f>INDEX(V_Arbitraj!E$2:E$14,MATCH(LARGE(V_Arbitraj!$AC$2:$AC$14,ROW()-3),V_Arbitraj!$AC$2:$AC$14,0))</f>
        <v>0.29038707992716789</v>
      </c>
      <c r="G5" s="9">
        <f>INDEX(V_Arbitraj!F$2:F$14,MATCH(LARGE(V_Arbitraj!$AC$2:$AC$14,ROW()-3),V_Arbitraj!$AC$2:$AC$14,0))</f>
        <v>0.61558927093838811</v>
      </c>
      <c r="H5" s="9">
        <f>INDEX(V_Arbitraj!G$2:G$14,MATCH(LARGE(V_Arbitraj!$AC$2:$AC$14,ROW()-3),V_Arbitraj!$AC$2:$AC$14,0))</f>
        <v>3.8708499773818521</v>
      </c>
      <c r="I5" s="9">
        <f>INDEX(V_Arbitraj!H$2:H$14,MATCH(LARGE(V_Arbitraj!$AC$2:$AC$14,ROW()-3),V_Arbitraj!$AC$2:$AC$14,0))</f>
        <v>18.470972826733359</v>
      </c>
      <c r="J5" s="9">
        <f>INDEX(V_Arbitraj!I$2:I$14,MATCH(LARGE(V_Arbitraj!$AC$2:$AC$14,ROW()-3),V_Arbitraj!$AC$2:$AC$14,0))</f>
        <v>38.288144045666513</v>
      </c>
      <c r="K5" s="10">
        <f>INDEX(V_Arbitraj!J$2:J$14,MATCH(LARGE(V_Arbitraj!$AC$2:$AC$14,ROW()-3),V_Arbitraj!$AC$2:$AC$14,0))</f>
        <v>35</v>
      </c>
      <c r="L5" s="10">
        <f>INDEX(V_Arbitraj!K$2:K$14,MATCH(LARGE(V_Arbitraj!$AC$2:$AC$14,ROW()-3),V_Arbitraj!$AC$2:$AC$14,0))</f>
        <v>36</v>
      </c>
      <c r="M5" s="8">
        <f>INDEX(V_Arbitraj!L$2:L$14,MATCH(LARGE(V_Arbitraj!$AC$2:$AC$14,ROW()-3),V_Arbitraj!$AC$2:$AC$14,0))</f>
        <v>2.857142857142847E-2</v>
      </c>
      <c r="N5" s="11">
        <f>INDEX(V_Arbitraj!M$2:M$14,MATCH(LARGE(V_Arbitraj!$AC$2:$AC$14,ROW()-3),V_Arbitraj!$AC$2:$AC$14,0))</f>
        <v>252270148.37</v>
      </c>
      <c r="O5" s="11">
        <f>INDEX(V_Arbitraj!N$2:N$14,MATCH(LARGE(V_Arbitraj!$AC$2:$AC$14,ROW()-3),V_Arbitraj!$AC$2:$AC$14,0))</f>
        <v>286454934.74000001</v>
      </c>
      <c r="P5" s="8">
        <f>INDEX(V_Arbitraj!O$2:O$14,MATCH(LARGE(V_Arbitraj!$AC$2:$AC$14,ROW()-3),V_Arbitraj!$AC$2:$AC$14,0))</f>
        <v>0.13550864654767561</v>
      </c>
      <c r="Q5" s="9">
        <f>INDEX(V_Arbitraj!P$2:P$14,MATCH(LARGE(V_Arbitraj!$AC$2:$AC$14,ROW()-3),V_Arbitraj!$AC$2:$AC$14,0))</f>
        <v>0.19501498680550991</v>
      </c>
      <c r="R5" s="5" t="str">
        <f>INDEX(V_Arbitraj!Q$2:Q$14,MATCH(LARGE(V_Arbitraj!$AC$2:$AC$14,ROW()-3),V_Arbitraj!$AC$2:$AC$14,0))</f>
        <v>Görüyor</v>
      </c>
      <c r="S5" s="8">
        <f>INDEX(V_Arbitraj!R$2:R$14,MATCH(LARGE(V_Arbitraj!$AC$2:$AC$14,ROW()-3),V_Arbitraj!$AC$2:$AC$14,0))</f>
        <v>0</v>
      </c>
      <c r="T5" s="8">
        <f>INDEX(V_Arbitraj!S$2:S$14,MATCH(LARGE(V_Arbitraj!$AC$2:$AC$14,ROW()-3),V_Arbitraj!$AC$2:$AC$14,0))</f>
        <v>0.17879999999999999</v>
      </c>
      <c r="U5" s="8">
        <f>INDEX(V_Arbitraj!T$2:T$14,MATCH(LARGE(V_Arbitraj!$AC$2:$AC$14,ROW()-3),V_Arbitraj!$AC$2:$AC$14,0))</f>
        <v>0</v>
      </c>
      <c r="V5" s="8">
        <f>INDEX(V_Arbitraj!U$2:U$14,MATCH(LARGE(V_Arbitraj!$AC$2:$AC$14,ROW()-3),V_Arbitraj!$AC$2:$AC$14,0))</f>
        <v>0.60719999999999996</v>
      </c>
      <c r="W5" s="8">
        <f>INDEX(V_Arbitraj!V$2:V$14,MATCH(LARGE(V_Arbitraj!$AC$2:$AC$14,ROW()-3),V_Arbitraj!$AC$2:$AC$14,0))</f>
        <v>0</v>
      </c>
      <c r="X5" s="8">
        <f>INDEX(V_Arbitraj!W$2:W$14,MATCH(LARGE(V_Arbitraj!$AC$2:$AC$14,ROW()-3),V_Arbitraj!$AC$2:$AC$14,0))</f>
        <v>0.13900000000000001</v>
      </c>
      <c r="Y5" s="8">
        <f>INDEX(V_Arbitraj!X$2:X$14,MATCH(LARGE(V_Arbitraj!$AC$2:$AC$14,ROW()-3),V_Arbitraj!$AC$2:$AC$14,0))</f>
        <v>0</v>
      </c>
      <c r="Z5" s="8">
        <f>INDEX(V_Arbitraj!Y$2:Y$14,MATCH(LARGE(V_Arbitraj!$AC$2:$AC$14,ROW()-3),V_Arbitraj!$AC$2:$AC$14,0))</f>
        <v>7.6700000000000004E-2</v>
      </c>
      <c r="AA5" s="8">
        <f>INDEX(V_Arbitraj!Z$2:Z$14,MATCH(LARGE(V_Arbitraj!$AC$2:$AC$14,ROW()-3),V_Arbitraj!$AC$2:$AC$14,0))</f>
        <v>-2.0999999999999999E-3</v>
      </c>
      <c r="AB5" s="8">
        <f>INDEX(V_Arbitraj!AA$2:AA$14,MATCH(LARGE(V_Arbitraj!$AC$2:$AC$14,ROW()-3),V_Arbitraj!$AC$2:$AC$14,0))</f>
        <v>0.99959999999999993</v>
      </c>
    </row>
    <row r="6" spans="1:28" x14ac:dyDescent="0.2">
      <c r="A6">
        <v>3</v>
      </c>
      <c r="B6" s="5" t="str">
        <f>INDEX(V_Arbitraj!A$2:A$14,MATCH(LARGE(V_Arbitraj!$AC$2:$AC$14,ROW()-3),V_Arbitraj!$AC$2:$AC$14,0))</f>
        <v>LPH</v>
      </c>
      <c r="C6" s="5" t="str">
        <f>INDEX(V_Arbitraj!B$2:B$14,MATCH(LARGE(V_Arbitraj!$AC$2:$AC$14,ROW()-3),V_Arbitraj!$AC$2:$AC$14,0))</f>
        <v>Statech Portföy İstatistiksel Arbitraj Hisse Senedi Serbest (TL) Fon (Hisse Senedi Yoğun Fon)</v>
      </c>
      <c r="D6" s="5" t="str">
        <f>INDEX(V_Arbitraj!C$2:C$14,MATCH(LARGE(V_Arbitraj!$AC$2:$AC$14,ROW()-3),V_Arbitraj!$AC$2:$AC$14,0))</f>
        <v>Statech Portföy</v>
      </c>
      <c r="E6" s="8">
        <f>INDEX(V_Arbitraj!D$2:D$14,MATCH(LARGE(V_Arbitraj!$AC$2:$AC$14,ROW()-3),V_Arbitraj!$AC$2:$AC$14,0))</f>
        <v>3.5000000000000003E-2</v>
      </c>
      <c r="F6" s="9">
        <f>INDEX(V_Arbitraj!E$2:E$14,MATCH(LARGE(V_Arbitraj!$AC$2:$AC$14,ROW()-3),V_Arbitraj!$AC$2:$AC$14,0))</f>
        <v>0.28554762647066129</v>
      </c>
      <c r="G6" s="9">
        <f>INDEX(V_Arbitraj!F$2:F$14,MATCH(LARGE(V_Arbitraj!$AC$2:$AC$14,ROW()-3),V_Arbitraj!$AC$2:$AC$14,0))</f>
        <v>0.95667655958020514</v>
      </c>
      <c r="H6" s="9">
        <f>INDEX(V_Arbitraj!G$2:G$14,MATCH(LARGE(V_Arbitraj!$AC$2:$AC$14,ROW()-3),V_Arbitraj!$AC$2:$AC$14,0))</f>
        <v>3.4575853669200911</v>
      </c>
      <c r="I6" s="9">
        <f>INDEX(V_Arbitraj!H$2:H$14,MATCH(LARGE(V_Arbitraj!$AC$2:$AC$14,ROW()-3),V_Arbitraj!$AC$2:$AC$14,0))</f>
        <v>31.611834569439878</v>
      </c>
      <c r="J6" s="9">
        <f>INDEX(V_Arbitraj!I$2:I$14,MATCH(LARGE(V_Arbitraj!$AC$2:$AC$14,ROW()-3),V_Arbitraj!$AC$2:$AC$14,0))</f>
        <v>64.932362983353613</v>
      </c>
      <c r="K6" s="10">
        <f>INDEX(V_Arbitraj!J$2:J$14,MATCH(LARGE(V_Arbitraj!$AC$2:$AC$14,ROW()-3),V_Arbitraj!$AC$2:$AC$14,0))</f>
        <v>1661</v>
      </c>
      <c r="L6" s="10">
        <f>INDEX(V_Arbitraj!K$2:K$14,MATCH(LARGE(V_Arbitraj!$AC$2:$AC$14,ROW()-3),V_Arbitraj!$AC$2:$AC$14,0))</f>
        <v>1683</v>
      </c>
      <c r="M6" s="8">
        <f>INDEX(V_Arbitraj!L$2:L$14,MATCH(LARGE(V_Arbitraj!$AC$2:$AC$14,ROW()-3),V_Arbitraj!$AC$2:$AC$14,0))</f>
        <v>1.3245033112582851E-2</v>
      </c>
      <c r="N6" s="11">
        <f>INDEX(V_Arbitraj!M$2:M$14,MATCH(LARGE(V_Arbitraj!$AC$2:$AC$14,ROW()-3),V_Arbitraj!$AC$2:$AC$14,0))</f>
        <v>1624428680.78</v>
      </c>
      <c r="O6" s="11">
        <f>INDEX(V_Arbitraj!N$2:N$14,MATCH(LARGE(V_Arbitraj!$AC$2:$AC$14,ROW()-3),V_Arbitraj!$AC$2:$AC$14,0))</f>
        <v>2240362781.3699999</v>
      </c>
      <c r="P6" s="8">
        <f>INDEX(V_Arbitraj!O$2:O$14,MATCH(LARGE(V_Arbitraj!$AC$2:$AC$14,ROW()-3),V_Arbitraj!$AC$2:$AC$14,0))</f>
        <v>0.37916967847073951</v>
      </c>
      <c r="Q6" s="9">
        <f>INDEX(V_Arbitraj!P$2:P$14,MATCH(LARGE(V_Arbitraj!$AC$2:$AC$14,ROW()-3),V_Arbitraj!$AC$2:$AC$14,0))</f>
        <v>0.13407651676832191</v>
      </c>
      <c r="R6" s="5" t="str">
        <f>INDEX(V_Arbitraj!Q$2:Q$14,MATCH(LARGE(V_Arbitraj!$AC$2:$AC$14,ROW()-3),V_Arbitraj!$AC$2:$AC$14,0))</f>
        <v>Görüyor</v>
      </c>
      <c r="S6" s="8">
        <f>INDEX(V_Arbitraj!R$2:R$14,MATCH(LARGE(V_Arbitraj!$AC$2:$AC$14,ROW()-3),V_Arbitraj!$AC$2:$AC$14,0))</f>
        <v>0</v>
      </c>
      <c r="T6" s="8">
        <f>INDEX(V_Arbitraj!S$2:S$14,MATCH(LARGE(V_Arbitraj!$AC$2:$AC$14,ROW()-3),V_Arbitraj!$AC$2:$AC$14,0))</f>
        <v>0.14630000000000001</v>
      </c>
      <c r="U6" s="8">
        <f>INDEX(V_Arbitraj!T$2:T$14,MATCH(LARGE(V_Arbitraj!$AC$2:$AC$14,ROW()-3),V_Arbitraj!$AC$2:$AC$14,0))</f>
        <v>0</v>
      </c>
      <c r="V6" s="8">
        <f>INDEX(V_Arbitraj!U$2:U$14,MATCH(LARGE(V_Arbitraj!$AC$2:$AC$14,ROW()-3),V_Arbitraj!$AC$2:$AC$14,0))</f>
        <v>0.85370000000000001</v>
      </c>
      <c r="W6" s="8">
        <f>INDEX(V_Arbitraj!V$2:V$14,MATCH(LARGE(V_Arbitraj!$AC$2:$AC$14,ROW()-3),V_Arbitraj!$AC$2:$AC$14,0))</f>
        <v>0</v>
      </c>
      <c r="X6" s="8">
        <f>INDEX(V_Arbitraj!W$2:W$14,MATCH(LARGE(V_Arbitraj!$AC$2:$AC$14,ROW()-3),V_Arbitraj!$AC$2:$AC$14,0))</f>
        <v>0</v>
      </c>
      <c r="Y6" s="8">
        <f>INDEX(V_Arbitraj!X$2:X$14,MATCH(LARGE(V_Arbitraj!$AC$2:$AC$14,ROW()-3),V_Arbitraj!$AC$2:$AC$14,0))</f>
        <v>0</v>
      </c>
      <c r="Z6" s="8">
        <f>INDEX(V_Arbitraj!Y$2:Y$14,MATCH(LARGE(V_Arbitraj!$AC$2:$AC$14,ROW()-3),V_Arbitraj!$AC$2:$AC$14,0))</f>
        <v>0</v>
      </c>
      <c r="AA6" s="8">
        <f>INDEX(V_Arbitraj!Z$2:Z$14,MATCH(LARGE(V_Arbitraj!$AC$2:$AC$14,ROW()-3),V_Arbitraj!$AC$2:$AC$14,0))</f>
        <v>0</v>
      </c>
      <c r="AB6" s="8">
        <f>INDEX(V_Arbitraj!AA$2:AA$14,MATCH(LARGE(V_Arbitraj!$AC$2:$AC$14,ROW()-3),V_Arbitraj!$AC$2:$AC$14,0))</f>
        <v>1</v>
      </c>
    </row>
    <row r="7" spans="1:28" x14ac:dyDescent="0.2">
      <c r="A7">
        <v>4</v>
      </c>
      <c r="B7" s="5" t="str">
        <f>INDEX(V_Arbitraj!A$2:A$14,MATCH(LARGE(V_Arbitraj!$AC$2:$AC$14,ROW()-3),V_Arbitraj!$AC$2:$AC$14,0))</f>
        <v>TCI</v>
      </c>
      <c r="C7" s="5" t="str">
        <f>INDEX(V_Arbitraj!B$2:B$14,MATCH(LARGE(V_Arbitraj!$AC$2:$AC$14,ROW()-3),V_Arbitraj!$AC$2:$AC$14,0))</f>
        <v>Tacirler Portföy İstatistiksel Arbitraj Serbest Fon</v>
      </c>
      <c r="D7" s="5" t="str">
        <f>INDEX(V_Arbitraj!C$2:C$14,MATCH(LARGE(V_Arbitraj!$AC$2:$AC$14,ROW()-3),V_Arbitraj!$AC$2:$AC$14,0))</f>
        <v>Tacirler Portföy</v>
      </c>
      <c r="E7" s="8">
        <f>INDEX(V_Arbitraj!D$2:D$14,MATCH(LARGE(V_Arbitraj!$AC$2:$AC$14,ROW()-3),V_Arbitraj!$AC$2:$AC$14,0))</f>
        <v>3.5000000000000003E-2</v>
      </c>
      <c r="F7" s="9">
        <f>INDEX(V_Arbitraj!E$2:E$14,MATCH(LARGE(V_Arbitraj!$AC$2:$AC$14,ROW()-3),V_Arbitraj!$AC$2:$AC$14,0))</f>
        <v>0.2609060489499937</v>
      </c>
      <c r="G7" s="9">
        <f>INDEX(V_Arbitraj!F$2:F$14,MATCH(LARGE(V_Arbitraj!$AC$2:$AC$14,ROW()-3),V_Arbitraj!$AC$2:$AC$14,0))</f>
        <v>0.70593744597697849</v>
      </c>
      <c r="H7" s="9">
        <f>INDEX(V_Arbitraj!G$2:G$14,MATCH(LARGE(V_Arbitraj!$AC$2:$AC$14,ROW()-3),V_Arbitraj!$AC$2:$AC$14,0))</f>
        <v>3.2436741917455159</v>
      </c>
      <c r="I7" s="9">
        <f>INDEX(V_Arbitraj!H$2:H$14,MATCH(LARGE(V_Arbitraj!$AC$2:$AC$14,ROW()-3),V_Arbitraj!$AC$2:$AC$14,0))</f>
        <v>21.828323595495711</v>
      </c>
      <c r="J7" s="9">
        <f>INDEX(V_Arbitraj!I$2:I$14,MATCH(LARGE(V_Arbitraj!$AC$2:$AC$14,ROW()-3),V_Arbitraj!$AC$2:$AC$14,0))</f>
        <v>44.31173620391484</v>
      </c>
      <c r="K7" s="10">
        <f>INDEX(V_Arbitraj!J$2:J$14,MATCH(LARGE(V_Arbitraj!$AC$2:$AC$14,ROW()-3),V_Arbitraj!$AC$2:$AC$14,0))</f>
        <v>17</v>
      </c>
      <c r="L7" s="10">
        <f>INDEX(V_Arbitraj!K$2:K$14,MATCH(LARGE(V_Arbitraj!$AC$2:$AC$14,ROW()-3),V_Arbitraj!$AC$2:$AC$14,0))</f>
        <v>16</v>
      </c>
      <c r="M7" s="8">
        <f>INDEX(V_Arbitraj!L$2:L$14,MATCH(LARGE(V_Arbitraj!$AC$2:$AC$14,ROW()-3),V_Arbitraj!$AC$2:$AC$14,0))</f>
        <v>-5.8823529411764719E-2</v>
      </c>
      <c r="N7" s="11">
        <f>INDEX(V_Arbitraj!M$2:M$14,MATCH(LARGE(V_Arbitraj!$AC$2:$AC$14,ROW()-3),V_Arbitraj!$AC$2:$AC$14,0))</f>
        <v>1385613227.95</v>
      </c>
      <c r="O7" s="11">
        <f>INDEX(V_Arbitraj!N$2:N$14,MATCH(LARGE(V_Arbitraj!$AC$2:$AC$14,ROW()-3),V_Arbitraj!$AC$2:$AC$14,0))</f>
        <v>1352534182.3199999</v>
      </c>
      <c r="P7" s="8">
        <f>INDEX(V_Arbitraj!O$2:O$14,MATCH(LARGE(V_Arbitraj!$AC$2:$AC$14,ROW()-3),V_Arbitraj!$AC$2:$AC$14,0))</f>
        <v>-2.3873217260591661E-2</v>
      </c>
      <c r="Q7" s="9">
        <f>INDEX(V_Arbitraj!P$2:P$14,MATCH(LARGE(V_Arbitraj!$AC$2:$AC$14,ROW()-3),V_Arbitraj!$AC$2:$AC$14,0))</f>
        <v>8.6020675440340671E-2</v>
      </c>
      <c r="R7" s="5" t="str">
        <f>INDEX(V_Arbitraj!Q$2:Q$14,MATCH(LARGE(V_Arbitraj!$AC$2:$AC$14,ROW()-3),V_Arbitraj!$AC$2:$AC$14,0))</f>
        <v>Görmüyor</v>
      </c>
      <c r="S7" s="8">
        <f>INDEX(V_Arbitraj!R$2:R$14,MATCH(LARGE(V_Arbitraj!$AC$2:$AC$14,ROW()-3),V_Arbitraj!$AC$2:$AC$14,0))</f>
        <v>0.15440000000000001</v>
      </c>
      <c r="T7" s="8">
        <f>INDEX(V_Arbitraj!S$2:S$14,MATCH(LARGE(V_Arbitraj!$AC$2:$AC$14,ROW()-3),V_Arbitraj!$AC$2:$AC$14,0))</f>
        <v>7.400000000000001E-2</v>
      </c>
      <c r="U7" s="8">
        <f>INDEX(V_Arbitraj!T$2:T$14,MATCH(LARGE(V_Arbitraj!$AC$2:$AC$14,ROW()-3),V_Arbitraj!$AC$2:$AC$14,0))</f>
        <v>0.33050000000000002</v>
      </c>
      <c r="V7" s="8">
        <f>INDEX(V_Arbitraj!U$2:U$14,MATCH(LARGE(V_Arbitraj!$AC$2:$AC$14,ROW()-3),V_Arbitraj!$AC$2:$AC$14,0))</f>
        <v>0.12089999999999999</v>
      </c>
      <c r="W7" s="8">
        <f>INDEX(V_Arbitraj!V$2:V$14,MATCH(LARGE(V_Arbitraj!$AC$2:$AC$14,ROW()-3),V_Arbitraj!$AC$2:$AC$14,0))</f>
        <v>4.0000000000000002E-4</v>
      </c>
      <c r="X7" s="8">
        <f>INDEX(V_Arbitraj!W$2:W$14,MATCH(LARGE(V_Arbitraj!$AC$2:$AC$14,ROW()-3),V_Arbitraj!$AC$2:$AC$14,0))</f>
        <v>0.186</v>
      </c>
      <c r="Y7" s="8">
        <f>INDEX(V_Arbitraj!X$2:X$14,MATCH(LARGE(V_Arbitraj!$AC$2:$AC$14,ROW()-3),V_Arbitraj!$AC$2:$AC$14,0))</f>
        <v>0</v>
      </c>
      <c r="Z7" s="8">
        <f>INDEX(V_Arbitraj!Y$2:Y$14,MATCH(LARGE(V_Arbitraj!$AC$2:$AC$14,ROW()-3),V_Arbitraj!$AC$2:$AC$14,0))</f>
        <v>0.1338</v>
      </c>
      <c r="AA7" s="8">
        <f>INDEX(V_Arbitraj!Z$2:Z$14,MATCH(LARGE(V_Arbitraj!$AC$2:$AC$14,ROW()-3),V_Arbitraj!$AC$2:$AC$14,0))</f>
        <v>0</v>
      </c>
      <c r="AB7" s="8">
        <f>INDEX(V_Arbitraj!AA$2:AA$14,MATCH(LARGE(V_Arbitraj!$AC$2:$AC$14,ROW()-3),V_Arbitraj!$AC$2:$AC$14,0))</f>
        <v>1</v>
      </c>
    </row>
    <row r="8" spans="1:28" x14ac:dyDescent="0.2">
      <c r="A8">
        <v>5</v>
      </c>
      <c r="B8" s="5" t="str">
        <f>INDEX(V_Arbitraj!A$2:A$14,MATCH(LARGE(V_Arbitraj!$AC$2:$AC$14,ROW()-3),V_Arbitraj!$AC$2:$AC$14,0))</f>
        <v>BVZ</v>
      </c>
      <c r="C8" s="5" t="str">
        <f>INDEX(V_Arbitraj!B$2:B$14,MATCH(LARGE(V_Arbitraj!$AC$2:$AC$14,ROW()-3),V_Arbitraj!$AC$2:$AC$14,0))</f>
        <v>BV Portföy İstatistiksel Arbitraj Serbest (TL) Fon</v>
      </c>
      <c r="D8" s="5" t="str">
        <f>INDEX(V_Arbitraj!C$2:C$14,MATCH(LARGE(V_Arbitraj!$AC$2:$AC$14,ROW()-3),V_Arbitraj!$AC$2:$AC$14,0))</f>
        <v>BV Portföy</v>
      </c>
      <c r="E8" s="8">
        <f>INDEX(V_Arbitraj!D$2:D$14,MATCH(LARGE(V_Arbitraj!$AC$2:$AC$14,ROW()-3),V_Arbitraj!$AC$2:$AC$14,0))</f>
        <v>4.2000000000000003E-2</v>
      </c>
      <c r="F8" s="9">
        <f>INDEX(V_Arbitraj!E$2:E$14,MATCH(LARGE(V_Arbitraj!$AC$2:$AC$14,ROW()-3),V_Arbitraj!$AC$2:$AC$14,0))</f>
        <v>0.2470981106840853</v>
      </c>
      <c r="G8" s="9">
        <f>INDEX(V_Arbitraj!F$2:F$14,MATCH(LARGE(V_Arbitraj!$AC$2:$AC$14,ROW()-3),V_Arbitraj!$AC$2:$AC$14,0))</f>
        <v>0.86947754328132731</v>
      </c>
      <c r="H8" s="9">
        <f>INDEX(V_Arbitraj!G$2:G$14,MATCH(LARGE(V_Arbitraj!$AC$2:$AC$14,ROW()-3),V_Arbitraj!$AC$2:$AC$14,0))</f>
        <v>3.574856442801067</v>
      </c>
      <c r="I8" s="9">
        <f>INDEX(V_Arbitraj!H$2:H$14,MATCH(LARGE(V_Arbitraj!$AC$2:$AC$14,ROW()-3),V_Arbitraj!$AC$2:$AC$14,0))</f>
        <v>23.814920601270241</v>
      </c>
      <c r="J8" s="9">
        <f>INDEX(V_Arbitraj!I$2:I$14,MATCH(LARGE(V_Arbitraj!$AC$2:$AC$14,ROW()-3),V_Arbitraj!$AC$2:$AC$14,0))</f>
        <v>47.823585646196477</v>
      </c>
      <c r="K8" s="10">
        <f>INDEX(V_Arbitraj!J$2:J$14,MATCH(LARGE(V_Arbitraj!$AC$2:$AC$14,ROW()-3),V_Arbitraj!$AC$2:$AC$14,0))</f>
        <v>704</v>
      </c>
      <c r="L8" s="10">
        <f>INDEX(V_Arbitraj!K$2:K$14,MATCH(LARGE(V_Arbitraj!$AC$2:$AC$14,ROW()-3),V_Arbitraj!$AC$2:$AC$14,0))</f>
        <v>678</v>
      </c>
      <c r="M8" s="8">
        <f>INDEX(V_Arbitraj!L$2:L$14,MATCH(LARGE(V_Arbitraj!$AC$2:$AC$14,ROW()-3),V_Arbitraj!$AC$2:$AC$14,0))</f>
        <v>-3.6931818181818232E-2</v>
      </c>
      <c r="N8" s="11">
        <f>INDEX(V_Arbitraj!M$2:M$14,MATCH(LARGE(V_Arbitraj!$AC$2:$AC$14,ROW()-3),V_Arbitraj!$AC$2:$AC$14,0))</f>
        <v>2953049780.3200002</v>
      </c>
      <c r="O8" s="11">
        <f>INDEX(V_Arbitraj!N$2:N$14,MATCH(LARGE(V_Arbitraj!$AC$2:$AC$14,ROW()-3),V_Arbitraj!$AC$2:$AC$14,0))</f>
        <v>2697504220.9200001</v>
      </c>
      <c r="P8" s="8">
        <f>INDEX(V_Arbitraj!O$2:O$14,MATCH(LARGE(V_Arbitraj!$AC$2:$AC$14,ROW()-3),V_Arbitraj!$AC$2:$AC$14,0))</f>
        <v>-8.6536150221046548E-2</v>
      </c>
      <c r="Q8" s="9">
        <f>INDEX(V_Arbitraj!P$2:P$14,MATCH(LARGE(V_Arbitraj!$AC$2:$AC$14,ROW()-3),V_Arbitraj!$AC$2:$AC$14,0))</f>
        <v>8.3391417846245638E-2</v>
      </c>
      <c r="R8" s="5" t="str">
        <f>INDEX(V_Arbitraj!Q$2:Q$14,MATCH(LARGE(V_Arbitraj!$AC$2:$AC$14,ROW()-3),V_Arbitraj!$AC$2:$AC$14,0))</f>
        <v>Görüyor</v>
      </c>
      <c r="S8" s="8">
        <f>INDEX(V_Arbitraj!R$2:R$14,MATCH(LARGE(V_Arbitraj!$AC$2:$AC$14,ROW()-3),V_Arbitraj!$AC$2:$AC$14,0))</f>
        <v>0</v>
      </c>
      <c r="T8" s="8">
        <f>INDEX(V_Arbitraj!S$2:S$14,MATCH(LARGE(V_Arbitraj!$AC$2:$AC$14,ROW()-3),V_Arbitraj!$AC$2:$AC$14,0))</f>
        <v>2.4799999999999999E-2</v>
      </c>
      <c r="U8" s="8">
        <f>INDEX(V_Arbitraj!T$2:T$14,MATCH(LARGE(V_Arbitraj!$AC$2:$AC$14,ROW()-3),V_Arbitraj!$AC$2:$AC$14,0))</f>
        <v>0.43619999999999998</v>
      </c>
      <c r="V8" s="8">
        <f>INDEX(V_Arbitraj!U$2:U$14,MATCH(LARGE(V_Arbitraj!$AC$2:$AC$14,ROW()-3),V_Arbitraj!$AC$2:$AC$14,0))</f>
        <v>0.1326</v>
      </c>
      <c r="W8" s="8">
        <f>INDEX(V_Arbitraj!V$2:V$14,MATCH(LARGE(V_Arbitraj!$AC$2:$AC$14,ROW()-3),V_Arbitraj!$AC$2:$AC$14,0))</f>
        <v>0.27239999999999998</v>
      </c>
      <c r="X8" s="8">
        <f>INDEX(V_Arbitraj!W$2:W$14,MATCH(LARGE(V_Arbitraj!$AC$2:$AC$14,ROW()-3),V_Arbitraj!$AC$2:$AC$14,0))</f>
        <v>6.4000000000000003E-3</v>
      </c>
      <c r="Y8" s="8">
        <f>INDEX(V_Arbitraj!X$2:X$14,MATCH(LARGE(V_Arbitraj!$AC$2:$AC$14,ROW()-3),V_Arbitraj!$AC$2:$AC$14,0))</f>
        <v>0</v>
      </c>
      <c r="Z8" s="8">
        <f>INDEX(V_Arbitraj!Y$2:Y$14,MATCH(LARGE(V_Arbitraj!$AC$2:$AC$14,ROW()-3),V_Arbitraj!$AC$2:$AC$14,0))</f>
        <v>7.4800000000000005E-2</v>
      </c>
      <c r="AA8" s="8">
        <f>INDEX(V_Arbitraj!Z$2:Z$14,MATCH(LARGE(V_Arbitraj!$AC$2:$AC$14,ROW()-3),V_Arbitraj!$AC$2:$AC$14,0))</f>
        <v>1.0800000000000001E-2</v>
      </c>
      <c r="AB8" s="8">
        <f>INDEX(V_Arbitraj!AA$2:AA$14,MATCH(LARGE(V_Arbitraj!$AC$2:$AC$14,ROW()-3),V_Arbitraj!$AC$2:$AC$14,0))</f>
        <v>0.95799999999999996</v>
      </c>
    </row>
    <row r="9" spans="1:28" x14ac:dyDescent="0.2">
      <c r="A9">
        <v>6</v>
      </c>
      <c r="B9" s="5" t="str">
        <f>INDEX(V_Arbitraj!A$2:A$14,MATCH(LARGE(V_Arbitraj!$AC$2:$AC$14,ROW()-3),V_Arbitraj!$AC$2:$AC$14,0))</f>
        <v>SST</v>
      </c>
      <c r="C9" s="5" t="str">
        <f>INDEX(V_Arbitraj!B$2:B$14,MATCH(LARGE(V_Arbitraj!$AC$2:$AC$14,ROW()-3),V_Arbitraj!$AC$2:$AC$14,0))</f>
        <v>Strateji Portföy İstatistiksel Arbitraj Serbest Fon</v>
      </c>
      <c r="D9" s="5" t="str">
        <f>INDEX(V_Arbitraj!C$2:C$14,MATCH(LARGE(V_Arbitraj!$AC$2:$AC$14,ROW()-3),V_Arbitraj!$AC$2:$AC$14,0))</f>
        <v>Strateji Portföy</v>
      </c>
      <c r="E9" s="8">
        <f>INDEX(V_Arbitraj!D$2:D$14,MATCH(LARGE(V_Arbitraj!$AC$2:$AC$14,ROW()-3),V_Arbitraj!$AC$2:$AC$14,0))</f>
        <v>0.03</v>
      </c>
      <c r="F9" s="9">
        <f>INDEX(V_Arbitraj!E$2:E$14,MATCH(LARGE(V_Arbitraj!$AC$2:$AC$14,ROW()-3),V_Arbitraj!$AC$2:$AC$14,0))</f>
        <v>0.21290220743270799</v>
      </c>
      <c r="G9" s="9">
        <f>INDEX(V_Arbitraj!F$2:F$14,MATCH(LARGE(V_Arbitraj!$AC$2:$AC$14,ROW()-3),V_Arbitraj!$AC$2:$AC$14,0))</f>
        <v>0.42212813019422152</v>
      </c>
      <c r="H9" s="9">
        <f>INDEX(V_Arbitraj!G$2:G$14,MATCH(LARGE(V_Arbitraj!$AC$2:$AC$14,ROW()-3),V_Arbitraj!$AC$2:$AC$14,0))</f>
        <v>2.533229516397784</v>
      </c>
      <c r="I9" s="9">
        <f>INDEX(V_Arbitraj!H$2:H$14,MATCH(LARGE(V_Arbitraj!$AC$2:$AC$14,ROW()-3),V_Arbitraj!$AC$2:$AC$14,0))</f>
        <v>16.4061073367793</v>
      </c>
      <c r="J9" s="9">
        <f>INDEX(V_Arbitraj!I$2:I$14,MATCH(LARGE(V_Arbitraj!$AC$2:$AC$14,ROW()-3),V_Arbitraj!$AC$2:$AC$14,0))</f>
        <v>34.04513717530029</v>
      </c>
      <c r="K9" s="10">
        <f>INDEX(V_Arbitraj!J$2:J$14,MATCH(LARGE(V_Arbitraj!$AC$2:$AC$14,ROW()-3),V_Arbitraj!$AC$2:$AC$14,0))</f>
        <v>22</v>
      </c>
      <c r="L9" s="10">
        <f>INDEX(V_Arbitraj!K$2:K$14,MATCH(LARGE(V_Arbitraj!$AC$2:$AC$14,ROW()-3),V_Arbitraj!$AC$2:$AC$14,0))</f>
        <v>22</v>
      </c>
      <c r="M9" s="8">
        <f>INDEX(V_Arbitraj!L$2:L$14,MATCH(LARGE(V_Arbitraj!$AC$2:$AC$14,ROW()-3),V_Arbitraj!$AC$2:$AC$14,0))</f>
        <v>0</v>
      </c>
      <c r="N9" s="11">
        <f>INDEX(V_Arbitraj!M$2:M$14,MATCH(LARGE(V_Arbitraj!$AC$2:$AC$14,ROW()-3),V_Arbitraj!$AC$2:$AC$14,0))</f>
        <v>8987622.25</v>
      </c>
      <c r="O9" s="11">
        <f>INDEX(V_Arbitraj!N$2:N$14,MATCH(LARGE(V_Arbitraj!$AC$2:$AC$14,ROW()-3),V_Arbitraj!$AC$2:$AC$14,0))</f>
        <v>9215302.9100000001</v>
      </c>
      <c r="P9" s="8">
        <f>INDEX(V_Arbitraj!O$2:O$14,MATCH(LARGE(V_Arbitraj!$AC$2:$AC$14,ROW()-3),V_Arbitraj!$AC$2:$AC$14,0))</f>
        <v>2.533269130219629E-2</v>
      </c>
      <c r="Q9" s="9">
        <f>INDEX(V_Arbitraj!P$2:P$14,MATCH(LARGE(V_Arbitraj!$AC$2:$AC$14,ROW()-3),V_Arbitraj!$AC$2:$AC$14,0))</f>
        <v>0.1162117098546475</v>
      </c>
      <c r="R9" s="5" t="str">
        <f>INDEX(V_Arbitraj!Q$2:Q$14,MATCH(LARGE(V_Arbitraj!$AC$2:$AC$14,ROW()-3),V_Arbitraj!$AC$2:$AC$14,0))</f>
        <v>Görmüyor</v>
      </c>
      <c r="S9" s="8">
        <f>INDEX(V_Arbitraj!R$2:R$14,MATCH(LARGE(V_Arbitraj!$AC$2:$AC$14,ROW()-3),V_Arbitraj!$AC$2:$AC$14,0))</f>
        <v>0</v>
      </c>
      <c r="T9" s="8">
        <f>INDEX(V_Arbitraj!S$2:S$14,MATCH(LARGE(V_Arbitraj!$AC$2:$AC$14,ROW()-3),V_Arbitraj!$AC$2:$AC$14,0))</f>
        <v>0.46239999999999998</v>
      </c>
      <c r="U9" s="8">
        <f>INDEX(V_Arbitraj!T$2:T$14,MATCH(LARGE(V_Arbitraj!$AC$2:$AC$14,ROW()-3),V_Arbitraj!$AC$2:$AC$14,0))</f>
        <v>0</v>
      </c>
      <c r="V9" s="8">
        <f>INDEX(V_Arbitraj!U$2:U$14,MATCH(LARGE(V_Arbitraj!$AC$2:$AC$14,ROW()-3),V_Arbitraj!$AC$2:$AC$14,0))</f>
        <v>0.52139999999999997</v>
      </c>
      <c r="W9" s="8">
        <f>INDEX(V_Arbitraj!V$2:V$14,MATCH(LARGE(V_Arbitraj!$AC$2:$AC$14,ROW()-3),V_Arbitraj!$AC$2:$AC$14,0))</f>
        <v>0</v>
      </c>
      <c r="X9" s="8">
        <f>INDEX(V_Arbitraj!W$2:W$14,MATCH(LARGE(V_Arbitraj!$AC$2:$AC$14,ROW()-3),V_Arbitraj!$AC$2:$AC$14,0))</f>
        <v>0</v>
      </c>
      <c r="Y9" s="8">
        <f>INDEX(V_Arbitraj!X$2:X$14,MATCH(LARGE(V_Arbitraj!$AC$2:$AC$14,ROW()-3),V_Arbitraj!$AC$2:$AC$14,0))</f>
        <v>0</v>
      </c>
      <c r="Z9" s="8">
        <f>INDEX(V_Arbitraj!Y$2:Y$14,MATCH(LARGE(V_Arbitraj!$AC$2:$AC$14,ROW()-3),V_Arbitraj!$AC$2:$AC$14,0))</f>
        <v>0</v>
      </c>
      <c r="AA9" s="8">
        <f>INDEX(V_Arbitraj!Z$2:Z$14,MATCH(LARGE(V_Arbitraj!$AC$2:$AC$14,ROW()-3),V_Arbitraj!$AC$2:$AC$14,0))</f>
        <v>0</v>
      </c>
      <c r="AB9" s="8">
        <f>INDEX(V_Arbitraj!AA$2:AA$14,MATCH(LARGE(V_Arbitraj!$AC$2:$AC$14,ROW()-3),V_Arbitraj!$AC$2:$AC$14,0))</f>
        <v>0.98380000000000001</v>
      </c>
    </row>
    <row r="10" spans="1:28" x14ac:dyDescent="0.2">
      <c r="A10">
        <v>7</v>
      </c>
      <c r="B10" s="5" t="str">
        <f>INDEX(V_Arbitraj!A$2:A$14,MATCH(LARGE(V_Arbitraj!$AC$2:$AC$14,ROW()-3),V_Arbitraj!$AC$2:$AC$14,0))</f>
        <v>MPI</v>
      </c>
      <c r="C10" s="5" t="str">
        <f>INDEX(V_Arbitraj!B$2:B$14,MATCH(LARGE(V_Arbitraj!$AC$2:$AC$14,ROW()-3),V_Arbitraj!$AC$2:$AC$14,0))</f>
        <v>Meksa Portföy İstatistiksel Arbitraj Serbest (TL) Fon</v>
      </c>
      <c r="D10" s="5" t="str">
        <f>INDEX(V_Arbitraj!C$2:C$14,MATCH(LARGE(V_Arbitraj!$AC$2:$AC$14,ROW()-3),V_Arbitraj!$AC$2:$AC$14,0))</f>
        <v>Meksa Portföy</v>
      </c>
      <c r="E10" s="8">
        <f>INDEX(V_Arbitraj!D$2:D$14,MATCH(LARGE(V_Arbitraj!$AC$2:$AC$14,ROW()-3),V_Arbitraj!$AC$2:$AC$14,0))</f>
        <v>0.02</v>
      </c>
      <c r="F10" s="9">
        <f>INDEX(V_Arbitraj!E$2:E$14,MATCH(LARGE(V_Arbitraj!$AC$2:$AC$14,ROW()-3),V_Arbitraj!$AC$2:$AC$14,0))</f>
        <v>0.16491231124302619</v>
      </c>
      <c r="G10" s="9">
        <f>INDEX(V_Arbitraj!F$2:F$14,MATCH(LARGE(V_Arbitraj!$AC$2:$AC$14,ROW()-3),V_Arbitraj!$AC$2:$AC$14,0))</f>
        <v>0.76124045418479724</v>
      </c>
      <c r="H10" s="9">
        <f>INDEX(V_Arbitraj!G$2:G$14,MATCH(LARGE(V_Arbitraj!$AC$2:$AC$14,ROW()-3),V_Arbitraj!$AC$2:$AC$14,0))</f>
        <v>3.0372908065784849</v>
      </c>
      <c r="I10" s="9">
        <f>INDEX(V_Arbitraj!H$2:H$14,MATCH(LARGE(V_Arbitraj!$AC$2:$AC$14,ROW()-3),V_Arbitraj!$AC$2:$AC$14,0))</f>
        <v>21.226000175844419</v>
      </c>
      <c r="J10" s="9">
        <f>INDEX(V_Arbitraj!I$2:I$14,MATCH(LARGE(V_Arbitraj!$AC$2:$AC$14,ROW()-3),V_Arbitraj!$AC$2:$AC$14,0))</f>
        <v>44.148713728770119</v>
      </c>
      <c r="K10" s="10">
        <f>INDEX(V_Arbitraj!J$2:J$14,MATCH(LARGE(V_Arbitraj!$AC$2:$AC$14,ROW()-3),V_Arbitraj!$AC$2:$AC$14,0))</f>
        <v>35</v>
      </c>
      <c r="L10" s="10">
        <f>INDEX(V_Arbitraj!K$2:K$14,MATCH(LARGE(V_Arbitraj!$AC$2:$AC$14,ROW()-3),V_Arbitraj!$AC$2:$AC$14,0))</f>
        <v>34</v>
      </c>
      <c r="M10" s="8">
        <f>INDEX(V_Arbitraj!L$2:L$14,MATCH(LARGE(V_Arbitraj!$AC$2:$AC$14,ROW()-3),V_Arbitraj!$AC$2:$AC$14,0))</f>
        <v>-2.8571428571428581E-2</v>
      </c>
      <c r="N10" s="11">
        <f>INDEX(V_Arbitraj!M$2:M$14,MATCH(LARGE(V_Arbitraj!$AC$2:$AC$14,ROW()-3),V_Arbitraj!$AC$2:$AC$14,0))</f>
        <v>76274279.560000002</v>
      </c>
      <c r="O10" s="11">
        <f>INDEX(V_Arbitraj!N$2:N$14,MATCH(LARGE(V_Arbitraj!$AC$2:$AC$14,ROW()-3),V_Arbitraj!$AC$2:$AC$14,0))</f>
        <v>75635369.209999993</v>
      </c>
      <c r="P10" s="8">
        <f>INDEX(V_Arbitraj!O$2:O$14,MATCH(LARGE(V_Arbitraj!$AC$2:$AC$14,ROW()-3),V_Arbitraj!$AC$2:$AC$14,0))</f>
        <v>-8.3764848869849473E-3</v>
      </c>
      <c r="Q10" s="9">
        <f>INDEX(V_Arbitraj!P$2:P$14,MATCH(LARGE(V_Arbitraj!$AC$2:$AC$14,ROW()-3),V_Arbitraj!$AC$2:$AC$14,0))</f>
        <v>0.1110712748961966</v>
      </c>
      <c r="R10" s="5" t="str">
        <f>INDEX(V_Arbitraj!Q$2:Q$14,MATCH(LARGE(V_Arbitraj!$AC$2:$AC$14,ROW()-3),V_Arbitraj!$AC$2:$AC$14,0))</f>
        <v>Görüyor</v>
      </c>
      <c r="S10" s="8">
        <f>INDEX(V_Arbitraj!R$2:R$14,MATCH(LARGE(V_Arbitraj!$AC$2:$AC$14,ROW()-3),V_Arbitraj!$AC$2:$AC$14,0))</f>
        <v>0</v>
      </c>
      <c r="T10" s="8">
        <f>INDEX(V_Arbitraj!S$2:S$14,MATCH(LARGE(V_Arbitraj!$AC$2:$AC$14,ROW()-3),V_Arbitraj!$AC$2:$AC$14,0))</f>
        <v>0.10059999999999999</v>
      </c>
      <c r="U10" s="8">
        <f>INDEX(V_Arbitraj!T$2:T$14,MATCH(LARGE(V_Arbitraj!$AC$2:$AC$14,ROW()-3),V_Arbitraj!$AC$2:$AC$14,0))</f>
        <v>0</v>
      </c>
      <c r="V10" s="8">
        <f>INDEX(V_Arbitraj!U$2:U$14,MATCH(LARGE(V_Arbitraj!$AC$2:$AC$14,ROW()-3),V_Arbitraj!$AC$2:$AC$14,0))</f>
        <v>0.52790000000000004</v>
      </c>
      <c r="W10" s="8">
        <f>INDEX(V_Arbitraj!V$2:V$14,MATCH(LARGE(V_Arbitraj!$AC$2:$AC$14,ROW()-3),V_Arbitraj!$AC$2:$AC$14,0))</f>
        <v>0.25119999999999998</v>
      </c>
      <c r="X10" s="8">
        <f>INDEX(V_Arbitraj!W$2:W$14,MATCH(LARGE(V_Arbitraj!$AC$2:$AC$14,ROW()-3),V_Arbitraj!$AC$2:$AC$14,0))</f>
        <v>0</v>
      </c>
      <c r="Y10" s="8">
        <f>INDEX(V_Arbitraj!X$2:X$14,MATCH(LARGE(V_Arbitraj!$AC$2:$AC$14,ROW()-3),V_Arbitraj!$AC$2:$AC$14,0))</f>
        <v>5.7200000000000001E-2</v>
      </c>
      <c r="Z10" s="8">
        <f>INDEX(V_Arbitraj!Y$2:Y$14,MATCH(LARGE(V_Arbitraj!$AC$2:$AC$14,ROW()-3),V_Arbitraj!$AC$2:$AC$14,0))</f>
        <v>6.3099999999999989E-2</v>
      </c>
      <c r="AA10" s="8">
        <f>INDEX(V_Arbitraj!Z$2:Z$14,MATCH(LARGE(V_Arbitraj!$AC$2:$AC$14,ROW()-3),V_Arbitraj!$AC$2:$AC$14,0))</f>
        <v>0</v>
      </c>
      <c r="AB10" s="8">
        <f>INDEX(V_Arbitraj!AA$2:AA$14,MATCH(LARGE(V_Arbitraj!$AC$2:$AC$14,ROW()-3),V_Arbitraj!$AC$2:$AC$14,0))</f>
        <v>1</v>
      </c>
    </row>
    <row r="11" spans="1:28" x14ac:dyDescent="0.2">
      <c r="A11">
        <v>8</v>
      </c>
      <c r="B11" s="5" t="str">
        <f>INDEX(V_Arbitraj!A$2:A$14,MATCH(LARGE(V_Arbitraj!$AC$2:$AC$14,ROW()-3),V_Arbitraj!$AC$2:$AC$14,0))</f>
        <v>NIS</v>
      </c>
      <c r="C11" s="5" t="str">
        <f>INDEX(V_Arbitraj!B$2:B$14,MATCH(LARGE(V_Arbitraj!$AC$2:$AC$14,ROW()-3),V_Arbitraj!$AC$2:$AC$14,0))</f>
        <v>Neo Portföy İstatistiksel Arbitraj Serbest Fon</v>
      </c>
      <c r="D11" s="5" t="str">
        <f>INDEX(V_Arbitraj!C$2:C$14,MATCH(LARGE(V_Arbitraj!$AC$2:$AC$14,ROW()-3),V_Arbitraj!$AC$2:$AC$14,0))</f>
        <v>Neo Portföy</v>
      </c>
      <c r="E11" s="8">
        <f>INDEX(V_Arbitraj!D$2:D$14,MATCH(LARGE(V_Arbitraj!$AC$2:$AC$14,ROW()-3),V_Arbitraj!$AC$2:$AC$14,0))</f>
        <v>1.4999999999999999E-2</v>
      </c>
      <c r="F11" s="9">
        <f>INDEX(V_Arbitraj!E$2:E$14,MATCH(LARGE(V_Arbitraj!$AC$2:$AC$14,ROW()-3),V_Arbitraj!$AC$2:$AC$14,0))</f>
        <v>0.13565284437269121</v>
      </c>
      <c r="G11" s="9">
        <f>INDEX(V_Arbitraj!F$2:F$14,MATCH(LARGE(V_Arbitraj!$AC$2:$AC$14,ROW()-3),V_Arbitraj!$AC$2:$AC$14,0))</f>
        <v>0.83867844755316501</v>
      </c>
      <c r="H11" s="9">
        <f>INDEX(V_Arbitraj!G$2:G$14,MATCH(LARGE(V_Arbitraj!$AC$2:$AC$14,ROW()-3),V_Arbitraj!$AC$2:$AC$14,0))</f>
        <v>3.80087180713593</v>
      </c>
      <c r="I11" s="9">
        <f>INDEX(V_Arbitraj!H$2:H$14,MATCH(LARGE(V_Arbitraj!$AC$2:$AC$14,ROW()-3),V_Arbitraj!$AC$2:$AC$14,0))</f>
        <v>23.4121846343897</v>
      </c>
      <c r="J11" s="9">
        <f>INDEX(V_Arbitraj!I$2:I$14,MATCH(LARGE(V_Arbitraj!$AC$2:$AC$14,ROW()-3),V_Arbitraj!$AC$2:$AC$14,0))</f>
        <v>52.24887762185886</v>
      </c>
      <c r="K11" s="10">
        <f>INDEX(V_Arbitraj!J$2:J$14,MATCH(LARGE(V_Arbitraj!$AC$2:$AC$14,ROW()-3),V_Arbitraj!$AC$2:$AC$14,0))</f>
        <v>24</v>
      </c>
      <c r="L11" s="10">
        <f>INDEX(V_Arbitraj!K$2:K$14,MATCH(LARGE(V_Arbitraj!$AC$2:$AC$14,ROW()-3),V_Arbitraj!$AC$2:$AC$14,0))</f>
        <v>26</v>
      </c>
      <c r="M11" s="8">
        <f>INDEX(V_Arbitraj!L$2:L$14,MATCH(LARGE(V_Arbitraj!$AC$2:$AC$14,ROW()-3),V_Arbitraj!$AC$2:$AC$14,0))</f>
        <v>8.3333333333333259E-2</v>
      </c>
      <c r="N11" s="11">
        <f>INDEX(V_Arbitraj!M$2:M$14,MATCH(LARGE(V_Arbitraj!$AC$2:$AC$14,ROW()-3),V_Arbitraj!$AC$2:$AC$14,0))</f>
        <v>1086829715.6900001</v>
      </c>
      <c r="O11" s="11">
        <f>INDEX(V_Arbitraj!N$2:N$14,MATCH(LARGE(V_Arbitraj!$AC$2:$AC$14,ROW()-3),V_Arbitraj!$AC$2:$AC$14,0))</f>
        <v>1479332157.51</v>
      </c>
      <c r="P11" s="8">
        <f>INDEX(V_Arbitraj!O$2:O$14,MATCH(LARGE(V_Arbitraj!$AC$2:$AC$14,ROW()-3),V_Arbitraj!$AC$2:$AC$14,0))</f>
        <v>0.36114437814281719</v>
      </c>
      <c r="Q11" s="9">
        <f>INDEX(V_Arbitraj!P$2:P$14,MATCH(LARGE(V_Arbitraj!$AC$2:$AC$14,ROW()-3),V_Arbitraj!$AC$2:$AC$14,0))</f>
        <v>5.1375268498743153E-2</v>
      </c>
      <c r="R11" s="5" t="str">
        <f>INDEX(V_Arbitraj!Q$2:Q$14,MATCH(LARGE(V_Arbitraj!$AC$2:$AC$14,ROW()-3),V_Arbitraj!$AC$2:$AC$14,0))</f>
        <v>Görmüyor</v>
      </c>
      <c r="S11" s="8">
        <f>INDEX(V_Arbitraj!R$2:R$14,MATCH(LARGE(V_Arbitraj!$AC$2:$AC$14,ROW()-3),V_Arbitraj!$AC$2:$AC$14,0))</f>
        <v>0</v>
      </c>
      <c r="T11" s="8">
        <f>INDEX(V_Arbitraj!S$2:S$14,MATCH(LARGE(V_Arbitraj!$AC$2:$AC$14,ROW()-3),V_Arbitraj!$AC$2:$AC$14,0))</f>
        <v>0.1973</v>
      </c>
      <c r="U11" s="8">
        <f>INDEX(V_Arbitraj!T$2:T$14,MATCH(LARGE(V_Arbitraj!$AC$2:$AC$14,ROW()-3),V_Arbitraj!$AC$2:$AC$14,0))</f>
        <v>0</v>
      </c>
      <c r="V11" s="8">
        <f>INDEX(V_Arbitraj!U$2:U$14,MATCH(LARGE(V_Arbitraj!$AC$2:$AC$14,ROW()-3),V_Arbitraj!$AC$2:$AC$14,0))</f>
        <v>0.16569999999999999</v>
      </c>
      <c r="W11" s="8">
        <f>INDEX(V_Arbitraj!V$2:V$14,MATCH(LARGE(V_Arbitraj!$AC$2:$AC$14,ROW()-3),V_Arbitraj!$AC$2:$AC$14,0))</f>
        <v>0.43780000000000002</v>
      </c>
      <c r="X11" s="8">
        <f>INDEX(V_Arbitraj!W$2:W$14,MATCH(LARGE(V_Arbitraj!$AC$2:$AC$14,ROW()-3),V_Arbitraj!$AC$2:$AC$14,0))</f>
        <v>0.19919999999999999</v>
      </c>
      <c r="Y11" s="8">
        <f>INDEX(V_Arbitraj!X$2:X$14,MATCH(LARGE(V_Arbitraj!$AC$2:$AC$14,ROW()-3),V_Arbitraj!$AC$2:$AC$14,0))</f>
        <v>0</v>
      </c>
      <c r="Z11" s="8">
        <f>INDEX(V_Arbitraj!Y$2:Y$14,MATCH(LARGE(V_Arbitraj!$AC$2:$AC$14,ROW()-3),V_Arbitraj!$AC$2:$AC$14,0))</f>
        <v>0</v>
      </c>
      <c r="AA11" s="8">
        <f>INDEX(V_Arbitraj!Z$2:Z$14,MATCH(LARGE(V_Arbitraj!$AC$2:$AC$14,ROW()-3),V_Arbitraj!$AC$2:$AC$14,0))</f>
        <v>0</v>
      </c>
      <c r="AB11" s="8">
        <f>INDEX(V_Arbitraj!AA$2:AA$14,MATCH(LARGE(V_Arbitraj!$AC$2:$AC$14,ROW()-3),V_Arbitraj!$AC$2:$AC$14,0))</f>
        <v>1</v>
      </c>
    </row>
    <row r="12" spans="1:28" x14ac:dyDescent="0.2">
      <c r="A12">
        <v>9</v>
      </c>
      <c r="B12" s="5" t="str">
        <f>INDEX(V_Arbitraj!A$2:A$14,MATCH(LARGE(V_Arbitraj!$AC$2:$AC$14,ROW()-3),V_Arbitraj!$AC$2:$AC$14,0))</f>
        <v>INZ</v>
      </c>
      <c r="C12" s="5" t="str">
        <f>INDEX(V_Arbitraj!B$2:B$14,MATCH(LARGE(V_Arbitraj!$AC$2:$AC$14,ROW()-3),V_Arbitraj!$AC$2:$AC$14,0))</f>
        <v>Inveo Portföy İstatistiksel Arbitraj Serbest (TL) Fon</v>
      </c>
      <c r="D12" s="5" t="str">
        <f>INDEX(V_Arbitraj!C$2:C$14,MATCH(LARGE(V_Arbitraj!$AC$2:$AC$14,ROW()-3),V_Arbitraj!$AC$2:$AC$14,0))</f>
        <v>Inveo Portföy</v>
      </c>
      <c r="E12" s="8">
        <f>INDEX(V_Arbitraj!D$2:D$14,MATCH(LARGE(V_Arbitraj!$AC$2:$AC$14,ROW()-3),V_Arbitraj!$AC$2:$AC$14,0))</f>
        <v>0.04</v>
      </c>
      <c r="F12" s="9">
        <f>INDEX(V_Arbitraj!E$2:E$14,MATCH(LARGE(V_Arbitraj!$AC$2:$AC$14,ROW()-3),V_Arbitraj!$AC$2:$AC$14,0))</f>
        <v>0.13490678177421331</v>
      </c>
      <c r="G12" s="9">
        <f>INDEX(V_Arbitraj!F$2:F$14,MATCH(LARGE(V_Arbitraj!$AC$2:$AC$14,ROW()-3),V_Arbitraj!$AC$2:$AC$14,0))</f>
        <v>0.34534478983641043</v>
      </c>
      <c r="H12" s="9">
        <f>INDEX(V_Arbitraj!G$2:G$14,MATCH(LARGE(V_Arbitraj!$AC$2:$AC$14,ROW()-3),V_Arbitraj!$AC$2:$AC$14,0))</f>
        <v>3.1833472825266722</v>
      </c>
      <c r="I12" s="9">
        <f>INDEX(V_Arbitraj!H$2:H$14,MATCH(LARGE(V_Arbitraj!$AC$2:$AC$14,ROW()-3),V_Arbitraj!$AC$2:$AC$14,0))</f>
        <v>18.1498710298474</v>
      </c>
      <c r="J12" s="9">
        <f>INDEX(V_Arbitraj!I$2:I$14,MATCH(LARGE(V_Arbitraj!$AC$2:$AC$14,ROW()-3),V_Arbitraj!$AC$2:$AC$14,0))</f>
        <v>34.046446472561072</v>
      </c>
      <c r="K12" s="10">
        <f>INDEX(V_Arbitraj!J$2:J$14,MATCH(LARGE(V_Arbitraj!$AC$2:$AC$14,ROW()-3),V_Arbitraj!$AC$2:$AC$14,0))</f>
        <v>15</v>
      </c>
      <c r="L12" s="10">
        <f>INDEX(V_Arbitraj!K$2:K$14,MATCH(LARGE(V_Arbitraj!$AC$2:$AC$14,ROW()-3),V_Arbitraj!$AC$2:$AC$14,0))</f>
        <v>15</v>
      </c>
      <c r="M12" s="8">
        <f>INDEX(V_Arbitraj!L$2:L$14,MATCH(LARGE(V_Arbitraj!$AC$2:$AC$14,ROW()-3),V_Arbitraj!$AC$2:$AC$14,0))</f>
        <v>0</v>
      </c>
      <c r="N12" s="11">
        <f>INDEX(V_Arbitraj!M$2:M$14,MATCH(LARGE(V_Arbitraj!$AC$2:$AC$14,ROW()-3),V_Arbitraj!$AC$2:$AC$14,0))</f>
        <v>110316087.63</v>
      </c>
      <c r="O12" s="11">
        <f>INDEX(V_Arbitraj!N$2:N$14,MATCH(LARGE(V_Arbitraj!$AC$2:$AC$14,ROW()-3),V_Arbitraj!$AC$2:$AC$14,0))</f>
        <v>113827815.20999999</v>
      </c>
      <c r="P12" s="8">
        <f>INDEX(V_Arbitraj!O$2:O$14,MATCH(LARGE(V_Arbitraj!$AC$2:$AC$14,ROW()-3),V_Arbitraj!$AC$2:$AC$14,0))</f>
        <v>3.1833322368885357E-2</v>
      </c>
      <c r="Q12" s="9">
        <f>INDEX(V_Arbitraj!P$2:P$14,MATCH(LARGE(V_Arbitraj!$AC$2:$AC$14,ROW()-3),V_Arbitraj!$AC$2:$AC$14,0))</f>
        <v>0.1241042436929867</v>
      </c>
      <c r="R12" s="5" t="str">
        <f>INDEX(V_Arbitraj!Q$2:Q$14,MATCH(LARGE(V_Arbitraj!$AC$2:$AC$14,ROW()-3),V_Arbitraj!$AC$2:$AC$14,0))</f>
        <v>Görmüyor</v>
      </c>
      <c r="S12" s="8">
        <f>INDEX(V_Arbitraj!R$2:R$14,MATCH(LARGE(V_Arbitraj!$AC$2:$AC$14,ROW()-3),V_Arbitraj!$AC$2:$AC$14,0))</f>
        <v>0</v>
      </c>
      <c r="T12" s="8">
        <f>INDEX(V_Arbitraj!S$2:S$14,MATCH(LARGE(V_Arbitraj!$AC$2:$AC$14,ROW()-3),V_Arbitraj!$AC$2:$AC$14,0))</f>
        <v>0.19059999999999999</v>
      </c>
      <c r="U12" s="8">
        <f>INDEX(V_Arbitraj!T$2:T$14,MATCH(LARGE(V_Arbitraj!$AC$2:$AC$14,ROW()-3),V_Arbitraj!$AC$2:$AC$14,0))</f>
        <v>0</v>
      </c>
      <c r="V12" s="8">
        <f>INDEX(V_Arbitraj!U$2:U$14,MATCH(LARGE(V_Arbitraj!$AC$2:$AC$14,ROW()-3),V_Arbitraj!$AC$2:$AC$14,0))</f>
        <v>0.14660000000000001</v>
      </c>
      <c r="W12" s="8">
        <f>INDEX(V_Arbitraj!V$2:V$14,MATCH(LARGE(V_Arbitraj!$AC$2:$AC$14,ROW()-3),V_Arbitraj!$AC$2:$AC$14,0))</f>
        <v>0.61599999999999999</v>
      </c>
      <c r="X12" s="8">
        <f>INDEX(V_Arbitraj!W$2:W$14,MATCH(LARGE(V_Arbitraj!$AC$2:$AC$14,ROW()-3),V_Arbitraj!$AC$2:$AC$14,0))</f>
        <v>4.6799999999999987E-2</v>
      </c>
      <c r="Y12" s="8">
        <f>INDEX(V_Arbitraj!X$2:X$14,MATCH(LARGE(V_Arbitraj!$AC$2:$AC$14,ROW()-3),V_Arbitraj!$AC$2:$AC$14,0))</f>
        <v>0</v>
      </c>
      <c r="Z12" s="8">
        <f>INDEX(V_Arbitraj!Y$2:Y$14,MATCH(LARGE(V_Arbitraj!$AC$2:$AC$14,ROW()-3),V_Arbitraj!$AC$2:$AC$14,0))</f>
        <v>0</v>
      </c>
      <c r="AA12" s="8">
        <f>INDEX(V_Arbitraj!Z$2:Z$14,MATCH(LARGE(V_Arbitraj!$AC$2:$AC$14,ROW()-3),V_Arbitraj!$AC$2:$AC$14,0))</f>
        <v>0</v>
      </c>
      <c r="AB12" s="8">
        <f>INDEX(V_Arbitraj!AA$2:AA$14,MATCH(LARGE(V_Arbitraj!$AC$2:$AC$14,ROW()-3),V_Arbitraj!$AC$2:$AC$14,0))</f>
        <v>1</v>
      </c>
    </row>
    <row r="13" spans="1:28" x14ac:dyDescent="0.2">
      <c r="A13">
        <v>10</v>
      </c>
      <c r="B13" s="5" t="str">
        <f>INDEX(V_Arbitraj!A$2:A$14,MATCH(LARGE(V_Arbitraj!$AC$2:$AC$14,ROW()-3),V_Arbitraj!$AC$2:$AC$14,0))</f>
        <v>AC5</v>
      </c>
      <c r="C13" s="5" t="str">
        <f>INDEX(V_Arbitraj!B$2:B$14,MATCH(LARGE(V_Arbitraj!$AC$2:$AC$14,ROW()-3),V_Arbitraj!$AC$2:$AC$14,0))</f>
        <v>Pardus Portföy İstatistiksel Arbitraj Hisse Senedi Serbest (TL) Fon (Hisse Senedi Yoğun Fon)</v>
      </c>
      <c r="D13" s="5" t="str">
        <f>INDEX(V_Arbitraj!C$2:C$14,MATCH(LARGE(V_Arbitraj!$AC$2:$AC$14,ROW()-3),V_Arbitraj!$AC$2:$AC$14,0))</f>
        <v>Pardus Portföy</v>
      </c>
      <c r="E13" s="8">
        <f>INDEX(V_Arbitraj!D$2:D$14,MATCH(LARGE(V_Arbitraj!$AC$2:$AC$14,ROW()-3),V_Arbitraj!$AC$2:$AC$14,0))</f>
        <v>1.4999999999999999E-2</v>
      </c>
      <c r="F13" s="9">
        <f>INDEX(V_Arbitraj!E$2:E$14,MATCH(LARGE(V_Arbitraj!$AC$2:$AC$14,ROW()-3),V_Arbitraj!$AC$2:$AC$14,0))</f>
        <v>0.13120766751562041</v>
      </c>
      <c r="G13" s="9">
        <f>INDEX(V_Arbitraj!F$2:F$14,MATCH(LARGE(V_Arbitraj!$AC$2:$AC$14,ROW()-3),V_Arbitraj!$AC$2:$AC$14,0))</f>
        <v>0.65602274338454336</v>
      </c>
      <c r="H13" s="9">
        <f>INDEX(V_Arbitraj!G$2:G$14,MATCH(LARGE(V_Arbitraj!$AC$2:$AC$14,ROW()-3),V_Arbitraj!$AC$2:$AC$14,0))</f>
        <v>2.4328060014241482</v>
      </c>
      <c r="I13" s="9">
        <f>INDEX(V_Arbitraj!H$2:H$14,MATCH(LARGE(V_Arbitraj!$AC$2:$AC$14,ROW()-3),V_Arbitraj!$AC$2:$AC$14,0))</f>
        <v>16.77491492778962</v>
      </c>
      <c r="J13" s="9">
        <f>INDEX(V_Arbitraj!I$2:I$14,MATCH(LARGE(V_Arbitraj!$AC$2:$AC$14,ROW()-3),V_Arbitraj!$AC$2:$AC$14,0))</f>
        <v>37.519523222359233</v>
      </c>
      <c r="K13" s="10">
        <f>INDEX(V_Arbitraj!J$2:J$14,MATCH(LARGE(V_Arbitraj!$AC$2:$AC$14,ROW()-3),V_Arbitraj!$AC$2:$AC$14,0))</f>
        <v>159</v>
      </c>
      <c r="L13" s="10">
        <f>INDEX(V_Arbitraj!K$2:K$14,MATCH(LARGE(V_Arbitraj!$AC$2:$AC$14,ROW()-3),V_Arbitraj!$AC$2:$AC$14,0))</f>
        <v>147</v>
      </c>
      <c r="M13" s="8">
        <f>INDEX(V_Arbitraj!L$2:L$14,MATCH(LARGE(V_Arbitraj!$AC$2:$AC$14,ROW()-3),V_Arbitraj!$AC$2:$AC$14,0))</f>
        <v>-7.547169811320753E-2</v>
      </c>
      <c r="N13" s="11">
        <f>INDEX(V_Arbitraj!M$2:M$14,MATCH(LARGE(V_Arbitraj!$AC$2:$AC$14,ROW()-3),V_Arbitraj!$AC$2:$AC$14,0))</f>
        <v>21318576.690000001</v>
      </c>
      <c r="O13" s="11">
        <f>INDEX(V_Arbitraj!N$2:N$14,MATCH(LARGE(V_Arbitraj!$AC$2:$AC$14,ROW()-3),V_Arbitraj!$AC$2:$AC$14,0))</f>
        <v>21779407.48</v>
      </c>
      <c r="P13" s="8">
        <f>INDEX(V_Arbitraj!O$2:O$14,MATCH(LARGE(V_Arbitraj!$AC$2:$AC$14,ROW()-3),V_Arbitraj!$AC$2:$AC$14,0))</f>
        <v>2.1616395723836671E-2</v>
      </c>
      <c r="Q13" s="9">
        <f>INDEX(V_Arbitraj!P$2:P$14,MATCH(LARGE(V_Arbitraj!$AC$2:$AC$14,ROW()-3),V_Arbitraj!$AC$2:$AC$14,0))</f>
        <v>0.14962380486874041</v>
      </c>
      <c r="R13" s="5" t="str">
        <f>INDEX(V_Arbitraj!Q$2:Q$14,MATCH(LARGE(V_Arbitraj!$AC$2:$AC$14,ROW()-3),V_Arbitraj!$AC$2:$AC$14,0))</f>
        <v>Görüyor</v>
      </c>
      <c r="S13" s="8">
        <f>INDEX(V_Arbitraj!R$2:R$14,MATCH(LARGE(V_Arbitraj!$AC$2:$AC$14,ROW()-3),V_Arbitraj!$AC$2:$AC$14,0))</f>
        <v>0</v>
      </c>
      <c r="T13" s="8">
        <f>INDEX(V_Arbitraj!S$2:S$14,MATCH(LARGE(V_Arbitraj!$AC$2:$AC$14,ROW()-3),V_Arbitraj!$AC$2:$AC$14,0))</f>
        <v>0.1953</v>
      </c>
      <c r="U13" s="8">
        <f>INDEX(V_Arbitraj!T$2:T$14,MATCH(LARGE(V_Arbitraj!$AC$2:$AC$14,ROW()-3),V_Arbitraj!$AC$2:$AC$14,0))</f>
        <v>0</v>
      </c>
      <c r="V13" s="8">
        <f>INDEX(V_Arbitraj!U$2:U$14,MATCH(LARGE(V_Arbitraj!$AC$2:$AC$14,ROW()-3),V_Arbitraj!$AC$2:$AC$14,0))</f>
        <v>0.80469999999999997</v>
      </c>
      <c r="W13" s="8">
        <f>INDEX(V_Arbitraj!V$2:V$14,MATCH(LARGE(V_Arbitraj!$AC$2:$AC$14,ROW()-3),V_Arbitraj!$AC$2:$AC$14,0))</f>
        <v>0</v>
      </c>
      <c r="X13" s="8">
        <f>INDEX(V_Arbitraj!W$2:W$14,MATCH(LARGE(V_Arbitraj!$AC$2:$AC$14,ROW()-3),V_Arbitraj!$AC$2:$AC$14,0))</f>
        <v>0</v>
      </c>
      <c r="Y13" s="8">
        <f>INDEX(V_Arbitraj!X$2:X$14,MATCH(LARGE(V_Arbitraj!$AC$2:$AC$14,ROW()-3),V_Arbitraj!$AC$2:$AC$14,0))</f>
        <v>0</v>
      </c>
      <c r="Z13" s="8">
        <f>INDEX(V_Arbitraj!Y$2:Y$14,MATCH(LARGE(V_Arbitraj!$AC$2:$AC$14,ROW()-3),V_Arbitraj!$AC$2:$AC$14,0))</f>
        <v>0</v>
      </c>
      <c r="AA13" s="8">
        <f>INDEX(V_Arbitraj!Z$2:Z$14,MATCH(LARGE(V_Arbitraj!$AC$2:$AC$14,ROW()-3),V_Arbitraj!$AC$2:$AC$14,0))</f>
        <v>0</v>
      </c>
      <c r="AB13" s="8">
        <f>INDEX(V_Arbitraj!AA$2:AA$14,MATCH(LARGE(V_Arbitraj!$AC$2:$AC$14,ROW()-3),V_Arbitraj!$AC$2:$AC$14,0))</f>
        <v>1</v>
      </c>
    </row>
    <row r="14" spans="1:28" x14ac:dyDescent="0.2">
      <c r="A14">
        <v>11</v>
      </c>
      <c r="B14" s="5" t="str">
        <f>INDEX(V_Arbitraj!A$2:A$14,MATCH(LARGE(V_Arbitraj!$AC$2:$AC$14,ROW()-3),V_Arbitraj!$AC$2:$AC$14,0))</f>
        <v>OFB</v>
      </c>
      <c r="C14" s="5" t="str">
        <f>INDEX(V_Arbitraj!B$2:B$14,MATCH(LARGE(V_Arbitraj!$AC$2:$AC$14,ROW()-3),V_Arbitraj!$AC$2:$AC$14,0))</f>
        <v>Oyak Portföy İstatistiksel Arbitraj Serbest (TL) Fon</v>
      </c>
      <c r="D14" s="5" t="str">
        <f>INDEX(V_Arbitraj!C$2:C$14,MATCH(LARGE(V_Arbitraj!$AC$2:$AC$14,ROW()-3),V_Arbitraj!$AC$2:$AC$14,0))</f>
        <v>Oyak Portföy</v>
      </c>
      <c r="E14" s="8">
        <f>INDEX(V_Arbitraj!D$2:D$14,MATCH(LARGE(V_Arbitraj!$AC$2:$AC$14,ROW()-3),V_Arbitraj!$AC$2:$AC$14,0))</f>
        <v>5.0000000000000001E-3</v>
      </c>
      <c r="F14" s="9">
        <f>INDEX(V_Arbitraj!E$2:E$14,MATCH(LARGE(V_Arbitraj!$AC$2:$AC$14,ROW()-3),V_Arbitraj!$AC$2:$AC$14,0))</f>
        <v>0.1216872348071663</v>
      </c>
      <c r="G14" s="9">
        <f>INDEX(V_Arbitraj!F$2:F$14,MATCH(LARGE(V_Arbitraj!$AC$2:$AC$14,ROW()-3),V_Arbitraj!$AC$2:$AC$14,0))</f>
        <v>0.74531815665503931</v>
      </c>
      <c r="H14" s="9">
        <f>INDEX(V_Arbitraj!G$2:G$14,MATCH(LARGE(V_Arbitraj!$AC$2:$AC$14,ROW()-3),V_Arbitraj!$AC$2:$AC$14,0))</f>
        <v>3.450754954875856</v>
      </c>
      <c r="I14" s="9">
        <f>INDEX(V_Arbitraj!H$2:H$14,MATCH(LARGE(V_Arbitraj!$AC$2:$AC$14,ROW()-3),V_Arbitraj!$AC$2:$AC$14,0))</f>
        <v>22.280029450191719</v>
      </c>
      <c r="J14" s="9">
        <f>INDEX(V_Arbitraj!I$2:I$14,MATCH(LARGE(V_Arbitraj!$AC$2:$AC$14,ROW()-3),V_Arbitraj!$AC$2:$AC$14,0))</f>
        <v>46.764647444214532</v>
      </c>
      <c r="K14" s="10">
        <f>INDEX(V_Arbitraj!J$2:J$14,MATCH(LARGE(V_Arbitraj!$AC$2:$AC$14,ROW()-3),V_Arbitraj!$AC$2:$AC$14,0))</f>
        <v>13</v>
      </c>
      <c r="L14" s="10">
        <f>INDEX(V_Arbitraj!K$2:K$14,MATCH(LARGE(V_Arbitraj!$AC$2:$AC$14,ROW()-3),V_Arbitraj!$AC$2:$AC$14,0))</f>
        <v>13</v>
      </c>
      <c r="M14" s="8">
        <f>INDEX(V_Arbitraj!L$2:L$14,MATCH(LARGE(V_Arbitraj!$AC$2:$AC$14,ROW()-3),V_Arbitraj!$AC$2:$AC$14,0))</f>
        <v>0</v>
      </c>
      <c r="N14" s="11">
        <f>INDEX(V_Arbitraj!M$2:M$14,MATCH(LARGE(V_Arbitraj!$AC$2:$AC$14,ROW()-3),V_Arbitraj!$AC$2:$AC$14,0))</f>
        <v>948129351.40999997</v>
      </c>
      <c r="O14" s="11">
        <f>INDEX(V_Arbitraj!N$2:N$14,MATCH(LARGE(V_Arbitraj!$AC$2:$AC$14,ROW()-3),V_Arbitraj!$AC$2:$AC$14,0))</f>
        <v>975256445.59000003</v>
      </c>
      <c r="P14" s="8">
        <f>INDEX(V_Arbitraj!O$2:O$14,MATCH(LARGE(V_Arbitraj!$AC$2:$AC$14,ROW()-3),V_Arbitraj!$AC$2:$AC$14,0))</f>
        <v>2.8611174350481109E-2</v>
      </c>
      <c r="Q14" s="9">
        <f>INDEX(V_Arbitraj!P$2:P$14,MATCH(LARGE(V_Arbitraj!$AC$2:$AC$14,ROW()-3),V_Arbitraj!$AC$2:$AC$14,0))</f>
        <v>7.7584274755853874E-2</v>
      </c>
      <c r="R14" s="5" t="str">
        <f>INDEX(V_Arbitraj!Q$2:Q$14,MATCH(LARGE(V_Arbitraj!$AC$2:$AC$14,ROW()-3),V_Arbitraj!$AC$2:$AC$14,0))</f>
        <v>Görmüyor</v>
      </c>
      <c r="S14" s="8">
        <f>INDEX(V_Arbitraj!R$2:R$14,MATCH(LARGE(V_Arbitraj!$AC$2:$AC$14,ROW()-3),V_Arbitraj!$AC$2:$AC$14,0))</f>
        <v>0</v>
      </c>
      <c r="T14" s="8">
        <f>INDEX(V_Arbitraj!S$2:S$14,MATCH(LARGE(V_Arbitraj!$AC$2:$AC$14,ROW()-3),V_Arbitraj!$AC$2:$AC$14,0))</f>
        <v>7.4700000000000003E-2</v>
      </c>
      <c r="U14" s="8">
        <f>INDEX(V_Arbitraj!T$2:T$14,MATCH(LARGE(V_Arbitraj!$AC$2:$AC$14,ROW()-3),V_Arbitraj!$AC$2:$AC$14,0))</f>
        <v>0.92469999999999997</v>
      </c>
      <c r="V14" s="8">
        <f>INDEX(V_Arbitraj!U$2:U$14,MATCH(LARGE(V_Arbitraj!$AC$2:$AC$14,ROW()-3),V_Arbitraj!$AC$2:$AC$14,0))</f>
        <v>0</v>
      </c>
      <c r="W14" s="8">
        <f>INDEX(V_Arbitraj!V$2:V$14,MATCH(LARGE(V_Arbitraj!$AC$2:$AC$14,ROW()-3),V_Arbitraj!$AC$2:$AC$14,0))</f>
        <v>5.9999999999999995E-4</v>
      </c>
      <c r="X14" s="8">
        <f>INDEX(V_Arbitraj!W$2:W$14,MATCH(LARGE(V_Arbitraj!$AC$2:$AC$14,ROW()-3),V_Arbitraj!$AC$2:$AC$14,0))</f>
        <v>0</v>
      </c>
      <c r="Y14" s="8">
        <f>INDEX(V_Arbitraj!X$2:X$14,MATCH(LARGE(V_Arbitraj!$AC$2:$AC$14,ROW()-3),V_Arbitraj!$AC$2:$AC$14,0))</f>
        <v>0</v>
      </c>
      <c r="Z14" s="8">
        <f>INDEX(V_Arbitraj!Y$2:Y$14,MATCH(LARGE(V_Arbitraj!$AC$2:$AC$14,ROW()-3),V_Arbitraj!$AC$2:$AC$14,0))</f>
        <v>0</v>
      </c>
      <c r="AA14" s="8">
        <f>INDEX(V_Arbitraj!Z$2:Z$14,MATCH(LARGE(V_Arbitraj!$AC$2:$AC$14,ROW()-3),V_Arbitraj!$AC$2:$AC$14,0))</f>
        <v>0</v>
      </c>
      <c r="AB14" s="8">
        <f>INDEX(V_Arbitraj!AA$2:AA$14,MATCH(LARGE(V_Arbitraj!$AC$2:$AC$14,ROW()-3),V_Arbitraj!$AC$2:$AC$14,0))</f>
        <v>1</v>
      </c>
    </row>
    <row r="15" spans="1:28" x14ac:dyDescent="0.2">
      <c r="A15">
        <v>12</v>
      </c>
      <c r="B15" s="5" t="str">
        <f>INDEX(V_Arbitraj!A$2:A$14,MATCH(LARGE(V_Arbitraj!$AC$2:$AC$14,ROW()-3),V_Arbitraj!$AC$2:$AC$14,0))</f>
        <v>DPI</v>
      </c>
      <c r="C15" s="5" t="str">
        <f>INDEX(V_Arbitraj!B$2:B$14,MATCH(LARGE(V_Arbitraj!$AC$2:$AC$14,ROW()-3),V_Arbitraj!$AC$2:$AC$14,0))</f>
        <v>Deniz Portföy İstatistiksel Arbitraj Hisse Senedi Serbest Fon (Hisse Senedi Yoğun Fon)</v>
      </c>
      <c r="D15" s="5" t="str">
        <f>INDEX(V_Arbitraj!C$2:C$14,MATCH(LARGE(V_Arbitraj!$AC$2:$AC$14,ROW()-3),V_Arbitraj!$AC$2:$AC$14,0))</f>
        <v>Deniz Portföy</v>
      </c>
      <c r="E15" s="8">
        <f>INDEX(V_Arbitraj!D$2:D$14,MATCH(LARGE(V_Arbitraj!$AC$2:$AC$14,ROW()-3),V_Arbitraj!$AC$2:$AC$14,0))</f>
        <v>3.2500000000000001E-2</v>
      </c>
      <c r="F15" s="9">
        <f>INDEX(V_Arbitraj!E$2:E$14,MATCH(LARGE(V_Arbitraj!$AC$2:$AC$14,ROW()-3),V_Arbitraj!$AC$2:$AC$14,0))</f>
        <v>3.5155974795353373E-2</v>
      </c>
      <c r="G15" s="9">
        <f>INDEX(V_Arbitraj!F$2:F$14,MATCH(LARGE(V_Arbitraj!$AC$2:$AC$14,ROW()-3),V_Arbitraj!$AC$2:$AC$14,0))</f>
        <v>0.63732317672613448</v>
      </c>
      <c r="H15" s="9">
        <f>INDEX(V_Arbitraj!G$2:G$14,MATCH(LARGE(V_Arbitraj!$AC$2:$AC$14,ROW()-3),V_Arbitraj!$AC$2:$AC$14,0))</f>
        <v>2.494659901622764</v>
      </c>
      <c r="I15" s="9">
        <f>INDEX(V_Arbitraj!H$2:H$14,MATCH(LARGE(V_Arbitraj!$AC$2:$AC$14,ROW()-3),V_Arbitraj!$AC$2:$AC$14,0))</f>
        <v>19.813222289752421</v>
      </c>
      <c r="J15" s="9">
        <f>INDEX(V_Arbitraj!I$2:I$14,MATCH(LARGE(V_Arbitraj!$AC$2:$AC$14,ROW()-3),V_Arbitraj!$AC$2:$AC$14,0))</f>
        <v>41.457412587250573</v>
      </c>
      <c r="K15" s="10">
        <f>INDEX(V_Arbitraj!J$2:J$14,MATCH(LARGE(V_Arbitraj!$AC$2:$AC$14,ROW()-3),V_Arbitraj!$AC$2:$AC$14,0))</f>
        <v>120</v>
      </c>
      <c r="L15" s="10">
        <f>INDEX(V_Arbitraj!K$2:K$14,MATCH(LARGE(V_Arbitraj!$AC$2:$AC$14,ROW()-3),V_Arbitraj!$AC$2:$AC$14,0))</f>
        <v>121</v>
      </c>
      <c r="M15" s="8">
        <f>INDEX(V_Arbitraj!L$2:L$14,MATCH(LARGE(V_Arbitraj!$AC$2:$AC$14,ROW()-3),V_Arbitraj!$AC$2:$AC$14,0))</f>
        <v>8.3333333333333037E-3</v>
      </c>
      <c r="N15" s="11">
        <f>INDEX(V_Arbitraj!M$2:M$14,MATCH(LARGE(V_Arbitraj!$AC$2:$AC$14,ROW()-3),V_Arbitraj!$AC$2:$AC$14,0))</f>
        <v>357559968.27999997</v>
      </c>
      <c r="O15" s="11">
        <f>INDEX(V_Arbitraj!N$2:N$14,MATCH(LARGE(V_Arbitraj!$AC$2:$AC$14,ROW()-3),V_Arbitraj!$AC$2:$AC$14,0))</f>
        <v>360938761.91000003</v>
      </c>
      <c r="P15" s="8">
        <f>INDEX(V_Arbitraj!O$2:O$14,MATCH(LARGE(V_Arbitraj!$AC$2:$AC$14,ROW()-3),V_Arbitraj!$AC$2:$AC$14,0))</f>
        <v>9.4495858869585447E-3</v>
      </c>
      <c r="Q15" s="9">
        <f>INDEX(V_Arbitraj!P$2:P$14,MATCH(LARGE(V_Arbitraj!$AC$2:$AC$14,ROW()-3),V_Arbitraj!$AC$2:$AC$14,0))</f>
        <v>9.2173478945688461E-2</v>
      </c>
      <c r="R15" s="5" t="str">
        <f>INDEX(V_Arbitraj!Q$2:Q$14,MATCH(LARGE(V_Arbitraj!$AC$2:$AC$14,ROW()-3),V_Arbitraj!$AC$2:$AC$14,0))</f>
        <v>Görüyor</v>
      </c>
      <c r="S15" s="8">
        <f>INDEX(V_Arbitraj!R$2:R$14,MATCH(LARGE(V_Arbitraj!$AC$2:$AC$14,ROW()-3),V_Arbitraj!$AC$2:$AC$14,0))</f>
        <v>2.2000000000000001E-3</v>
      </c>
      <c r="T15" s="8">
        <f>INDEX(V_Arbitraj!S$2:S$14,MATCH(LARGE(V_Arbitraj!$AC$2:$AC$14,ROW()-3),V_Arbitraj!$AC$2:$AC$14,0))</f>
        <v>0.1368</v>
      </c>
      <c r="U15" s="8">
        <f>INDEX(V_Arbitraj!T$2:T$14,MATCH(LARGE(V_Arbitraj!$AC$2:$AC$14,ROW()-3),V_Arbitraj!$AC$2:$AC$14,0))</f>
        <v>0</v>
      </c>
      <c r="V15" s="8">
        <f>INDEX(V_Arbitraj!U$2:U$14,MATCH(LARGE(V_Arbitraj!$AC$2:$AC$14,ROW()-3),V_Arbitraj!$AC$2:$AC$14,0))</f>
        <v>0.89569999999999994</v>
      </c>
      <c r="W15" s="8">
        <f>INDEX(V_Arbitraj!V$2:V$14,MATCH(LARGE(V_Arbitraj!$AC$2:$AC$14,ROW()-3),V_Arbitraj!$AC$2:$AC$14,0))</f>
        <v>0</v>
      </c>
      <c r="X15" s="8">
        <f>INDEX(V_Arbitraj!W$2:W$14,MATCH(LARGE(V_Arbitraj!$AC$2:$AC$14,ROW()-3),V_Arbitraj!$AC$2:$AC$14,0))</f>
        <v>0</v>
      </c>
      <c r="Y15" s="8">
        <f>INDEX(V_Arbitraj!X$2:X$14,MATCH(LARGE(V_Arbitraj!$AC$2:$AC$14,ROW()-3),V_Arbitraj!$AC$2:$AC$14,0))</f>
        <v>0</v>
      </c>
      <c r="Z15" s="8">
        <f>INDEX(V_Arbitraj!Y$2:Y$14,MATCH(LARGE(V_Arbitraj!$AC$2:$AC$14,ROW()-3),V_Arbitraj!$AC$2:$AC$14,0))</f>
        <v>0</v>
      </c>
      <c r="AA15" s="8">
        <f>INDEX(V_Arbitraj!Z$2:Z$14,MATCH(LARGE(V_Arbitraj!$AC$2:$AC$14,ROW()-3),V_Arbitraj!$AC$2:$AC$14,0))</f>
        <v>0</v>
      </c>
      <c r="AB15" s="8">
        <f>INDEX(V_Arbitraj!AA$2:AA$14,MATCH(LARGE(V_Arbitraj!$AC$2:$AC$14,ROW()-3),V_Arbitraj!$AC$2:$AC$14,0))</f>
        <v>1.0347</v>
      </c>
    </row>
    <row r="16" spans="1:28" x14ac:dyDescent="0.2">
      <c r="A16">
        <v>13</v>
      </c>
      <c r="B16" s="5" t="str">
        <f>INDEX(V_Arbitraj!A$2:A$14,MATCH(LARGE(V_Arbitraj!$AC$2:$AC$14,ROW()-3),V_Arbitraj!$AC$2:$AC$14,0))</f>
        <v>UZY</v>
      </c>
      <c r="C16" s="5" t="str">
        <f>INDEX(V_Arbitraj!B$2:B$14,MATCH(LARGE(V_Arbitraj!$AC$2:$AC$14,ROW()-3),V_Arbitraj!$AC$2:$AC$14,0))</f>
        <v>Ünlü Portföy İkinci İstatistiksel Arbitraj Serbest Fon</v>
      </c>
      <c r="D16" s="5" t="str">
        <f>INDEX(V_Arbitraj!C$2:C$14,MATCH(LARGE(V_Arbitraj!$AC$2:$AC$14,ROW()-3),V_Arbitraj!$AC$2:$AC$14,0))</f>
        <v>Ünlü Portföy</v>
      </c>
      <c r="E16" s="8">
        <f>INDEX(V_Arbitraj!D$2:D$14,MATCH(LARGE(V_Arbitraj!$AC$2:$AC$14,ROW()-3),V_Arbitraj!$AC$2:$AC$14,0))</f>
        <v>0.03</v>
      </c>
      <c r="F16" s="9">
        <f>INDEX(V_Arbitraj!E$2:E$14,MATCH(LARGE(V_Arbitraj!$AC$2:$AC$14,ROW()-3),V_Arbitraj!$AC$2:$AC$14,0))</f>
        <v>-3.5231897450027638E-2</v>
      </c>
      <c r="G16" s="9">
        <f>INDEX(V_Arbitraj!F$2:F$14,MATCH(LARGE(V_Arbitraj!$AC$2:$AC$14,ROW()-3),V_Arbitraj!$AC$2:$AC$14,0))</f>
        <v>0.56923257416818807</v>
      </c>
      <c r="H16" s="9">
        <f>INDEX(V_Arbitraj!G$2:G$14,MATCH(LARGE(V_Arbitraj!$AC$2:$AC$14,ROW()-3),V_Arbitraj!$AC$2:$AC$14,0))</f>
        <v>434.52364146220287</v>
      </c>
      <c r="I16" s="9">
        <f>INDEX(V_Arbitraj!H$2:H$14,MATCH(LARGE(V_Arbitraj!$AC$2:$AC$14,ROW()-3),V_Arbitraj!$AC$2:$AC$14,0))</f>
        <v>86.579076713516784</v>
      </c>
      <c r="J16" s="9">
        <f>INDEX(V_Arbitraj!I$2:I$14,MATCH(LARGE(V_Arbitraj!$AC$2:$AC$14,ROW()-3),V_Arbitraj!$AC$2:$AC$14,0))</f>
        <v>120.66540700478809</v>
      </c>
      <c r="K16" s="10">
        <f>INDEX(V_Arbitraj!J$2:J$14,MATCH(LARGE(V_Arbitraj!$AC$2:$AC$14,ROW()-3),V_Arbitraj!$AC$2:$AC$14,0))</f>
        <v>16</v>
      </c>
      <c r="L16" s="10">
        <f>INDEX(V_Arbitraj!K$2:K$14,MATCH(LARGE(V_Arbitraj!$AC$2:$AC$14,ROW()-3),V_Arbitraj!$AC$2:$AC$14,0))</f>
        <v>32</v>
      </c>
      <c r="M16" s="8">
        <f>INDEX(V_Arbitraj!L$2:L$14,MATCH(LARGE(V_Arbitraj!$AC$2:$AC$14,ROW()-3),V_Arbitraj!$AC$2:$AC$14,0))</f>
        <v>1</v>
      </c>
      <c r="N16" s="11">
        <f>INDEX(V_Arbitraj!M$2:M$14,MATCH(LARGE(V_Arbitraj!$AC$2:$AC$14,ROW()-3),V_Arbitraj!$AC$2:$AC$14,0))</f>
        <v>52088.23</v>
      </c>
      <c r="O16" s="11">
        <f>INDEX(V_Arbitraj!N$2:N$14,MATCH(LARGE(V_Arbitraj!$AC$2:$AC$14,ROW()-3),V_Arbitraj!$AC$2:$AC$14,0))</f>
        <v>143582429.84999999</v>
      </c>
      <c r="P16" s="8">
        <f>INDEX(V_Arbitraj!O$2:O$14,MATCH(LARGE(V_Arbitraj!$AC$2:$AC$14,ROW()-3),V_Arbitraj!$AC$2:$AC$14,0))</f>
        <v>2755.5234958070182</v>
      </c>
      <c r="Q16" s="9">
        <f>INDEX(V_Arbitraj!P$2:P$14,MATCH(LARGE(V_Arbitraj!$AC$2:$AC$14,ROW()-3),V_Arbitraj!$AC$2:$AC$14,0))</f>
        <v>0.12751641920484169</v>
      </c>
      <c r="R16" s="5" t="str">
        <f>INDEX(V_Arbitraj!Q$2:Q$14,MATCH(LARGE(V_Arbitraj!$AC$2:$AC$14,ROW()-3),V_Arbitraj!$AC$2:$AC$14,0))</f>
        <v>Görmüyor</v>
      </c>
      <c r="S16" s="8">
        <f>INDEX(V_Arbitraj!R$2:R$14,MATCH(LARGE(V_Arbitraj!$AC$2:$AC$14,ROW()-3),V_Arbitraj!$AC$2:$AC$14,0))</f>
        <v>0</v>
      </c>
      <c r="T16" s="8">
        <f>INDEX(V_Arbitraj!S$2:S$14,MATCH(LARGE(V_Arbitraj!$AC$2:$AC$14,ROW()-3),V_Arbitraj!$AC$2:$AC$14,0))</f>
        <v>0</v>
      </c>
      <c r="U16" s="8">
        <f>INDEX(V_Arbitraj!T$2:T$14,MATCH(LARGE(V_Arbitraj!$AC$2:$AC$14,ROW()-3),V_Arbitraj!$AC$2:$AC$14,0))</f>
        <v>0.84660000000000002</v>
      </c>
      <c r="V16" s="8">
        <f>INDEX(V_Arbitraj!U$2:U$14,MATCH(LARGE(V_Arbitraj!$AC$2:$AC$14,ROW()-3),V_Arbitraj!$AC$2:$AC$14,0))</f>
        <v>0.14990000000000001</v>
      </c>
      <c r="W16" s="8">
        <f>INDEX(V_Arbitraj!V$2:V$14,MATCH(LARGE(V_Arbitraj!$AC$2:$AC$14,ROW()-3),V_Arbitraj!$AC$2:$AC$14,0))</f>
        <v>3.5000000000000001E-3</v>
      </c>
      <c r="X16" s="8">
        <f>INDEX(V_Arbitraj!W$2:W$14,MATCH(LARGE(V_Arbitraj!$AC$2:$AC$14,ROW()-3),V_Arbitraj!$AC$2:$AC$14,0))</f>
        <v>0</v>
      </c>
      <c r="Y16" s="8">
        <f>INDEX(V_Arbitraj!X$2:X$14,MATCH(LARGE(V_Arbitraj!$AC$2:$AC$14,ROW()-3),V_Arbitraj!$AC$2:$AC$14,0))</f>
        <v>0</v>
      </c>
      <c r="Z16" s="8">
        <f>INDEX(V_Arbitraj!Y$2:Y$14,MATCH(LARGE(V_Arbitraj!$AC$2:$AC$14,ROW()-3),V_Arbitraj!$AC$2:$AC$14,0))</f>
        <v>0</v>
      </c>
      <c r="AA16" s="8">
        <f>INDEX(V_Arbitraj!Z$2:Z$14,MATCH(LARGE(V_Arbitraj!$AC$2:$AC$14,ROW()-3),V_Arbitraj!$AC$2:$AC$14,0))</f>
        <v>0</v>
      </c>
      <c r="AB16" s="8">
        <f>INDEX(V_Arbitraj!AA$2:AA$14,MATCH(LARGE(V_Arbitraj!$AC$2:$AC$14,ROW()-3),V_Arbitraj!$AC$2:$AC$14,0))</f>
        <v>1</v>
      </c>
    </row>
  </sheetData>
  <conditionalFormatting sqref="B4:AB16">
    <cfRule type="expression" dxfId="10" priority="1">
      <formula>OR($B4="BAI",$B4="BHI",$B4="BIS",$B4="BSD",$B4="BTE",$B4="BTK",$B4="BV1",$B4="BVD",$B4="BVF",$B4="BVV",$B4="BVZ",$B4="MTD",$B4="RUT",$B4="SPR")</formula>
    </cfRule>
  </conditionalFormatting>
  <dataValidations count="1">
    <dataValidation type="list" sqref="E2" xr:uid="{00000000-0002-0000-0200-000000000000}">
      <formula1>"Günlük%,Haftalık,Aylık,Yılbaşına Göre,Yıllık"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5"/>
  <sheetViews>
    <sheetView workbookViewId="0"/>
  </sheetViews>
  <sheetFormatPr baseColWidth="10" defaultColWidth="8.83203125" defaultRowHeight="15" x14ac:dyDescent="0.2"/>
  <sheetData>
    <row r="1" spans="1:29" x14ac:dyDescent="0.2">
      <c r="A1" t="s">
        <v>3</v>
      </c>
      <c r="B1" t="s">
        <v>76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</row>
    <row r="2" spans="1:29" x14ac:dyDescent="0.2">
      <c r="A2" t="s">
        <v>77</v>
      </c>
      <c r="B2" t="s">
        <v>78</v>
      </c>
      <c r="C2" t="s">
        <v>79</v>
      </c>
      <c r="D2">
        <v>2.5000000000000001E-2</v>
      </c>
      <c r="E2">
        <v>1.949213829983232</v>
      </c>
      <c r="F2">
        <v>1.772117764179715</v>
      </c>
      <c r="G2">
        <v>1.7123685306206671</v>
      </c>
      <c r="H2">
        <v>16.043799237573261</v>
      </c>
      <c r="I2">
        <v>21.34745001145259</v>
      </c>
      <c r="J2">
        <v>236</v>
      </c>
      <c r="K2">
        <v>224</v>
      </c>
      <c r="L2">
        <v>-5.084745762711862E-2</v>
      </c>
      <c r="M2">
        <v>428192339.04000002</v>
      </c>
      <c r="N2">
        <v>439964708.94999999</v>
      </c>
      <c r="O2">
        <v>2.7493182004127981E-2</v>
      </c>
      <c r="P2">
        <v>0.71209864387005961</v>
      </c>
      <c r="Q2" t="s">
        <v>41</v>
      </c>
      <c r="R2">
        <v>0</v>
      </c>
      <c r="S2">
        <v>0.1196</v>
      </c>
      <c r="T2">
        <v>1.9E-3</v>
      </c>
      <c r="U2">
        <v>0.87849999999999995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C2">
        <f>IF(ISNUMBER(INDEX($A$2:$AA$25,1,MATCH('Mutlak Getiri'!$E$2,$A$1:$AA$1,0))),INDEX($A$2:$AA$25,1,MATCH('Mutlak Getiri'!$E$2,$A$1:$AA$1,0)),-1000000000)-ROW()/10000000</f>
        <v>1.9492136299832321</v>
      </c>
    </row>
    <row r="3" spans="1:29" x14ac:dyDescent="0.2">
      <c r="A3" t="s">
        <v>80</v>
      </c>
      <c r="B3" t="s">
        <v>81</v>
      </c>
      <c r="C3" t="s">
        <v>82</v>
      </c>
      <c r="D3">
        <v>2.5000000000000001E-2</v>
      </c>
      <c r="E3">
        <v>1.4810440324462439</v>
      </c>
      <c r="F3">
        <v>1.756027108099101</v>
      </c>
      <c r="G3">
        <v>0.2385835578718298</v>
      </c>
      <c r="H3">
        <v>11.52971518646309</v>
      </c>
      <c r="I3">
        <v>30.330120517930421</v>
      </c>
      <c r="J3">
        <v>1617</v>
      </c>
      <c r="K3">
        <v>1488</v>
      </c>
      <c r="L3">
        <v>-7.9777365491651153E-2</v>
      </c>
      <c r="M3">
        <v>955694914.03999996</v>
      </c>
      <c r="N3">
        <v>828452510.01999998</v>
      </c>
      <c r="O3">
        <v>-0.13314123801507879</v>
      </c>
      <c r="P3">
        <v>0.43467098381360469</v>
      </c>
      <c r="Q3" t="s">
        <v>41</v>
      </c>
      <c r="R3">
        <v>0</v>
      </c>
      <c r="S3">
        <v>0.2014</v>
      </c>
      <c r="T3">
        <v>0</v>
      </c>
      <c r="U3">
        <v>0.79769999999999996</v>
      </c>
      <c r="V3">
        <v>5.0000000000000001E-4</v>
      </c>
      <c r="W3">
        <v>4.0000000000000002E-4</v>
      </c>
      <c r="X3">
        <v>0</v>
      </c>
      <c r="Y3">
        <v>0</v>
      </c>
      <c r="Z3">
        <v>0</v>
      </c>
      <c r="AA3">
        <v>1</v>
      </c>
      <c r="AC3">
        <f>IF(ISNUMBER(INDEX($A$2:$AA$25,2,MATCH('Mutlak Getiri'!$E$2,$A$1:$AA$1,0))),INDEX($A$2:$AA$25,2,MATCH('Mutlak Getiri'!$E$2,$A$1:$AA$1,0)),-1000000000)-ROW()/10000000</f>
        <v>1.481043732446244</v>
      </c>
    </row>
    <row r="4" spans="1:29" x14ac:dyDescent="0.2">
      <c r="A4" t="s">
        <v>83</v>
      </c>
      <c r="B4" t="s">
        <v>84</v>
      </c>
      <c r="C4" t="s">
        <v>53</v>
      </c>
      <c r="D4">
        <v>2.5000000000000001E-2</v>
      </c>
      <c r="E4">
        <v>1.398676689374367</v>
      </c>
      <c r="F4">
        <v>1.295564768460578</v>
      </c>
      <c r="G4">
        <v>8.2116083159422537E-2</v>
      </c>
      <c r="H4">
        <v>8.8649761982324762</v>
      </c>
      <c r="I4">
        <v>26.86071857167347</v>
      </c>
      <c r="J4">
        <v>11</v>
      </c>
      <c r="K4">
        <v>11</v>
      </c>
      <c r="L4">
        <v>0</v>
      </c>
      <c r="M4">
        <v>36302540.899999999</v>
      </c>
      <c r="N4">
        <v>36332175.630000003</v>
      </c>
      <c r="O4">
        <v>8.1632660594310735E-4</v>
      </c>
      <c r="P4">
        <v>0.40262568063814358</v>
      </c>
      <c r="Q4" t="s">
        <v>38</v>
      </c>
      <c r="R4">
        <v>0</v>
      </c>
      <c r="S4">
        <v>0.19520000000000001</v>
      </c>
      <c r="T4">
        <v>0</v>
      </c>
      <c r="U4">
        <v>0.80480000000000007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C4">
        <f>IF(ISNUMBER(INDEX($A$2:$AA$25,3,MATCH('Mutlak Getiri'!$E$2,$A$1:$AA$1,0))),INDEX($A$2:$AA$25,3,MATCH('Mutlak Getiri'!$E$2,$A$1:$AA$1,0)),-1000000000)-ROW()/10000000</f>
        <v>1.3986762893743669</v>
      </c>
    </row>
    <row r="5" spans="1:29" x14ac:dyDescent="0.2">
      <c r="A5" t="s">
        <v>85</v>
      </c>
      <c r="B5" t="s">
        <v>86</v>
      </c>
      <c r="C5" t="s">
        <v>87</v>
      </c>
      <c r="D5">
        <v>2.5000000000000001E-2</v>
      </c>
      <c r="E5">
        <v>0.41892707019557379</v>
      </c>
      <c r="F5">
        <v>0.35725354135487392</v>
      </c>
      <c r="G5">
        <v>0.84961331579922472</v>
      </c>
      <c r="H5">
        <v>10.69241315198866</v>
      </c>
      <c r="I5">
        <v>26.11141058490794</v>
      </c>
      <c r="J5">
        <v>799</v>
      </c>
      <c r="K5">
        <v>756</v>
      </c>
      <c r="L5">
        <v>-5.3817271589486897E-2</v>
      </c>
      <c r="M5">
        <v>515997682.75</v>
      </c>
      <c r="N5">
        <v>474669319.00999999</v>
      </c>
      <c r="O5">
        <v>-8.0094087864389762E-2</v>
      </c>
      <c r="P5">
        <v>0.31492924175154802</v>
      </c>
      <c r="Q5" t="s">
        <v>41</v>
      </c>
      <c r="R5">
        <v>4.5999999999999999E-3</v>
      </c>
      <c r="S5">
        <v>0.1633</v>
      </c>
      <c r="T5">
        <v>0</v>
      </c>
      <c r="U5">
        <v>0.83209999999999995</v>
      </c>
      <c r="V5">
        <v>0</v>
      </c>
      <c r="W5">
        <v>0</v>
      </c>
      <c r="X5">
        <v>0</v>
      </c>
      <c r="Y5">
        <v>0</v>
      </c>
      <c r="Z5">
        <v>0</v>
      </c>
      <c r="AA5">
        <v>0.99999999999999989</v>
      </c>
      <c r="AC5">
        <f>IF(ISNUMBER(INDEX($A$2:$AA$25,4,MATCH('Mutlak Getiri'!$E$2,$A$1:$AA$1,0))),INDEX($A$2:$AA$25,4,MATCH('Mutlak Getiri'!$E$2,$A$1:$AA$1,0)),-1000000000)-ROW()/10000000</f>
        <v>0.41892657019557378</v>
      </c>
    </row>
    <row r="6" spans="1:29" x14ac:dyDescent="0.2">
      <c r="A6" t="s">
        <v>88</v>
      </c>
      <c r="B6" t="s">
        <v>89</v>
      </c>
      <c r="C6" t="s">
        <v>90</v>
      </c>
      <c r="D6">
        <v>2.5000000000000001E-2</v>
      </c>
      <c r="E6">
        <v>0.33762204580709548</v>
      </c>
      <c r="F6">
        <v>0.75440579090437776</v>
      </c>
      <c r="G6">
        <v>3.0375911667785971</v>
      </c>
      <c r="H6">
        <v>13.91474005905002</v>
      </c>
      <c r="I6">
        <v>27.731743204522591</v>
      </c>
      <c r="J6">
        <v>5574</v>
      </c>
      <c r="K6">
        <v>6253</v>
      </c>
      <c r="L6">
        <v>0.12181557229996411</v>
      </c>
      <c r="M6">
        <v>4366811798.4399996</v>
      </c>
      <c r="N6">
        <v>6998043483.5600004</v>
      </c>
      <c r="O6">
        <v>0.60255211503733275</v>
      </c>
      <c r="P6">
        <v>0.15620986275136789</v>
      </c>
      <c r="Q6" t="s">
        <v>41</v>
      </c>
      <c r="R6">
        <v>0</v>
      </c>
      <c r="S6">
        <v>0.13730000000000001</v>
      </c>
      <c r="T6">
        <v>0</v>
      </c>
      <c r="U6">
        <v>0.80590000000000006</v>
      </c>
      <c r="V6">
        <v>5.6800000000000003E-2</v>
      </c>
      <c r="W6">
        <v>0</v>
      </c>
      <c r="X6">
        <v>0</v>
      </c>
      <c r="Y6">
        <v>0</v>
      </c>
      <c r="Z6">
        <v>0</v>
      </c>
      <c r="AA6">
        <v>1</v>
      </c>
      <c r="AC6">
        <f>IF(ISNUMBER(INDEX($A$2:$AA$25,5,MATCH('Mutlak Getiri'!$E$2,$A$1:$AA$1,0))),INDEX($A$2:$AA$25,5,MATCH('Mutlak Getiri'!$E$2,$A$1:$AA$1,0)),-1000000000)-ROW()/10000000</f>
        <v>0.33762144580709547</v>
      </c>
    </row>
    <row r="7" spans="1:29" x14ac:dyDescent="0.2">
      <c r="A7" t="s">
        <v>91</v>
      </c>
      <c r="B7" t="s">
        <v>92</v>
      </c>
      <c r="C7" t="s">
        <v>71</v>
      </c>
      <c r="D7">
        <v>0.02</v>
      </c>
      <c r="E7">
        <v>0.32713565098338998</v>
      </c>
      <c r="F7">
        <v>1.2618476046854179</v>
      </c>
      <c r="G7">
        <v>3.5013027147424491</v>
      </c>
      <c r="H7">
        <v>17.85739997350673</v>
      </c>
      <c r="I7">
        <v>35.491803007329622</v>
      </c>
      <c r="J7">
        <v>191</v>
      </c>
      <c r="K7">
        <v>216</v>
      </c>
      <c r="L7">
        <v>0.130890052356021</v>
      </c>
      <c r="M7">
        <v>67826189.920000002</v>
      </c>
      <c r="N7">
        <v>143375622.66</v>
      </c>
      <c r="O7">
        <v>1.113868150770513</v>
      </c>
      <c r="P7">
        <v>0.29768734091505378</v>
      </c>
      <c r="Q7" t="s">
        <v>41</v>
      </c>
      <c r="R7">
        <v>5.3E-3</v>
      </c>
      <c r="S7">
        <v>0.1633</v>
      </c>
      <c r="T7">
        <v>0</v>
      </c>
      <c r="U7">
        <v>0.82779999999999998</v>
      </c>
      <c r="V7">
        <v>3.5999999999999999E-3</v>
      </c>
      <c r="W7">
        <v>0</v>
      </c>
      <c r="X7">
        <v>0</v>
      </c>
      <c r="Y7">
        <v>0</v>
      </c>
      <c r="Z7">
        <v>0</v>
      </c>
      <c r="AA7">
        <v>1</v>
      </c>
      <c r="AC7">
        <f>IF(ISNUMBER(INDEX($A$2:$AA$25,6,MATCH('Mutlak Getiri'!$E$2,$A$1:$AA$1,0))),INDEX($A$2:$AA$25,6,MATCH('Mutlak Getiri'!$E$2,$A$1:$AA$1,0)),-1000000000)-ROW()/10000000</f>
        <v>0.32713495098338996</v>
      </c>
    </row>
    <row r="8" spans="1:29" x14ac:dyDescent="0.2">
      <c r="A8" t="s">
        <v>93</v>
      </c>
      <c r="B8" t="s">
        <v>94</v>
      </c>
      <c r="C8" t="s">
        <v>50</v>
      </c>
      <c r="D8">
        <v>3.15E-2</v>
      </c>
      <c r="E8">
        <v>0.26088992353530133</v>
      </c>
      <c r="F8">
        <v>0.79299630213351957</v>
      </c>
      <c r="G8">
        <v>3.1946898993421509</v>
      </c>
      <c r="H8">
        <v>23.162877318227679</v>
      </c>
      <c r="I8">
        <v>45.110928827941251</v>
      </c>
      <c r="J8">
        <v>392</v>
      </c>
      <c r="K8">
        <v>419</v>
      </c>
      <c r="L8">
        <v>6.8877551020408267E-2</v>
      </c>
      <c r="M8">
        <v>1217271502.6199999</v>
      </c>
      <c r="N8">
        <v>1658262397.28</v>
      </c>
      <c r="O8">
        <v>0.36227817188756273</v>
      </c>
      <c r="P8">
        <v>6.9113092444003141E-2</v>
      </c>
      <c r="Q8" t="s">
        <v>41</v>
      </c>
      <c r="R8">
        <v>0</v>
      </c>
      <c r="S8">
        <v>0.1183</v>
      </c>
      <c r="T8">
        <v>0</v>
      </c>
      <c r="U8">
        <v>0.72389999999999999</v>
      </c>
      <c r="V8">
        <v>9.11E-2</v>
      </c>
      <c r="W8">
        <v>9.7999999999999997E-3</v>
      </c>
      <c r="X8">
        <v>0</v>
      </c>
      <c r="Y8">
        <v>2.1399999999999999E-2</v>
      </c>
      <c r="Z8">
        <v>0</v>
      </c>
      <c r="AA8">
        <v>0.96450000000000002</v>
      </c>
      <c r="AC8">
        <f>IF(ISNUMBER(INDEX($A$2:$AA$25,7,MATCH('Mutlak Getiri'!$E$2,$A$1:$AA$1,0))),INDEX($A$2:$AA$25,7,MATCH('Mutlak Getiri'!$E$2,$A$1:$AA$1,0)),-1000000000)-ROW()/10000000</f>
        <v>0.2608891235353013</v>
      </c>
    </row>
    <row r="9" spans="1:29" x14ac:dyDescent="0.2">
      <c r="A9" t="s">
        <v>95</v>
      </c>
      <c r="B9" t="s">
        <v>96</v>
      </c>
      <c r="C9" t="s">
        <v>97</v>
      </c>
      <c r="D9">
        <v>2.1000000000000001E-2</v>
      </c>
      <c r="E9">
        <v>0.24559570269322431</v>
      </c>
      <c r="F9">
        <v>0.70794727290095505</v>
      </c>
      <c r="G9">
        <v>2.9798184027411518</v>
      </c>
      <c r="H9">
        <v>20.63916433431206</v>
      </c>
      <c r="I9">
        <v>43.99956020722162</v>
      </c>
      <c r="J9">
        <v>176</v>
      </c>
      <c r="K9">
        <v>160</v>
      </c>
      <c r="L9">
        <v>-9.0909090909090939E-2</v>
      </c>
      <c r="M9">
        <v>199179144.88999999</v>
      </c>
      <c r="N9">
        <v>149046018.99000001</v>
      </c>
      <c r="O9">
        <v>-0.25169867019806141</v>
      </c>
      <c r="P9">
        <v>0.1098545018331834</v>
      </c>
      <c r="Q9" t="s">
        <v>41</v>
      </c>
      <c r="R9">
        <v>0</v>
      </c>
      <c r="S9">
        <v>0.16189999999999999</v>
      </c>
      <c r="T9">
        <v>0</v>
      </c>
      <c r="U9">
        <v>0.77110000000000001</v>
      </c>
      <c r="V9">
        <v>6.7000000000000004E-2</v>
      </c>
      <c r="W9">
        <v>0</v>
      </c>
      <c r="X9">
        <v>0</v>
      </c>
      <c r="Y9">
        <v>0</v>
      </c>
      <c r="Z9">
        <v>0</v>
      </c>
      <c r="AA9">
        <v>1</v>
      </c>
      <c r="AC9">
        <f>IF(ISNUMBER(INDEX($A$2:$AA$25,8,MATCH('Mutlak Getiri'!$E$2,$A$1:$AA$1,0))),INDEX($A$2:$AA$25,8,MATCH('Mutlak Getiri'!$E$2,$A$1:$AA$1,0)),-1000000000)-ROW()/10000000</f>
        <v>0.24559480269322431</v>
      </c>
    </row>
    <row r="10" spans="1:29" x14ac:dyDescent="0.2">
      <c r="A10" t="s">
        <v>98</v>
      </c>
      <c r="B10" t="s">
        <v>99</v>
      </c>
      <c r="C10" t="s">
        <v>100</v>
      </c>
      <c r="D10">
        <v>2.5000000000000001E-2</v>
      </c>
      <c r="E10">
        <v>0.24435880886803929</v>
      </c>
      <c r="F10">
        <v>0.75507441426911903</v>
      </c>
      <c r="G10">
        <v>2.734287657527235</v>
      </c>
      <c r="H10">
        <v>16.941571722488469</v>
      </c>
      <c r="I10">
        <v>34.710575994860832</v>
      </c>
      <c r="J10">
        <v>337</v>
      </c>
      <c r="K10">
        <v>324</v>
      </c>
      <c r="L10">
        <v>-3.857566765578635E-2</v>
      </c>
      <c r="M10">
        <v>496539361.47000003</v>
      </c>
      <c r="N10">
        <v>460012575.33999997</v>
      </c>
      <c r="O10">
        <v>-7.3562720227985268E-2</v>
      </c>
      <c r="P10">
        <v>0.12551742904787039</v>
      </c>
      <c r="Q10" t="s">
        <v>41</v>
      </c>
      <c r="R10">
        <v>0</v>
      </c>
      <c r="S10">
        <v>0.15290000000000001</v>
      </c>
      <c r="T10">
        <v>0</v>
      </c>
      <c r="U10">
        <v>0.84709999999999996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C10">
        <f>IF(ISNUMBER(INDEX($A$2:$AA$25,9,MATCH('Mutlak Getiri'!$E$2,$A$1:$AA$1,0))),INDEX($A$2:$AA$25,9,MATCH('Mutlak Getiri'!$E$2,$A$1:$AA$1,0)),-1000000000)-ROW()/10000000</f>
        <v>0.24435780886803929</v>
      </c>
    </row>
    <row r="11" spans="1:29" x14ac:dyDescent="0.2">
      <c r="A11" t="s">
        <v>101</v>
      </c>
      <c r="B11" t="s">
        <v>102</v>
      </c>
      <c r="C11" t="s">
        <v>103</v>
      </c>
      <c r="D11">
        <v>3.7499999999999999E-2</v>
      </c>
      <c r="E11">
        <v>0.23000999017577239</v>
      </c>
      <c r="F11">
        <v>0.73601611084124219</v>
      </c>
      <c r="G11">
        <v>2.5024083290399179</v>
      </c>
      <c r="H11">
        <v>19.21648206429807</v>
      </c>
      <c r="I11">
        <v>39.373226810037337</v>
      </c>
      <c r="J11">
        <v>256</v>
      </c>
      <c r="K11">
        <v>228</v>
      </c>
      <c r="L11">
        <v>-0.109375</v>
      </c>
      <c r="M11">
        <v>326377817.25</v>
      </c>
      <c r="N11">
        <v>279812719.70999998</v>
      </c>
      <c r="O11">
        <v>-0.14267237256609239</v>
      </c>
      <c r="P11">
        <v>9.4741694935861029E-2</v>
      </c>
      <c r="Q11" t="s">
        <v>41</v>
      </c>
      <c r="R11">
        <v>0</v>
      </c>
      <c r="S11">
        <v>6.2E-2</v>
      </c>
      <c r="T11">
        <v>0</v>
      </c>
      <c r="U11">
        <v>0.84909999999999997</v>
      </c>
      <c r="V11">
        <v>-0.28249999999999997</v>
      </c>
      <c r="W11">
        <v>0.20369999999999999</v>
      </c>
      <c r="X11">
        <v>0</v>
      </c>
      <c r="Y11">
        <v>0.1293</v>
      </c>
      <c r="Z11">
        <v>-1E-4</v>
      </c>
      <c r="AA11">
        <v>0.96150000000000002</v>
      </c>
      <c r="AC11">
        <f>IF(ISNUMBER(INDEX($A$2:$AA$25,10,MATCH('Mutlak Getiri'!$E$2,$A$1:$AA$1,0))),INDEX($A$2:$AA$25,10,MATCH('Mutlak Getiri'!$E$2,$A$1:$AA$1,0)),-1000000000)-ROW()/10000000</f>
        <v>0.23000889017577239</v>
      </c>
    </row>
    <row r="12" spans="1:29" x14ac:dyDescent="0.2">
      <c r="A12" t="s">
        <v>104</v>
      </c>
      <c r="B12" t="s">
        <v>105</v>
      </c>
      <c r="C12" t="s">
        <v>103</v>
      </c>
      <c r="D12">
        <v>0.03</v>
      </c>
      <c r="E12">
        <v>0.20888717458740211</v>
      </c>
      <c r="F12">
        <v>0.3780897813525641</v>
      </c>
      <c r="G12">
        <v>0.77806534989155463</v>
      </c>
      <c r="H12">
        <v>12.75373237197204</v>
      </c>
      <c r="I12">
        <v>15.03540904901015</v>
      </c>
      <c r="J12">
        <v>12</v>
      </c>
      <c r="K12">
        <v>12</v>
      </c>
      <c r="L12">
        <v>0</v>
      </c>
      <c r="M12">
        <v>5721873.75</v>
      </c>
      <c r="N12">
        <v>5766394.3600000003</v>
      </c>
      <c r="O12">
        <v>7.7807746107645404E-3</v>
      </c>
      <c r="P12">
        <v>0.17896999648852899</v>
      </c>
      <c r="Q12" t="s">
        <v>38</v>
      </c>
      <c r="R12">
        <v>0</v>
      </c>
      <c r="S12">
        <v>0.13719999999999999</v>
      </c>
      <c r="T12">
        <v>0</v>
      </c>
      <c r="U12">
        <v>0.82250000000000001</v>
      </c>
      <c r="V12">
        <v>0</v>
      </c>
      <c r="W12">
        <v>4.0300000000000002E-2</v>
      </c>
      <c r="X12">
        <v>0</v>
      </c>
      <c r="Y12">
        <v>0</v>
      </c>
      <c r="Z12">
        <v>0</v>
      </c>
      <c r="AA12">
        <v>1</v>
      </c>
      <c r="AC12">
        <f>IF(ISNUMBER(INDEX($A$2:$AA$25,11,MATCH('Mutlak Getiri'!$E$2,$A$1:$AA$1,0))),INDEX($A$2:$AA$25,11,MATCH('Mutlak Getiri'!$E$2,$A$1:$AA$1,0)),-1000000000)-ROW()/10000000</f>
        <v>0.2088859745874021</v>
      </c>
    </row>
    <row r="13" spans="1:29" x14ac:dyDescent="0.2">
      <c r="A13" t="s">
        <v>106</v>
      </c>
      <c r="B13" t="s">
        <v>107</v>
      </c>
      <c r="C13" t="s">
        <v>103</v>
      </c>
      <c r="D13">
        <v>0.05</v>
      </c>
      <c r="E13">
        <v>0.20658773185648899</v>
      </c>
      <c r="F13">
        <v>0.6280602597801499</v>
      </c>
      <c r="G13">
        <v>1.4120366851787749</v>
      </c>
      <c r="H13">
        <v>13.75195395297184</v>
      </c>
      <c r="I13">
        <v>29.539553462527611</v>
      </c>
      <c r="J13">
        <v>141</v>
      </c>
      <c r="K13">
        <v>131</v>
      </c>
      <c r="L13">
        <v>-7.0921985815602828E-2</v>
      </c>
      <c r="M13">
        <v>12059302.300000001</v>
      </c>
      <c r="N13">
        <v>12092220.75</v>
      </c>
      <c r="O13">
        <v>2.729714305279352E-3</v>
      </c>
      <c r="P13">
        <v>0.2134456105662669</v>
      </c>
      <c r="Q13" t="s">
        <v>41</v>
      </c>
      <c r="R13">
        <v>0</v>
      </c>
      <c r="S13">
        <v>0.2107</v>
      </c>
      <c r="T13">
        <v>0</v>
      </c>
      <c r="U13">
        <v>0.78810000000000002</v>
      </c>
      <c r="V13">
        <v>0</v>
      </c>
      <c r="W13">
        <v>1.1999999999999999E-3</v>
      </c>
      <c r="X13">
        <v>0</v>
      </c>
      <c r="Y13">
        <v>0</v>
      </c>
      <c r="Z13">
        <v>0</v>
      </c>
      <c r="AA13">
        <v>1</v>
      </c>
      <c r="AC13">
        <f>IF(ISNUMBER(INDEX($A$2:$AA$25,12,MATCH('Mutlak Getiri'!$E$2,$A$1:$AA$1,0))),INDEX($A$2:$AA$25,12,MATCH('Mutlak Getiri'!$E$2,$A$1:$AA$1,0)),-1000000000)-ROW()/10000000</f>
        <v>0.20658643185648898</v>
      </c>
    </row>
    <row r="14" spans="1:29" x14ac:dyDescent="0.2">
      <c r="A14" t="s">
        <v>108</v>
      </c>
      <c r="B14" t="s">
        <v>109</v>
      </c>
      <c r="C14" t="s">
        <v>103</v>
      </c>
      <c r="D14">
        <v>0.04</v>
      </c>
      <c r="E14">
        <v>0.18778321590600111</v>
      </c>
      <c r="F14">
        <v>0.48624580440876919</v>
      </c>
      <c r="G14">
        <v>0.4941141020164741</v>
      </c>
      <c r="H14">
        <v>11.56320459549887</v>
      </c>
      <c r="I14">
        <v>28.827835328454231</v>
      </c>
      <c r="J14">
        <v>104</v>
      </c>
      <c r="K14">
        <v>95</v>
      </c>
      <c r="L14">
        <v>-8.6538461538461564E-2</v>
      </c>
      <c r="M14">
        <v>5603384.9100000001</v>
      </c>
      <c r="N14">
        <v>5021970.71</v>
      </c>
      <c r="O14">
        <v>-0.1037612459858661</v>
      </c>
      <c r="P14">
        <v>0.27257193493164</v>
      </c>
      <c r="Q14" t="s">
        <v>41</v>
      </c>
      <c r="R14">
        <v>0</v>
      </c>
      <c r="S14">
        <v>0.13869999999999999</v>
      </c>
      <c r="T14">
        <v>0</v>
      </c>
      <c r="U14">
        <v>0.86129999999999995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C14">
        <f>IF(ISNUMBER(INDEX($A$2:$AA$25,13,MATCH('Mutlak Getiri'!$E$2,$A$1:$AA$1,0))),INDEX($A$2:$AA$25,13,MATCH('Mutlak Getiri'!$E$2,$A$1:$AA$1,0)),-1000000000)-ROW()/10000000</f>
        <v>0.1877818159060011</v>
      </c>
    </row>
    <row r="15" spans="1:29" x14ac:dyDescent="0.2">
      <c r="A15" t="s">
        <v>110</v>
      </c>
      <c r="B15" t="s">
        <v>111</v>
      </c>
      <c r="C15" t="s">
        <v>103</v>
      </c>
      <c r="D15">
        <v>0.03</v>
      </c>
      <c r="E15">
        <v>0.1643043511113218</v>
      </c>
      <c r="F15">
        <v>-0.38670011367529789</v>
      </c>
      <c r="G15">
        <v>-4.863660044395246</v>
      </c>
      <c r="H15">
        <v>-11.60792735163518</v>
      </c>
      <c r="I15">
        <v>-0.88345186230434081</v>
      </c>
      <c r="J15">
        <v>12</v>
      </c>
      <c r="K15">
        <v>12</v>
      </c>
      <c r="L15">
        <v>0</v>
      </c>
      <c r="M15">
        <v>1378896.78</v>
      </c>
      <c r="N15">
        <v>1311831.8400000001</v>
      </c>
      <c r="O15">
        <v>-4.8636664449966949E-2</v>
      </c>
      <c r="P15">
        <v>0.60830611794894351</v>
      </c>
      <c r="Q15" t="s">
        <v>38</v>
      </c>
      <c r="R15">
        <v>0</v>
      </c>
      <c r="S15">
        <v>0.17430000000000001</v>
      </c>
      <c r="T15">
        <v>0</v>
      </c>
      <c r="U15">
        <v>0.82569999999999988</v>
      </c>
      <c r="V15">
        <v>0</v>
      </c>
      <c r="W15">
        <v>0</v>
      </c>
      <c r="X15">
        <v>0</v>
      </c>
      <c r="Y15">
        <v>0</v>
      </c>
      <c r="Z15">
        <v>0</v>
      </c>
      <c r="AA15">
        <v>0.99999999999999989</v>
      </c>
      <c r="AC15">
        <f>IF(ISNUMBER(INDEX($A$2:$AA$25,14,MATCH('Mutlak Getiri'!$E$2,$A$1:$AA$1,0))),INDEX($A$2:$AA$25,14,MATCH('Mutlak Getiri'!$E$2,$A$1:$AA$1,0)),-1000000000)-ROW()/10000000</f>
        <v>0.16430285111132181</v>
      </c>
    </row>
    <row r="16" spans="1:29" x14ac:dyDescent="0.2">
      <c r="A16" t="s">
        <v>112</v>
      </c>
      <c r="B16" t="s">
        <v>113</v>
      </c>
      <c r="C16" t="s">
        <v>65</v>
      </c>
      <c r="D16">
        <v>1.4999999999999999E-2</v>
      </c>
      <c r="E16">
        <v>0.13229940186147979</v>
      </c>
      <c r="F16">
        <v>0.92091704546393149</v>
      </c>
      <c r="G16">
        <v>2.5360554725407658</v>
      </c>
      <c r="H16">
        <v>18.71122798638223</v>
      </c>
      <c r="I16">
        <v>38.970696992764317</v>
      </c>
      <c r="J16">
        <v>257</v>
      </c>
      <c r="K16">
        <v>236</v>
      </c>
      <c r="L16">
        <v>-8.1712062256809381E-2</v>
      </c>
      <c r="M16">
        <v>35472964.729999997</v>
      </c>
      <c r="N16">
        <v>34591594.880000003</v>
      </c>
      <c r="O16">
        <v>-2.484624154503234E-2</v>
      </c>
      <c r="P16">
        <v>0.14579377486767339</v>
      </c>
      <c r="Q16" t="s">
        <v>41</v>
      </c>
      <c r="R16">
        <v>0</v>
      </c>
      <c r="S16">
        <v>0.1658</v>
      </c>
      <c r="T16">
        <v>0</v>
      </c>
      <c r="U16">
        <v>0.83420000000000005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C16">
        <f>IF(ISNUMBER(INDEX($A$2:$AA$25,15,MATCH('Mutlak Getiri'!$E$2,$A$1:$AA$1,0))),INDEX($A$2:$AA$25,15,MATCH('Mutlak Getiri'!$E$2,$A$1:$AA$1,0)),-1000000000)-ROW()/10000000</f>
        <v>0.1322978018614798</v>
      </c>
    </row>
    <row r="17" spans="1:29" x14ac:dyDescent="0.2">
      <c r="A17" t="s">
        <v>114</v>
      </c>
      <c r="B17" t="s">
        <v>115</v>
      </c>
      <c r="C17" t="s">
        <v>116</v>
      </c>
      <c r="D17">
        <v>0.04</v>
      </c>
      <c r="E17">
        <v>0.1244868961694401</v>
      </c>
      <c r="F17">
        <v>0.65235812922426195</v>
      </c>
      <c r="G17">
        <v>3.085984311449264</v>
      </c>
      <c r="H17">
        <v>18.418741760042881</v>
      </c>
      <c r="I17">
        <v>32.892099956410718</v>
      </c>
      <c r="J17">
        <v>36</v>
      </c>
      <c r="K17">
        <v>27</v>
      </c>
      <c r="L17">
        <v>-0.25</v>
      </c>
      <c r="M17">
        <v>55918968.329999998</v>
      </c>
      <c r="N17">
        <v>57641359.079999998</v>
      </c>
      <c r="O17">
        <v>3.080154733605767E-2</v>
      </c>
      <c r="P17">
        <v>6.280517744337405E-2</v>
      </c>
      <c r="Q17" t="s">
        <v>41</v>
      </c>
      <c r="R17">
        <v>0</v>
      </c>
      <c r="S17">
        <v>0.13400000000000001</v>
      </c>
      <c r="T17">
        <v>0.86599999999999999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C17">
        <f>IF(ISNUMBER(INDEX($A$2:$AA$25,16,MATCH('Mutlak Getiri'!$E$2,$A$1:$AA$1,0))),INDEX($A$2:$AA$25,16,MATCH('Mutlak Getiri'!$E$2,$A$1:$AA$1,0)),-1000000000)-ROW()/10000000</f>
        <v>0.12448519616944011</v>
      </c>
    </row>
    <row r="18" spans="1:29" x14ac:dyDescent="0.2">
      <c r="A18" t="s">
        <v>117</v>
      </c>
      <c r="B18" t="s">
        <v>118</v>
      </c>
      <c r="C18" t="s">
        <v>103</v>
      </c>
      <c r="D18">
        <v>4.4999999999999998E-2</v>
      </c>
      <c r="E18">
        <v>0.10277911719205329</v>
      </c>
      <c r="F18">
        <v>0.65867393966942966</v>
      </c>
      <c r="G18">
        <v>3.3929800658408782</v>
      </c>
      <c r="H18">
        <v>20.150446822692579</v>
      </c>
      <c r="I18">
        <v>40.569251630627413</v>
      </c>
      <c r="J18">
        <v>1653</v>
      </c>
      <c r="K18">
        <v>1590</v>
      </c>
      <c r="L18">
        <v>-3.8112522686025392E-2</v>
      </c>
      <c r="M18">
        <v>661809802.02999997</v>
      </c>
      <c r="N18">
        <v>667266906.62</v>
      </c>
      <c r="O18">
        <v>8.2457294728202069E-3</v>
      </c>
      <c r="P18">
        <v>0.1096907497515358</v>
      </c>
      <c r="Q18" t="s">
        <v>41</v>
      </c>
      <c r="R18">
        <v>0</v>
      </c>
      <c r="S18">
        <v>0.19400000000000001</v>
      </c>
      <c r="T18">
        <v>0</v>
      </c>
      <c r="U18">
        <v>0.80599999999999994</v>
      </c>
      <c r="V18">
        <v>0</v>
      </c>
      <c r="W18">
        <v>0</v>
      </c>
      <c r="X18">
        <v>0</v>
      </c>
      <c r="Y18">
        <v>0</v>
      </c>
      <c r="Z18">
        <v>0</v>
      </c>
      <c r="AA18">
        <v>0.99999999999999989</v>
      </c>
      <c r="AC18">
        <f>IF(ISNUMBER(INDEX($A$2:$AA$25,17,MATCH('Mutlak Getiri'!$E$2,$A$1:$AA$1,0))),INDEX($A$2:$AA$25,17,MATCH('Mutlak Getiri'!$E$2,$A$1:$AA$1,0)),-1000000000)-ROW()/10000000</f>
        <v>0.1027773171920533</v>
      </c>
    </row>
    <row r="19" spans="1:29" x14ac:dyDescent="0.2">
      <c r="A19" t="s">
        <v>119</v>
      </c>
      <c r="B19" t="s">
        <v>120</v>
      </c>
      <c r="C19" t="s">
        <v>121</v>
      </c>
      <c r="D19">
        <v>3.2000000000000001E-2</v>
      </c>
      <c r="E19">
        <v>7.7396941100094097E-2</v>
      </c>
      <c r="F19">
        <v>0.62015405606397067</v>
      </c>
      <c r="G19">
        <v>2.3356661743408451</v>
      </c>
      <c r="H19">
        <v>18.5525485062334</v>
      </c>
      <c r="I19">
        <v>39.604152379233362</v>
      </c>
      <c r="J19">
        <v>427</v>
      </c>
      <c r="K19">
        <v>399</v>
      </c>
      <c r="L19">
        <v>-6.557377049180324E-2</v>
      </c>
      <c r="M19">
        <v>1819743925.45</v>
      </c>
      <c r="N19">
        <v>1835842208.3199999</v>
      </c>
      <c r="O19">
        <v>8.8464550670330766E-3</v>
      </c>
      <c r="P19">
        <v>0.18783412970476629</v>
      </c>
      <c r="Q19" t="s">
        <v>41</v>
      </c>
      <c r="R19">
        <v>0</v>
      </c>
      <c r="S19">
        <v>6.1500000000000013E-2</v>
      </c>
      <c r="T19">
        <v>0</v>
      </c>
      <c r="U19">
        <v>0.81269999999999998</v>
      </c>
      <c r="V19">
        <v>0</v>
      </c>
      <c r="W19">
        <v>1.4200000000000001E-2</v>
      </c>
      <c r="X19">
        <v>2.2800000000000001E-2</v>
      </c>
      <c r="Y19">
        <v>0.23369999999999999</v>
      </c>
      <c r="Z19">
        <v>0</v>
      </c>
      <c r="AA19">
        <v>1.1449</v>
      </c>
      <c r="AC19">
        <f>IF(ISNUMBER(INDEX($A$2:$AA$25,18,MATCH('Mutlak Getiri'!$E$2,$A$1:$AA$1,0))),INDEX($A$2:$AA$25,18,MATCH('Mutlak Getiri'!$E$2,$A$1:$AA$1,0)),-1000000000)-ROW()/10000000</f>
        <v>7.7395041100094097E-2</v>
      </c>
    </row>
    <row r="20" spans="1:29" x14ac:dyDescent="0.2">
      <c r="A20" t="s">
        <v>122</v>
      </c>
      <c r="B20" t="s">
        <v>123</v>
      </c>
      <c r="C20" t="s">
        <v>124</v>
      </c>
      <c r="D20">
        <v>1.4999999999999999E-2</v>
      </c>
      <c r="E20">
        <v>2.3914022963911211E-2</v>
      </c>
      <c r="F20">
        <v>0.93286154726750503</v>
      </c>
      <c r="G20">
        <v>2.244519162915926</v>
      </c>
      <c r="H20">
        <v>17.69352063024234</v>
      </c>
      <c r="I20">
        <v>38.493544604081563</v>
      </c>
      <c r="J20">
        <v>356</v>
      </c>
      <c r="K20">
        <v>338</v>
      </c>
      <c r="L20">
        <v>-5.0561797752809001E-2</v>
      </c>
      <c r="M20">
        <v>15414331.560000001</v>
      </c>
      <c r="N20">
        <v>15468525.76</v>
      </c>
      <c r="O20">
        <v>3.51583198979788E-3</v>
      </c>
      <c r="P20">
        <v>0.19027611857008739</v>
      </c>
      <c r="Q20" t="s">
        <v>38</v>
      </c>
      <c r="R20">
        <v>0</v>
      </c>
      <c r="S20">
        <v>0.1207</v>
      </c>
      <c r="T20">
        <v>0</v>
      </c>
      <c r="U20">
        <v>0.86209999999999998</v>
      </c>
      <c r="V20">
        <v>1.72E-2</v>
      </c>
      <c r="W20">
        <v>0</v>
      </c>
      <c r="X20">
        <v>0</v>
      </c>
      <c r="Y20">
        <v>0</v>
      </c>
      <c r="Z20">
        <v>0</v>
      </c>
      <c r="AA20">
        <v>1</v>
      </c>
      <c r="AC20">
        <f>IF(ISNUMBER(INDEX($A$2:$AA$25,19,MATCH('Mutlak Getiri'!$E$2,$A$1:$AA$1,0))),INDEX($A$2:$AA$25,19,MATCH('Mutlak Getiri'!$E$2,$A$1:$AA$1,0)),-1000000000)-ROW()/10000000</f>
        <v>2.3912022963911213E-2</v>
      </c>
    </row>
    <row r="21" spans="1:29" x14ac:dyDescent="0.2">
      <c r="A21" t="s">
        <v>125</v>
      </c>
      <c r="B21" t="s">
        <v>126</v>
      </c>
      <c r="C21" t="s">
        <v>127</v>
      </c>
      <c r="D21">
        <v>3.15E-2</v>
      </c>
      <c r="E21">
        <v>-4.3452795657938907E-2</v>
      </c>
      <c r="F21">
        <v>0.61025944479766725</v>
      </c>
      <c r="G21">
        <v>1.875612203276789</v>
      </c>
      <c r="H21">
        <v>17.355330092866868</v>
      </c>
      <c r="I21">
        <v>32.885593923818583</v>
      </c>
      <c r="J21">
        <v>43</v>
      </c>
      <c r="K21">
        <v>43</v>
      </c>
      <c r="L21">
        <v>0</v>
      </c>
      <c r="M21">
        <v>66666618.340000004</v>
      </c>
      <c r="N21">
        <v>68828665.609999999</v>
      </c>
      <c r="O21">
        <v>3.2430732559038063E-2</v>
      </c>
      <c r="P21">
        <v>0.2011158938398574</v>
      </c>
      <c r="Q21" t="s">
        <v>41</v>
      </c>
      <c r="R21">
        <v>1.66E-2</v>
      </c>
      <c r="S21">
        <v>8.77E-2</v>
      </c>
      <c r="T21">
        <v>0</v>
      </c>
      <c r="U21">
        <v>0.89569999999999994</v>
      </c>
      <c r="V21">
        <v>0</v>
      </c>
      <c r="W21">
        <v>0</v>
      </c>
      <c r="X21">
        <v>0</v>
      </c>
      <c r="Y21">
        <v>0</v>
      </c>
      <c r="Z21">
        <v>0</v>
      </c>
      <c r="AA21">
        <v>0.99999999999999989</v>
      </c>
      <c r="AC21">
        <f>IF(ISNUMBER(INDEX($A$2:$AA$25,20,MATCH('Mutlak Getiri'!$E$2,$A$1:$AA$1,0))),INDEX($A$2:$AA$25,20,MATCH('Mutlak Getiri'!$E$2,$A$1:$AA$1,0)),-1000000000)-ROW()/10000000</f>
        <v>-4.3454895657938905E-2</v>
      </c>
    </row>
    <row r="22" spans="1:29" x14ac:dyDescent="0.2">
      <c r="A22" t="s">
        <v>128</v>
      </c>
      <c r="B22" t="s">
        <v>129</v>
      </c>
      <c r="C22" t="s">
        <v>130</v>
      </c>
      <c r="D22">
        <v>0.04</v>
      </c>
      <c r="E22">
        <v>-0.1909400219222257</v>
      </c>
      <c r="F22">
        <v>0.40784102950570672</v>
      </c>
      <c r="G22">
        <v>2.2881274192401162</v>
      </c>
      <c r="H22">
        <v>21.44849680528829</v>
      </c>
      <c r="I22">
        <v>43.100584796118689</v>
      </c>
      <c r="J22">
        <v>1288</v>
      </c>
      <c r="K22">
        <v>1283</v>
      </c>
      <c r="L22">
        <v>-3.8819875776398009E-3</v>
      </c>
      <c r="M22">
        <v>1490606733.9300001</v>
      </c>
      <c r="N22">
        <v>1798076890.0999999</v>
      </c>
      <c r="O22">
        <v>0.20627181480614379</v>
      </c>
      <c r="P22">
        <v>0.14717033973847021</v>
      </c>
      <c r="Q22" t="s">
        <v>41</v>
      </c>
      <c r="R22">
        <v>0</v>
      </c>
      <c r="S22">
        <v>0.24310000000000001</v>
      </c>
      <c r="T22">
        <v>0</v>
      </c>
      <c r="U22">
        <v>0.8609</v>
      </c>
      <c r="V22">
        <v>0</v>
      </c>
      <c r="W22">
        <v>7.000000000000001E-4</v>
      </c>
      <c r="X22">
        <v>0</v>
      </c>
      <c r="Y22">
        <v>0</v>
      </c>
      <c r="Z22">
        <v>0</v>
      </c>
      <c r="AA22">
        <v>1.1047</v>
      </c>
      <c r="AC22">
        <f>IF(ISNUMBER(INDEX($A$2:$AA$25,21,MATCH('Mutlak Getiri'!$E$2,$A$1:$AA$1,0))),INDEX($A$2:$AA$25,21,MATCH('Mutlak Getiri'!$E$2,$A$1:$AA$1,0)),-1000000000)-ROW()/10000000</f>
        <v>-0.19094222192222571</v>
      </c>
    </row>
    <row r="23" spans="1:29" x14ac:dyDescent="0.2">
      <c r="A23" t="s">
        <v>131</v>
      </c>
      <c r="B23" t="s">
        <v>132</v>
      </c>
      <c r="C23" t="s">
        <v>103</v>
      </c>
      <c r="D23">
        <v>3.5000000000000003E-2</v>
      </c>
      <c r="E23">
        <v>-0.24379801514072821</v>
      </c>
      <c r="F23">
        <v>0.18771923610749749</v>
      </c>
      <c r="G23">
        <v>1.8866730446713831</v>
      </c>
      <c r="H23">
        <v>17.53577618328093</v>
      </c>
      <c r="I23">
        <v>37.500812055953027</v>
      </c>
      <c r="J23">
        <v>665</v>
      </c>
      <c r="K23">
        <v>594</v>
      </c>
      <c r="L23">
        <v>-0.10676691729323309</v>
      </c>
      <c r="M23">
        <v>349540436.38</v>
      </c>
      <c r="N23">
        <v>130509229.08</v>
      </c>
      <c r="O23">
        <v>-0.62662623405860263</v>
      </c>
      <c r="P23">
        <v>0.1650292812441557</v>
      </c>
      <c r="Q23" t="s">
        <v>41</v>
      </c>
      <c r="R23">
        <v>0</v>
      </c>
      <c r="S23">
        <v>-3.4000000000000002E-2</v>
      </c>
      <c r="T23">
        <v>0</v>
      </c>
      <c r="U23">
        <v>0.95499999999999996</v>
      </c>
      <c r="V23">
        <v>0</v>
      </c>
      <c r="W23">
        <v>7.9000000000000001E-2</v>
      </c>
      <c r="X23">
        <v>0</v>
      </c>
      <c r="Y23">
        <v>0</v>
      </c>
      <c r="Z23">
        <v>0</v>
      </c>
      <c r="AA23">
        <v>1</v>
      </c>
      <c r="AC23">
        <f>IF(ISNUMBER(INDEX($A$2:$AA$25,22,MATCH('Mutlak Getiri'!$E$2,$A$1:$AA$1,0))),INDEX($A$2:$AA$25,22,MATCH('Mutlak Getiri'!$E$2,$A$1:$AA$1,0)),-1000000000)-ROW()/10000000</f>
        <v>-0.24380031514072822</v>
      </c>
    </row>
    <row r="24" spans="1:29" x14ac:dyDescent="0.2">
      <c r="A24" t="s">
        <v>133</v>
      </c>
      <c r="B24" t="s">
        <v>134</v>
      </c>
      <c r="C24" t="s">
        <v>135</v>
      </c>
      <c r="D24">
        <v>3.5000000000000003E-2</v>
      </c>
      <c r="E24">
        <v>-0.26980356248984538</v>
      </c>
      <c r="F24">
        <v>-2.3070320514162579</v>
      </c>
      <c r="G24">
        <v>-14.61838339991983</v>
      </c>
      <c r="H24">
        <v>-10.00520702755867</v>
      </c>
      <c r="I24">
        <v>4.1603630862329766</v>
      </c>
      <c r="J24">
        <v>11</v>
      </c>
      <c r="K24">
        <v>9</v>
      </c>
      <c r="L24">
        <v>-0.1818181818181818</v>
      </c>
      <c r="M24">
        <v>12432620.789999999</v>
      </c>
      <c r="N24">
        <v>19960235.620000001</v>
      </c>
      <c r="O24">
        <v>0.60547288919603592</v>
      </c>
      <c r="P24">
        <v>1.634994019740758</v>
      </c>
      <c r="Q24" t="s">
        <v>41</v>
      </c>
      <c r="R24">
        <v>0</v>
      </c>
      <c r="S24">
        <v>3.44E-2</v>
      </c>
      <c r="T24">
        <v>0</v>
      </c>
      <c r="U24">
        <v>0.60199999999999998</v>
      </c>
      <c r="V24">
        <v>0</v>
      </c>
      <c r="W24">
        <v>0.36359999999999998</v>
      </c>
      <c r="X24">
        <v>0</v>
      </c>
      <c r="Y24">
        <v>0</v>
      </c>
      <c r="Z24">
        <v>0</v>
      </c>
      <c r="AA24">
        <v>1</v>
      </c>
      <c r="AC24">
        <f>IF(ISNUMBER(INDEX($A$2:$AA$25,23,MATCH('Mutlak Getiri'!$E$2,$A$1:$AA$1,0))),INDEX($A$2:$AA$25,23,MATCH('Mutlak Getiri'!$E$2,$A$1:$AA$1,0)),-1000000000)-ROW()/10000000</f>
        <v>-0.2698059624898454</v>
      </c>
    </row>
    <row r="25" spans="1:29" x14ac:dyDescent="0.2">
      <c r="A25" t="s">
        <v>136</v>
      </c>
      <c r="B25" t="s">
        <v>137</v>
      </c>
      <c r="C25" t="s">
        <v>138</v>
      </c>
      <c r="D25">
        <v>3.2000000000000001E-2</v>
      </c>
      <c r="E25">
        <v>-0.63918789780206264</v>
      </c>
      <c r="F25">
        <v>-1.5431967268314311</v>
      </c>
      <c r="G25">
        <v>-1.3261479657719399</v>
      </c>
      <c r="H25">
        <v>8.5681096252470326</v>
      </c>
      <c r="I25">
        <v>28.867340578530442</v>
      </c>
      <c r="J25">
        <v>548</v>
      </c>
      <c r="K25">
        <v>515</v>
      </c>
      <c r="L25">
        <v>-6.0218978102189791E-2</v>
      </c>
      <c r="M25">
        <v>91408083.069999993</v>
      </c>
      <c r="N25">
        <v>69167685.239999995</v>
      </c>
      <c r="O25">
        <v>-0.2433088746973108</v>
      </c>
      <c r="P25">
        <v>0.50419896369858097</v>
      </c>
      <c r="Q25" t="s">
        <v>41</v>
      </c>
      <c r="R25">
        <v>0</v>
      </c>
      <c r="S25">
        <v>0.11020000000000001</v>
      </c>
      <c r="T25">
        <v>0</v>
      </c>
      <c r="U25">
        <v>0.88980000000000004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C25">
        <f>IF(ISNUMBER(INDEX($A$2:$AA$25,24,MATCH('Mutlak Getiri'!$E$2,$A$1:$AA$1,0))),INDEX($A$2:$AA$25,24,MATCH('Mutlak Getiri'!$E$2,$A$1:$AA$1,0)),-1000000000)-ROW()/10000000</f>
        <v>-0.63919039780206266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7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2" max="2" width="9" customWidth="1"/>
    <col min="3" max="3" width="68" customWidth="1"/>
    <col min="4" max="4" width="26" customWidth="1"/>
    <col min="5" max="28" width="13" customWidth="1"/>
  </cols>
  <sheetData>
    <row r="1" spans="1:28" x14ac:dyDescent="0.2">
      <c r="F1" s="6">
        <v>46216</v>
      </c>
      <c r="G1" s="6">
        <v>46210</v>
      </c>
      <c r="H1" s="6">
        <v>46185</v>
      </c>
      <c r="I1" s="6">
        <v>46022</v>
      </c>
      <c r="J1" s="6">
        <v>45852</v>
      </c>
    </row>
    <row r="2" spans="1:28" x14ac:dyDescent="0.2">
      <c r="B2" s="3" t="s">
        <v>75</v>
      </c>
      <c r="D2" s="7" t="s">
        <v>0</v>
      </c>
      <c r="E2" s="2" t="s">
        <v>13</v>
      </c>
    </row>
    <row r="3" spans="1:28" ht="48" x14ac:dyDescent="0.2">
      <c r="B3" s="4" t="s">
        <v>3</v>
      </c>
      <c r="C3" s="4" t="s">
        <v>76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6</v>
      </c>
      <c r="J3" s="4" t="s">
        <v>16</v>
      </c>
      <c r="K3" s="4" t="s">
        <v>17</v>
      </c>
      <c r="L3" s="4" t="s">
        <v>18</v>
      </c>
      <c r="M3" s="4" t="s">
        <v>19</v>
      </c>
      <c r="N3" s="4" t="s">
        <v>20</v>
      </c>
      <c r="O3" s="4" t="s">
        <v>21</v>
      </c>
      <c r="P3" s="4" t="s">
        <v>22</v>
      </c>
      <c r="Q3" s="4" t="s">
        <v>23</v>
      </c>
      <c r="R3" s="4" t="s">
        <v>24</v>
      </c>
      <c r="S3" s="4" t="s">
        <v>25</v>
      </c>
      <c r="T3" s="4" t="s">
        <v>26</v>
      </c>
      <c r="U3" s="4" t="s">
        <v>27</v>
      </c>
      <c r="V3" s="4" t="s">
        <v>28</v>
      </c>
      <c r="W3" s="4" t="s">
        <v>29</v>
      </c>
      <c r="X3" s="4" t="s">
        <v>30</v>
      </c>
      <c r="Y3" s="4" t="s">
        <v>31</v>
      </c>
      <c r="Z3" s="4" t="s">
        <v>32</v>
      </c>
      <c r="AA3" s="4" t="s">
        <v>33</v>
      </c>
      <c r="AB3" s="4" t="s">
        <v>34</v>
      </c>
    </row>
    <row r="4" spans="1:28" x14ac:dyDescent="0.2">
      <c r="A4">
        <v>1</v>
      </c>
      <c r="B4" s="5" t="str">
        <f>INDEX('V_Mutlak Getiri'!A$2:A$25,MATCH(LARGE('V_Mutlak Getiri'!$AC$2:$AC$25,ROW()-3),'V_Mutlak Getiri'!$AC$2:$AC$25,0))</f>
        <v>ZBO</v>
      </c>
      <c r="C4" s="5" t="str">
        <f>INDEX('V_Mutlak Getiri'!B$2:B$25,MATCH(LARGE('V_Mutlak Getiri'!$AC$2:$AC$25,ROW()-3),'V_Mutlak Getiri'!$AC$2:$AC$25,0))</f>
        <v>Ziraat Portföy Mutlak Getiri Hedefli Hisse Senedi Serbest Fon (Hisse Senedi Yoğun Fon)</v>
      </c>
      <c r="D4" s="5" t="str">
        <f>INDEX('V_Mutlak Getiri'!C$2:C$25,MATCH(LARGE('V_Mutlak Getiri'!$AC$2:$AC$25,ROW()-3),'V_Mutlak Getiri'!$AC$2:$AC$25,0))</f>
        <v>Ziraat Portföy</v>
      </c>
      <c r="E4" s="8">
        <f>INDEX('V_Mutlak Getiri'!D$2:D$25,MATCH(LARGE('V_Mutlak Getiri'!$AC$2:$AC$25,ROW()-3),'V_Mutlak Getiri'!$AC$2:$AC$25,0))</f>
        <v>2.5000000000000001E-2</v>
      </c>
      <c r="F4" s="9">
        <f>INDEX('V_Mutlak Getiri'!E$2:E$25,MATCH(LARGE('V_Mutlak Getiri'!$AC$2:$AC$25,ROW()-3),'V_Mutlak Getiri'!$AC$2:$AC$25,0))</f>
        <v>1.949213829983232</v>
      </c>
      <c r="G4" s="9">
        <f>INDEX('V_Mutlak Getiri'!F$2:F$25,MATCH(LARGE('V_Mutlak Getiri'!$AC$2:$AC$25,ROW()-3),'V_Mutlak Getiri'!$AC$2:$AC$25,0))</f>
        <v>1.772117764179715</v>
      </c>
      <c r="H4" s="9">
        <f>INDEX('V_Mutlak Getiri'!G$2:G$25,MATCH(LARGE('V_Mutlak Getiri'!$AC$2:$AC$25,ROW()-3),'V_Mutlak Getiri'!$AC$2:$AC$25,0))</f>
        <v>1.7123685306206671</v>
      </c>
      <c r="I4" s="9">
        <f>INDEX('V_Mutlak Getiri'!H$2:H$25,MATCH(LARGE('V_Mutlak Getiri'!$AC$2:$AC$25,ROW()-3),'V_Mutlak Getiri'!$AC$2:$AC$25,0))</f>
        <v>16.043799237573261</v>
      </c>
      <c r="J4" s="9">
        <f>INDEX('V_Mutlak Getiri'!I$2:I$25,MATCH(LARGE('V_Mutlak Getiri'!$AC$2:$AC$25,ROW()-3),'V_Mutlak Getiri'!$AC$2:$AC$25,0))</f>
        <v>21.34745001145259</v>
      </c>
      <c r="K4" s="10">
        <f>INDEX('V_Mutlak Getiri'!J$2:J$25,MATCH(LARGE('V_Mutlak Getiri'!$AC$2:$AC$25,ROW()-3),'V_Mutlak Getiri'!$AC$2:$AC$25,0))</f>
        <v>236</v>
      </c>
      <c r="L4" s="10">
        <f>INDEX('V_Mutlak Getiri'!K$2:K$25,MATCH(LARGE('V_Mutlak Getiri'!$AC$2:$AC$25,ROW()-3),'V_Mutlak Getiri'!$AC$2:$AC$25,0))</f>
        <v>224</v>
      </c>
      <c r="M4" s="8">
        <f>INDEX('V_Mutlak Getiri'!L$2:L$25,MATCH(LARGE('V_Mutlak Getiri'!$AC$2:$AC$25,ROW()-3),'V_Mutlak Getiri'!$AC$2:$AC$25,0))</f>
        <v>-5.084745762711862E-2</v>
      </c>
      <c r="N4" s="11">
        <f>INDEX('V_Mutlak Getiri'!M$2:M$25,MATCH(LARGE('V_Mutlak Getiri'!$AC$2:$AC$25,ROW()-3),'V_Mutlak Getiri'!$AC$2:$AC$25,0))</f>
        <v>428192339.04000002</v>
      </c>
      <c r="O4" s="11">
        <f>INDEX('V_Mutlak Getiri'!N$2:N$25,MATCH(LARGE('V_Mutlak Getiri'!$AC$2:$AC$25,ROW()-3),'V_Mutlak Getiri'!$AC$2:$AC$25,0))</f>
        <v>439964708.94999999</v>
      </c>
      <c r="P4" s="8">
        <f>INDEX('V_Mutlak Getiri'!O$2:O$25,MATCH(LARGE('V_Mutlak Getiri'!$AC$2:$AC$25,ROW()-3),'V_Mutlak Getiri'!$AC$2:$AC$25,0))</f>
        <v>2.7493182004127981E-2</v>
      </c>
      <c r="Q4" s="9">
        <f>INDEX('V_Mutlak Getiri'!P$2:P$25,MATCH(LARGE('V_Mutlak Getiri'!$AC$2:$AC$25,ROW()-3),'V_Mutlak Getiri'!$AC$2:$AC$25,0))</f>
        <v>0.71209864387005961</v>
      </c>
      <c r="R4" s="5" t="str">
        <f>INDEX('V_Mutlak Getiri'!Q$2:Q$25,MATCH(LARGE('V_Mutlak Getiri'!$AC$2:$AC$25,ROW()-3),'V_Mutlak Getiri'!$AC$2:$AC$25,0))</f>
        <v>Görüyor</v>
      </c>
      <c r="S4" s="8">
        <f>INDEX('V_Mutlak Getiri'!R$2:R$25,MATCH(LARGE('V_Mutlak Getiri'!$AC$2:$AC$25,ROW()-3),'V_Mutlak Getiri'!$AC$2:$AC$25,0))</f>
        <v>0</v>
      </c>
      <c r="T4" s="8">
        <f>INDEX('V_Mutlak Getiri'!S$2:S$25,MATCH(LARGE('V_Mutlak Getiri'!$AC$2:$AC$25,ROW()-3),'V_Mutlak Getiri'!$AC$2:$AC$25,0))</f>
        <v>0.1196</v>
      </c>
      <c r="U4" s="8">
        <f>INDEX('V_Mutlak Getiri'!T$2:T$25,MATCH(LARGE('V_Mutlak Getiri'!$AC$2:$AC$25,ROW()-3),'V_Mutlak Getiri'!$AC$2:$AC$25,0))</f>
        <v>1.9E-3</v>
      </c>
      <c r="V4" s="8">
        <f>INDEX('V_Mutlak Getiri'!U$2:U$25,MATCH(LARGE('V_Mutlak Getiri'!$AC$2:$AC$25,ROW()-3),'V_Mutlak Getiri'!$AC$2:$AC$25,0))</f>
        <v>0.87849999999999995</v>
      </c>
      <c r="W4" s="8">
        <f>INDEX('V_Mutlak Getiri'!V$2:V$25,MATCH(LARGE('V_Mutlak Getiri'!$AC$2:$AC$25,ROW()-3),'V_Mutlak Getiri'!$AC$2:$AC$25,0))</f>
        <v>0</v>
      </c>
      <c r="X4" s="8">
        <f>INDEX('V_Mutlak Getiri'!W$2:W$25,MATCH(LARGE('V_Mutlak Getiri'!$AC$2:$AC$25,ROW()-3),'V_Mutlak Getiri'!$AC$2:$AC$25,0))</f>
        <v>0</v>
      </c>
      <c r="Y4" s="8">
        <f>INDEX('V_Mutlak Getiri'!X$2:X$25,MATCH(LARGE('V_Mutlak Getiri'!$AC$2:$AC$25,ROW()-3),'V_Mutlak Getiri'!$AC$2:$AC$25,0))</f>
        <v>0</v>
      </c>
      <c r="Z4" s="8">
        <f>INDEX('V_Mutlak Getiri'!Y$2:Y$25,MATCH(LARGE('V_Mutlak Getiri'!$AC$2:$AC$25,ROW()-3),'V_Mutlak Getiri'!$AC$2:$AC$25,0))</f>
        <v>0</v>
      </c>
      <c r="AA4" s="8">
        <f>INDEX('V_Mutlak Getiri'!Z$2:Z$25,MATCH(LARGE('V_Mutlak Getiri'!$AC$2:$AC$25,ROW()-3),'V_Mutlak Getiri'!$AC$2:$AC$25,0))</f>
        <v>0</v>
      </c>
      <c r="AB4" s="8">
        <f>INDEX('V_Mutlak Getiri'!AA$2:AA$25,MATCH(LARGE('V_Mutlak Getiri'!$AC$2:$AC$25,ROW()-3),'V_Mutlak Getiri'!$AC$2:$AC$25,0))</f>
        <v>1</v>
      </c>
    </row>
    <row r="5" spans="1:28" x14ac:dyDescent="0.2">
      <c r="A5">
        <v>2</v>
      </c>
      <c r="B5" s="5" t="str">
        <f>INDEX('V_Mutlak Getiri'!A$2:A$25,MATCH(LARGE('V_Mutlak Getiri'!$AC$2:$AC$25,ROW()-3),'V_Mutlak Getiri'!$AC$2:$AC$25,0))</f>
        <v>MUT</v>
      </c>
      <c r="C5" s="5" t="str">
        <f>INDEX('V_Mutlak Getiri'!B$2:B$25,MATCH(LARGE('V_Mutlak Getiri'!$AC$2:$AC$25,ROW()-3),'V_Mutlak Getiri'!$AC$2:$AC$25,0))</f>
        <v>Garanti Portföy Mutlak Getiri Hedefli Hisse Senedi Serbest Fon (Hisse Senedi Yoğun Fon)</v>
      </c>
      <c r="D5" s="5" t="str">
        <f>INDEX('V_Mutlak Getiri'!C$2:C$25,MATCH(LARGE('V_Mutlak Getiri'!$AC$2:$AC$25,ROW()-3),'V_Mutlak Getiri'!$AC$2:$AC$25,0))</f>
        <v>Garanti Portföy</v>
      </c>
      <c r="E5" s="8">
        <f>INDEX('V_Mutlak Getiri'!D$2:D$25,MATCH(LARGE('V_Mutlak Getiri'!$AC$2:$AC$25,ROW()-3),'V_Mutlak Getiri'!$AC$2:$AC$25,0))</f>
        <v>2.5000000000000001E-2</v>
      </c>
      <c r="F5" s="9">
        <f>INDEX('V_Mutlak Getiri'!E$2:E$25,MATCH(LARGE('V_Mutlak Getiri'!$AC$2:$AC$25,ROW()-3),'V_Mutlak Getiri'!$AC$2:$AC$25,0))</f>
        <v>1.4810440324462439</v>
      </c>
      <c r="G5" s="9">
        <f>INDEX('V_Mutlak Getiri'!F$2:F$25,MATCH(LARGE('V_Mutlak Getiri'!$AC$2:$AC$25,ROW()-3),'V_Mutlak Getiri'!$AC$2:$AC$25,0))</f>
        <v>1.756027108099101</v>
      </c>
      <c r="H5" s="9">
        <f>INDEX('V_Mutlak Getiri'!G$2:G$25,MATCH(LARGE('V_Mutlak Getiri'!$AC$2:$AC$25,ROW()-3),'V_Mutlak Getiri'!$AC$2:$AC$25,0))</f>
        <v>0.2385835578718298</v>
      </c>
      <c r="I5" s="9">
        <f>INDEX('V_Mutlak Getiri'!H$2:H$25,MATCH(LARGE('V_Mutlak Getiri'!$AC$2:$AC$25,ROW()-3),'V_Mutlak Getiri'!$AC$2:$AC$25,0))</f>
        <v>11.52971518646309</v>
      </c>
      <c r="J5" s="9">
        <f>INDEX('V_Mutlak Getiri'!I$2:I$25,MATCH(LARGE('V_Mutlak Getiri'!$AC$2:$AC$25,ROW()-3),'V_Mutlak Getiri'!$AC$2:$AC$25,0))</f>
        <v>30.330120517930421</v>
      </c>
      <c r="K5" s="10">
        <f>INDEX('V_Mutlak Getiri'!J$2:J$25,MATCH(LARGE('V_Mutlak Getiri'!$AC$2:$AC$25,ROW()-3),'V_Mutlak Getiri'!$AC$2:$AC$25,0))</f>
        <v>1617</v>
      </c>
      <c r="L5" s="10">
        <f>INDEX('V_Mutlak Getiri'!K$2:K$25,MATCH(LARGE('V_Mutlak Getiri'!$AC$2:$AC$25,ROW()-3),'V_Mutlak Getiri'!$AC$2:$AC$25,0))</f>
        <v>1488</v>
      </c>
      <c r="M5" s="8">
        <f>INDEX('V_Mutlak Getiri'!L$2:L$25,MATCH(LARGE('V_Mutlak Getiri'!$AC$2:$AC$25,ROW()-3),'V_Mutlak Getiri'!$AC$2:$AC$25,0))</f>
        <v>-7.9777365491651153E-2</v>
      </c>
      <c r="N5" s="11">
        <f>INDEX('V_Mutlak Getiri'!M$2:M$25,MATCH(LARGE('V_Mutlak Getiri'!$AC$2:$AC$25,ROW()-3),'V_Mutlak Getiri'!$AC$2:$AC$25,0))</f>
        <v>955694914.03999996</v>
      </c>
      <c r="O5" s="11">
        <f>INDEX('V_Mutlak Getiri'!N$2:N$25,MATCH(LARGE('V_Mutlak Getiri'!$AC$2:$AC$25,ROW()-3),'V_Mutlak Getiri'!$AC$2:$AC$25,0))</f>
        <v>828452510.01999998</v>
      </c>
      <c r="P5" s="8">
        <f>INDEX('V_Mutlak Getiri'!O$2:O$25,MATCH(LARGE('V_Mutlak Getiri'!$AC$2:$AC$25,ROW()-3),'V_Mutlak Getiri'!$AC$2:$AC$25,0))</f>
        <v>-0.13314123801507879</v>
      </c>
      <c r="Q5" s="9">
        <f>INDEX('V_Mutlak Getiri'!P$2:P$25,MATCH(LARGE('V_Mutlak Getiri'!$AC$2:$AC$25,ROW()-3),'V_Mutlak Getiri'!$AC$2:$AC$25,0))</f>
        <v>0.43467098381360469</v>
      </c>
      <c r="R5" s="5" t="str">
        <f>INDEX('V_Mutlak Getiri'!Q$2:Q$25,MATCH(LARGE('V_Mutlak Getiri'!$AC$2:$AC$25,ROW()-3),'V_Mutlak Getiri'!$AC$2:$AC$25,0))</f>
        <v>Görüyor</v>
      </c>
      <c r="S5" s="8">
        <f>INDEX('V_Mutlak Getiri'!R$2:R$25,MATCH(LARGE('V_Mutlak Getiri'!$AC$2:$AC$25,ROW()-3),'V_Mutlak Getiri'!$AC$2:$AC$25,0))</f>
        <v>0</v>
      </c>
      <c r="T5" s="8">
        <f>INDEX('V_Mutlak Getiri'!S$2:S$25,MATCH(LARGE('V_Mutlak Getiri'!$AC$2:$AC$25,ROW()-3),'V_Mutlak Getiri'!$AC$2:$AC$25,0))</f>
        <v>0.2014</v>
      </c>
      <c r="U5" s="8">
        <f>INDEX('V_Mutlak Getiri'!T$2:T$25,MATCH(LARGE('V_Mutlak Getiri'!$AC$2:$AC$25,ROW()-3),'V_Mutlak Getiri'!$AC$2:$AC$25,0))</f>
        <v>0</v>
      </c>
      <c r="V5" s="8">
        <f>INDEX('V_Mutlak Getiri'!U$2:U$25,MATCH(LARGE('V_Mutlak Getiri'!$AC$2:$AC$25,ROW()-3),'V_Mutlak Getiri'!$AC$2:$AC$25,0))</f>
        <v>0.79769999999999996</v>
      </c>
      <c r="W5" s="8">
        <f>INDEX('V_Mutlak Getiri'!V$2:V$25,MATCH(LARGE('V_Mutlak Getiri'!$AC$2:$AC$25,ROW()-3),'V_Mutlak Getiri'!$AC$2:$AC$25,0))</f>
        <v>5.0000000000000001E-4</v>
      </c>
      <c r="X5" s="8">
        <f>INDEX('V_Mutlak Getiri'!W$2:W$25,MATCH(LARGE('V_Mutlak Getiri'!$AC$2:$AC$25,ROW()-3),'V_Mutlak Getiri'!$AC$2:$AC$25,0))</f>
        <v>4.0000000000000002E-4</v>
      </c>
      <c r="Y5" s="8">
        <f>INDEX('V_Mutlak Getiri'!X$2:X$25,MATCH(LARGE('V_Mutlak Getiri'!$AC$2:$AC$25,ROW()-3),'V_Mutlak Getiri'!$AC$2:$AC$25,0))</f>
        <v>0</v>
      </c>
      <c r="Z5" s="8">
        <f>INDEX('V_Mutlak Getiri'!Y$2:Y$25,MATCH(LARGE('V_Mutlak Getiri'!$AC$2:$AC$25,ROW()-3),'V_Mutlak Getiri'!$AC$2:$AC$25,0))</f>
        <v>0</v>
      </c>
      <c r="AA5" s="8">
        <f>INDEX('V_Mutlak Getiri'!Z$2:Z$25,MATCH(LARGE('V_Mutlak Getiri'!$AC$2:$AC$25,ROW()-3),'V_Mutlak Getiri'!$AC$2:$AC$25,0))</f>
        <v>0</v>
      </c>
      <c r="AB5" s="8">
        <f>INDEX('V_Mutlak Getiri'!AA$2:AA$25,MATCH(LARGE('V_Mutlak Getiri'!$AC$2:$AC$25,ROW()-3),'V_Mutlak Getiri'!$AC$2:$AC$25,0))</f>
        <v>1</v>
      </c>
    </row>
    <row r="6" spans="1:28" x14ac:dyDescent="0.2">
      <c r="A6">
        <v>3</v>
      </c>
      <c r="B6" s="5" t="str">
        <f>INDEX('V_Mutlak Getiri'!A$2:A$25,MATCH(LARGE('V_Mutlak Getiri'!$AC$2:$AC$25,ROW()-3),'V_Mutlak Getiri'!$AC$2:$AC$25,0))</f>
        <v>FYF</v>
      </c>
      <c r="C6" s="5" t="str">
        <f>INDEX('V_Mutlak Getiri'!B$2:B$25,MATCH(LARGE('V_Mutlak Getiri'!$AC$2:$AC$25,ROW()-3),'V_Mutlak Getiri'!$AC$2:$AC$25,0))</f>
        <v>Strateji Portföy Mutlak Getiri Hedefli Hisse Senedi Serbest Fon(hisse Senedi Yoğun)</v>
      </c>
      <c r="D6" s="5" t="str">
        <f>INDEX('V_Mutlak Getiri'!C$2:C$25,MATCH(LARGE('V_Mutlak Getiri'!$AC$2:$AC$25,ROW()-3),'V_Mutlak Getiri'!$AC$2:$AC$25,0))</f>
        <v>Strateji Portföy</v>
      </c>
      <c r="E6" s="8">
        <f>INDEX('V_Mutlak Getiri'!D$2:D$25,MATCH(LARGE('V_Mutlak Getiri'!$AC$2:$AC$25,ROW()-3),'V_Mutlak Getiri'!$AC$2:$AC$25,0))</f>
        <v>2.5000000000000001E-2</v>
      </c>
      <c r="F6" s="9">
        <f>INDEX('V_Mutlak Getiri'!E$2:E$25,MATCH(LARGE('V_Mutlak Getiri'!$AC$2:$AC$25,ROW()-3),'V_Mutlak Getiri'!$AC$2:$AC$25,0))</f>
        <v>1.398676689374367</v>
      </c>
      <c r="G6" s="9">
        <f>INDEX('V_Mutlak Getiri'!F$2:F$25,MATCH(LARGE('V_Mutlak Getiri'!$AC$2:$AC$25,ROW()-3),'V_Mutlak Getiri'!$AC$2:$AC$25,0))</f>
        <v>1.295564768460578</v>
      </c>
      <c r="H6" s="9">
        <f>INDEX('V_Mutlak Getiri'!G$2:G$25,MATCH(LARGE('V_Mutlak Getiri'!$AC$2:$AC$25,ROW()-3),'V_Mutlak Getiri'!$AC$2:$AC$25,0))</f>
        <v>8.2116083159422537E-2</v>
      </c>
      <c r="I6" s="9">
        <f>INDEX('V_Mutlak Getiri'!H$2:H$25,MATCH(LARGE('V_Mutlak Getiri'!$AC$2:$AC$25,ROW()-3),'V_Mutlak Getiri'!$AC$2:$AC$25,0))</f>
        <v>8.8649761982324762</v>
      </c>
      <c r="J6" s="9">
        <f>INDEX('V_Mutlak Getiri'!I$2:I$25,MATCH(LARGE('V_Mutlak Getiri'!$AC$2:$AC$25,ROW()-3),'V_Mutlak Getiri'!$AC$2:$AC$25,0))</f>
        <v>26.86071857167347</v>
      </c>
      <c r="K6" s="10">
        <f>INDEX('V_Mutlak Getiri'!J$2:J$25,MATCH(LARGE('V_Mutlak Getiri'!$AC$2:$AC$25,ROW()-3),'V_Mutlak Getiri'!$AC$2:$AC$25,0))</f>
        <v>11</v>
      </c>
      <c r="L6" s="10">
        <f>INDEX('V_Mutlak Getiri'!K$2:K$25,MATCH(LARGE('V_Mutlak Getiri'!$AC$2:$AC$25,ROW()-3),'V_Mutlak Getiri'!$AC$2:$AC$25,0))</f>
        <v>11</v>
      </c>
      <c r="M6" s="8">
        <f>INDEX('V_Mutlak Getiri'!L$2:L$25,MATCH(LARGE('V_Mutlak Getiri'!$AC$2:$AC$25,ROW()-3),'V_Mutlak Getiri'!$AC$2:$AC$25,0))</f>
        <v>0</v>
      </c>
      <c r="N6" s="11">
        <f>INDEX('V_Mutlak Getiri'!M$2:M$25,MATCH(LARGE('V_Mutlak Getiri'!$AC$2:$AC$25,ROW()-3),'V_Mutlak Getiri'!$AC$2:$AC$25,0))</f>
        <v>36302540.899999999</v>
      </c>
      <c r="O6" s="11">
        <f>INDEX('V_Mutlak Getiri'!N$2:N$25,MATCH(LARGE('V_Mutlak Getiri'!$AC$2:$AC$25,ROW()-3),'V_Mutlak Getiri'!$AC$2:$AC$25,0))</f>
        <v>36332175.630000003</v>
      </c>
      <c r="P6" s="8">
        <f>INDEX('V_Mutlak Getiri'!O$2:O$25,MATCH(LARGE('V_Mutlak Getiri'!$AC$2:$AC$25,ROW()-3),'V_Mutlak Getiri'!$AC$2:$AC$25,0))</f>
        <v>8.1632660594310735E-4</v>
      </c>
      <c r="Q6" s="9">
        <f>INDEX('V_Mutlak Getiri'!P$2:P$25,MATCH(LARGE('V_Mutlak Getiri'!$AC$2:$AC$25,ROW()-3),'V_Mutlak Getiri'!$AC$2:$AC$25,0))</f>
        <v>0.40262568063814358</v>
      </c>
      <c r="R6" s="5" t="str">
        <f>INDEX('V_Mutlak Getiri'!Q$2:Q$25,MATCH(LARGE('V_Mutlak Getiri'!$AC$2:$AC$25,ROW()-3),'V_Mutlak Getiri'!$AC$2:$AC$25,0))</f>
        <v>Görmüyor</v>
      </c>
      <c r="S6" s="8">
        <f>INDEX('V_Mutlak Getiri'!R$2:R$25,MATCH(LARGE('V_Mutlak Getiri'!$AC$2:$AC$25,ROW()-3),'V_Mutlak Getiri'!$AC$2:$AC$25,0))</f>
        <v>0</v>
      </c>
      <c r="T6" s="8">
        <f>INDEX('V_Mutlak Getiri'!S$2:S$25,MATCH(LARGE('V_Mutlak Getiri'!$AC$2:$AC$25,ROW()-3),'V_Mutlak Getiri'!$AC$2:$AC$25,0))</f>
        <v>0.19520000000000001</v>
      </c>
      <c r="U6" s="8">
        <f>INDEX('V_Mutlak Getiri'!T$2:T$25,MATCH(LARGE('V_Mutlak Getiri'!$AC$2:$AC$25,ROW()-3),'V_Mutlak Getiri'!$AC$2:$AC$25,0))</f>
        <v>0</v>
      </c>
      <c r="V6" s="8">
        <f>INDEX('V_Mutlak Getiri'!U$2:U$25,MATCH(LARGE('V_Mutlak Getiri'!$AC$2:$AC$25,ROW()-3),'V_Mutlak Getiri'!$AC$2:$AC$25,0))</f>
        <v>0.80480000000000007</v>
      </c>
      <c r="W6" s="8">
        <f>INDEX('V_Mutlak Getiri'!V$2:V$25,MATCH(LARGE('V_Mutlak Getiri'!$AC$2:$AC$25,ROW()-3),'V_Mutlak Getiri'!$AC$2:$AC$25,0))</f>
        <v>0</v>
      </c>
      <c r="X6" s="8">
        <f>INDEX('V_Mutlak Getiri'!W$2:W$25,MATCH(LARGE('V_Mutlak Getiri'!$AC$2:$AC$25,ROW()-3),'V_Mutlak Getiri'!$AC$2:$AC$25,0))</f>
        <v>0</v>
      </c>
      <c r="Y6" s="8">
        <f>INDEX('V_Mutlak Getiri'!X$2:X$25,MATCH(LARGE('V_Mutlak Getiri'!$AC$2:$AC$25,ROW()-3),'V_Mutlak Getiri'!$AC$2:$AC$25,0))</f>
        <v>0</v>
      </c>
      <c r="Z6" s="8">
        <f>INDEX('V_Mutlak Getiri'!Y$2:Y$25,MATCH(LARGE('V_Mutlak Getiri'!$AC$2:$AC$25,ROW()-3),'V_Mutlak Getiri'!$AC$2:$AC$25,0))</f>
        <v>0</v>
      </c>
      <c r="AA6" s="8">
        <f>INDEX('V_Mutlak Getiri'!Z$2:Z$25,MATCH(LARGE('V_Mutlak Getiri'!$AC$2:$AC$25,ROW()-3),'V_Mutlak Getiri'!$AC$2:$AC$25,0))</f>
        <v>0</v>
      </c>
      <c r="AB6" s="8">
        <f>INDEX('V_Mutlak Getiri'!AA$2:AA$25,MATCH(LARGE('V_Mutlak Getiri'!$AC$2:$AC$25,ROW()-3),'V_Mutlak Getiri'!$AC$2:$AC$25,0))</f>
        <v>1</v>
      </c>
    </row>
    <row r="7" spans="1:28" x14ac:dyDescent="0.2">
      <c r="A7">
        <v>4</v>
      </c>
      <c r="B7" s="5" t="str">
        <f>INDEX('V_Mutlak Getiri'!A$2:A$25,MATCH(LARGE('V_Mutlak Getiri'!$AC$2:$AC$25,ROW()-3),'V_Mutlak Getiri'!$AC$2:$AC$25,0))</f>
        <v>MGH</v>
      </c>
      <c r="C7" s="5" t="str">
        <f>INDEX('V_Mutlak Getiri'!B$2:B$25,MATCH(LARGE('V_Mutlak Getiri'!$AC$2:$AC$25,ROW()-3),'V_Mutlak Getiri'!$AC$2:$AC$25,0))</f>
        <v>Teb Portföy Mutlak Getiri Hedefli Hisse Senedi Serbest Fon (Hisse Senedi Yoğun Fon)</v>
      </c>
      <c r="D7" s="5" t="str">
        <f>INDEX('V_Mutlak Getiri'!C$2:C$25,MATCH(LARGE('V_Mutlak Getiri'!$AC$2:$AC$25,ROW()-3),'V_Mutlak Getiri'!$AC$2:$AC$25,0))</f>
        <v>Teb Portföy</v>
      </c>
      <c r="E7" s="8">
        <f>INDEX('V_Mutlak Getiri'!D$2:D$25,MATCH(LARGE('V_Mutlak Getiri'!$AC$2:$AC$25,ROW()-3),'V_Mutlak Getiri'!$AC$2:$AC$25,0))</f>
        <v>2.5000000000000001E-2</v>
      </c>
      <c r="F7" s="9">
        <f>INDEX('V_Mutlak Getiri'!E$2:E$25,MATCH(LARGE('V_Mutlak Getiri'!$AC$2:$AC$25,ROW()-3),'V_Mutlak Getiri'!$AC$2:$AC$25,0))</f>
        <v>0.41892707019557379</v>
      </c>
      <c r="G7" s="9">
        <f>INDEX('V_Mutlak Getiri'!F$2:F$25,MATCH(LARGE('V_Mutlak Getiri'!$AC$2:$AC$25,ROW()-3),'V_Mutlak Getiri'!$AC$2:$AC$25,0))</f>
        <v>0.35725354135487392</v>
      </c>
      <c r="H7" s="9">
        <f>INDEX('V_Mutlak Getiri'!G$2:G$25,MATCH(LARGE('V_Mutlak Getiri'!$AC$2:$AC$25,ROW()-3),'V_Mutlak Getiri'!$AC$2:$AC$25,0))</f>
        <v>0.84961331579922472</v>
      </c>
      <c r="I7" s="9">
        <f>INDEX('V_Mutlak Getiri'!H$2:H$25,MATCH(LARGE('V_Mutlak Getiri'!$AC$2:$AC$25,ROW()-3),'V_Mutlak Getiri'!$AC$2:$AC$25,0))</f>
        <v>10.69241315198866</v>
      </c>
      <c r="J7" s="9">
        <f>INDEX('V_Mutlak Getiri'!I$2:I$25,MATCH(LARGE('V_Mutlak Getiri'!$AC$2:$AC$25,ROW()-3),'V_Mutlak Getiri'!$AC$2:$AC$25,0))</f>
        <v>26.11141058490794</v>
      </c>
      <c r="K7" s="10">
        <f>INDEX('V_Mutlak Getiri'!J$2:J$25,MATCH(LARGE('V_Mutlak Getiri'!$AC$2:$AC$25,ROW()-3),'V_Mutlak Getiri'!$AC$2:$AC$25,0))</f>
        <v>799</v>
      </c>
      <c r="L7" s="10">
        <f>INDEX('V_Mutlak Getiri'!K$2:K$25,MATCH(LARGE('V_Mutlak Getiri'!$AC$2:$AC$25,ROW()-3),'V_Mutlak Getiri'!$AC$2:$AC$25,0))</f>
        <v>756</v>
      </c>
      <c r="M7" s="8">
        <f>INDEX('V_Mutlak Getiri'!L$2:L$25,MATCH(LARGE('V_Mutlak Getiri'!$AC$2:$AC$25,ROW()-3),'V_Mutlak Getiri'!$AC$2:$AC$25,0))</f>
        <v>-5.3817271589486897E-2</v>
      </c>
      <c r="N7" s="11">
        <f>INDEX('V_Mutlak Getiri'!M$2:M$25,MATCH(LARGE('V_Mutlak Getiri'!$AC$2:$AC$25,ROW()-3),'V_Mutlak Getiri'!$AC$2:$AC$25,0))</f>
        <v>515997682.75</v>
      </c>
      <c r="O7" s="11">
        <f>INDEX('V_Mutlak Getiri'!N$2:N$25,MATCH(LARGE('V_Mutlak Getiri'!$AC$2:$AC$25,ROW()-3),'V_Mutlak Getiri'!$AC$2:$AC$25,0))</f>
        <v>474669319.00999999</v>
      </c>
      <c r="P7" s="8">
        <f>INDEX('V_Mutlak Getiri'!O$2:O$25,MATCH(LARGE('V_Mutlak Getiri'!$AC$2:$AC$25,ROW()-3),'V_Mutlak Getiri'!$AC$2:$AC$25,0))</f>
        <v>-8.0094087864389762E-2</v>
      </c>
      <c r="Q7" s="9">
        <f>INDEX('V_Mutlak Getiri'!P$2:P$25,MATCH(LARGE('V_Mutlak Getiri'!$AC$2:$AC$25,ROW()-3),'V_Mutlak Getiri'!$AC$2:$AC$25,0))</f>
        <v>0.31492924175154802</v>
      </c>
      <c r="R7" s="5" t="str">
        <f>INDEX('V_Mutlak Getiri'!Q$2:Q$25,MATCH(LARGE('V_Mutlak Getiri'!$AC$2:$AC$25,ROW()-3),'V_Mutlak Getiri'!$AC$2:$AC$25,0))</f>
        <v>Görüyor</v>
      </c>
      <c r="S7" s="8">
        <f>INDEX('V_Mutlak Getiri'!R$2:R$25,MATCH(LARGE('V_Mutlak Getiri'!$AC$2:$AC$25,ROW()-3),'V_Mutlak Getiri'!$AC$2:$AC$25,0))</f>
        <v>4.5999999999999999E-3</v>
      </c>
      <c r="T7" s="8">
        <f>INDEX('V_Mutlak Getiri'!S$2:S$25,MATCH(LARGE('V_Mutlak Getiri'!$AC$2:$AC$25,ROW()-3),'V_Mutlak Getiri'!$AC$2:$AC$25,0))</f>
        <v>0.1633</v>
      </c>
      <c r="U7" s="8">
        <f>INDEX('V_Mutlak Getiri'!T$2:T$25,MATCH(LARGE('V_Mutlak Getiri'!$AC$2:$AC$25,ROW()-3),'V_Mutlak Getiri'!$AC$2:$AC$25,0))</f>
        <v>0</v>
      </c>
      <c r="V7" s="8">
        <f>INDEX('V_Mutlak Getiri'!U$2:U$25,MATCH(LARGE('V_Mutlak Getiri'!$AC$2:$AC$25,ROW()-3),'V_Mutlak Getiri'!$AC$2:$AC$25,0))</f>
        <v>0.83209999999999995</v>
      </c>
      <c r="W7" s="8">
        <f>INDEX('V_Mutlak Getiri'!V$2:V$25,MATCH(LARGE('V_Mutlak Getiri'!$AC$2:$AC$25,ROW()-3),'V_Mutlak Getiri'!$AC$2:$AC$25,0))</f>
        <v>0</v>
      </c>
      <c r="X7" s="8">
        <f>INDEX('V_Mutlak Getiri'!W$2:W$25,MATCH(LARGE('V_Mutlak Getiri'!$AC$2:$AC$25,ROW()-3),'V_Mutlak Getiri'!$AC$2:$AC$25,0))</f>
        <v>0</v>
      </c>
      <c r="Y7" s="8">
        <f>INDEX('V_Mutlak Getiri'!X$2:X$25,MATCH(LARGE('V_Mutlak Getiri'!$AC$2:$AC$25,ROW()-3),'V_Mutlak Getiri'!$AC$2:$AC$25,0))</f>
        <v>0</v>
      </c>
      <c r="Z7" s="8">
        <f>INDEX('V_Mutlak Getiri'!Y$2:Y$25,MATCH(LARGE('V_Mutlak Getiri'!$AC$2:$AC$25,ROW()-3),'V_Mutlak Getiri'!$AC$2:$AC$25,0))</f>
        <v>0</v>
      </c>
      <c r="AA7" s="8">
        <f>INDEX('V_Mutlak Getiri'!Z$2:Z$25,MATCH(LARGE('V_Mutlak Getiri'!$AC$2:$AC$25,ROW()-3),'V_Mutlak Getiri'!$AC$2:$AC$25,0))</f>
        <v>0</v>
      </c>
      <c r="AB7" s="8">
        <f>INDEX('V_Mutlak Getiri'!AA$2:AA$25,MATCH(LARGE('V_Mutlak Getiri'!$AC$2:$AC$25,ROW()-3),'V_Mutlak Getiri'!$AC$2:$AC$25,0))</f>
        <v>0.99999999999999989</v>
      </c>
    </row>
    <row r="8" spans="1:28" x14ac:dyDescent="0.2">
      <c r="A8">
        <v>5</v>
      </c>
      <c r="B8" s="5" t="str">
        <f>INDEX('V_Mutlak Getiri'!A$2:A$25,MATCH(LARGE('V_Mutlak Getiri'!$AC$2:$AC$25,ROW()-3),'V_Mutlak Getiri'!$AC$2:$AC$25,0))</f>
        <v>HMG</v>
      </c>
      <c r="C8" s="5" t="str">
        <f>INDEX('V_Mutlak Getiri'!B$2:B$25,MATCH(LARGE('V_Mutlak Getiri'!$AC$2:$AC$25,ROW()-3),'V_Mutlak Getiri'!$AC$2:$AC$25,0))</f>
        <v>Hsbc Pyş Mutlak Getiri Hedefli Hisse Senedi Serbest (TL) Fon(hisse Senedi Yoğun Fon)</v>
      </c>
      <c r="D8" s="5" t="str">
        <f>INDEX('V_Mutlak Getiri'!C$2:C$25,MATCH(LARGE('V_Mutlak Getiri'!$AC$2:$AC$25,ROW()-3),'V_Mutlak Getiri'!$AC$2:$AC$25,0))</f>
        <v>Hsbc Portföy</v>
      </c>
      <c r="E8" s="8">
        <f>INDEX('V_Mutlak Getiri'!D$2:D$25,MATCH(LARGE('V_Mutlak Getiri'!$AC$2:$AC$25,ROW()-3),'V_Mutlak Getiri'!$AC$2:$AC$25,0))</f>
        <v>2.5000000000000001E-2</v>
      </c>
      <c r="F8" s="9">
        <f>INDEX('V_Mutlak Getiri'!E$2:E$25,MATCH(LARGE('V_Mutlak Getiri'!$AC$2:$AC$25,ROW()-3),'V_Mutlak Getiri'!$AC$2:$AC$25,0))</f>
        <v>0.33762204580709548</v>
      </c>
      <c r="G8" s="9">
        <f>INDEX('V_Mutlak Getiri'!F$2:F$25,MATCH(LARGE('V_Mutlak Getiri'!$AC$2:$AC$25,ROW()-3),'V_Mutlak Getiri'!$AC$2:$AC$25,0))</f>
        <v>0.75440579090437776</v>
      </c>
      <c r="H8" s="9">
        <f>INDEX('V_Mutlak Getiri'!G$2:G$25,MATCH(LARGE('V_Mutlak Getiri'!$AC$2:$AC$25,ROW()-3),'V_Mutlak Getiri'!$AC$2:$AC$25,0))</f>
        <v>3.0375911667785971</v>
      </c>
      <c r="I8" s="9">
        <f>INDEX('V_Mutlak Getiri'!H$2:H$25,MATCH(LARGE('V_Mutlak Getiri'!$AC$2:$AC$25,ROW()-3),'V_Mutlak Getiri'!$AC$2:$AC$25,0))</f>
        <v>13.91474005905002</v>
      </c>
      <c r="J8" s="9">
        <f>INDEX('V_Mutlak Getiri'!I$2:I$25,MATCH(LARGE('V_Mutlak Getiri'!$AC$2:$AC$25,ROW()-3),'V_Mutlak Getiri'!$AC$2:$AC$25,0))</f>
        <v>27.731743204522591</v>
      </c>
      <c r="K8" s="10">
        <f>INDEX('V_Mutlak Getiri'!J$2:J$25,MATCH(LARGE('V_Mutlak Getiri'!$AC$2:$AC$25,ROW()-3),'V_Mutlak Getiri'!$AC$2:$AC$25,0))</f>
        <v>5574</v>
      </c>
      <c r="L8" s="10">
        <f>INDEX('V_Mutlak Getiri'!K$2:K$25,MATCH(LARGE('V_Mutlak Getiri'!$AC$2:$AC$25,ROW()-3),'V_Mutlak Getiri'!$AC$2:$AC$25,0))</f>
        <v>6253</v>
      </c>
      <c r="M8" s="8">
        <f>INDEX('V_Mutlak Getiri'!L$2:L$25,MATCH(LARGE('V_Mutlak Getiri'!$AC$2:$AC$25,ROW()-3),'V_Mutlak Getiri'!$AC$2:$AC$25,0))</f>
        <v>0.12181557229996411</v>
      </c>
      <c r="N8" s="11">
        <f>INDEX('V_Mutlak Getiri'!M$2:M$25,MATCH(LARGE('V_Mutlak Getiri'!$AC$2:$AC$25,ROW()-3),'V_Mutlak Getiri'!$AC$2:$AC$25,0))</f>
        <v>4366811798.4399996</v>
      </c>
      <c r="O8" s="11">
        <f>INDEX('V_Mutlak Getiri'!N$2:N$25,MATCH(LARGE('V_Mutlak Getiri'!$AC$2:$AC$25,ROW()-3),'V_Mutlak Getiri'!$AC$2:$AC$25,0))</f>
        <v>6998043483.5600004</v>
      </c>
      <c r="P8" s="8">
        <f>INDEX('V_Mutlak Getiri'!O$2:O$25,MATCH(LARGE('V_Mutlak Getiri'!$AC$2:$AC$25,ROW()-3),'V_Mutlak Getiri'!$AC$2:$AC$25,0))</f>
        <v>0.60255211503733275</v>
      </c>
      <c r="Q8" s="9">
        <f>INDEX('V_Mutlak Getiri'!P$2:P$25,MATCH(LARGE('V_Mutlak Getiri'!$AC$2:$AC$25,ROW()-3),'V_Mutlak Getiri'!$AC$2:$AC$25,0))</f>
        <v>0.15620986275136789</v>
      </c>
      <c r="R8" s="5" t="str">
        <f>INDEX('V_Mutlak Getiri'!Q$2:Q$25,MATCH(LARGE('V_Mutlak Getiri'!$AC$2:$AC$25,ROW()-3),'V_Mutlak Getiri'!$AC$2:$AC$25,0))</f>
        <v>Görüyor</v>
      </c>
      <c r="S8" s="8">
        <f>INDEX('V_Mutlak Getiri'!R$2:R$25,MATCH(LARGE('V_Mutlak Getiri'!$AC$2:$AC$25,ROW()-3),'V_Mutlak Getiri'!$AC$2:$AC$25,0))</f>
        <v>0</v>
      </c>
      <c r="T8" s="8">
        <f>INDEX('V_Mutlak Getiri'!S$2:S$25,MATCH(LARGE('V_Mutlak Getiri'!$AC$2:$AC$25,ROW()-3),'V_Mutlak Getiri'!$AC$2:$AC$25,0))</f>
        <v>0.13730000000000001</v>
      </c>
      <c r="U8" s="8">
        <f>INDEX('V_Mutlak Getiri'!T$2:T$25,MATCH(LARGE('V_Mutlak Getiri'!$AC$2:$AC$25,ROW()-3),'V_Mutlak Getiri'!$AC$2:$AC$25,0))</f>
        <v>0</v>
      </c>
      <c r="V8" s="8">
        <f>INDEX('V_Mutlak Getiri'!U$2:U$25,MATCH(LARGE('V_Mutlak Getiri'!$AC$2:$AC$25,ROW()-3),'V_Mutlak Getiri'!$AC$2:$AC$25,0))</f>
        <v>0.80590000000000006</v>
      </c>
      <c r="W8" s="8">
        <f>INDEX('V_Mutlak Getiri'!V$2:V$25,MATCH(LARGE('V_Mutlak Getiri'!$AC$2:$AC$25,ROW()-3),'V_Mutlak Getiri'!$AC$2:$AC$25,0))</f>
        <v>5.6800000000000003E-2</v>
      </c>
      <c r="X8" s="8">
        <f>INDEX('V_Mutlak Getiri'!W$2:W$25,MATCH(LARGE('V_Mutlak Getiri'!$AC$2:$AC$25,ROW()-3),'V_Mutlak Getiri'!$AC$2:$AC$25,0))</f>
        <v>0</v>
      </c>
      <c r="Y8" s="8">
        <f>INDEX('V_Mutlak Getiri'!X$2:X$25,MATCH(LARGE('V_Mutlak Getiri'!$AC$2:$AC$25,ROW()-3),'V_Mutlak Getiri'!$AC$2:$AC$25,0))</f>
        <v>0</v>
      </c>
      <c r="Z8" s="8">
        <f>INDEX('V_Mutlak Getiri'!Y$2:Y$25,MATCH(LARGE('V_Mutlak Getiri'!$AC$2:$AC$25,ROW()-3),'V_Mutlak Getiri'!$AC$2:$AC$25,0))</f>
        <v>0</v>
      </c>
      <c r="AA8" s="8">
        <f>INDEX('V_Mutlak Getiri'!Z$2:Z$25,MATCH(LARGE('V_Mutlak Getiri'!$AC$2:$AC$25,ROW()-3),'V_Mutlak Getiri'!$AC$2:$AC$25,0))</f>
        <v>0</v>
      </c>
      <c r="AB8" s="8">
        <f>INDEX('V_Mutlak Getiri'!AA$2:AA$25,MATCH(LARGE('V_Mutlak Getiri'!$AC$2:$AC$25,ROW()-3),'V_Mutlak Getiri'!$AC$2:$AC$25,0))</f>
        <v>1</v>
      </c>
    </row>
    <row r="9" spans="1:28" x14ac:dyDescent="0.2">
      <c r="A9">
        <v>6</v>
      </c>
      <c r="B9" s="5" t="str">
        <f>INDEX('V_Mutlak Getiri'!A$2:A$25,MATCH(LARGE('V_Mutlak Getiri'!$AC$2:$AC$25,ROW()-3),'V_Mutlak Getiri'!$AC$2:$AC$25,0))</f>
        <v>MTG</v>
      </c>
      <c r="C9" s="5" t="str">
        <f>INDEX('V_Mutlak Getiri'!B$2:B$25,MATCH(LARGE('V_Mutlak Getiri'!$AC$2:$AC$25,ROW()-3),'V_Mutlak Getiri'!$AC$2:$AC$25,0))</f>
        <v>Deniz Portföy Mutlak Getiri Hedefli Hisse Senedi Serbest Fon (Hisse Senedi Yogun Fon)</v>
      </c>
      <c r="D9" s="5" t="str">
        <f>INDEX('V_Mutlak Getiri'!C$2:C$25,MATCH(LARGE('V_Mutlak Getiri'!$AC$2:$AC$25,ROW()-3),'V_Mutlak Getiri'!$AC$2:$AC$25,0))</f>
        <v>Deniz Portföy</v>
      </c>
      <c r="E9" s="8">
        <f>INDEX('V_Mutlak Getiri'!D$2:D$25,MATCH(LARGE('V_Mutlak Getiri'!$AC$2:$AC$25,ROW()-3),'V_Mutlak Getiri'!$AC$2:$AC$25,0))</f>
        <v>0.02</v>
      </c>
      <c r="F9" s="9">
        <f>INDEX('V_Mutlak Getiri'!E$2:E$25,MATCH(LARGE('V_Mutlak Getiri'!$AC$2:$AC$25,ROW()-3),'V_Mutlak Getiri'!$AC$2:$AC$25,0))</f>
        <v>0.32713565098338998</v>
      </c>
      <c r="G9" s="9">
        <f>INDEX('V_Mutlak Getiri'!F$2:F$25,MATCH(LARGE('V_Mutlak Getiri'!$AC$2:$AC$25,ROW()-3),'V_Mutlak Getiri'!$AC$2:$AC$25,0))</f>
        <v>1.2618476046854179</v>
      </c>
      <c r="H9" s="9">
        <f>INDEX('V_Mutlak Getiri'!G$2:G$25,MATCH(LARGE('V_Mutlak Getiri'!$AC$2:$AC$25,ROW()-3),'V_Mutlak Getiri'!$AC$2:$AC$25,0))</f>
        <v>3.5013027147424491</v>
      </c>
      <c r="I9" s="9">
        <f>INDEX('V_Mutlak Getiri'!H$2:H$25,MATCH(LARGE('V_Mutlak Getiri'!$AC$2:$AC$25,ROW()-3),'V_Mutlak Getiri'!$AC$2:$AC$25,0))</f>
        <v>17.85739997350673</v>
      </c>
      <c r="J9" s="9">
        <f>INDEX('V_Mutlak Getiri'!I$2:I$25,MATCH(LARGE('V_Mutlak Getiri'!$AC$2:$AC$25,ROW()-3),'V_Mutlak Getiri'!$AC$2:$AC$25,0))</f>
        <v>35.491803007329622</v>
      </c>
      <c r="K9" s="10">
        <f>INDEX('V_Mutlak Getiri'!J$2:J$25,MATCH(LARGE('V_Mutlak Getiri'!$AC$2:$AC$25,ROW()-3),'V_Mutlak Getiri'!$AC$2:$AC$25,0))</f>
        <v>191</v>
      </c>
      <c r="L9" s="10">
        <f>INDEX('V_Mutlak Getiri'!K$2:K$25,MATCH(LARGE('V_Mutlak Getiri'!$AC$2:$AC$25,ROW()-3),'V_Mutlak Getiri'!$AC$2:$AC$25,0))</f>
        <v>216</v>
      </c>
      <c r="M9" s="8">
        <f>INDEX('V_Mutlak Getiri'!L$2:L$25,MATCH(LARGE('V_Mutlak Getiri'!$AC$2:$AC$25,ROW()-3),'V_Mutlak Getiri'!$AC$2:$AC$25,0))</f>
        <v>0.130890052356021</v>
      </c>
      <c r="N9" s="11">
        <f>INDEX('V_Mutlak Getiri'!M$2:M$25,MATCH(LARGE('V_Mutlak Getiri'!$AC$2:$AC$25,ROW()-3),'V_Mutlak Getiri'!$AC$2:$AC$25,0))</f>
        <v>67826189.920000002</v>
      </c>
      <c r="O9" s="11">
        <f>INDEX('V_Mutlak Getiri'!N$2:N$25,MATCH(LARGE('V_Mutlak Getiri'!$AC$2:$AC$25,ROW()-3),'V_Mutlak Getiri'!$AC$2:$AC$25,0))</f>
        <v>143375622.66</v>
      </c>
      <c r="P9" s="8">
        <f>INDEX('V_Mutlak Getiri'!O$2:O$25,MATCH(LARGE('V_Mutlak Getiri'!$AC$2:$AC$25,ROW()-3),'V_Mutlak Getiri'!$AC$2:$AC$25,0))</f>
        <v>1.113868150770513</v>
      </c>
      <c r="Q9" s="9">
        <f>INDEX('V_Mutlak Getiri'!P$2:P$25,MATCH(LARGE('V_Mutlak Getiri'!$AC$2:$AC$25,ROW()-3),'V_Mutlak Getiri'!$AC$2:$AC$25,0))</f>
        <v>0.29768734091505378</v>
      </c>
      <c r="R9" s="5" t="str">
        <f>INDEX('V_Mutlak Getiri'!Q$2:Q$25,MATCH(LARGE('V_Mutlak Getiri'!$AC$2:$AC$25,ROW()-3),'V_Mutlak Getiri'!$AC$2:$AC$25,0))</f>
        <v>Görüyor</v>
      </c>
      <c r="S9" s="8">
        <f>INDEX('V_Mutlak Getiri'!R$2:R$25,MATCH(LARGE('V_Mutlak Getiri'!$AC$2:$AC$25,ROW()-3),'V_Mutlak Getiri'!$AC$2:$AC$25,0))</f>
        <v>5.3E-3</v>
      </c>
      <c r="T9" s="8">
        <f>INDEX('V_Mutlak Getiri'!S$2:S$25,MATCH(LARGE('V_Mutlak Getiri'!$AC$2:$AC$25,ROW()-3),'V_Mutlak Getiri'!$AC$2:$AC$25,0))</f>
        <v>0.1633</v>
      </c>
      <c r="U9" s="8">
        <f>INDEX('V_Mutlak Getiri'!T$2:T$25,MATCH(LARGE('V_Mutlak Getiri'!$AC$2:$AC$25,ROW()-3),'V_Mutlak Getiri'!$AC$2:$AC$25,0))</f>
        <v>0</v>
      </c>
      <c r="V9" s="8">
        <f>INDEX('V_Mutlak Getiri'!U$2:U$25,MATCH(LARGE('V_Mutlak Getiri'!$AC$2:$AC$25,ROW()-3),'V_Mutlak Getiri'!$AC$2:$AC$25,0))</f>
        <v>0.82779999999999998</v>
      </c>
      <c r="W9" s="8">
        <f>INDEX('V_Mutlak Getiri'!V$2:V$25,MATCH(LARGE('V_Mutlak Getiri'!$AC$2:$AC$25,ROW()-3),'V_Mutlak Getiri'!$AC$2:$AC$25,0))</f>
        <v>3.5999999999999999E-3</v>
      </c>
      <c r="X9" s="8">
        <f>INDEX('V_Mutlak Getiri'!W$2:W$25,MATCH(LARGE('V_Mutlak Getiri'!$AC$2:$AC$25,ROW()-3),'V_Mutlak Getiri'!$AC$2:$AC$25,0))</f>
        <v>0</v>
      </c>
      <c r="Y9" s="8">
        <f>INDEX('V_Mutlak Getiri'!X$2:X$25,MATCH(LARGE('V_Mutlak Getiri'!$AC$2:$AC$25,ROW()-3),'V_Mutlak Getiri'!$AC$2:$AC$25,0))</f>
        <v>0</v>
      </c>
      <c r="Z9" s="8">
        <f>INDEX('V_Mutlak Getiri'!Y$2:Y$25,MATCH(LARGE('V_Mutlak Getiri'!$AC$2:$AC$25,ROW()-3),'V_Mutlak Getiri'!$AC$2:$AC$25,0))</f>
        <v>0</v>
      </c>
      <c r="AA9" s="8">
        <f>INDEX('V_Mutlak Getiri'!Z$2:Z$25,MATCH(LARGE('V_Mutlak Getiri'!$AC$2:$AC$25,ROW()-3),'V_Mutlak Getiri'!$AC$2:$AC$25,0))</f>
        <v>0</v>
      </c>
      <c r="AB9" s="8">
        <f>INDEX('V_Mutlak Getiri'!AA$2:AA$25,MATCH(LARGE('V_Mutlak Getiri'!$AC$2:$AC$25,ROW()-3),'V_Mutlak Getiri'!$AC$2:$AC$25,0))</f>
        <v>1</v>
      </c>
    </row>
    <row r="10" spans="1:28" x14ac:dyDescent="0.2">
      <c r="A10">
        <v>7</v>
      </c>
      <c r="B10" s="5" t="str">
        <f>INDEX('V_Mutlak Getiri'!A$2:A$25,MATCH(LARGE('V_Mutlak Getiri'!$AC$2:$AC$25,ROW()-3),'V_Mutlak Getiri'!$AC$2:$AC$25,0))</f>
        <v>BHI</v>
      </c>
      <c r="C10" s="5" t="str">
        <f>INDEX('V_Mutlak Getiri'!B$2:B$25,MATCH(LARGE('V_Mutlak Getiri'!$AC$2:$AC$25,ROW()-3),'V_Mutlak Getiri'!$AC$2:$AC$25,0))</f>
        <v>BV Portföy Mutlak Getiri Hedefli Hisse Senedi Serbest (TL) Fon (Hisse Senedi Yoğun Fon)</v>
      </c>
      <c r="D10" s="5" t="str">
        <f>INDEX('V_Mutlak Getiri'!C$2:C$25,MATCH(LARGE('V_Mutlak Getiri'!$AC$2:$AC$25,ROW()-3),'V_Mutlak Getiri'!$AC$2:$AC$25,0))</f>
        <v>BV Portföy</v>
      </c>
      <c r="E10" s="8">
        <f>INDEX('V_Mutlak Getiri'!D$2:D$25,MATCH(LARGE('V_Mutlak Getiri'!$AC$2:$AC$25,ROW()-3),'V_Mutlak Getiri'!$AC$2:$AC$25,0))</f>
        <v>3.15E-2</v>
      </c>
      <c r="F10" s="9">
        <f>INDEX('V_Mutlak Getiri'!E$2:E$25,MATCH(LARGE('V_Mutlak Getiri'!$AC$2:$AC$25,ROW()-3),'V_Mutlak Getiri'!$AC$2:$AC$25,0))</f>
        <v>0.26088992353530133</v>
      </c>
      <c r="G10" s="9">
        <f>INDEX('V_Mutlak Getiri'!F$2:F$25,MATCH(LARGE('V_Mutlak Getiri'!$AC$2:$AC$25,ROW()-3),'V_Mutlak Getiri'!$AC$2:$AC$25,0))</f>
        <v>0.79299630213351957</v>
      </c>
      <c r="H10" s="9">
        <f>INDEX('V_Mutlak Getiri'!G$2:G$25,MATCH(LARGE('V_Mutlak Getiri'!$AC$2:$AC$25,ROW()-3),'V_Mutlak Getiri'!$AC$2:$AC$25,0))</f>
        <v>3.1946898993421509</v>
      </c>
      <c r="I10" s="9">
        <f>INDEX('V_Mutlak Getiri'!H$2:H$25,MATCH(LARGE('V_Mutlak Getiri'!$AC$2:$AC$25,ROW()-3),'V_Mutlak Getiri'!$AC$2:$AC$25,0))</f>
        <v>23.162877318227679</v>
      </c>
      <c r="J10" s="9">
        <f>INDEX('V_Mutlak Getiri'!I$2:I$25,MATCH(LARGE('V_Mutlak Getiri'!$AC$2:$AC$25,ROW()-3),'V_Mutlak Getiri'!$AC$2:$AC$25,0))</f>
        <v>45.110928827941251</v>
      </c>
      <c r="K10" s="10">
        <f>INDEX('V_Mutlak Getiri'!J$2:J$25,MATCH(LARGE('V_Mutlak Getiri'!$AC$2:$AC$25,ROW()-3),'V_Mutlak Getiri'!$AC$2:$AC$25,0))</f>
        <v>392</v>
      </c>
      <c r="L10" s="10">
        <f>INDEX('V_Mutlak Getiri'!K$2:K$25,MATCH(LARGE('V_Mutlak Getiri'!$AC$2:$AC$25,ROW()-3),'V_Mutlak Getiri'!$AC$2:$AC$25,0))</f>
        <v>419</v>
      </c>
      <c r="M10" s="8">
        <f>INDEX('V_Mutlak Getiri'!L$2:L$25,MATCH(LARGE('V_Mutlak Getiri'!$AC$2:$AC$25,ROW()-3),'V_Mutlak Getiri'!$AC$2:$AC$25,0))</f>
        <v>6.8877551020408267E-2</v>
      </c>
      <c r="N10" s="11">
        <f>INDEX('V_Mutlak Getiri'!M$2:M$25,MATCH(LARGE('V_Mutlak Getiri'!$AC$2:$AC$25,ROW()-3),'V_Mutlak Getiri'!$AC$2:$AC$25,0))</f>
        <v>1217271502.6199999</v>
      </c>
      <c r="O10" s="11">
        <f>INDEX('V_Mutlak Getiri'!N$2:N$25,MATCH(LARGE('V_Mutlak Getiri'!$AC$2:$AC$25,ROW()-3),'V_Mutlak Getiri'!$AC$2:$AC$25,0))</f>
        <v>1658262397.28</v>
      </c>
      <c r="P10" s="8">
        <f>INDEX('V_Mutlak Getiri'!O$2:O$25,MATCH(LARGE('V_Mutlak Getiri'!$AC$2:$AC$25,ROW()-3),'V_Mutlak Getiri'!$AC$2:$AC$25,0))</f>
        <v>0.36227817188756273</v>
      </c>
      <c r="Q10" s="9">
        <f>INDEX('V_Mutlak Getiri'!P$2:P$25,MATCH(LARGE('V_Mutlak Getiri'!$AC$2:$AC$25,ROW()-3),'V_Mutlak Getiri'!$AC$2:$AC$25,0))</f>
        <v>6.9113092444003141E-2</v>
      </c>
      <c r="R10" s="5" t="str">
        <f>INDEX('V_Mutlak Getiri'!Q$2:Q$25,MATCH(LARGE('V_Mutlak Getiri'!$AC$2:$AC$25,ROW()-3),'V_Mutlak Getiri'!$AC$2:$AC$25,0))</f>
        <v>Görüyor</v>
      </c>
      <c r="S10" s="8">
        <f>INDEX('V_Mutlak Getiri'!R$2:R$25,MATCH(LARGE('V_Mutlak Getiri'!$AC$2:$AC$25,ROW()-3),'V_Mutlak Getiri'!$AC$2:$AC$25,0))</f>
        <v>0</v>
      </c>
      <c r="T10" s="8">
        <f>INDEX('V_Mutlak Getiri'!S$2:S$25,MATCH(LARGE('V_Mutlak Getiri'!$AC$2:$AC$25,ROW()-3),'V_Mutlak Getiri'!$AC$2:$AC$25,0))</f>
        <v>0.1183</v>
      </c>
      <c r="U10" s="8">
        <f>INDEX('V_Mutlak Getiri'!T$2:T$25,MATCH(LARGE('V_Mutlak Getiri'!$AC$2:$AC$25,ROW()-3),'V_Mutlak Getiri'!$AC$2:$AC$25,0))</f>
        <v>0</v>
      </c>
      <c r="V10" s="8">
        <f>INDEX('V_Mutlak Getiri'!U$2:U$25,MATCH(LARGE('V_Mutlak Getiri'!$AC$2:$AC$25,ROW()-3),'V_Mutlak Getiri'!$AC$2:$AC$25,0))</f>
        <v>0.72389999999999999</v>
      </c>
      <c r="W10" s="8">
        <f>INDEX('V_Mutlak Getiri'!V$2:V$25,MATCH(LARGE('V_Mutlak Getiri'!$AC$2:$AC$25,ROW()-3),'V_Mutlak Getiri'!$AC$2:$AC$25,0))</f>
        <v>9.11E-2</v>
      </c>
      <c r="X10" s="8">
        <f>INDEX('V_Mutlak Getiri'!W$2:W$25,MATCH(LARGE('V_Mutlak Getiri'!$AC$2:$AC$25,ROW()-3),'V_Mutlak Getiri'!$AC$2:$AC$25,0))</f>
        <v>9.7999999999999997E-3</v>
      </c>
      <c r="Y10" s="8">
        <f>INDEX('V_Mutlak Getiri'!X$2:X$25,MATCH(LARGE('V_Mutlak Getiri'!$AC$2:$AC$25,ROW()-3),'V_Mutlak Getiri'!$AC$2:$AC$25,0))</f>
        <v>0</v>
      </c>
      <c r="Z10" s="8">
        <f>INDEX('V_Mutlak Getiri'!Y$2:Y$25,MATCH(LARGE('V_Mutlak Getiri'!$AC$2:$AC$25,ROW()-3),'V_Mutlak Getiri'!$AC$2:$AC$25,0))</f>
        <v>2.1399999999999999E-2</v>
      </c>
      <c r="AA10" s="8">
        <f>INDEX('V_Mutlak Getiri'!Z$2:Z$25,MATCH(LARGE('V_Mutlak Getiri'!$AC$2:$AC$25,ROW()-3),'V_Mutlak Getiri'!$AC$2:$AC$25,0))</f>
        <v>0</v>
      </c>
      <c r="AB10" s="8">
        <f>INDEX('V_Mutlak Getiri'!AA$2:AA$25,MATCH(LARGE('V_Mutlak Getiri'!$AC$2:$AC$25,ROW()-3),'V_Mutlak Getiri'!$AC$2:$AC$25,0))</f>
        <v>0.96450000000000002</v>
      </c>
    </row>
    <row r="11" spans="1:28" x14ac:dyDescent="0.2">
      <c r="A11">
        <v>8</v>
      </c>
      <c r="B11" s="5" t="str">
        <f>INDEX('V_Mutlak Getiri'!A$2:A$25,MATCH(LARGE('V_Mutlak Getiri'!$AC$2:$AC$25,ROW()-3),'V_Mutlak Getiri'!$AC$2:$AC$25,0))</f>
        <v>PPM</v>
      </c>
      <c r="C11" s="5" t="str">
        <f>INDEX('V_Mutlak Getiri'!B$2:B$25,MATCH(LARGE('V_Mutlak Getiri'!$AC$2:$AC$25,ROW()-3),'V_Mutlak Getiri'!$AC$2:$AC$25,0))</f>
        <v>Piramit Portföy Mutlak Getiri Hedefli Hisse Senedi Serbest Fon (Hisse Senedi Yoğun Fon)</v>
      </c>
      <c r="D11" s="5" t="str">
        <f>INDEX('V_Mutlak Getiri'!C$2:C$25,MATCH(LARGE('V_Mutlak Getiri'!$AC$2:$AC$25,ROW()-3),'V_Mutlak Getiri'!$AC$2:$AC$25,0))</f>
        <v>Piramit Portföy</v>
      </c>
      <c r="E11" s="8">
        <f>INDEX('V_Mutlak Getiri'!D$2:D$25,MATCH(LARGE('V_Mutlak Getiri'!$AC$2:$AC$25,ROW()-3),'V_Mutlak Getiri'!$AC$2:$AC$25,0))</f>
        <v>2.1000000000000001E-2</v>
      </c>
      <c r="F11" s="9">
        <f>INDEX('V_Mutlak Getiri'!E$2:E$25,MATCH(LARGE('V_Mutlak Getiri'!$AC$2:$AC$25,ROW()-3),'V_Mutlak Getiri'!$AC$2:$AC$25,0))</f>
        <v>0.24559570269322431</v>
      </c>
      <c r="G11" s="9">
        <f>INDEX('V_Mutlak Getiri'!F$2:F$25,MATCH(LARGE('V_Mutlak Getiri'!$AC$2:$AC$25,ROW()-3),'V_Mutlak Getiri'!$AC$2:$AC$25,0))</f>
        <v>0.70794727290095505</v>
      </c>
      <c r="H11" s="9">
        <f>INDEX('V_Mutlak Getiri'!G$2:G$25,MATCH(LARGE('V_Mutlak Getiri'!$AC$2:$AC$25,ROW()-3),'V_Mutlak Getiri'!$AC$2:$AC$25,0))</f>
        <v>2.9798184027411518</v>
      </c>
      <c r="I11" s="9">
        <f>INDEX('V_Mutlak Getiri'!H$2:H$25,MATCH(LARGE('V_Mutlak Getiri'!$AC$2:$AC$25,ROW()-3),'V_Mutlak Getiri'!$AC$2:$AC$25,0))</f>
        <v>20.63916433431206</v>
      </c>
      <c r="J11" s="9">
        <f>INDEX('V_Mutlak Getiri'!I$2:I$25,MATCH(LARGE('V_Mutlak Getiri'!$AC$2:$AC$25,ROW()-3),'V_Mutlak Getiri'!$AC$2:$AC$25,0))</f>
        <v>43.99956020722162</v>
      </c>
      <c r="K11" s="10">
        <f>INDEX('V_Mutlak Getiri'!J$2:J$25,MATCH(LARGE('V_Mutlak Getiri'!$AC$2:$AC$25,ROW()-3),'V_Mutlak Getiri'!$AC$2:$AC$25,0))</f>
        <v>176</v>
      </c>
      <c r="L11" s="10">
        <f>INDEX('V_Mutlak Getiri'!K$2:K$25,MATCH(LARGE('V_Mutlak Getiri'!$AC$2:$AC$25,ROW()-3),'V_Mutlak Getiri'!$AC$2:$AC$25,0))</f>
        <v>160</v>
      </c>
      <c r="M11" s="8">
        <f>INDEX('V_Mutlak Getiri'!L$2:L$25,MATCH(LARGE('V_Mutlak Getiri'!$AC$2:$AC$25,ROW()-3),'V_Mutlak Getiri'!$AC$2:$AC$25,0))</f>
        <v>-9.0909090909090939E-2</v>
      </c>
      <c r="N11" s="11">
        <f>INDEX('V_Mutlak Getiri'!M$2:M$25,MATCH(LARGE('V_Mutlak Getiri'!$AC$2:$AC$25,ROW()-3),'V_Mutlak Getiri'!$AC$2:$AC$25,0))</f>
        <v>199179144.88999999</v>
      </c>
      <c r="O11" s="11">
        <f>INDEX('V_Mutlak Getiri'!N$2:N$25,MATCH(LARGE('V_Mutlak Getiri'!$AC$2:$AC$25,ROW()-3),'V_Mutlak Getiri'!$AC$2:$AC$25,0))</f>
        <v>149046018.99000001</v>
      </c>
      <c r="P11" s="8">
        <f>INDEX('V_Mutlak Getiri'!O$2:O$25,MATCH(LARGE('V_Mutlak Getiri'!$AC$2:$AC$25,ROW()-3),'V_Mutlak Getiri'!$AC$2:$AC$25,0))</f>
        <v>-0.25169867019806141</v>
      </c>
      <c r="Q11" s="9">
        <f>INDEX('V_Mutlak Getiri'!P$2:P$25,MATCH(LARGE('V_Mutlak Getiri'!$AC$2:$AC$25,ROW()-3),'V_Mutlak Getiri'!$AC$2:$AC$25,0))</f>
        <v>0.1098545018331834</v>
      </c>
      <c r="R11" s="5" t="str">
        <f>INDEX('V_Mutlak Getiri'!Q$2:Q$25,MATCH(LARGE('V_Mutlak Getiri'!$AC$2:$AC$25,ROW()-3),'V_Mutlak Getiri'!$AC$2:$AC$25,0))</f>
        <v>Görüyor</v>
      </c>
      <c r="S11" s="8">
        <f>INDEX('V_Mutlak Getiri'!R$2:R$25,MATCH(LARGE('V_Mutlak Getiri'!$AC$2:$AC$25,ROW()-3),'V_Mutlak Getiri'!$AC$2:$AC$25,0))</f>
        <v>0</v>
      </c>
      <c r="T11" s="8">
        <f>INDEX('V_Mutlak Getiri'!S$2:S$25,MATCH(LARGE('V_Mutlak Getiri'!$AC$2:$AC$25,ROW()-3),'V_Mutlak Getiri'!$AC$2:$AC$25,0))</f>
        <v>0.16189999999999999</v>
      </c>
      <c r="U11" s="8">
        <f>INDEX('V_Mutlak Getiri'!T$2:T$25,MATCH(LARGE('V_Mutlak Getiri'!$AC$2:$AC$25,ROW()-3),'V_Mutlak Getiri'!$AC$2:$AC$25,0))</f>
        <v>0</v>
      </c>
      <c r="V11" s="8">
        <f>INDEX('V_Mutlak Getiri'!U$2:U$25,MATCH(LARGE('V_Mutlak Getiri'!$AC$2:$AC$25,ROW()-3),'V_Mutlak Getiri'!$AC$2:$AC$25,0))</f>
        <v>0.77110000000000001</v>
      </c>
      <c r="W11" s="8">
        <f>INDEX('V_Mutlak Getiri'!V$2:V$25,MATCH(LARGE('V_Mutlak Getiri'!$AC$2:$AC$25,ROW()-3),'V_Mutlak Getiri'!$AC$2:$AC$25,0))</f>
        <v>6.7000000000000004E-2</v>
      </c>
      <c r="X11" s="8">
        <f>INDEX('V_Mutlak Getiri'!W$2:W$25,MATCH(LARGE('V_Mutlak Getiri'!$AC$2:$AC$25,ROW()-3),'V_Mutlak Getiri'!$AC$2:$AC$25,0))</f>
        <v>0</v>
      </c>
      <c r="Y11" s="8">
        <f>INDEX('V_Mutlak Getiri'!X$2:X$25,MATCH(LARGE('V_Mutlak Getiri'!$AC$2:$AC$25,ROW()-3),'V_Mutlak Getiri'!$AC$2:$AC$25,0))</f>
        <v>0</v>
      </c>
      <c r="Z11" s="8">
        <f>INDEX('V_Mutlak Getiri'!Y$2:Y$25,MATCH(LARGE('V_Mutlak Getiri'!$AC$2:$AC$25,ROW()-3),'V_Mutlak Getiri'!$AC$2:$AC$25,0))</f>
        <v>0</v>
      </c>
      <c r="AA11" s="8">
        <f>INDEX('V_Mutlak Getiri'!Z$2:Z$25,MATCH(LARGE('V_Mutlak Getiri'!$AC$2:$AC$25,ROW()-3),'V_Mutlak Getiri'!$AC$2:$AC$25,0))</f>
        <v>0</v>
      </c>
      <c r="AB11" s="8">
        <f>INDEX('V_Mutlak Getiri'!AA$2:AA$25,MATCH(LARGE('V_Mutlak Getiri'!$AC$2:$AC$25,ROW()-3),'V_Mutlak Getiri'!$AC$2:$AC$25,0))</f>
        <v>1</v>
      </c>
    </row>
    <row r="12" spans="1:28" x14ac:dyDescent="0.2">
      <c r="A12">
        <v>9</v>
      </c>
      <c r="B12" s="5" t="str">
        <f>INDEX('V_Mutlak Getiri'!A$2:A$25,MATCH(LARGE('V_Mutlak Getiri'!$AC$2:$AC$25,ROW()-3),'V_Mutlak Getiri'!$AC$2:$AC$25,0))</f>
        <v>YMH</v>
      </c>
      <c r="C12" s="5" t="str">
        <f>INDEX('V_Mutlak Getiri'!B$2:B$25,MATCH(LARGE('V_Mutlak Getiri'!$AC$2:$AC$25,ROW()-3),'V_Mutlak Getiri'!$AC$2:$AC$25,0))</f>
        <v>Yapı Kredi Portföy Mutlak Getiri Hedefli Hisse Senedi Serbest Fon (Hisse Senedi Yoğun Fon)</v>
      </c>
      <c r="D12" s="5" t="str">
        <f>INDEX('V_Mutlak Getiri'!C$2:C$25,MATCH(LARGE('V_Mutlak Getiri'!$AC$2:$AC$25,ROW()-3),'V_Mutlak Getiri'!$AC$2:$AC$25,0))</f>
        <v>Yapı Kredi Portföy</v>
      </c>
      <c r="E12" s="8">
        <f>INDEX('V_Mutlak Getiri'!D$2:D$25,MATCH(LARGE('V_Mutlak Getiri'!$AC$2:$AC$25,ROW()-3),'V_Mutlak Getiri'!$AC$2:$AC$25,0))</f>
        <v>2.5000000000000001E-2</v>
      </c>
      <c r="F12" s="9">
        <f>INDEX('V_Mutlak Getiri'!E$2:E$25,MATCH(LARGE('V_Mutlak Getiri'!$AC$2:$AC$25,ROW()-3),'V_Mutlak Getiri'!$AC$2:$AC$25,0))</f>
        <v>0.24435880886803929</v>
      </c>
      <c r="G12" s="9">
        <f>INDEX('V_Mutlak Getiri'!F$2:F$25,MATCH(LARGE('V_Mutlak Getiri'!$AC$2:$AC$25,ROW()-3),'V_Mutlak Getiri'!$AC$2:$AC$25,0))</f>
        <v>0.75507441426911903</v>
      </c>
      <c r="H12" s="9">
        <f>INDEX('V_Mutlak Getiri'!G$2:G$25,MATCH(LARGE('V_Mutlak Getiri'!$AC$2:$AC$25,ROW()-3),'V_Mutlak Getiri'!$AC$2:$AC$25,0))</f>
        <v>2.734287657527235</v>
      </c>
      <c r="I12" s="9">
        <f>INDEX('V_Mutlak Getiri'!H$2:H$25,MATCH(LARGE('V_Mutlak Getiri'!$AC$2:$AC$25,ROW()-3),'V_Mutlak Getiri'!$AC$2:$AC$25,0))</f>
        <v>16.941571722488469</v>
      </c>
      <c r="J12" s="9">
        <f>INDEX('V_Mutlak Getiri'!I$2:I$25,MATCH(LARGE('V_Mutlak Getiri'!$AC$2:$AC$25,ROW()-3),'V_Mutlak Getiri'!$AC$2:$AC$25,0))</f>
        <v>34.710575994860832</v>
      </c>
      <c r="K12" s="10">
        <f>INDEX('V_Mutlak Getiri'!J$2:J$25,MATCH(LARGE('V_Mutlak Getiri'!$AC$2:$AC$25,ROW()-3),'V_Mutlak Getiri'!$AC$2:$AC$25,0))</f>
        <v>337</v>
      </c>
      <c r="L12" s="10">
        <f>INDEX('V_Mutlak Getiri'!K$2:K$25,MATCH(LARGE('V_Mutlak Getiri'!$AC$2:$AC$25,ROW()-3),'V_Mutlak Getiri'!$AC$2:$AC$25,0))</f>
        <v>324</v>
      </c>
      <c r="M12" s="8">
        <f>INDEX('V_Mutlak Getiri'!L$2:L$25,MATCH(LARGE('V_Mutlak Getiri'!$AC$2:$AC$25,ROW()-3),'V_Mutlak Getiri'!$AC$2:$AC$25,0))</f>
        <v>-3.857566765578635E-2</v>
      </c>
      <c r="N12" s="11">
        <f>INDEX('V_Mutlak Getiri'!M$2:M$25,MATCH(LARGE('V_Mutlak Getiri'!$AC$2:$AC$25,ROW()-3),'V_Mutlak Getiri'!$AC$2:$AC$25,0))</f>
        <v>496539361.47000003</v>
      </c>
      <c r="O12" s="11">
        <f>INDEX('V_Mutlak Getiri'!N$2:N$25,MATCH(LARGE('V_Mutlak Getiri'!$AC$2:$AC$25,ROW()-3),'V_Mutlak Getiri'!$AC$2:$AC$25,0))</f>
        <v>460012575.33999997</v>
      </c>
      <c r="P12" s="8">
        <f>INDEX('V_Mutlak Getiri'!O$2:O$25,MATCH(LARGE('V_Mutlak Getiri'!$AC$2:$AC$25,ROW()-3),'V_Mutlak Getiri'!$AC$2:$AC$25,0))</f>
        <v>-7.3562720227985268E-2</v>
      </c>
      <c r="Q12" s="9">
        <f>INDEX('V_Mutlak Getiri'!P$2:P$25,MATCH(LARGE('V_Mutlak Getiri'!$AC$2:$AC$25,ROW()-3),'V_Mutlak Getiri'!$AC$2:$AC$25,0))</f>
        <v>0.12551742904787039</v>
      </c>
      <c r="R12" s="5" t="str">
        <f>INDEX('V_Mutlak Getiri'!Q$2:Q$25,MATCH(LARGE('V_Mutlak Getiri'!$AC$2:$AC$25,ROW()-3),'V_Mutlak Getiri'!$AC$2:$AC$25,0))</f>
        <v>Görüyor</v>
      </c>
      <c r="S12" s="8">
        <f>INDEX('V_Mutlak Getiri'!R$2:R$25,MATCH(LARGE('V_Mutlak Getiri'!$AC$2:$AC$25,ROW()-3),'V_Mutlak Getiri'!$AC$2:$AC$25,0))</f>
        <v>0</v>
      </c>
      <c r="T12" s="8">
        <f>INDEX('V_Mutlak Getiri'!S$2:S$25,MATCH(LARGE('V_Mutlak Getiri'!$AC$2:$AC$25,ROW()-3),'V_Mutlak Getiri'!$AC$2:$AC$25,0))</f>
        <v>0.15290000000000001</v>
      </c>
      <c r="U12" s="8">
        <f>INDEX('V_Mutlak Getiri'!T$2:T$25,MATCH(LARGE('V_Mutlak Getiri'!$AC$2:$AC$25,ROW()-3),'V_Mutlak Getiri'!$AC$2:$AC$25,0))</f>
        <v>0</v>
      </c>
      <c r="V12" s="8">
        <f>INDEX('V_Mutlak Getiri'!U$2:U$25,MATCH(LARGE('V_Mutlak Getiri'!$AC$2:$AC$25,ROW()-3),'V_Mutlak Getiri'!$AC$2:$AC$25,0))</f>
        <v>0.84709999999999996</v>
      </c>
      <c r="W12" s="8">
        <f>INDEX('V_Mutlak Getiri'!V$2:V$25,MATCH(LARGE('V_Mutlak Getiri'!$AC$2:$AC$25,ROW()-3),'V_Mutlak Getiri'!$AC$2:$AC$25,0))</f>
        <v>0</v>
      </c>
      <c r="X12" s="8">
        <f>INDEX('V_Mutlak Getiri'!W$2:W$25,MATCH(LARGE('V_Mutlak Getiri'!$AC$2:$AC$25,ROW()-3),'V_Mutlak Getiri'!$AC$2:$AC$25,0))</f>
        <v>0</v>
      </c>
      <c r="Y12" s="8">
        <f>INDEX('V_Mutlak Getiri'!X$2:X$25,MATCH(LARGE('V_Mutlak Getiri'!$AC$2:$AC$25,ROW()-3),'V_Mutlak Getiri'!$AC$2:$AC$25,0))</f>
        <v>0</v>
      </c>
      <c r="Z12" s="8">
        <f>INDEX('V_Mutlak Getiri'!Y$2:Y$25,MATCH(LARGE('V_Mutlak Getiri'!$AC$2:$AC$25,ROW()-3),'V_Mutlak Getiri'!$AC$2:$AC$25,0))</f>
        <v>0</v>
      </c>
      <c r="AA12" s="8">
        <f>INDEX('V_Mutlak Getiri'!Z$2:Z$25,MATCH(LARGE('V_Mutlak Getiri'!$AC$2:$AC$25,ROW()-3),'V_Mutlak Getiri'!$AC$2:$AC$25,0))</f>
        <v>0</v>
      </c>
      <c r="AB12" s="8">
        <f>INDEX('V_Mutlak Getiri'!AA$2:AA$25,MATCH(LARGE('V_Mutlak Getiri'!$AC$2:$AC$25,ROW()-3),'V_Mutlak Getiri'!$AC$2:$AC$25,0))</f>
        <v>1</v>
      </c>
    </row>
    <row r="13" spans="1:28" x14ac:dyDescent="0.2">
      <c r="A13">
        <v>10</v>
      </c>
      <c r="B13" s="5" t="str">
        <f>INDEX('V_Mutlak Getiri'!A$2:A$25,MATCH(LARGE('V_Mutlak Getiri'!$AC$2:$AC$25,ROW()-3),'V_Mutlak Getiri'!$AC$2:$AC$25,0))</f>
        <v>HIM</v>
      </c>
      <c r="C13" s="5" t="str">
        <f>INDEX('V_Mutlak Getiri'!B$2:B$25,MATCH(LARGE('V_Mutlak Getiri'!$AC$2:$AC$25,ROW()-3),'V_Mutlak Getiri'!$AC$2:$AC$25,0))</f>
        <v>Hedef Portföy İkinci Mutlak Getiri Hedefli Hisse Senedi Serbest Fon (Hisse Senedi Yoğun Fon)</v>
      </c>
      <c r="D13" s="5" t="str">
        <f>INDEX('V_Mutlak Getiri'!C$2:C$25,MATCH(LARGE('V_Mutlak Getiri'!$AC$2:$AC$25,ROW()-3),'V_Mutlak Getiri'!$AC$2:$AC$25,0))</f>
        <v>Hedef Portföy</v>
      </c>
      <c r="E13" s="8">
        <f>INDEX('V_Mutlak Getiri'!D$2:D$25,MATCH(LARGE('V_Mutlak Getiri'!$AC$2:$AC$25,ROW()-3),'V_Mutlak Getiri'!$AC$2:$AC$25,0))</f>
        <v>3.7499999999999999E-2</v>
      </c>
      <c r="F13" s="9">
        <f>INDEX('V_Mutlak Getiri'!E$2:E$25,MATCH(LARGE('V_Mutlak Getiri'!$AC$2:$AC$25,ROW()-3),'V_Mutlak Getiri'!$AC$2:$AC$25,0))</f>
        <v>0.23000999017577239</v>
      </c>
      <c r="G13" s="9">
        <f>INDEX('V_Mutlak Getiri'!F$2:F$25,MATCH(LARGE('V_Mutlak Getiri'!$AC$2:$AC$25,ROW()-3),'V_Mutlak Getiri'!$AC$2:$AC$25,0))</f>
        <v>0.73601611084124219</v>
      </c>
      <c r="H13" s="9">
        <f>INDEX('V_Mutlak Getiri'!G$2:G$25,MATCH(LARGE('V_Mutlak Getiri'!$AC$2:$AC$25,ROW()-3),'V_Mutlak Getiri'!$AC$2:$AC$25,0))</f>
        <v>2.5024083290399179</v>
      </c>
      <c r="I13" s="9">
        <f>INDEX('V_Mutlak Getiri'!H$2:H$25,MATCH(LARGE('V_Mutlak Getiri'!$AC$2:$AC$25,ROW()-3),'V_Mutlak Getiri'!$AC$2:$AC$25,0))</f>
        <v>19.21648206429807</v>
      </c>
      <c r="J13" s="9">
        <f>INDEX('V_Mutlak Getiri'!I$2:I$25,MATCH(LARGE('V_Mutlak Getiri'!$AC$2:$AC$25,ROW()-3),'V_Mutlak Getiri'!$AC$2:$AC$25,0))</f>
        <v>39.373226810037337</v>
      </c>
      <c r="K13" s="10">
        <f>INDEX('V_Mutlak Getiri'!J$2:J$25,MATCH(LARGE('V_Mutlak Getiri'!$AC$2:$AC$25,ROW()-3),'V_Mutlak Getiri'!$AC$2:$AC$25,0))</f>
        <v>256</v>
      </c>
      <c r="L13" s="10">
        <f>INDEX('V_Mutlak Getiri'!K$2:K$25,MATCH(LARGE('V_Mutlak Getiri'!$AC$2:$AC$25,ROW()-3),'V_Mutlak Getiri'!$AC$2:$AC$25,0))</f>
        <v>228</v>
      </c>
      <c r="M13" s="8">
        <f>INDEX('V_Mutlak Getiri'!L$2:L$25,MATCH(LARGE('V_Mutlak Getiri'!$AC$2:$AC$25,ROW()-3),'V_Mutlak Getiri'!$AC$2:$AC$25,0))</f>
        <v>-0.109375</v>
      </c>
      <c r="N13" s="11">
        <f>INDEX('V_Mutlak Getiri'!M$2:M$25,MATCH(LARGE('V_Mutlak Getiri'!$AC$2:$AC$25,ROW()-3),'V_Mutlak Getiri'!$AC$2:$AC$25,0))</f>
        <v>326377817.25</v>
      </c>
      <c r="O13" s="11">
        <f>INDEX('V_Mutlak Getiri'!N$2:N$25,MATCH(LARGE('V_Mutlak Getiri'!$AC$2:$AC$25,ROW()-3),'V_Mutlak Getiri'!$AC$2:$AC$25,0))</f>
        <v>279812719.70999998</v>
      </c>
      <c r="P13" s="8">
        <f>INDEX('V_Mutlak Getiri'!O$2:O$25,MATCH(LARGE('V_Mutlak Getiri'!$AC$2:$AC$25,ROW()-3),'V_Mutlak Getiri'!$AC$2:$AC$25,0))</f>
        <v>-0.14267237256609239</v>
      </c>
      <c r="Q13" s="9">
        <f>INDEX('V_Mutlak Getiri'!P$2:P$25,MATCH(LARGE('V_Mutlak Getiri'!$AC$2:$AC$25,ROW()-3),'V_Mutlak Getiri'!$AC$2:$AC$25,0))</f>
        <v>9.4741694935861029E-2</v>
      </c>
      <c r="R13" s="5" t="str">
        <f>INDEX('V_Mutlak Getiri'!Q$2:Q$25,MATCH(LARGE('V_Mutlak Getiri'!$AC$2:$AC$25,ROW()-3),'V_Mutlak Getiri'!$AC$2:$AC$25,0))</f>
        <v>Görüyor</v>
      </c>
      <c r="S13" s="8">
        <f>INDEX('V_Mutlak Getiri'!R$2:R$25,MATCH(LARGE('V_Mutlak Getiri'!$AC$2:$AC$25,ROW()-3),'V_Mutlak Getiri'!$AC$2:$AC$25,0))</f>
        <v>0</v>
      </c>
      <c r="T13" s="8">
        <f>INDEX('V_Mutlak Getiri'!S$2:S$25,MATCH(LARGE('V_Mutlak Getiri'!$AC$2:$AC$25,ROW()-3),'V_Mutlak Getiri'!$AC$2:$AC$25,0))</f>
        <v>6.2E-2</v>
      </c>
      <c r="U13" s="8">
        <f>INDEX('V_Mutlak Getiri'!T$2:T$25,MATCH(LARGE('V_Mutlak Getiri'!$AC$2:$AC$25,ROW()-3),'V_Mutlak Getiri'!$AC$2:$AC$25,0))</f>
        <v>0</v>
      </c>
      <c r="V13" s="8">
        <f>INDEX('V_Mutlak Getiri'!U$2:U$25,MATCH(LARGE('V_Mutlak Getiri'!$AC$2:$AC$25,ROW()-3),'V_Mutlak Getiri'!$AC$2:$AC$25,0))</f>
        <v>0.84909999999999997</v>
      </c>
      <c r="W13" s="8">
        <f>INDEX('V_Mutlak Getiri'!V$2:V$25,MATCH(LARGE('V_Mutlak Getiri'!$AC$2:$AC$25,ROW()-3),'V_Mutlak Getiri'!$AC$2:$AC$25,0))</f>
        <v>-0.28249999999999997</v>
      </c>
      <c r="X13" s="8">
        <f>INDEX('V_Mutlak Getiri'!W$2:W$25,MATCH(LARGE('V_Mutlak Getiri'!$AC$2:$AC$25,ROW()-3),'V_Mutlak Getiri'!$AC$2:$AC$25,0))</f>
        <v>0.20369999999999999</v>
      </c>
      <c r="Y13" s="8">
        <f>INDEX('V_Mutlak Getiri'!X$2:X$25,MATCH(LARGE('V_Mutlak Getiri'!$AC$2:$AC$25,ROW()-3),'V_Mutlak Getiri'!$AC$2:$AC$25,0))</f>
        <v>0</v>
      </c>
      <c r="Z13" s="8">
        <f>INDEX('V_Mutlak Getiri'!Y$2:Y$25,MATCH(LARGE('V_Mutlak Getiri'!$AC$2:$AC$25,ROW()-3),'V_Mutlak Getiri'!$AC$2:$AC$25,0))</f>
        <v>0.1293</v>
      </c>
      <c r="AA13" s="8">
        <f>INDEX('V_Mutlak Getiri'!Z$2:Z$25,MATCH(LARGE('V_Mutlak Getiri'!$AC$2:$AC$25,ROW()-3),'V_Mutlak Getiri'!$AC$2:$AC$25,0))</f>
        <v>-1E-4</v>
      </c>
      <c r="AB13" s="8">
        <f>INDEX('V_Mutlak Getiri'!AA$2:AA$25,MATCH(LARGE('V_Mutlak Getiri'!$AC$2:$AC$25,ROW()-3),'V_Mutlak Getiri'!$AC$2:$AC$25,0))</f>
        <v>0.96150000000000002</v>
      </c>
    </row>
    <row r="14" spans="1:28" x14ac:dyDescent="0.2">
      <c r="A14">
        <v>11</v>
      </c>
      <c r="B14" s="5" t="str">
        <f>INDEX('V_Mutlak Getiri'!A$2:A$25,MATCH(LARGE('V_Mutlak Getiri'!$AC$2:$AC$25,ROW()-3),'V_Mutlak Getiri'!$AC$2:$AC$25,0))</f>
        <v>HVN</v>
      </c>
      <c r="C14" s="5" t="str">
        <f>INDEX('V_Mutlak Getiri'!B$2:B$25,MATCH(LARGE('V_Mutlak Getiri'!$AC$2:$AC$25,ROW()-3),'V_Mutlak Getiri'!$AC$2:$AC$25,0))</f>
        <v>Hedef Portföy Mutlak Getiri Hedefli Hisse Senedi Serbest Fon (Hisse Senedi Yoğun Fon)</v>
      </c>
      <c r="D14" s="5" t="str">
        <f>INDEX('V_Mutlak Getiri'!C$2:C$25,MATCH(LARGE('V_Mutlak Getiri'!$AC$2:$AC$25,ROW()-3),'V_Mutlak Getiri'!$AC$2:$AC$25,0))</f>
        <v>Hedef Portföy</v>
      </c>
      <c r="E14" s="8">
        <f>INDEX('V_Mutlak Getiri'!D$2:D$25,MATCH(LARGE('V_Mutlak Getiri'!$AC$2:$AC$25,ROW()-3),'V_Mutlak Getiri'!$AC$2:$AC$25,0))</f>
        <v>0.03</v>
      </c>
      <c r="F14" s="9">
        <f>INDEX('V_Mutlak Getiri'!E$2:E$25,MATCH(LARGE('V_Mutlak Getiri'!$AC$2:$AC$25,ROW()-3),'V_Mutlak Getiri'!$AC$2:$AC$25,0))</f>
        <v>0.20888717458740211</v>
      </c>
      <c r="G14" s="9">
        <f>INDEX('V_Mutlak Getiri'!F$2:F$25,MATCH(LARGE('V_Mutlak Getiri'!$AC$2:$AC$25,ROW()-3),'V_Mutlak Getiri'!$AC$2:$AC$25,0))</f>
        <v>0.3780897813525641</v>
      </c>
      <c r="H14" s="9">
        <f>INDEX('V_Mutlak Getiri'!G$2:G$25,MATCH(LARGE('V_Mutlak Getiri'!$AC$2:$AC$25,ROW()-3),'V_Mutlak Getiri'!$AC$2:$AC$25,0))</f>
        <v>0.77806534989155463</v>
      </c>
      <c r="I14" s="9">
        <f>INDEX('V_Mutlak Getiri'!H$2:H$25,MATCH(LARGE('V_Mutlak Getiri'!$AC$2:$AC$25,ROW()-3),'V_Mutlak Getiri'!$AC$2:$AC$25,0))</f>
        <v>12.75373237197204</v>
      </c>
      <c r="J14" s="9">
        <f>INDEX('V_Mutlak Getiri'!I$2:I$25,MATCH(LARGE('V_Mutlak Getiri'!$AC$2:$AC$25,ROW()-3),'V_Mutlak Getiri'!$AC$2:$AC$25,0))</f>
        <v>15.03540904901015</v>
      </c>
      <c r="K14" s="10">
        <f>INDEX('V_Mutlak Getiri'!J$2:J$25,MATCH(LARGE('V_Mutlak Getiri'!$AC$2:$AC$25,ROW()-3),'V_Mutlak Getiri'!$AC$2:$AC$25,0))</f>
        <v>12</v>
      </c>
      <c r="L14" s="10">
        <f>INDEX('V_Mutlak Getiri'!K$2:K$25,MATCH(LARGE('V_Mutlak Getiri'!$AC$2:$AC$25,ROW()-3),'V_Mutlak Getiri'!$AC$2:$AC$25,0))</f>
        <v>12</v>
      </c>
      <c r="M14" s="8">
        <f>INDEX('V_Mutlak Getiri'!L$2:L$25,MATCH(LARGE('V_Mutlak Getiri'!$AC$2:$AC$25,ROW()-3),'V_Mutlak Getiri'!$AC$2:$AC$25,0))</f>
        <v>0</v>
      </c>
      <c r="N14" s="11">
        <f>INDEX('V_Mutlak Getiri'!M$2:M$25,MATCH(LARGE('V_Mutlak Getiri'!$AC$2:$AC$25,ROW()-3),'V_Mutlak Getiri'!$AC$2:$AC$25,0))</f>
        <v>5721873.75</v>
      </c>
      <c r="O14" s="11">
        <f>INDEX('V_Mutlak Getiri'!N$2:N$25,MATCH(LARGE('V_Mutlak Getiri'!$AC$2:$AC$25,ROW()-3),'V_Mutlak Getiri'!$AC$2:$AC$25,0))</f>
        <v>5766394.3600000003</v>
      </c>
      <c r="P14" s="8">
        <f>INDEX('V_Mutlak Getiri'!O$2:O$25,MATCH(LARGE('V_Mutlak Getiri'!$AC$2:$AC$25,ROW()-3),'V_Mutlak Getiri'!$AC$2:$AC$25,0))</f>
        <v>7.7807746107645404E-3</v>
      </c>
      <c r="Q14" s="9">
        <f>INDEX('V_Mutlak Getiri'!P$2:P$25,MATCH(LARGE('V_Mutlak Getiri'!$AC$2:$AC$25,ROW()-3),'V_Mutlak Getiri'!$AC$2:$AC$25,0))</f>
        <v>0.17896999648852899</v>
      </c>
      <c r="R14" s="5" t="str">
        <f>INDEX('V_Mutlak Getiri'!Q$2:Q$25,MATCH(LARGE('V_Mutlak Getiri'!$AC$2:$AC$25,ROW()-3),'V_Mutlak Getiri'!$AC$2:$AC$25,0))</f>
        <v>Görmüyor</v>
      </c>
      <c r="S14" s="8">
        <f>INDEX('V_Mutlak Getiri'!R$2:R$25,MATCH(LARGE('V_Mutlak Getiri'!$AC$2:$AC$25,ROW()-3),'V_Mutlak Getiri'!$AC$2:$AC$25,0))</f>
        <v>0</v>
      </c>
      <c r="T14" s="8">
        <f>INDEX('V_Mutlak Getiri'!S$2:S$25,MATCH(LARGE('V_Mutlak Getiri'!$AC$2:$AC$25,ROW()-3),'V_Mutlak Getiri'!$AC$2:$AC$25,0))</f>
        <v>0.13719999999999999</v>
      </c>
      <c r="U14" s="8">
        <f>INDEX('V_Mutlak Getiri'!T$2:T$25,MATCH(LARGE('V_Mutlak Getiri'!$AC$2:$AC$25,ROW()-3),'V_Mutlak Getiri'!$AC$2:$AC$25,0))</f>
        <v>0</v>
      </c>
      <c r="V14" s="8">
        <f>INDEX('V_Mutlak Getiri'!U$2:U$25,MATCH(LARGE('V_Mutlak Getiri'!$AC$2:$AC$25,ROW()-3),'V_Mutlak Getiri'!$AC$2:$AC$25,0))</f>
        <v>0.82250000000000001</v>
      </c>
      <c r="W14" s="8">
        <f>INDEX('V_Mutlak Getiri'!V$2:V$25,MATCH(LARGE('V_Mutlak Getiri'!$AC$2:$AC$25,ROW()-3),'V_Mutlak Getiri'!$AC$2:$AC$25,0))</f>
        <v>0</v>
      </c>
      <c r="X14" s="8">
        <f>INDEX('V_Mutlak Getiri'!W$2:W$25,MATCH(LARGE('V_Mutlak Getiri'!$AC$2:$AC$25,ROW()-3),'V_Mutlak Getiri'!$AC$2:$AC$25,0))</f>
        <v>4.0300000000000002E-2</v>
      </c>
      <c r="Y14" s="8">
        <f>INDEX('V_Mutlak Getiri'!X$2:X$25,MATCH(LARGE('V_Mutlak Getiri'!$AC$2:$AC$25,ROW()-3),'V_Mutlak Getiri'!$AC$2:$AC$25,0))</f>
        <v>0</v>
      </c>
      <c r="Z14" s="8">
        <f>INDEX('V_Mutlak Getiri'!Y$2:Y$25,MATCH(LARGE('V_Mutlak Getiri'!$AC$2:$AC$25,ROW()-3),'V_Mutlak Getiri'!$AC$2:$AC$25,0))</f>
        <v>0</v>
      </c>
      <c r="AA14" s="8">
        <f>INDEX('V_Mutlak Getiri'!Z$2:Z$25,MATCH(LARGE('V_Mutlak Getiri'!$AC$2:$AC$25,ROW()-3),'V_Mutlak Getiri'!$AC$2:$AC$25,0))</f>
        <v>0</v>
      </c>
      <c r="AB14" s="8">
        <f>INDEX('V_Mutlak Getiri'!AA$2:AA$25,MATCH(LARGE('V_Mutlak Getiri'!$AC$2:$AC$25,ROW()-3),'V_Mutlak Getiri'!$AC$2:$AC$25,0))</f>
        <v>1</v>
      </c>
    </row>
    <row r="15" spans="1:28" x14ac:dyDescent="0.2">
      <c r="A15">
        <v>12</v>
      </c>
      <c r="B15" s="5" t="str">
        <f>INDEX('V_Mutlak Getiri'!A$2:A$25,MATCH(LARGE('V_Mutlak Getiri'!$AC$2:$AC$25,ROW()-3),'V_Mutlak Getiri'!$AC$2:$AC$25,0))</f>
        <v>HDK</v>
      </c>
      <c r="C15" s="5" t="str">
        <f>INDEX('V_Mutlak Getiri'!B$2:B$25,MATCH(LARGE('V_Mutlak Getiri'!$AC$2:$AC$25,ROW()-3),'V_Mutlak Getiri'!$AC$2:$AC$25,0))</f>
        <v>Hedef Portföy Vega İstatistiksel Arbitraj Hisse Senedi Serbest Fon (Hisse Senedi Yoğun Fon)</v>
      </c>
      <c r="D15" s="5" t="str">
        <f>INDEX('V_Mutlak Getiri'!C$2:C$25,MATCH(LARGE('V_Mutlak Getiri'!$AC$2:$AC$25,ROW()-3),'V_Mutlak Getiri'!$AC$2:$AC$25,0))</f>
        <v>Hedef Portföy</v>
      </c>
      <c r="E15" s="8">
        <f>INDEX('V_Mutlak Getiri'!D$2:D$25,MATCH(LARGE('V_Mutlak Getiri'!$AC$2:$AC$25,ROW()-3),'V_Mutlak Getiri'!$AC$2:$AC$25,0))</f>
        <v>0.05</v>
      </c>
      <c r="F15" s="9">
        <f>INDEX('V_Mutlak Getiri'!E$2:E$25,MATCH(LARGE('V_Mutlak Getiri'!$AC$2:$AC$25,ROW()-3),'V_Mutlak Getiri'!$AC$2:$AC$25,0))</f>
        <v>0.20658773185648899</v>
      </c>
      <c r="G15" s="9">
        <f>INDEX('V_Mutlak Getiri'!F$2:F$25,MATCH(LARGE('V_Mutlak Getiri'!$AC$2:$AC$25,ROW()-3),'V_Mutlak Getiri'!$AC$2:$AC$25,0))</f>
        <v>0.6280602597801499</v>
      </c>
      <c r="H15" s="9">
        <f>INDEX('V_Mutlak Getiri'!G$2:G$25,MATCH(LARGE('V_Mutlak Getiri'!$AC$2:$AC$25,ROW()-3),'V_Mutlak Getiri'!$AC$2:$AC$25,0))</f>
        <v>1.4120366851787749</v>
      </c>
      <c r="I15" s="9">
        <f>INDEX('V_Mutlak Getiri'!H$2:H$25,MATCH(LARGE('V_Mutlak Getiri'!$AC$2:$AC$25,ROW()-3),'V_Mutlak Getiri'!$AC$2:$AC$25,0))</f>
        <v>13.75195395297184</v>
      </c>
      <c r="J15" s="9">
        <f>INDEX('V_Mutlak Getiri'!I$2:I$25,MATCH(LARGE('V_Mutlak Getiri'!$AC$2:$AC$25,ROW()-3),'V_Mutlak Getiri'!$AC$2:$AC$25,0))</f>
        <v>29.539553462527611</v>
      </c>
      <c r="K15" s="10">
        <f>INDEX('V_Mutlak Getiri'!J$2:J$25,MATCH(LARGE('V_Mutlak Getiri'!$AC$2:$AC$25,ROW()-3),'V_Mutlak Getiri'!$AC$2:$AC$25,0))</f>
        <v>141</v>
      </c>
      <c r="L15" s="10">
        <f>INDEX('V_Mutlak Getiri'!K$2:K$25,MATCH(LARGE('V_Mutlak Getiri'!$AC$2:$AC$25,ROW()-3),'V_Mutlak Getiri'!$AC$2:$AC$25,0))</f>
        <v>131</v>
      </c>
      <c r="M15" s="8">
        <f>INDEX('V_Mutlak Getiri'!L$2:L$25,MATCH(LARGE('V_Mutlak Getiri'!$AC$2:$AC$25,ROW()-3),'V_Mutlak Getiri'!$AC$2:$AC$25,0))</f>
        <v>-7.0921985815602828E-2</v>
      </c>
      <c r="N15" s="11">
        <f>INDEX('V_Mutlak Getiri'!M$2:M$25,MATCH(LARGE('V_Mutlak Getiri'!$AC$2:$AC$25,ROW()-3),'V_Mutlak Getiri'!$AC$2:$AC$25,0))</f>
        <v>12059302.300000001</v>
      </c>
      <c r="O15" s="11">
        <f>INDEX('V_Mutlak Getiri'!N$2:N$25,MATCH(LARGE('V_Mutlak Getiri'!$AC$2:$AC$25,ROW()-3),'V_Mutlak Getiri'!$AC$2:$AC$25,0))</f>
        <v>12092220.75</v>
      </c>
      <c r="P15" s="8">
        <f>INDEX('V_Mutlak Getiri'!O$2:O$25,MATCH(LARGE('V_Mutlak Getiri'!$AC$2:$AC$25,ROW()-3),'V_Mutlak Getiri'!$AC$2:$AC$25,0))</f>
        <v>2.729714305279352E-3</v>
      </c>
      <c r="Q15" s="9">
        <f>INDEX('V_Mutlak Getiri'!P$2:P$25,MATCH(LARGE('V_Mutlak Getiri'!$AC$2:$AC$25,ROW()-3),'V_Mutlak Getiri'!$AC$2:$AC$25,0))</f>
        <v>0.2134456105662669</v>
      </c>
      <c r="R15" s="5" t="str">
        <f>INDEX('V_Mutlak Getiri'!Q$2:Q$25,MATCH(LARGE('V_Mutlak Getiri'!$AC$2:$AC$25,ROW()-3),'V_Mutlak Getiri'!$AC$2:$AC$25,0))</f>
        <v>Görüyor</v>
      </c>
      <c r="S15" s="8">
        <f>INDEX('V_Mutlak Getiri'!R$2:R$25,MATCH(LARGE('V_Mutlak Getiri'!$AC$2:$AC$25,ROW()-3),'V_Mutlak Getiri'!$AC$2:$AC$25,0))</f>
        <v>0</v>
      </c>
      <c r="T15" s="8">
        <f>INDEX('V_Mutlak Getiri'!S$2:S$25,MATCH(LARGE('V_Mutlak Getiri'!$AC$2:$AC$25,ROW()-3),'V_Mutlak Getiri'!$AC$2:$AC$25,0))</f>
        <v>0.2107</v>
      </c>
      <c r="U15" s="8">
        <f>INDEX('V_Mutlak Getiri'!T$2:T$25,MATCH(LARGE('V_Mutlak Getiri'!$AC$2:$AC$25,ROW()-3),'V_Mutlak Getiri'!$AC$2:$AC$25,0))</f>
        <v>0</v>
      </c>
      <c r="V15" s="8">
        <f>INDEX('V_Mutlak Getiri'!U$2:U$25,MATCH(LARGE('V_Mutlak Getiri'!$AC$2:$AC$25,ROW()-3),'V_Mutlak Getiri'!$AC$2:$AC$25,0))</f>
        <v>0.78810000000000002</v>
      </c>
      <c r="W15" s="8">
        <f>INDEX('V_Mutlak Getiri'!V$2:V$25,MATCH(LARGE('V_Mutlak Getiri'!$AC$2:$AC$25,ROW()-3),'V_Mutlak Getiri'!$AC$2:$AC$25,0))</f>
        <v>0</v>
      </c>
      <c r="X15" s="8">
        <f>INDEX('V_Mutlak Getiri'!W$2:W$25,MATCH(LARGE('V_Mutlak Getiri'!$AC$2:$AC$25,ROW()-3),'V_Mutlak Getiri'!$AC$2:$AC$25,0))</f>
        <v>1.1999999999999999E-3</v>
      </c>
      <c r="Y15" s="8">
        <f>INDEX('V_Mutlak Getiri'!X$2:X$25,MATCH(LARGE('V_Mutlak Getiri'!$AC$2:$AC$25,ROW()-3),'V_Mutlak Getiri'!$AC$2:$AC$25,0))</f>
        <v>0</v>
      </c>
      <c r="Z15" s="8">
        <f>INDEX('V_Mutlak Getiri'!Y$2:Y$25,MATCH(LARGE('V_Mutlak Getiri'!$AC$2:$AC$25,ROW()-3),'V_Mutlak Getiri'!$AC$2:$AC$25,0))</f>
        <v>0</v>
      </c>
      <c r="AA15" s="8">
        <f>INDEX('V_Mutlak Getiri'!Z$2:Z$25,MATCH(LARGE('V_Mutlak Getiri'!$AC$2:$AC$25,ROW()-3),'V_Mutlak Getiri'!$AC$2:$AC$25,0))</f>
        <v>0</v>
      </c>
      <c r="AB15" s="8">
        <f>INDEX('V_Mutlak Getiri'!AA$2:AA$25,MATCH(LARGE('V_Mutlak Getiri'!$AC$2:$AC$25,ROW()-3),'V_Mutlak Getiri'!$AC$2:$AC$25,0))</f>
        <v>1</v>
      </c>
    </row>
    <row r="16" spans="1:28" x14ac:dyDescent="0.2">
      <c r="A16">
        <v>13</v>
      </c>
      <c r="B16" s="5" t="str">
        <f>INDEX('V_Mutlak Getiri'!A$2:A$25,MATCH(LARGE('V_Mutlak Getiri'!$AC$2:$AC$25,ROW()-3),'V_Mutlak Getiri'!$AC$2:$AC$25,0))</f>
        <v>HAT</v>
      </c>
      <c r="C16" s="5" t="str">
        <f>INDEX('V_Mutlak Getiri'!B$2:B$25,MATCH(LARGE('V_Mutlak Getiri'!$AC$2:$AC$25,ROW()-3),'V_Mutlak Getiri'!$AC$2:$AC$25,0))</f>
        <v>Hedef Portföy Atlas İstatistiksel Arbitraj Hisse Senedi Serbest Fon (Hisse Senedi Yoğun Fon)</v>
      </c>
      <c r="D16" s="5" t="str">
        <f>INDEX('V_Mutlak Getiri'!C$2:C$25,MATCH(LARGE('V_Mutlak Getiri'!$AC$2:$AC$25,ROW()-3),'V_Mutlak Getiri'!$AC$2:$AC$25,0))</f>
        <v>Hedef Portföy</v>
      </c>
      <c r="E16" s="8">
        <f>INDEX('V_Mutlak Getiri'!D$2:D$25,MATCH(LARGE('V_Mutlak Getiri'!$AC$2:$AC$25,ROW()-3),'V_Mutlak Getiri'!$AC$2:$AC$25,0))</f>
        <v>0.04</v>
      </c>
      <c r="F16" s="9">
        <f>INDEX('V_Mutlak Getiri'!E$2:E$25,MATCH(LARGE('V_Mutlak Getiri'!$AC$2:$AC$25,ROW()-3),'V_Mutlak Getiri'!$AC$2:$AC$25,0))</f>
        <v>0.18778321590600111</v>
      </c>
      <c r="G16" s="9">
        <f>INDEX('V_Mutlak Getiri'!F$2:F$25,MATCH(LARGE('V_Mutlak Getiri'!$AC$2:$AC$25,ROW()-3),'V_Mutlak Getiri'!$AC$2:$AC$25,0))</f>
        <v>0.48624580440876919</v>
      </c>
      <c r="H16" s="9">
        <f>INDEX('V_Mutlak Getiri'!G$2:G$25,MATCH(LARGE('V_Mutlak Getiri'!$AC$2:$AC$25,ROW()-3),'V_Mutlak Getiri'!$AC$2:$AC$25,0))</f>
        <v>0.4941141020164741</v>
      </c>
      <c r="I16" s="9">
        <f>INDEX('V_Mutlak Getiri'!H$2:H$25,MATCH(LARGE('V_Mutlak Getiri'!$AC$2:$AC$25,ROW()-3),'V_Mutlak Getiri'!$AC$2:$AC$25,0))</f>
        <v>11.56320459549887</v>
      </c>
      <c r="J16" s="9">
        <f>INDEX('V_Mutlak Getiri'!I$2:I$25,MATCH(LARGE('V_Mutlak Getiri'!$AC$2:$AC$25,ROW()-3),'V_Mutlak Getiri'!$AC$2:$AC$25,0))</f>
        <v>28.827835328454231</v>
      </c>
      <c r="K16" s="10">
        <f>INDEX('V_Mutlak Getiri'!J$2:J$25,MATCH(LARGE('V_Mutlak Getiri'!$AC$2:$AC$25,ROW()-3),'V_Mutlak Getiri'!$AC$2:$AC$25,0))</f>
        <v>104</v>
      </c>
      <c r="L16" s="10">
        <f>INDEX('V_Mutlak Getiri'!K$2:K$25,MATCH(LARGE('V_Mutlak Getiri'!$AC$2:$AC$25,ROW()-3),'V_Mutlak Getiri'!$AC$2:$AC$25,0))</f>
        <v>95</v>
      </c>
      <c r="M16" s="8">
        <f>INDEX('V_Mutlak Getiri'!L$2:L$25,MATCH(LARGE('V_Mutlak Getiri'!$AC$2:$AC$25,ROW()-3),'V_Mutlak Getiri'!$AC$2:$AC$25,0))</f>
        <v>-8.6538461538461564E-2</v>
      </c>
      <c r="N16" s="11">
        <f>INDEX('V_Mutlak Getiri'!M$2:M$25,MATCH(LARGE('V_Mutlak Getiri'!$AC$2:$AC$25,ROW()-3),'V_Mutlak Getiri'!$AC$2:$AC$25,0))</f>
        <v>5603384.9100000001</v>
      </c>
      <c r="O16" s="11">
        <f>INDEX('V_Mutlak Getiri'!N$2:N$25,MATCH(LARGE('V_Mutlak Getiri'!$AC$2:$AC$25,ROW()-3),'V_Mutlak Getiri'!$AC$2:$AC$25,0))</f>
        <v>5021970.71</v>
      </c>
      <c r="P16" s="8">
        <f>INDEX('V_Mutlak Getiri'!O$2:O$25,MATCH(LARGE('V_Mutlak Getiri'!$AC$2:$AC$25,ROW()-3),'V_Mutlak Getiri'!$AC$2:$AC$25,0))</f>
        <v>-0.1037612459858661</v>
      </c>
      <c r="Q16" s="9">
        <f>INDEX('V_Mutlak Getiri'!P$2:P$25,MATCH(LARGE('V_Mutlak Getiri'!$AC$2:$AC$25,ROW()-3),'V_Mutlak Getiri'!$AC$2:$AC$25,0))</f>
        <v>0.27257193493164</v>
      </c>
      <c r="R16" s="5" t="str">
        <f>INDEX('V_Mutlak Getiri'!Q$2:Q$25,MATCH(LARGE('V_Mutlak Getiri'!$AC$2:$AC$25,ROW()-3),'V_Mutlak Getiri'!$AC$2:$AC$25,0))</f>
        <v>Görüyor</v>
      </c>
      <c r="S16" s="8">
        <f>INDEX('V_Mutlak Getiri'!R$2:R$25,MATCH(LARGE('V_Mutlak Getiri'!$AC$2:$AC$25,ROW()-3),'V_Mutlak Getiri'!$AC$2:$AC$25,0))</f>
        <v>0</v>
      </c>
      <c r="T16" s="8">
        <f>INDEX('V_Mutlak Getiri'!S$2:S$25,MATCH(LARGE('V_Mutlak Getiri'!$AC$2:$AC$25,ROW()-3),'V_Mutlak Getiri'!$AC$2:$AC$25,0))</f>
        <v>0.13869999999999999</v>
      </c>
      <c r="U16" s="8">
        <f>INDEX('V_Mutlak Getiri'!T$2:T$25,MATCH(LARGE('V_Mutlak Getiri'!$AC$2:$AC$25,ROW()-3),'V_Mutlak Getiri'!$AC$2:$AC$25,0))</f>
        <v>0</v>
      </c>
      <c r="V16" s="8">
        <f>INDEX('V_Mutlak Getiri'!U$2:U$25,MATCH(LARGE('V_Mutlak Getiri'!$AC$2:$AC$25,ROW()-3),'V_Mutlak Getiri'!$AC$2:$AC$25,0))</f>
        <v>0.86129999999999995</v>
      </c>
      <c r="W16" s="8">
        <f>INDEX('V_Mutlak Getiri'!V$2:V$25,MATCH(LARGE('V_Mutlak Getiri'!$AC$2:$AC$25,ROW()-3),'V_Mutlak Getiri'!$AC$2:$AC$25,0))</f>
        <v>0</v>
      </c>
      <c r="X16" s="8">
        <f>INDEX('V_Mutlak Getiri'!W$2:W$25,MATCH(LARGE('V_Mutlak Getiri'!$AC$2:$AC$25,ROW()-3),'V_Mutlak Getiri'!$AC$2:$AC$25,0))</f>
        <v>0</v>
      </c>
      <c r="Y16" s="8">
        <f>INDEX('V_Mutlak Getiri'!X$2:X$25,MATCH(LARGE('V_Mutlak Getiri'!$AC$2:$AC$25,ROW()-3),'V_Mutlak Getiri'!$AC$2:$AC$25,0))</f>
        <v>0</v>
      </c>
      <c r="Z16" s="8">
        <f>INDEX('V_Mutlak Getiri'!Y$2:Y$25,MATCH(LARGE('V_Mutlak Getiri'!$AC$2:$AC$25,ROW()-3),'V_Mutlak Getiri'!$AC$2:$AC$25,0))</f>
        <v>0</v>
      </c>
      <c r="AA16" s="8">
        <f>INDEX('V_Mutlak Getiri'!Z$2:Z$25,MATCH(LARGE('V_Mutlak Getiri'!$AC$2:$AC$25,ROW()-3),'V_Mutlak Getiri'!$AC$2:$AC$25,0))</f>
        <v>0</v>
      </c>
      <c r="AB16" s="8">
        <f>INDEX('V_Mutlak Getiri'!AA$2:AA$25,MATCH(LARGE('V_Mutlak Getiri'!$AC$2:$AC$25,ROW()-3),'V_Mutlak Getiri'!$AC$2:$AC$25,0))</f>
        <v>1</v>
      </c>
    </row>
    <row r="17" spans="1:28" x14ac:dyDescent="0.2">
      <c r="A17">
        <v>14</v>
      </c>
      <c r="B17" s="5" t="str">
        <f>INDEX('V_Mutlak Getiri'!A$2:A$25,MATCH(LARGE('V_Mutlak Getiri'!$AC$2:$AC$25,ROW()-3),'V_Mutlak Getiri'!$AC$2:$AC$25,0))</f>
        <v>HIS</v>
      </c>
      <c r="C17" s="5" t="str">
        <f>INDEX('V_Mutlak Getiri'!B$2:B$25,MATCH(LARGE('V_Mutlak Getiri'!$AC$2:$AC$25,ROW()-3),'V_Mutlak Getiri'!$AC$2:$AC$25,0))</f>
        <v>Hedef Portföy İkinci İstatistiksel Arbitraj Hisse Senedi Serbest Fon (Hisse Senedi Yoğun Fon)</v>
      </c>
      <c r="D17" s="5" t="str">
        <f>INDEX('V_Mutlak Getiri'!C$2:C$25,MATCH(LARGE('V_Mutlak Getiri'!$AC$2:$AC$25,ROW()-3),'V_Mutlak Getiri'!$AC$2:$AC$25,0))</f>
        <v>Hedef Portföy</v>
      </c>
      <c r="E17" s="8">
        <f>INDEX('V_Mutlak Getiri'!D$2:D$25,MATCH(LARGE('V_Mutlak Getiri'!$AC$2:$AC$25,ROW()-3),'V_Mutlak Getiri'!$AC$2:$AC$25,0))</f>
        <v>0.03</v>
      </c>
      <c r="F17" s="9">
        <f>INDEX('V_Mutlak Getiri'!E$2:E$25,MATCH(LARGE('V_Mutlak Getiri'!$AC$2:$AC$25,ROW()-3),'V_Mutlak Getiri'!$AC$2:$AC$25,0))</f>
        <v>0.1643043511113218</v>
      </c>
      <c r="G17" s="9">
        <f>INDEX('V_Mutlak Getiri'!F$2:F$25,MATCH(LARGE('V_Mutlak Getiri'!$AC$2:$AC$25,ROW()-3),'V_Mutlak Getiri'!$AC$2:$AC$25,0))</f>
        <v>-0.38670011367529789</v>
      </c>
      <c r="H17" s="9">
        <f>INDEX('V_Mutlak Getiri'!G$2:G$25,MATCH(LARGE('V_Mutlak Getiri'!$AC$2:$AC$25,ROW()-3),'V_Mutlak Getiri'!$AC$2:$AC$25,0))</f>
        <v>-4.863660044395246</v>
      </c>
      <c r="I17" s="9">
        <f>INDEX('V_Mutlak Getiri'!H$2:H$25,MATCH(LARGE('V_Mutlak Getiri'!$AC$2:$AC$25,ROW()-3),'V_Mutlak Getiri'!$AC$2:$AC$25,0))</f>
        <v>-11.60792735163518</v>
      </c>
      <c r="J17" s="9">
        <f>INDEX('V_Mutlak Getiri'!I$2:I$25,MATCH(LARGE('V_Mutlak Getiri'!$AC$2:$AC$25,ROW()-3),'V_Mutlak Getiri'!$AC$2:$AC$25,0))</f>
        <v>-0.88345186230434081</v>
      </c>
      <c r="K17" s="10">
        <f>INDEX('V_Mutlak Getiri'!J$2:J$25,MATCH(LARGE('V_Mutlak Getiri'!$AC$2:$AC$25,ROW()-3),'V_Mutlak Getiri'!$AC$2:$AC$25,0))</f>
        <v>12</v>
      </c>
      <c r="L17" s="10">
        <f>INDEX('V_Mutlak Getiri'!K$2:K$25,MATCH(LARGE('V_Mutlak Getiri'!$AC$2:$AC$25,ROW()-3),'V_Mutlak Getiri'!$AC$2:$AC$25,0))</f>
        <v>12</v>
      </c>
      <c r="M17" s="8">
        <f>INDEX('V_Mutlak Getiri'!L$2:L$25,MATCH(LARGE('V_Mutlak Getiri'!$AC$2:$AC$25,ROW()-3),'V_Mutlak Getiri'!$AC$2:$AC$25,0))</f>
        <v>0</v>
      </c>
      <c r="N17" s="11">
        <f>INDEX('V_Mutlak Getiri'!M$2:M$25,MATCH(LARGE('V_Mutlak Getiri'!$AC$2:$AC$25,ROW()-3),'V_Mutlak Getiri'!$AC$2:$AC$25,0))</f>
        <v>1378896.78</v>
      </c>
      <c r="O17" s="11">
        <f>INDEX('V_Mutlak Getiri'!N$2:N$25,MATCH(LARGE('V_Mutlak Getiri'!$AC$2:$AC$25,ROW()-3),'V_Mutlak Getiri'!$AC$2:$AC$25,0))</f>
        <v>1311831.8400000001</v>
      </c>
      <c r="P17" s="8">
        <f>INDEX('V_Mutlak Getiri'!O$2:O$25,MATCH(LARGE('V_Mutlak Getiri'!$AC$2:$AC$25,ROW()-3),'V_Mutlak Getiri'!$AC$2:$AC$25,0))</f>
        <v>-4.8636664449966949E-2</v>
      </c>
      <c r="Q17" s="9">
        <f>INDEX('V_Mutlak Getiri'!P$2:P$25,MATCH(LARGE('V_Mutlak Getiri'!$AC$2:$AC$25,ROW()-3),'V_Mutlak Getiri'!$AC$2:$AC$25,0))</f>
        <v>0.60830611794894351</v>
      </c>
      <c r="R17" s="5" t="str">
        <f>INDEX('V_Mutlak Getiri'!Q$2:Q$25,MATCH(LARGE('V_Mutlak Getiri'!$AC$2:$AC$25,ROW()-3),'V_Mutlak Getiri'!$AC$2:$AC$25,0))</f>
        <v>Görmüyor</v>
      </c>
      <c r="S17" s="8">
        <f>INDEX('V_Mutlak Getiri'!R$2:R$25,MATCH(LARGE('V_Mutlak Getiri'!$AC$2:$AC$25,ROW()-3),'V_Mutlak Getiri'!$AC$2:$AC$25,0))</f>
        <v>0</v>
      </c>
      <c r="T17" s="8">
        <f>INDEX('V_Mutlak Getiri'!S$2:S$25,MATCH(LARGE('V_Mutlak Getiri'!$AC$2:$AC$25,ROW()-3),'V_Mutlak Getiri'!$AC$2:$AC$25,0))</f>
        <v>0.17430000000000001</v>
      </c>
      <c r="U17" s="8">
        <f>INDEX('V_Mutlak Getiri'!T$2:T$25,MATCH(LARGE('V_Mutlak Getiri'!$AC$2:$AC$25,ROW()-3),'V_Mutlak Getiri'!$AC$2:$AC$25,0))</f>
        <v>0</v>
      </c>
      <c r="V17" s="8">
        <f>INDEX('V_Mutlak Getiri'!U$2:U$25,MATCH(LARGE('V_Mutlak Getiri'!$AC$2:$AC$25,ROW()-3),'V_Mutlak Getiri'!$AC$2:$AC$25,0))</f>
        <v>0.82569999999999988</v>
      </c>
      <c r="W17" s="8">
        <f>INDEX('V_Mutlak Getiri'!V$2:V$25,MATCH(LARGE('V_Mutlak Getiri'!$AC$2:$AC$25,ROW()-3),'V_Mutlak Getiri'!$AC$2:$AC$25,0))</f>
        <v>0</v>
      </c>
      <c r="X17" s="8">
        <f>INDEX('V_Mutlak Getiri'!W$2:W$25,MATCH(LARGE('V_Mutlak Getiri'!$AC$2:$AC$25,ROW()-3),'V_Mutlak Getiri'!$AC$2:$AC$25,0))</f>
        <v>0</v>
      </c>
      <c r="Y17" s="8">
        <f>INDEX('V_Mutlak Getiri'!X$2:X$25,MATCH(LARGE('V_Mutlak Getiri'!$AC$2:$AC$25,ROW()-3),'V_Mutlak Getiri'!$AC$2:$AC$25,0))</f>
        <v>0</v>
      </c>
      <c r="Z17" s="8">
        <f>INDEX('V_Mutlak Getiri'!Y$2:Y$25,MATCH(LARGE('V_Mutlak Getiri'!$AC$2:$AC$25,ROW()-3),'V_Mutlak Getiri'!$AC$2:$AC$25,0))</f>
        <v>0</v>
      </c>
      <c r="AA17" s="8">
        <f>INDEX('V_Mutlak Getiri'!Z$2:Z$25,MATCH(LARGE('V_Mutlak Getiri'!$AC$2:$AC$25,ROW()-3),'V_Mutlak Getiri'!$AC$2:$AC$25,0))</f>
        <v>0</v>
      </c>
      <c r="AB17" s="8">
        <f>INDEX('V_Mutlak Getiri'!AA$2:AA$25,MATCH(LARGE('V_Mutlak Getiri'!$AC$2:$AC$25,ROW()-3),'V_Mutlak Getiri'!$AC$2:$AC$25,0))</f>
        <v>0.99999999999999989</v>
      </c>
    </row>
    <row r="18" spans="1:28" x14ac:dyDescent="0.2">
      <c r="A18">
        <v>15</v>
      </c>
      <c r="B18" s="5" t="str">
        <f>INDEX('V_Mutlak Getiri'!A$2:A$25,MATCH(LARGE('V_Mutlak Getiri'!$AC$2:$AC$25,ROW()-3),'V_Mutlak Getiri'!$AC$2:$AC$25,0))</f>
        <v>IAU</v>
      </c>
      <c r="C18" s="5" t="str">
        <f>INDEX('V_Mutlak Getiri'!B$2:B$25,MATCH(LARGE('V_Mutlak Getiri'!$AC$2:$AC$25,ROW()-3),'V_Mutlak Getiri'!$AC$2:$AC$25,0))</f>
        <v>Pardus Portföy İkinci İstatistiksel Arbitraj Hisse Senedi Serbest (TL) Fon (Hisse Senedi Yoğun Fon)</v>
      </c>
      <c r="D18" s="5" t="str">
        <f>INDEX('V_Mutlak Getiri'!C$2:C$25,MATCH(LARGE('V_Mutlak Getiri'!$AC$2:$AC$25,ROW()-3),'V_Mutlak Getiri'!$AC$2:$AC$25,0))</f>
        <v>Pardus Portföy</v>
      </c>
      <c r="E18" s="8">
        <f>INDEX('V_Mutlak Getiri'!D$2:D$25,MATCH(LARGE('V_Mutlak Getiri'!$AC$2:$AC$25,ROW()-3),'V_Mutlak Getiri'!$AC$2:$AC$25,0))</f>
        <v>1.4999999999999999E-2</v>
      </c>
      <c r="F18" s="9">
        <f>INDEX('V_Mutlak Getiri'!E$2:E$25,MATCH(LARGE('V_Mutlak Getiri'!$AC$2:$AC$25,ROW()-3),'V_Mutlak Getiri'!$AC$2:$AC$25,0))</f>
        <v>0.13229940186147979</v>
      </c>
      <c r="G18" s="9">
        <f>INDEX('V_Mutlak Getiri'!F$2:F$25,MATCH(LARGE('V_Mutlak Getiri'!$AC$2:$AC$25,ROW()-3),'V_Mutlak Getiri'!$AC$2:$AC$25,0))</f>
        <v>0.92091704546393149</v>
      </c>
      <c r="H18" s="9">
        <f>INDEX('V_Mutlak Getiri'!G$2:G$25,MATCH(LARGE('V_Mutlak Getiri'!$AC$2:$AC$25,ROW()-3),'V_Mutlak Getiri'!$AC$2:$AC$25,0))</f>
        <v>2.5360554725407658</v>
      </c>
      <c r="I18" s="9">
        <f>INDEX('V_Mutlak Getiri'!H$2:H$25,MATCH(LARGE('V_Mutlak Getiri'!$AC$2:$AC$25,ROW()-3),'V_Mutlak Getiri'!$AC$2:$AC$25,0))</f>
        <v>18.71122798638223</v>
      </c>
      <c r="J18" s="9">
        <f>INDEX('V_Mutlak Getiri'!I$2:I$25,MATCH(LARGE('V_Mutlak Getiri'!$AC$2:$AC$25,ROW()-3),'V_Mutlak Getiri'!$AC$2:$AC$25,0))</f>
        <v>38.970696992764317</v>
      </c>
      <c r="K18" s="10">
        <f>INDEX('V_Mutlak Getiri'!J$2:J$25,MATCH(LARGE('V_Mutlak Getiri'!$AC$2:$AC$25,ROW()-3),'V_Mutlak Getiri'!$AC$2:$AC$25,0))</f>
        <v>257</v>
      </c>
      <c r="L18" s="10">
        <f>INDEX('V_Mutlak Getiri'!K$2:K$25,MATCH(LARGE('V_Mutlak Getiri'!$AC$2:$AC$25,ROW()-3),'V_Mutlak Getiri'!$AC$2:$AC$25,0))</f>
        <v>236</v>
      </c>
      <c r="M18" s="8">
        <f>INDEX('V_Mutlak Getiri'!L$2:L$25,MATCH(LARGE('V_Mutlak Getiri'!$AC$2:$AC$25,ROW()-3),'V_Mutlak Getiri'!$AC$2:$AC$25,0))</f>
        <v>-8.1712062256809381E-2</v>
      </c>
      <c r="N18" s="11">
        <f>INDEX('V_Mutlak Getiri'!M$2:M$25,MATCH(LARGE('V_Mutlak Getiri'!$AC$2:$AC$25,ROW()-3),'V_Mutlak Getiri'!$AC$2:$AC$25,0))</f>
        <v>35472964.729999997</v>
      </c>
      <c r="O18" s="11">
        <f>INDEX('V_Mutlak Getiri'!N$2:N$25,MATCH(LARGE('V_Mutlak Getiri'!$AC$2:$AC$25,ROW()-3),'V_Mutlak Getiri'!$AC$2:$AC$25,0))</f>
        <v>34591594.880000003</v>
      </c>
      <c r="P18" s="8">
        <f>INDEX('V_Mutlak Getiri'!O$2:O$25,MATCH(LARGE('V_Mutlak Getiri'!$AC$2:$AC$25,ROW()-3),'V_Mutlak Getiri'!$AC$2:$AC$25,0))</f>
        <v>-2.484624154503234E-2</v>
      </c>
      <c r="Q18" s="9">
        <f>INDEX('V_Mutlak Getiri'!P$2:P$25,MATCH(LARGE('V_Mutlak Getiri'!$AC$2:$AC$25,ROW()-3),'V_Mutlak Getiri'!$AC$2:$AC$25,0))</f>
        <v>0.14579377486767339</v>
      </c>
      <c r="R18" s="5" t="str">
        <f>INDEX('V_Mutlak Getiri'!Q$2:Q$25,MATCH(LARGE('V_Mutlak Getiri'!$AC$2:$AC$25,ROW()-3),'V_Mutlak Getiri'!$AC$2:$AC$25,0))</f>
        <v>Görüyor</v>
      </c>
      <c r="S18" s="8">
        <f>INDEX('V_Mutlak Getiri'!R$2:R$25,MATCH(LARGE('V_Mutlak Getiri'!$AC$2:$AC$25,ROW()-3),'V_Mutlak Getiri'!$AC$2:$AC$25,0))</f>
        <v>0</v>
      </c>
      <c r="T18" s="8">
        <f>INDEX('V_Mutlak Getiri'!S$2:S$25,MATCH(LARGE('V_Mutlak Getiri'!$AC$2:$AC$25,ROW()-3),'V_Mutlak Getiri'!$AC$2:$AC$25,0))</f>
        <v>0.1658</v>
      </c>
      <c r="U18" s="8">
        <f>INDEX('V_Mutlak Getiri'!T$2:T$25,MATCH(LARGE('V_Mutlak Getiri'!$AC$2:$AC$25,ROW()-3),'V_Mutlak Getiri'!$AC$2:$AC$25,0))</f>
        <v>0</v>
      </c>
      <c r="V18" s="8">
        <f>INDEX('V_Mutlak Getiri'!U$2:U$25,MATCH(LARGE('V_Mutlak Getiri'!$AC$2:$AC$25,ROW()-3),'V_Mutlak Getiri'!$AC$2:$AC$25,0))</f>
        <v>0.83420000000000005</v>
      </c>
      <c r="W18" s="8">
        <f>INDEX('V_Mutlak Getiri'!V$2:V$25,MATCH(LARGE('V_Mutlak Getiri'!$AC$2:$AC$25,ROW()-3),'V_Mutlak Getiri'!$AC$2:$AC$25,0))</f>
        <v>0</v>
      </c>
      <c r="X18" s="8">
        <f>INDEX('V_Mutlak Getiri'!W$2:W$25,MATCH(LARGE('V_Mutlak Getiri'!$AC$2:$AC$25,ROW()-3),'V_Mutlak Getiri'!$AC$2:$AC$25,0))</f>
        <v>0</v>
      </c>
      <c r="Y18" s="8">
        <f>INDEX('V_Mutlak Getiri'!X$2:X$25,MATCH(LARGE('V_Mutlak Getiri'!$AC$2:$AC$25,ROW()-3),'V_Mutlak Getiri'!$AC$2:$AC$25,0))</f>
        <v>0</v>
      </c>
      <c r="Z18" s="8">
        <f>INDEX('V_Mutlak Getiri'!Y$2:Y$25,MATCH(LARGE('V_Mutlak Getiri'!$AC$2:$AC$25,ROW()-3),'V_Mutlak Getiri'!$AC$2:$AC$25,0))</f>
        <v>0</v>
      </c>
      <c r="AA18" s="8">
        <f>INDEX('V_Mutlak Getiri'!Z$2:Z$25,MATCH(LARGE('V_Mutlak Getiri'!$AC$2:$AC$25,ROW()-3),'V_Mutlak Getiri'!$AC$2:$AC$25,0))</f>
        <v>0</v>
      </c>
      <c r="AB18" s="8">
        <f>INDEX('V_Mutlak Getiri'!AA$2:AA$25,MATCH(LARGE('V_Mutlak Getiri'!$AC$2:$AC$25,ROW()-3),'V_Mutlak Getiri'!$AC$2:$AC$25,0))</f>
        <v>1</v>
      </c>
    </row>
    <row r="19" spans="1:28" x14ac:dyDescent="0.2">
      <c r="A19">
        <v>16</v>
      </c>
      <c r="B19" s="5" t="str">
        <f>INDEX('V_Mutlak Getiri'!A$2:A$25,MATCH(LARGE('V_Mutlak Getiri'!$AC$2:$AC$25,ROW()-3),'V_Mutlak Getiri'!$AC$2:$AC$25,0))</f>
        <v>KIH</v>
      </c>
      <c r="C19" s="5" t="str">
        <f>INDEX('V_Mutlak Getiri'!B$2:B$25,MATCH(LARGE('V_Mutlak Getiri'!$AC$2:$AC$25,ROW()-3),'V_Mutlak Getiri'!$AC$2:$AC$25,0))</f>
        <v>Kare Portföy İstatistiksel Arbitraj Serbest Fon</v>
      </c>
      <c r="D19" s="5" t="str">
        <f>INDEX('V_Mutlak Getiri'!C$2:C$25,MATCH(LARGE('V_Mutlak Getiri'!$AC$2:$AC$25,ROW()-3),'V_Mutlak Getiri'!$AC$2:$AC$25,0))</f>
        <v>Kare Portföy</v>
      </c>
      <c r="E19" s="8">
        <f>INDEX('V_Mutlak Getiri'!D$2:D$25,MATCH(LARGE('V_Mutlak Getiri'!$AC$2:$AC$25,ROW()-3),'V_Mutlak Getiri'!$AC$2:$AC$25,0))</f>
        <v>0.04</v>
      </c>
      <c r="F19" s="9">
        <f>INDEX('V_Mutlak Getiri'!E$2:E$25,MATCH(LARGE('V_Mutlak Getiri'!$AC$2:$AC$25,ROW()-3),'V_Mutlak Getiri'!$AC$2:$AC$25,0))</f>
        <v>0.1244868961694401</v>
      </c>
      <c r="G19" s="9">
        <f>INDEX('V_Mutlak Getiri'!F$2:F$25,MATCH(LARGE('V_Mutlak Getiri'!$AC$2:$AC$25,ROW()-3),'V_Mutlak Getiri'!$AC$2:$AC$25,0))</f>
        <v>0.65235812922426195</v>
      </c>
      <c r="H19" s="9">
        <f>INDEX('V_Mutlak Getiri'!G$2:G$25,MATCH(LARGE('V_Mutlak Getiri'!$AC$2:$AC$25,ROW()-3),'V_Mutlak Getiri'!$AC$2:$AC$25,0))</f>
        <v>3.085984311449264</v>
      </c>
      <c r="I19" s="9">
        <f>INDEX('V_Mutlak Getiri'!H$2:H$25,MATCH(LARGE('V_Mutlak Getiri'!$AC$2:$AC$25,ROW()-3),'V_Mutlak Getiri'!$AC$2:$AC$25,0))</f>
        <v>18.418741760042881</v>
      </c>
      <c r="J19" s="9">
        <f>INDEX('V_Mutlak Getiri'!I$2:I$25,MATCH(LARGE('V_Mutlak Getiri'!$AC$2:$AC$25,ROW()-3),'V_Mutlak Getiri'!$AC$2:$AC$25,0))</f>
        <v>32.892099956410718</v>
      </c>
      <c r="K19" s="10">
        <f>INDEX('V_Mutlak Getiri'!J$2:J$25,MATCH(LARGE('V_Mutlak Getiri'!$AC$2:$AC$25,ROW()-3),'V_Mutlak Getiri'!$AC$2:$AC$25,0))</f>
        <v>36</v>
      </c>
      <c r="L19" s="10">
        <f>INDEX('V_Mutlak Getiri'!K$2:K$25,MATCH(LARGE('V_Mutlak Getiri'!$AC$2:$AC$25,ROW()-3),'V_Mutlak Getiri'!$AC$2:$AC$25,0))</f>
        <v>27</v>
      </c>
      <c r="M19" s="8">
        <f>INDEX('V_Mutlak Getiri'!L$2:L$25,MATCH(LARGE('V_Mutlak Getiri'!$AC$2:$AC$25,ROW()-3),'V_Mutlak Getiri'!$AC$2:$AC$25,0))</f>
        <v>-0.25</v>
      </c>
      <c r="N19" s="11">
        <f>INDEX('V_Mutlak Getiri'!M$2:M$25,MATCH(LARGE('V_Mutlak Getiri'!$AC$2:$AC$25,ROW()-3),'V_Mutlak Getiri'!$AC$2:$AC$25,0))</f>
        <v>55918968.329999998</v>
      </c>
      <c r="O19" s="11">
        <f>INDEX('V_Mutlak Getiri'!N$2:N$25,MATCH(LARGE('V_Mutlak Getiri'!$AC$2:$AC$25,ROW()-3),'V_Mutlak Getiri'!$AC$2:$AC$25,0))</f>
        <v>57641359.079999998</v>
      </c>
      <c r="P19" s="8">
        <f>INDEX('V_Mutlak Getiri'!O$2:O$25,MATCH(LARGE('V_Mutlak Getiri'!$AC$2:$AC$25,ROW()-3),'V_Mutlak Getiri'!$AC$2:$AC$25,0))</f>
        <v>3.080154733605767E-2</v>
      </c>
      <c r="Q19" s="9">
        <f>INDEX('V_Mutlak Getiri'!P$2:P$25,MATCH(LARGE('V_Mutlak Getiri'!$AC$2:$AC$25,ROW()-3),'V_Mutlak Getiri'!$AC$2:$AC$25,0))</f>
        <v>6.280517744337405E-2</v>
      </c>
      <c r="R19" s="5" t="str">
        <f>INDEX('V_Mutlak Getiri'!Q$2:Q$25,MATCH(LARGE('V_Mutlak Getiri'!$AC$2:$AC$25,ROW()-3),'V_Mutlak Getiri'!$AC$2:$AC$25,0))</f>
        <v>Görüyor</v>
      </c>
      <c r="S19" s="8">
        <f>INDEX('V_Mutlak Getiri'!R$2:R$25,MATCH(LARGE('V_Mutlak Getiri'!$AC$2:$AC$25,ROW()-3),'V_Mutlak Getiri'!$AC$2:$AC$25,0))</f>
        <v>0</v>
      </c>
      <c r="T19" s="8">
        <f>INDEX('V_Mutlak Getiri'!S$2:S$25,MATCH(LARGE('V_Mutlak Getiri'!$AC$2:$AC$25,ROW()-3),'V_Mutlak Getiri'!$AC$2:$AC$25,0))</f>
        <v>0.13400000000000001</v>
      </c>
      <c r="U19" s="8">
        <f>INDEX('V_Mutlak Getiri'!T$2:T$25,MATCH(LARGE('V_Mutlak Getiri'!$AC$2:$AC$25,ROW()-3),'V_Mutlak Getiri'!$AC$2:$AC$25,0))</f>
        <v>0.86599999999999999</v>
      </c>
      <c r="V19" s="8">
        <f>INDEX('V_Mutlak Getiri'!U$2:U$25,MATCH(LARGE('V_Mutlak Getiri'!$AC$2:$AC$25,ROW()-3),'V_Mutlak Getiri'!$AC$2:$AC$25,0))</f>
        <v>0</v>
      </c>
      <c r="W19" s="8">
        <f>INDEX('V_Mutlak Getiri'!V$2:V$25,MATCH(LARGE('V_Mutlak Getiri'!$AC$2:$AC$25,ROW()-3),'V_Mutlak Getiri'!$AC$2:$AC$25,0))</f>
        <v>0</v>
      </c>
      <c r="X19" s="8">
        <f>INDEX('V_Mutlak Getiri'!W$2:W$25,MATCH(LARGE('V_Mutlak Getiri'!$AC$2:$AC$25,ROW()-3),'V_Mutlak Getiri'!$AC$2:$AC$25,0))</f>
        <v>0</v>
      </c>
      <c r="Y19" s="8">
        <f>INDEX('V_Mutlak Getiri'!X$2:X$25,MATCH(LARGE('V_Mutlak Getiri'!$AC$2:$AC$25,ROW()-3),'V_Mutlak Getiri'!$AC$2:$AC$25,0))</f>
        <v>0</v>
      </c>
      <c r="Z19" s="8">
        <f>INDEX('V_Mutlak Getiri'!Y$2:Y$25,MATCH(LARGE('V_Mutlak Getiri'!$AC$2:$AC$25,ROW()-3),'V_Mutlak Getiri'!$AC$2:$AC$25,0))</f>
        <v>0</v>
      </c>
      <c r="AA19" s="8">
        <f>INDEX('V_Mutlak Getiri'!Z$2:Z$25,MATCH(LARGE('V_Mutlak Getiri'!$AC$2:$AC$25,ROW()-3),'V_Mutlak Getiri'!$AC$2:$AC$25,0))</f>
        <v>0</v>
      </c>
      <c r="AB19" s="8">
        <f>INDEX('V_Mutlak Getiri'!AA$2:AA$25,MATCH(LARGE('V_Mutlak Getiri'!$AC$2:$AC$25,ROW()-3),'V_Mutlak Getiri'!$AC$2:$AC$25,0))</f>
        <v>1</v>
      </c>
    </row>
    <row r="20" spans="1:28" x14ac:dyDescent="0.2">
      <c r="A20">
        <v>17</v>
      </c>
      <c r="B20" s="5" t="str">
        <f>INDEX('V_Mutlak Getiri'!A$2:A$25,MATCH(LARGE('V_Mutlak Getiri'!$AC$2:$AC$25,ROW()-3),'V_Mutlak Getiri'!$AC$2:$AC$25,0))</f>
        <v>HEH</v>
      </c>
      <c r="C20" s="5" t="str">
        <f>INDEX('V_Mutlak Getiri'!B$2:B$25,MATCH(LARGE('V_Mutlak Getiri'!$AC$2:$AC$25,ROW()-3),'V_Mutlak Getiri'!$AC$2:$AC$25,0))</f>
        <v>Hedef Portföy Algo Everest İstatistiksel Arbitraj Hisse Senedi Serbest Fon (Hisse Senedi Yoğun Fon)</v>
      </c>
      <c r="D20" s="5" t="str">
        <f>INDEX('V_Mutlak Getiri'!C$2:C$25,MATCH(LARGE('V_Mutlak Getiri'!$AC$2:$AC$25,ROW()-3),'V_Mutlak Getiri'!$AC$2:$AC$25,0))</f>
        <v>Hedef Portföy</v>
      </c>
      <c r="E20" s="8">
        <f>INDEX('V_Mutlak Getiri'!D$2:D$25,MATCH(LARGE('V_Mutlak Getiri'!$AC$2:$AC$25,ROW()-3),'V_Mutlak Getiri'!$AC$2:$AC$25,0))</f>
        <v>4.4999999999999998E-2</v>
      </c>
      <c r="F20" s="9">
        <f>INDEX('V_Mutlak Getiri'!E$2:E$25,MATCH(LARGE('V_Mutlak Getiri'!$AC$2:$AC$25,ROW()-3),'V_Mutlak Getiri'!$AC$2:$AC$25,0))</f>
        <v>0.10277911719205329</v>
      </c>
      <c r="G20" s="9">
        <f>INDEX('V_Mutlak Getiri'!F$2:F$25,MATCH(LARGE('V_Mutlak Getiri'!$AC$2:$AC$25,ROW()-3),'V_Mutlak Getiri'!$AC$2:$AC$25,0))</f>
        <v>0.65867393966942966</v>
      </c>
      <c r="H20" s="9">
        <f>INDEX('V_Mutlak Getiri'!G$2:G$25,MATCH(LARGE('V_Mutlak Getiri'!$AC$2:$AC$25,ROW()-3),'V_Mutlak Getiri'!$AC$2:$AC$25,0))</f>
        <v>3.3929800658408782</v>
      </c>
      <c r="I20" s="9">
        <f>INDEX('V_Mutlak Getiri'!H$2:H$25,MATCH(LARGE('V_Mutlak Getiri'!$AC$2:$AC$25,ROW()-3),'V_Mutlak Getiri'!$AC$2:$AC$25,0))</f>
        <v>20.150446822692579</v>
      </c>
      <c r="J20" s="9">
        <f>INDEX('V_Mutlak Getiri'!I$2:I$25,MATCH(LARGE('V_Mutlak Getiri'!$AC$2:$AC$25,ROW()-3),'V_Mutlak Getiri'!$AC$2:$AC$25,0))</f>
        <v>40.569251630627413</v>
      </c>
      <c r="K20" s="10">
        <f>INDEX('V_Mutlak Getiri'!J$2:J$25,MATCH(LARGE('V_Mutlak Getiri'!$AC$2:$AC$25,ROW()-3),'V_Mutlak Getiri'!$AC$2:$AC$25,0))</f>
        <v>1653</v>
      </c>
      <c r="L20" s="10">
        <f>INDEX('V_Mutlak Getiri'!K$2:K$25,MATCH(LARGE('V_Mutlak Getiri'!$AC$2:$AC$25,ROW()-3),'V_Mutlak Getiri'!$AC$2:$AC$25,0))</f>
        <v>1590</v>
      </c>
      <c r="M20" s="8">
        <f>INDEX('V_Mutlak Getiri'!L$2:L$25,MATCH(LARGE('V_Mutlak Getiri'!$AC$2:$AC$25,ROW()-3),'V_Mutlak Getiri'!$AC$2:$AC$25,0))</f>
        <v>-3.8112522686025392E-2</v>
      </c>
      <c r="N20" s="11">
        <f>INDEX('V_Mutlak Getiri'!M$2:M$25,MATCH(LARGE('V_Mutlak Getiri'!$AC$2:$AC$25,ROW()-3),'V_Mutlak Getiri'!$AC$2:$AC$25,0))</f>
        <v>661809802.02999997</v>
      </c>
      <c r="O20" s="11">
        <f>INDEX('V_Mutlak Getiri'!N$2:N$25,MATCH(LARGE('V_Mutlak Getiri'!$AC$2:$AC$25,ROW()-3),'V_Mutlak Getiri'!$AC$2:$AC$25,0))</f>
        <v>667266906.62</v>
      </c>
      <c r="P20" s="8">
        <f>INDEX('V_Mutlak Getiri'!O$2:O$25,MATCH(LARGE('V_Mutlak Getiri'!$AC$2:$AC$25,ROW()-3),'V_Mutlak Getiri'!$AC$2:$AC$25,0))</f>
        <v>8.2457294728202069E-3</v>
      </c>
      <c r="Q20" s="9">
        <f>INDEX('V_Mutlak Getiri'!P$2:P$25,MATCH(LARGE('V_Mutlak Getiri'!$AC$2:$AC$25,ROW()-3),'V_Mutlak Getiri'!$AC$2:$AC$25,0))</f>
        <v>0.1096907497515358</v>
      </c>
      <c r="R20" s="5" t="str">
        <f>INDEX('V_Mutlak Getiri'!Q$2:Q$25,MATCH(LARGE('V_Mutlak Getiri'!$AC$2:$AC$25,ROW()-3),'V_Mutlak Getiri'!$AC$2:$AC$25,0))</f>
        <v>Görüyor</v>
      </c>
      <c r="S20" s="8">
        <f>INDEX('V_Mutlak Getiri'!R$2:R$25,MATCH(LARGE('V_Mutlak Getiri'!$AC$2:$AC$25,ROW()-3),'V_Mutlak Getiri'!$AC$2:$AC$25,0))</f>
        <v>0</v>
      </c>
      <c r="T20" s="8">
        <f>INDEX('V_Mutlak Getiri'!S$2:S$25,MATCH(LARGE('V_Mutlak Getiri'!$AC$2:$AC$25,ROW()-3),'V_Mutlak Getiri'!$AC$2:$AC$25,0))</f>
        <v>0.19400000000000001</v>
      </c>
      <c r="U20" s="8">
        <f>INDEX('V_Mutlak Getiri'!T$2:T$25,MATCH(LARGE('V_Mutlak Getiri'!$AC$2:$AC$25,ROW()-3),'V_Mutlak Getiri'!$AC$2:$AC$25,0))</f>
        <v>0</v>
      </c>
      <c r="V20" s="8">
        <f>INDEX('V_Mutlak Getiri'!U$2:U$25,MATCH(LARGE('V_Mutlak Getiri'!$AC$2:$AC$25,ROW()-3),'V_Mutlak Getiri'!$AC$2:$AC$25,0))</f>
        <v>0.80599999999999994</v>
      </c>
      <c r="W20" s="8">
        <f>INDEX('V_Mutlak Getiri'!V$2:V$25,MATCH(LARGE('V_Mutlak Getiri'!$AC$2:$AC$25,ROW()-3),'V_Mutlak Getiri'!$AC$2:$AC$25,0))</f>
        <v>0</v>
      </c>
      <c r="X20" s="8">
        <f>INDEX('V_Mutlak Getiri'!W$2:W$25,MATCH(LARGE('V_Mutlak Getiri'!$AC$2:$AC$25,ROW()-3),'V_Mutlak Getiri'!$AC$2:$AC$25,0))</f>
        <v>0</v>
      </c>
      <c r="Y20" s="8">
        <f>INDEX('V_Mutlak Getiri'!X$2:X$25,MATCH(LARGE('V_Mutlak Getiri'!$AC$2:$AC$25,ROW()-3),'V_Mutlak Getiri'!$AC$2:$AC$25,0))</f>
        <v>0</v>
      </c>
      <c r="Z20" s="8">
        <f>INDEX('V_Mutlak Getiri'!Y$2:Y$25,MATCH(LARGE('V_Mutlak Getiri'!$AC$2:$AC$25,ROW()-3),'V_Mutlak Getiri'!$AC$2:$AC$25,0))</f>
        <v>0</v>
      </c>
      <c r="AA20" s="8">
        <f>INDEX('V_Mutlak Getiri'!Z$2:Z$25,MATCH(LARGE('V_Mutlak Getiri'!$AC$2:$AC$25,ROW()-3),'V_Mutlak Getiri'!$AC$2:$AC$25,0))</f>
        <v>0</v>
      </c>
      <c r="AB20" s="8">
        <f>INDEX('V_Mutlak Getiri'!AA$2:AA$25,MATCH(LARGE('V_Mutlak Getiri'!$AC$2:$AC$25,ROW()-3),'V_Mutlak Getiri'!$AC$2:$AC$25,0))</f>
        <v>0.99999999999999989</v>
      </c>
    </row>
    <row r="21" spans="1:28" x14ac:dyDescent="0.2">
      <c r="A21">
        <v>18</v>
      </c>
      <c r="B21" s="5" t="str">
        <f>INDEX('V_Mutlak Getiri'!A$2:A$25,MATCH(LARGE('V_Mutlak Getiri'!$AC$2:$AC$25,ROW()-3),'V_Mutlak Getiri'!$AC$2:$AC$25,0))</f>
        <v>SPN</v>
      </c>
      <c r="C21" s="5" t="str">
        <f>INDEX('V_Mutlak Getiri'!B$2:B$25,MATCH(LARGE('V_Mutlak Getiri'!$AC$2:$AC$25,ROW()-3),'V_Mutlak Getiri'!$AC$2:$AC$25,0))</f>
        <v>Azimut Portföy İstatistiksel Arbitraj Hisse Senedi Serbest Fon (Hisse Senedi Yoğun Fon)</v>
      </c>
      <c r="D21" s="5" t="str">
        <f>INDEX('V_Mutlak Getiri'!C$2:C$25,MATCH(LARGE('V_Mutlak Getiri'!$AC$2:$AC$25,ROW()-3),'V_Mutlak Getiri'!$AC$2:$AC$25,0))</f>
        <v>Azimut Portföy</v>
      </c>
      <c r="E21" s="8">
        <f>INDEX('V_Mutlak Getiri'!D$2:D$25,MATCH(LARGE('V_Mutlak Getiri'!$AC$2:$AC$25,ROW()-3),'V_Mutlak Getiri'!$AC$2:$AC$25,0))</f>
        <v>3.2000000000000001E-2</v>
      </c>
      <c r="F21" s="9">
        <f>INDEX('V_Mutlak Getiri'!E$2:E$25,MATCH(LARGE('V_Mutlak Getiri'!$AC$2:$AC$25,ROW()-3),'V_Mutlak Getiri'!$AC$2:$AC$25,0))</f>
        <v>7.7396941100094097E-2</v>
      </c>
      <c r="G21" s="9">
        <f>INDEX('V_Mutlak Getiri'!F$2:F$25,MATCH(LARGE('V_Mutlak Getiri'!$AC$2:$AC$25,ROW()-3),'V_Mutlak Getiri'!$AC$2:$AC$25,0))</f>
        <v>0.62015405606397067</v>
      </c>
      <c r="H21" s="9">
        <f>INDEX('V_Mutlak Getiri'!G$2:G$25,MATCH(LARGE('V_Mutlak Getiri'!$AC$2:$AC$25,ROW()-3),'V_Mutlak Getiri'!$AC$2:$AC$25,0))</f>
        <v>2.3356661743408451</v>
      </c>
      <c r="I21" s="9">
        <f>INDEX('V_Mutlak Getiri'!H$2:H$25,MATCH(LARGE('V_Mutlak Getiri'!$AC$2:$AC$25,ROW()-3),'V_Mutlak Getiri'!$AC$2:$AC$25,0))</f>
        <v>18.5525485062334</v>
      </c>
      <c r="J21" s="9">
        <f>INDEX('V_Mutlak Getiri'!I$2:I$25,MATCH(LARGE('V_Mutlak Getiri'!$AC$2:$AC$25,ROW()-3),'V_Mutlak Getiri'!$AC$2:$AC$25,0))</f>
        <v>39.604152379233362</v>
      </c>
      <c r="K21" s="10">
        <f>INDEX('V_Mutlak Getiri'!J$2:J$25,MATCH(LARGE('V_Mutlak Getiri'!$AC$2:$AC$25,ROW()-3),'V_Mutlak Getiri'!$AC$2:$AC$25,0))</f>
        <v>427</v>
      </c>
      <c r="L21" s="10">
        <f>INDEX('V_Mutlak Getiri'!K$2:K$25,MATCH(LARGE('V_Mutlak Getiri'!$AC$2:$AC$25,ROW()-3),'V_Mutlak Getiri'!$AC$2:$AC$25,0))</f>
        <v>399</v>
      </c>
      <c r="M21" s="8">
        <f>INDEX('V_Mutlak Getiri'!L$2:L$25,MATCH(LARGE('V_Mutlak Getiri'!$AC$2:$AC$25,ROW()-3),'V_Mutlak Getiri'!$AC$2:$AC$25,0))</f>
        <v>-6.557377049180324E-2</v>
      </c>
      <c r="N21" s="11">
        <f>INDEX('V_Mutlak Getiri'!M$2:M$25,MATCH(LARGE('V_Mutlak Getiri'!$AC$2:$AC$25,ROW()-3),'V_Mutlak Getiri'!$AC$2:$AC$25,0))</f>
        <v>1819743925.45</v>
      </c>
      <c r="O21" s="11">
        <f>INDEX('V_Mutlak Getiri'!N$2:N$25,MATCH(LARGE('V_Mutlak Getiri'!$AC$2:$AC$25,ROW()-3),'V_Mutlak Getiri'!$AC$2:$AC$25,0))</f>
        <v>1835842208.3199999</v>
      </c>
      <c r="P21" s="8">
        <f>INDEX('V_Mutlak Getiri'!O$2:O$25,MATCH(LARGE('V_Mutlak Getiri'!$AC$2:$AC$25,ROW()-3),'V_Mutlak Getiri'!$AC$2:$AC$25,0))</f>
        <v>8.8464550670330766E-3</v>
      </c>
      <c r="Q21" s="9">
        <f>INDEX('V_Mutlak Getiri'!P$2:P$25,MATCH(LARGE('V_Mutlak Getiri'!$AC$2:$AC$25,ROW()-3),'V_Mutlak Getiri'!$AC$2:$AC$25,0))</f>
        <v>0.18783412970476629</v>
      </c>
      <c r="R21" s="5" t="str">
        <f>INDEX('V_Mutlak Getiri'!Q$2:Q$25,MATCH(LARGE('V_Mutlak Getiri'!$AC$2:$AC$25,ROW()-3),'V_Mutlak Getiri'!$AC$2:$AC$25,0))</f>
        <v>Görüyor</v>
      </c>
      <c r="S21" s="8">
        <f>INDEX('V_Mutlak Getiri'!R$2:R$25,MATCH(LARGE('V_Mutlak Getiri'!$AC$2:$AC$25,ROW()-3),'V_Mutlak Getiri'!$AC$2:$AC$25,0))</f>
        <v>0</v>
      </c>
      <c r="T21" s="8">
        <f>INDEX('V_Mutlak Getiri'!S$2:S$25,MATCH(LARGE('V_Mutlak Getiri'!$AC$2:$AC$25,ROW()-3),'V_Mutlak Getiri'!$AC$2:$AC$25,0))</f>
        <v>6.1500000000000013E-2</v>
      </c>
      <c r="U21" s="8">
        <f>INDEX('V_Mutlak Getiri'!T$2:T$25,MATCH(LARGE('V_Mutlak Getiri'!$AC$2:$AC$25,ROW()-3),'V_Mutlak Getiri'!$AC$2:$AC$25,0))</f>
        <v>0</v>
      </c>
      <c r="V21" s="8">
        <f>INDEX('V_Mutlak Getiri'!U$2:U$25,MATCH(LARGE('V_Mutlak Getiri'!$AC$2:$AC$25,ROW()-3),'V_Mutlak Getiri'!$AC$2:$AC$25,0))</f>
        <v>0.81269999999999998</v>
      </c>
      <c r="W21" s="8">
        <f>INDEX('V_Mutlak Getiri'!V$2:V$25,MATCH(LARGE('V_Mutlak Getiri'!$AC$2:$AC$25,ROW()-3),'V_Mutlak Getiri'!$AC$2:$AC$25,0))</f>
        <v>0</v>
      </c>
      <c r="X21" s="8">
        <f>INDEX('V_Mutlak Getiri'!W$2:W$25,MATCH(LARGE('V_Mutlak Getiri'!$AC$2:$AC$25,ROW()-3),'V_Mutlak Getiri'!$AC$2:$AC$25,0))</f>
        <v>1.4200000000000001E-2</v>
      </c>
      <c r="Y21" s="8">
        <f>INDEX('V_Mutlak Getiri'!X$2:X$25,MATCH(LARGE('V_Mutlak Getiri'!$AC$2:$AC$25,ROW()-3),'V_Mutlak Getiri'!$AC$2:$AC$25,0))</f>
        <v>2.2800000000000001E-2</v>
      </c>
      <c r="Z21" s="8">
        <f>INDEX('V_Mutlak Getiri'!Y$2:Y$25,MATCH(LARGE('V_Mutlak Getiri'!$AC$2:$AC$25,ROW()-3),'V_Mutlak Getiri'!$AC$2:$AC$25,0))</f>
        <v>0.23369999999999999</v>
      </c>
      <c r="AA21" s="8">
        <f>INDEX('V_Mutlak Getiri'!Z$2:Z$25,MATCH(LARGE('V_Mutlak Getiri'!$AC$2:$AC$25,ROW()-3),'V_Mutlak Getiri'!$AC$2:$AC$25,0))</f>
        <v>0</v>
      </c>
      <c r="AB21" s="8">
        <f>INDEX('V_Mutlak Getiri'!AA$2:AA$25,MATCH(LARGE('V_Mutlak Getiri'!$AC$2:$AC$25,ROW()-3),'V_Mutlak Getiri'!$AC$2:$AC$25,0))</f>
        <v>1.1449</v>
      </c>
    </row>
    <row r="22" spans="1:28" x14ac:dyDescent="0.2">
      <c r="A22">
        <v>19</v>
      </c>
      <c r="B22" s="5" t="str">
        <f>INDEX('V_Mutlak Getiri'!A$2:A$25,MATCH(LARGE('V_Mutlak Getiri'!$AC$2:$AC$25,ROW()-3),'V_Mutlak Getiri'!$AC$2:$AC$25,0))</f>
        <v>LTC</v>
      </c>
      <c r="C22" s="5" t="str">
        <f>INDEX('V_Mutlak Getiri'!B$2:B$25,MATCH(LARGE('V_Mutlak Getiri'!$AC$2:$AC$25,ROW()-3),'V_Mutlak Getiri'!$AC$2:$AC$25,0))</f>
        <v>AK Portföy Birinci İstatistiksel Arbitraj Hisse Senedi Serbest Fon (Hisse Senedi Yoğun Fon)</v>
      </c>
      <c r="D22" s="5" t="str">
        <f>INDEX('V_Mutlak Getiri'!C$2:C$25,MATCH(LARGE('V_Mutlak Getiri'!$AC$2:$AC$25,ROW()-3),'V_Mutlak Getiri'!$AC$2:$AC$25,0))</f>
        <v>AK Portföy</v>
      </c>
      <c r="E22" s="8">
        <f>INDEX('V_Mutlak Getiri'!D$2:D$25,MATCH(LARGE('V_Mutlak Getiri'!$AC$2:$AC$25,ROW()-3),'V_Mutlak Getiri'!$AC$2:$AC$25,0))</f>
        <v>1.4999999999999999E-2</v>
      </c>
      <c r="F22" s="9">
        <f>INDEX('V_Mutlak Getiri'!E$2:E$25,MATCH(LARGE('V_Mutlak Getiri'!$AC$2:$AC$25,ROW()-3),'V_Mutlak Getiri'!$AC$2:$AC$25,0))</f>
        <v>2.3914022963911211E-2</v>
      </c>
      <c r="G22" s="9">
        <f>INDEX('V_Mutlak Getiri'!F$2:F$25,MATCH(LARGE('V_Mutlak Getiri'!$AC$2:$AC$25,ROW()-3),'V_Mutlak Getiri'!$AC$2:$AC$25,0))</f>
        <v>0.93286154726750503</v>
      </c>
      <c r="H22" s="9">
        <f>INDEX('V_Mutlak Getiri'!G$2:G$25,MATCH(LARGE('V_Mutlak Getiri'!$AC$2:$AC$25,ROW()-3),'V_Mutlak Getiri'!$AC$2:$AC$25,0))</f>
        <v>2.244519162915926</v>
      </c>
      <c r="I22" s="9">
        <f>INDEX('V_Mutlak Getiri'!H$2:H$25,MATCH(LARGE('V_Mutlak Getiri'!$AC$2:$AC$25,ROW()-3),'V_Mutlak Getiri'!$AC$2:$AC$25,0))</f>
        <v>17.69352063024234</v>
      </c>
      <c r="J22" s="9">
        <f>INDEX('V_Mutlak Getiri'!I$2:I$25,MATCH(LARGE('V_Mutlak Getiri'!$AC$2:$AC$25,ROW()-3),'V_Mutlak Getiri'!$AC$2:$AC$25,0))</f>
        <v>38.493544604081563</v>
      </c>
      <c r="K22" s="10">
        <f>INDEX('V_Mutlak Getiri'!J$2:J$25,MATCH(LARGE('V_Mutlak Getiri'!$AC$2:$AC$25,ROW()-3),'V_Mutlak Getiri'!$AC$2:$AC$25,0))</f>
        <v>356</v>
      </c>
      <c r="L22" s="10">
        <f>INDEX('V_Mutlak Getiri'!K$2:K$25,MATCH(LARGE('V_Mutlak Getiri'!$AC$2:$AC$25,ROW()-3),'V_Mutlak Getiri'!$AC$2:$AC$25,0))</f>
        <v>338</v>
      </c>
      <c r="M22" s="8">
        <f>INDEX('V_Mutlak Getiri'!L$2:L$25,MATCH(LARGE('V_Mutlak Getiri'!$AC$2:$AC$25,ROW()-3),'V_Mutlak Getiri'!$AC$2:$AC$25,0))</f>
        <v>-5.0561797752809001E-2</v>
      </c>
      <c r="N22" s="11">
        <f>INDEX('V_Mutlak Getiri'!M$2:M$25,MATCH(LARGE('V_Mutlak Getiri'!$AC$2:$AC$25,ROW()-3),'V_Mutlak Getiri'!$AC$2:$AC$25,0))</f>
        <v>15414331.560000001</v>
      </c>
      <c r="O22" s="11">
        <f>INDEX('V_Mutlak Getiri'!N$2:N$25,MATCH(LARGE('V_Mutlak Getiri'!$AC$2:$AC$25,ROW()-3),'V_Mutlak Getiri'!$AC$2:$AC$25,0))</f>
        <v>15468525.76</v>
      </c>
      <c r="P22" s="8">
        <f>INDEX('V_Mutlak Getiri'!O$2:O$25,MATCH(LARGE('V_Mutlak Getiri'!$AC$2:$AC$25,ROW()-3),'V_Mutlak Getiri'!$AC$2:$AC$25,0))</f>
        <v>3.51583198979788E-3</v>
      </c>
      <c r="Q22" s="9">
        <f>INDEX('V_Mutlak Getiri'!P$2:P$25,MATCH(LARGE('V_Mutlak Getiri'!$AC$2:$AC$25,ROW()-3),'V_Mutlak Getiri'!$AC$2:$AC$25,0))</f>
        <v>0.19027611857008739</v>
      </c>
      <c r="R22" s="5" t="str">
        <f>INDEX('V_Mutlak Getiri'!Q$2:Q$25,MATCH(LARGE('V_Mutlak Getiri'!$AC$2:$AC$25,ROW()-3),'V_Mutlak Getiri'!$AC$2:$AC$25,0))</f>
        <v>Görmüyor</v>
      </c>
      <c r="S22" s="8">
        <f>INDEX('V_Mutlak Getiri'!R$2:R$25,MATCH(LARGE('V_Mutlak Getiri'!$AC$2:$AC$25,ROW()-3),'V_Mutlak Getiri'!$AC$2:$AC$25,0))</f>
        <v>0</v>
      </c>
      <c r="T22" s="8">
        <f>INDEX('V_Mutlak Getiri'!S$2:S$25,MATCH(LARGE('V_Mutlak Getiri'!$AC$2:$AC$25,ROW()-3),'V_Mutlak Getiri'!$AC$2:$AC$25,0))</f>
        <v>0.1207</v>
      </c>
      <c r="U22" s="8">
        <f>INDEX('V_Mutlak Getiri'!T$2:T$25,MATCH(LARGE('V_Mutlak Getiri'!$AC$2:$AC$25,ROW()-3),'V_Mutlak Getiri'!$AC$2:$AC$25,0))</f>
        <v>0</v>
      </c>
      <c r="V22" s="8">
        <f>INDEX('V_Mutlak Getiri'!U$2:U$25,MATCH(LARGE('V_Mutlak Getiri'!$AC$2:$AC$25,ROW()-3),'V_Mutlak Getiri'!$AC$2:$AC$25,0))</f>
        <v>0.86209999999999998</v>
      </c>
      <c r="W22" s="8">
        <f>INDEX('V_Mutlak Getiri'!V$2:V$25,MATCH(LARGE('V_Mutlak Getiri'!$AC$2:$AC$25,ROW()-3),'V_Mutlak Getiri'!$AC$2:$AC$25,0))</f>
        <v>1.72E-2</v>
      </c>
      <c r="X22" s="8">
        <f>INDEX('V_Mutlak Getiri'!W$2:W$25,MATCH(LARGE('V_Mutlak Getiri'!$AC$2:$AC$25,ROW()-3),'V_Mutlak Getiri'!$AC$2:$AC$25,0))</f>
        <v>0</v>
      </c>
      <c r="Y22" s="8">
        <f>INDEX('V_Mutlak Getiri'!X$2:X$25,MATCH(LARGE('V_Mutlak Getiri'!$AC$2:$AC$25,ROW()-3),'V_Mutlak Getiri'!$AC$2:$AC$25,0))</f>
        <v>0</v>
      </c>
      <c r="Z22" s="8">
        <f>INDEX('V_Mutlak Getiri'!Y$2:Y$25,MATCH(LARGE('V_Mutlak Getiri'!$AC$2:$AC$25,ROW()-3),'V_Mutlak Getiri'!$AC$2:$AC$25,0))</f>
        <v>0</v>
      </c>
      <c r="AA22" s="8">
        <f>INDEX('V_Mutlak Getiri'!Z$2:Z$25,MATCH(LARGE('V_Mutlak Getiri'!$AC$2:$AC$25,ROW()-3),'V_Mutlak Getiri'!$AC$2:$AC$25,0))</f>
        <v>0</v>
      </c>
      <c r="AB22" s="8">
        <f>INDEX('V_Mutlak Getiri'!AA$2:AA$25,MATCH(LARGE('V_Mutlak Getiri'!$AC$2:$AC$25,ROW()-3),'V_Mutlak Getiri'!$AC$2:$AC$25,0))</f>
        <v>1</v>
      </c>
    </row>
    <row r="23" spans="1:28" x14ac:dyDescent="0.2">
      <c r="A23">
        <v>20</v>
      </c>
      <c r="B23" s="5" t="str">
        <f>INDEX('V_Mutlak Getiri'!A$2:A$25,MATCH(LARGE('V_Mutlak Getiri'!$AC$2:$AC$25,ROW()-3),'V_Mutlak Getiri'!$AC$2:$AC$25,0))</f>
        <v>MTF</v>
      </c>
      <c r="C23" s="5" t="str">
        <f>INDEX('V_Mutlak Getiri'!B$2:B$25,MATCH(LARGE('V_Mutlak Getiri'!$AC$2:$AC$25,ROW()-3),'V_Mutlak Getiri'!$AC$2:$AC$25,0))</f>
        <v>MT Portföy Birinci İstatistiksel Arbitraj Hisse Senedi Serbest (TL) Fon (Hisse Senedi Yoğun Fon)</v>
      </c>
      <c r="D23" s="5" t="str">
        <f>INDEX('V_Mutlak Getiri'!C$2:C$25,MATCH(LARGE('V_Mutlak Getiri'!$AC$2:$AC$25,ROW()-3),'V_Mutlak Getiri'!$AC$2:$AC$25,0))</f>
        <v>MT Portföy</v>
      </c>
      <c r="E23" s="8">
        <f>INDEX('V_Mutlak Getiri'!D$2:D$25,MATCH(LARGE('V_Mutlak Getiri'!$AC$2:$AC$25,ROW()-3),'V_Mutlak Getiri'!$AC$2:$AC$25,0))</f>
        <v>3.15E-2</v>
      </c>
      <c r="F23" s="9">
        <f>INDEX('V_Mutlak Getiri'!E$2:E$25,MATCH(LARGE('V_Mutlak Getiri'!$AC$2:$AC$25,ROW()-3),'V_Mutlak Getiri'!$AC$2:$AC$25,0))</f>
        <v>-4.3452795657938907E-2</v>
      </c>
      <c r="G23" s="9">
        <f>INDEX('V_Mutlak Getiri'!F$2:F$25,MATCH(LARGE('V_Mutlak Getiri'!$AC$2:$AC$25,ROW()-3),'V_Mutlak Getiri'!$AC$2:$AC$25,0))</f>
        <v>0.61025944479766725</v>
      </c>
      <c r="H23" s="9">
        <f>INDEX('V_Mutlak Getiri'!G$2:G$25,MATCH(LARGE('V_Mutlak Getiri'!$AC$2:$AC$25,ROW()-3),'V_Mutlak Getiri'!$AC$2:$AC$25,0))</f>
        <v>1.875612203276789</v>
      </c>
      <c r="I23" s="9">
        <f>INDEX('V_Mutlak Getiri'!H$2:H$25,MATCH(LARGE('V_Mutlak Getiri'!$AC$2:$AC$25,ROW()-3),'V_Mutlak Getiri'!$AC$2:$AC$25,0))</f>
        <v>17.355330092866868</v>
      </c>
      <c r="J23" s="9">
        <f>INDEX('V_Mutlak Getiri'!I$2:I$25,MATCH(LARGE('V_Mutlak Getiri'!$AC$2:$AC$25,ROW()-3),'V_Mutlak Getiri'!$AC$2:$AC$25,0))</f>
        <v>32.885593923818583</v>
      </c>
      <c r="K23" s="10">
        <f>INDEX('V_Mutlak Getiri'!J$2:J$25,MATCH(LARGE('V_Mutlak Getiri'!$AC$2:$AC$25,ROW()-3),'V_Mutlak Getiri'!$AC$2:$AC$25,0))</f>
        <v>43</v>
      </c>
      <c r="L23" s="10">
        <f>INDEX('V_Mutlak Getiri'!K$2:K$25,MATCH(LARGE('V_Mutlak Getiri'!$AC$2:$AC$25,ROW()-3),'V_Mutlak Getiri'!$AC$2:$AC$25,0))</f>
        <v>43</v>
      </c>
      <c r="M23" s="8">
        <f>INDEX('V_Mutlak Getiri'!L$2:L$25,MATCH(LARGE('V_Mutlak Getiri'!$AC$2:$AC$25,ROW()-3),'V_Mutlak Getiri'!$AC$2:$AC$25,0))</f>
        <v>0</v>
      </c>
      <c r="N23" s="11">
        <f>INDEX('V_Mutlak Getiri'!M$2:M$25,MATCH(LARGE('V_Mutlak Getiri'!$AC$2:$AC$25,ROW()-3),'V_Mutlak Getiri'!$AC$2:$AC$25,0))</f>
        <v>66666618.340000004</v>
      </c>
      <c r="O23" s="11">
        <f>INDEX('V_Mutlak Getiri'!N$2:N$25,MATCH(LARGE('V_Mutlak Getiri'!$AC$2:$AC$25,ROW()-3),'V_Mutlak Getiri'!$AC$2:$AC$25,0))</f>
        <v>68828665.609999999</v>
      </c>
      <c r="P23" s="8">
        <f>INDEX('V_Mutlak Getiri'!O$2:O$25,MATCH(LARGE('V_Mutlak Getiri'!$AC$2:$AC$25,ROW()-3),'V_Mutlak Getiri'!$AC$2:$AC$25,0))</f>
        <v>3.2430732559038063E-2</v>
      </c>
      <c r="Q23" s="9">
        <f>INDEX('V_Mutlak Getiri'!P$2:P$25,MATCH(LARGE('V_Mutlak Getiri'!$AC$2:$AC$25,ROW()-3),'V_Mutlak Getiri'!$AC$2:$AC$25,0))</f>
        <v>0.2011158938398574</v>
      </c>
      <c r="R23" s="5" t="str">
        <f>INDEX('V_Mutlak Getiri'!Q$2:Q$25,MATCH(LARGE('V_Mutlak Getiri'!$AC$2:$AC$25,ROW()-3),'V_Mutlak Getiri'!$AC$2:$AC$25,0))</f>
        <v>Görüyor</v>
      </c>
      <c r="S23" s="8">
        <f>INDEX('V_Mutlak Getiri'!R$2:R$25,MATCH(LARGE('V_Mutlak Getiri'!$AC$2:$AC$25,ROW()-3),'V_Mutlak Getiri'!$AC$2:$AC$25,0))</f>
        <v>1.66E-2</v>
      </c>
      <c r="T23" s="8">
        <f>INDEX('V_Mutlak Getiri'!S$2:S$25,MATCH(LARGE('V_Mutlak Getiri'!$AC$2:$AC$25,ROW()-3),'V_Mutlak Getiri'!$AC$2:$AC$25,0))</f>
        <v>8.77E-2</v>
      </c>
      <c r="U23" s="8">
        <f>INDEX('V_Mutlak Getiri'!T$2:T$25,MATCH(LARGE('V_Mutlak Getiri'!$AC$2:$AC$25,ROW()-3),'V_Mutlak Getiri'!$AC$2:$AC$25,0))</f>
        <v>0</v>
      </c>
      <c r="V23" s="8">
        <f>INDEX('V_Mutlak Getiri'!U$2:U$25,MATCH(LARGE('V_Mutlak Getiri'!$AC$2:$AC$25,ROW()-3),'V_Mutlak Getiri'!$AC$2:$AC$25,0))</f>
        <v>0.89569999999999994</v>
      </c>
      <c r="W23" s="8">
        <f>INDEX('V_Mutlak Getiri'!V$2:V$25,MATCH(LARGE('V_Mutlak Getiri'!$AC$2:$AC$25,ROW()-3),'V_Mutlak Getiri'!$AC$2:$AC$25,0))</f>
        <v>0</v>
      </c>
      <c r="X23" s="8">
        <f>INDEX('V_Mutlak Getiri'!W$2:W$25,MATCH(LARGE('V_Mutlak Getiri'!$AC$2:$AC$25,ROW()-3),'V_Mutlak Getiri'!$AC$2:$AC$25,0))</f>
        <v>0</v>
      </c>
      <c r="Y23" s="8">
        <f>INDEX('V_Mutlak Getiri'!X$2:X$25,MATCH(LARGE('V_Mutlak Getiri'!$AC$2:$AC$25,ROW()-3),'V_Mutlak Getiri'!$AC$2:$AC$25,0))</f>
        <v>0</v>
      </c>
      <c r="Z23" s="8">
        <f>INDEX('V_Mutlak Getiri'!Y$2:Y$25,MATCH(LARGE('V_Mutlak Getiri'!$AC$2:$AC$25,ROW()-3),'V_Mutlak Getiri'!$AC$2:$AC$25,0))</f>
        <v>0</v>
      </c>
      <c r="AA23" s="8">
        <f>INDEX('V_Mutlak Getiri'!Z$2:Z$25,MATCH(LARGE('V_Mutlak Getiri'!$AC$2:$AC$25,ROW()-3),'V_Mutlak Getiri'!$AC$2:$AC$25,0))</f>
        <v>0</v>
      </c>
      <c r="AB23" s="8">
        <f>INDEX('V_Mutlak Getiri'!AA$2:AA$25,MATCH(LARGE('V_Mutlak Getiri'!$AC$2:$AC$25,ROW()-3),'V_Mutlak Getiri'!$AC$2:$AC$25,0))</f>
        <v>0.99999999999999989</v>
      </c>
    </row>
    <row r="24" spans="1:28" x14ac:dyDescent="0.2">
      <c r="A24">
        <v>21</v>
      </c>
      <c r="B24" s="5" t="str">
        <f>INDEX('V_Mutlak Getiri'!A$2:A$25,MATCH(LARGE('V_Mutlak Getiri'!$AC$2:$AC$25,ROW()-3),'V_Mutlak Getiri'!$AC$2:$AC$25,0))</f>
        <v>NSH</v>
      </c>
      <c r="C24" s="5" t="str">
        <f>INDEX('V_Mutlak Getiri'!B$2:B$25,MATCH(LARGE('V_Mutlak Getiri'!$AC$2:$AC$25,ROW()-3),'V_Mutlak Getiri'!$AC$2:$AC$25,0))</f>
        <v>Nurol Portföy İstatistiksel Arbitraj Hisse Senedi Serbest Fon (Hisse Senedi Yoğun Fon)</v>
      </c>
      <c r="D24" s="5" t="str">
        <f>INDEX('V_Mutlak Getiri'!C$2:C$25,MATCH(LARGE('V_Mutlak Getiri'!$AC$2:$AC$25,ROW()-3),'V_Mutlak Getiri'!$AC$2:$AC$25,0))</f>
        <v>Nurol Portföy</v>
      </c>
      <c r="E24" s="8">
        <f>INDEX('V_Mutlak Getiri'!D$2:D$25,MATCH(LARGE('V_Mutlak Getiri'!$AC$2:$AC$25,ROW()-3),'V_Mutlak Getiri'!$AC$2:$AC$25,0))</f>
        <v>0.04</v>
      </c>
      <c r="F24" s="9">
        <f>INDEX('V_Mutlak Getiri'!E$2:E$25,MATCH(LARGE('V_Mutlak Getiri'!$AC$2:$AC$25,ROW()-3),'V_Mutlak Getiri'!$AC$2:$AC$25,0))</f>
        <v>-0.1909400219222257</v>
      </c>
      <c r="G24" s="9">
        <f>INDEX('V_Mutlak Getiri'!F$2:F$25,MATCH(LARGE('V_Mutlak Getiri'!$AC$2:$AC$25,ROW()-3),'V_Mutlak Getiri'!$AC$2:$AC$25,0))</f>
        <v>0.40784102950570672</v>
      </c>
      <c r="H24" s="9">
        <f>INDEX('V_Mutlak Getiri'!G$2:G$25,MATCH(LARGE('V_Mutlak Getiri'!$AC$2:$AC$25,ROW()-3),'V_Mutlak Getiri'!$AC$2:$AC$25,0))</f>
        <v>2.2881274192401162</v>
      </c>
      <c r="I24" s="9">
        <f>INDEX('V_Mutlak Getiri'!H$2:H$25,MATCH(LARGE('V_Mutlak Getiri'!$AC$2:$AC$25,ROW()-3),'V_Mutlak Getiri'!$AC$2:$AC$25,0))</f>
        <v>21.44849680528829</v>
      </c>
      <c r="J24" s="9">
        <f>INDEX('V_Mutlak Getiri'!I$2:I$25,MATCH(LARGE('V_Mutlak Getiri'!$AC$2:$AC$25,ROW()-3),'V_Mutlak Getiri'!$AC$2:$AC$25,0))</f>
        <v>43.100584796118689</v>
      </c>
      <c r="K24" s="10">
        <f>INDEX('V_Mutlak Getiri'!J$2:J$25,MATCH(LARGE('V_Mutlak Getiri'!$AC$2:$AC$25,ROW()-3),'V_Mutlak Getiri'!$AC$2:$AC$25,0))</f>
        <v>1288</v>
      </c>
      <c r="L24" s="10">
        <f>INDEX('V_Mutlak Getiri'!K$2:K$25,MATCH(LARGE('V_Mutlak Getiri'!$AC$2:$AC$25,ROW()-3),'V_Mutlak Getiri'!$AC$2:$AC$25,0))</f>
        <v>1283</v>
      </c>
      <c r="M24" s="8">
        <f>INDEX('V_Mutlak Getiri'!L$2:L$25,MATCH(LARGE('V_Mutlak Getiri'!$AC$2:$AC$25,ROW()-3),'V_Mutlak Getiri'!$AC$2:$AC$25,0))</f>
        <v>-3.8819875776398009E-3</v>
      </c>
      <c r="N24" s="11">
        <f>INDEX('V_Mutlak Getiri'!M$2:M$25,MATCH(LARGE('V_Mutlak Getiri'!$AC$2:$AC$25,ROW()-3),'V_Mutlak Getiri'!$AC$2:$AC$25,0))</f>
        <v>1490606733.9300001</v>
      </c>
      <c r="O24" s="11">
        <f>INDEX('V_Mutlak Getiri'!N$2:N$25,MATCH(LARGE('V_Mutlak Getiri'!$AC$2:$AC$25,ROW()-3),'V_Mutlak Getiri'!$AC$2:$AC$25,0))</f>
        <v>1798076890.0999999</v>
      </c>
      <c r="P24" s="8">
        <f>INDEX('V_Mutlak Getiri'!O$2:O$25,MATCH(LARGE('V_Mutlak Getiri'!$AC$2:$AC$25,ROW()-3),'V_Mutlak Getiri'!$AC$2:$AC$25,0))</f>
        <v>0.20627181480614379</v>
      </c>
      <c r="Q24" s="9">
        <f>INDEX('V_Mutlak Getiri'!P$2:P$25,MATCH(LARGE('V_Mutlak Getiri'!$AC$2:$AC$25,ROW()-3),'V_Mutlak Getiri'!$AC$2:$AC$25,0))</f>
        <v>0.14717033973847021</v>
      </c>
      <c r="R24" s="5" t="str">
        <f>INDEX('V_Mutlak Getiri'!Q$2:Q$25,MATCH(LARGE('V_Mutlak Getiri'!$AC$2:$AC$25,ROW()-3),'V_Mutlak Getiri'!$AC$2:$AC$25,0))</f>
        <v>Görüyor</v>
      </c>
      <c r="S24" s="8">
        <f>INDEX('V_Mutlak Getiri'!R$2:R$25,MATCH(LARGE('V_Mutlak Getiri'!$AC$2:$AC$25,ROW()-3),'V_Mutlak Getiri'!$AC$2:$AC$25,0))</f>
        <v>0</v>
      </c>
      <c r="T24" s="8">
        <f>INDEX('V_Mutlak Getiri'!S$2:S$25,MATCH(LARGE('V_Mutlak Getiri'!$AC$2:$AC$25,ROW()-3),'V_Mutlak Getiri'!$AC$2:$AC$25,0))</f>
        <v>0.24310000000000001</v>
      </c>
      <c r="U24" s="8">
        <f>INDEX('V_Mutlak Getiri'!T$2:T$25,MATCH(LARGE('V_Mutlak Getiri'!$AC$2:$AC$25,ROW()-3),'V_Mutlak Getiri'!$AC$2:$AC$25,0))</f>
        <v>0</v>
      </c>
      <c r="V24" s="8">
        <f>INDEX('V_Mutlak Getiri'!U$2:U$25,MATCH(LARGE('V_Mutlak Getiri'!$AC$2:$AC$25,ROW()-3),'V_Mutlak Getiri'!$AC$2:$AC$25,0))</f>
        <v>0.8609</v>
      </c>
      <c r="W24" s="8">
        <f>INDEX('V_Mutlak Getiri'!V$2:V$25,MATCH(LARGE('V_Mutlak Getiri'!$AC$2:$AC$25,ROW()-3),'V_Mutlak Getiri'!$AC$2:$AC$25,0))</f>
        <v>0</v>
      </c>
      <c r="X24" s="8">
        <f>INDEX('V_Mutlak Getiri'!W$2:W$25,MATCH(LARGE('V_Mutlak Getiri'!$AC$2:$AC$25,ROW()-3),'V_Mutlak Getiri'!$AC$2:$AC$25,0))</f>
        <v>7.000000000000001E-4</v>
      </c>
      <c r="Y24" s="8">
        <f>INDEX('V_Mutlak Getiri'!X$2:X$25,MATCH(LARGE('V_Mutlak Getiri'!$AC$2:$AC$25,ROW()-3),'V_Mutlak Getiri'!$AC$2:$AC$25,0))</f>
        <v>0</v>
      </c>
      <c r="Z24" s="8">
        <f>INDEX('V_Mutlak Getiri'!Y$2:Y$25,MATCH(LARGE('V_Mutlak Getiri'!$AC$2:$AC$25,ROW()-3),'V_Mutlak Getiri'!$AC$2:$AC$25,0))</f>
        <v>0</v>
      </c>
      <c r="AA24" s="8">
        <f>INDEX('V_Mutlak Getiri'!Z$2:Z$25,MATCH(LARGE('V_Mutlak Getiri'!$AC$2:$AC$25,ROW()-3),'V_Mutlak Getiri'!$AC$2:$AC$25,0))</f>
        <v>0</v>
      </c>
      <c r="AB24" s="8">
        <f>INDEX('V_Mutlak Getiri'!AA$2:AA$25,MATCH(LARGE('V_Mutlak Getiri'!$AC$2:$AC$25,ROW()-3),'V_Mutlak Getiri'!$AC$2:$AC$25,0))</f>
        <v>1.1047</v>
      </c>
    </row>
    <row r="25" spans="1:28" x14ac:dyDescent="0.2">
      <c r="A25">
        <v>22</v>
      </c>
      <c r="B25" s="5" t="str">
        <f>INDEX('V_Mutlak Getiri'!A$2:A$25,MATCH(LARGE('V_Mutlak Getiri'!$AC$2:$AC$25,ROW()-3),'V_Mutlak Getiri'!$AC$2:$AC$25,0))</f>
        <v>HDA</v>
      </c>
      <c r="C25" s="5" t="str">
        <f>INDEX('V_Mutlak Getiri'!B$2:B$25,MATCH(LARGE('V_Mutlak Getiri'!$AC$2:$AC$25,ROW()-3),'V_Mutlak Getiri'!$AC$2:$AC$25,0))</f>
        <v>Hedef Portföy Dördüncü İstatistiksel Arbitraj Hisse Senedi Serbest (TL) Fon (Hisse Senedi Yoğun Fon)</v>
      </c>
      <c r="D25" s="5" t="str">
        <f>INDEX('V_Mutlak Getiri'!C$2:C$25,MATCH(LARGE('V_Mutlak Getiri'!$AC$2:$AC$25,ROW()-3),'V_Mutlak Getiri'!$AC$2:$AC$25,0))</f>
        <v>Hedef Portföy</v>
      </c>
      <c r="E25" s="8">
        <f>INDEX('V_Mutlak Getiri'!D$2:D$25,MATCH(LARGE('V_Mutlak Getiri'!$AC$2:$AC$25,ROW()-3),'V_Mutlak Getiri'!$AC$2:$AC$25,0))</f>
        <v>3.5000000000000003E-2</v>
      </c>
      <c r="F25" s="9">
        <f>INDEX('V_Mutlak Getiri'!E$2:E$25,MATCH(LARGE('V_Mutlak Getiri'!$AC$2:$AC$25,ROW()-3),'V_Mutlak Getiri'!$AC$2:$AC$25,0))</f>
        <v>-0.24379801514072821</v>
      </c>
      <c r="G25" s="9">
        <f>INDEX('V_Mutlak Getiri'!F$2:F$25,MATCH(LARGE('V_Mutlak Getiri'!$AC$2:$AC$25,ROW()-3),'V_Mutlak Getiri'!$AC$2:$AC$25,0))</f>
        <v>0.18771923610749749</v>
      </c>
      <c r="H25" s="9">
        <f>INDEX('V_Mutlak Getiri'!G$2:G$25,MATCH(LARGE('V_Mutlak Getiri'!$AC$2:$AC$25,ROW()-3),'V_Mutlak Getiri'!$AC$2:$AC$25,0))</f>
        <v>1.8866730446713831</v>
      </c>
      <c r="I25" s="9">
        <f>INDEX('V_Mutlak Getiri'!H$2:H$25,MATCH(LARGE('V_Mutlak Getiri'!$AC$2:$AC$25,ROW()-3),'V_Mutlak Getiri'!$AC$2:$AC$25,0))</f>
        <v>17.53577618328093</v>
      </c>
      <c r="J25" s="9">
        <f>INDEX('V_Mutlak Getiri'!I$2:I$25,MATCH(LARGE('V_Mutlak Getiri'!$AC$2:$AC$25,ROW()-3),'V_Mutlak Getiri'!$AC$2:$AC$25,0))</f>
        <v>37.500812055953027</v>
      </c>
      <c r="K25" s="10">
        <f>INDEX('V_Mutlak Getiri'!J$2:J$25,MATCH(LARGE('V_Mutlak Getiri'!$AC$2:$AC$25,ROW()-3),'V_Mutlak Getiri'!$AC$2:$AC$25,0))</f>
        <v>665</v>
      </c>
      <c r="L25" s="10">
        <f>INDEX('V_Mutlak Getiri'!K$2:K$25,MATCH(LARGE('V_Mutlak Getiri'!$AC$2:$AC$25,ROW()-3),'V_Mutlak Getiri'!$AC$2:$AC$25,0))</f>
        <v>594</v>
      </c>
      <c r="M25" s="8">
        <f>INDEX('V_Mutlak Getiri'!L$2:L$25,MATCH(LARGE('V_Mutlak Getiri'!$AC$2:$AC$25,ROW()-3),'V_Mutlak Getiri'!$AC$2:$AC$25,0))</f>
        <v>-0.10676691729323309</v>
      </c>
      <c r="N25" s="11">
        <f>INDEX('V_Mutlak Getiri'!M$2:M$25,MATCH(LARGE('V_Mutlak Getiri'!$AC$2:$AC$25,ROW()-3),'V_Mutlak Getiri'!$AC$2:$AC$25,0))</f>
        <v>349540436.38</v>
      </c>
      <c r="O25" s="11">
        <f>INDEX('V_Mutlak Getiri'!N$2:N$25,MATCH(LARGE('V_Mutlak Getiri'!$AC$2:$AC$25,ROW()-3),'V_Mutlak Getiri'!$AC$2:$AC$25,0))</f>
        <v>130509229.08</v>
      </c>
      <c r="P25" s="8">
        <f>INDEX('V_Mutlak Getiri'!O$2:O$25,MATCH(LARGE('V_Mutlak Getiri'!$AC$2:$AC$25,ROW()-3),'V_Mutlak Getiri'!$AC$2:$AC$25,0))</f>
        <v>-0.62662623405860263</v>
      </c>
      <c r="Q25" s="9">
        <f>INDEX('V_Mutlak Getiri'!P$2:P$25,MATCH(LARGE('V_Mutlak Getiri'!$AC$2:$AC$25,ROW()-3),'V_Mutlak Getiri'!$AC$2:$AC$25,0))</f>
        <v>0.1650292812441557</v>
      </c>
      <c r="R25" s="5" t="str">
        <f>INDEX('V_Mutlak Getiri'!Q$2:Q$25,MATCH(LARGE('V_Mutlak Getiri'!$AC$2:$AC$25,ROW()-3),'V_Mutlak Getiri'!$AC$2:$AC$25,0))</f>
        <v>Görüyor</v>
      </c>
      <c r="S25" s="8">
        <f>INDEX('V_Mutlak Getiri'!R$2:R$25,MATCH(LARGE('V_Mutlak Getiri'!$AC$2:$AC$25,ROW()-3),'V_Mutlak Getiri'!$AC$2:$AC$25,0))</f>
        <v>0</v>
      </c>
      <c r="T25" s="8">
        <f>INDEX('V_Mutlak Getiri'!S$2:S$25,MATCH(LARGE('V_Mutlak Getiri'!$AC$2:$AC$25,ROW()-3),'V_Mutlak Getiri'!$AC$2:$AC$25,0))</f>
        <v>-3.4000000000000002E-2</v>
      </c>
      <c r="U25" s="8">
        <f>INDEX('V_Mutlak Getiri'!T$2:T$25,MATCH(LARGE('V_Mutlak Getiri'!$AC$2:$AC$25,ROW()-3),'V_Mutlak Getiri'!$AC$2:$AC$25,0))</f>
        <v>0</v>
      </c>
      <c r="V25" s="8">
        <f>INDEX('V_Mutlak Getiri'!U$2:U$25,MATCH(LARGE('V_Mutlak Getiri'!$AC$2:$AC$25,ROW()-3),'V_Mutlak Getiri'!$AC$2:$AC$25,0))</f>
        <v>0.95499999999999996</v>
      </c>
      <c r="W25" s="8">
        <f>INDEX('V_Mutlak Getiri'!V$2:V$25,MATCH(LARGE('V_Mutlak Getiri'!$AC$2:$AC$25,ROW()-3),'V_Mutlak Getiri'!$AC$2:$AC$25,0))</f>
        <v>0</v>
      </c>
      <c r="X25" s="8">
        <f>INDEX('V_Mutlak Getiri'!W$2:W$25,MATCH(LARGE('V_Mutlak Getiri'!$AC$2:$AC$25,ROW()-3),'V_Mutlak Getiri'!$AC$2:$AC$25,0))</f>
        <v>7.9000000000000001E-2</v>
      </c>
      <c r="Y25" s="8">
        <f>INDEX('V_Mutlak Getiri'!X$2:X$25,MATCH(LARGE('V_Mutlak Getiri'!$AC$2:$AC$25,ROW()-3),'V_Mutlak Getiri'!$AC$2:$AC$25,0))</f>
        <v>0</v>
      </c>
      <c r="Z25" s="8">
        <f>INDEX('V_Mutlak Getiri'!Y$2:Y$25,MATCH(LARGE('V_Mutlak Getiri'!$AC$2:$AC$25,ROW()-3),'V_Mutlak Getiri'!$AC$2:$AC$25,0))</f>
        <v>0</v>
      </c>
      <c r="AA25" s="8">
        <f>INDEX('V_Mutlak Getiri'!Z$2:Z$25,MATCH(LARGE('V_Mutlak Getiri'!$AC$2:$AC$25,ROW()-3),'V_Mutlak Getiri'!$AC$2:$AC$25,0))</f>
        <v>0</v>
      </c>
      <c r="AB25" s="8">
        <f>INDEX('V_Mutlak Getiri'!AA$2:AA$25,MATCH(LARGE('V_Mutlak Getiri'!$AC$2:$AC$25,ROW()-3),'V_Mutlak Getiri'!$AC$2:$AC$25,0))</f>
        <v>1</v>
      </c>
    </row>
    <row r="26" spans="1:28" x14ac:dyDescent="0.2">
      <c r="A26">
        <v>23</v>
      </c>
      <c r="B26" s="5" t="str">
        <f>INDEX('V_Mutlak Getiri'!A$2:A$25,MATCH(LARGE('V_Mutlak Getiri'!$AC$2:$AC$25,ROW()-3),'V_Mutlak Getiri'!$AC$2:$AC$25,0))</f>
        <v>FS5</v>
      </c>
      <c r="C26" s="5" t="str">
        <f>INDEX('V_Mutlak Getiri'!B$2:B$25,MATCH(LARGE('V_Mutlak Getiri'!$AC$2:$AC$25,ROW()-3),'V_Mutlak Getiri'!$AC$2:$AC$25,0))</f>
        <v>One Portföy Birinci İstatistiksel Arbitraj Hisse Senedi Serbest Fon (Hisse Senedi Yoğun Fon)</v>
      </c>
      <c r="D26" s="5" t="str">
        <f>INDEX('V_Mutlak Getiri'!C$2:C$25,MATCH(LARGE('V_Mutlak Getiri'!$AC$2:$AC$25,ROW()-3),'V_Mutlak Getiri'!$AC$2:$AC$25,0))</f>
        <v>One Portföy</v>
      </c>
      <c r="E26" s="8">
        <f>INDEX('V_Mutlak Getiri'!D$2:D$25,MATCH(LARGE('V_Mutlak Getiri'!$AC$2:$AC$25,ROW()-3),'V_Mutlak Getiri'!$AC$2:$AC$25,0))</f>
        <v>3.5000000000000003E-2</v>
      </c>
      <c r="F26" s="9">
        <f>INDEX('V_Mutlak Getiri'!E$2:E$25,MATCH(LARGE('V_Mutlak Getiri'!$AC$2:$AC$25,ROW()-3),'V_Mutlak Getiri'!$AC$2:$AC$25,0))</f>
        <v>-0.26980356248984538</v>
      </c>
      <c r="G26" s="9">
        <f>INDEX('V_Mutlak Getiri'!F$2:F$25,MATCH(LARGE('V_Mutlak Getiri'!$AC$2:$AC$25,ROW()-3),'V_Mutlak Getiri'!$AC$2:$AC$25,0))</f>
        <v>-2.3070320514162579</v>
      </c>
      <c r="H26" s="9">
        <f>INDEX('V_Mutlak Getiri'!G$2:G$25,MATCH(LARGE('V_Mutlak Getiri'!$AC$2:$AC$25,ROW()-3),'V_Mutlak Getiri'!$AC$2:$AC$25,0))</f>
        <v>-14.61838339991983</v>
      </c>
      <c r="I26" s="9">
        <f>INDEX('V_Mutlak Getiri'!H$2:H$25,MATCH(LARGE('V_Mutlak Getiri'!$AC$2:$AC$25,ROW()-3),'V_Mutlak Getiri'!$AC$2:$AC$25,0))</f>
        <v>-10.00520702755867</v>
      </c>
      <c r="J26" s="9">
        <f>INDEX('V_Mutlak Getiri'!I$2:I$25,MATCH(LARGE('V_Mutlak Getiri'!$AC$2:$AC$25,ROW()-3),'V_Mutlak Getiri'!$AC$2:$AC$25,0))</f>
        <v>4.1603630862329766</v>
      </c>
      <c r="K26" s="10">
        <f>INDEX('V_Mutlak Getiri'!J$2:J$25,MATCH(LARGE('V_Mutlak Getiri'!$AC$2:$AC$25,ROW()-3),'V_Mutlak Getiri'!$AC$2:$AC$25,0))</f>
        <v>11</v>
      </c>
      <c r="L26" s="10">
        <f>INDEX('V_Mutlak Getiri'!K$2:K$25,MATCH(LARGE('V_Mutlak Getiri'!$AC$2:$AC$25,ROW()-3),'V_Mutlak Getiri'!$AC$2:$AC$25,0))</f>
        <v>9</v>
      </c>
      <c r="M26" s="8">
        <f>INDEX('V_Mutlak Getiri'!L$2:L$25,MATCH(LARGE('V_Mutlak Getiri'!$AC$2:$AC$25,ROW()-3),'V_Mutlak Getiri'!$AC$2:$AC$25,0))</f>
        <v>-0.1818181818181818</v>
      </c>
      <c r="N26" s="11">
        <f>INDEX('V_Mutlak Getiri'!M$2:M$25,MATCH(LARGE('V_Mutlak Getiri'!$AC$2:$AC$25,ROW()-3),'V_Mutlak Getiri'!$AC$2:$AC$25,0))</f>
        <v>12432620.789999999</v>
      </c>
      <c r="O26" s="11">
        <f>INDEX('V_Mutlak Getiri'!N$2:N$25,MATCH(LARGE('V_Mutlak Getiri'!$AC$2:$AC$25,ROW()-3),'V_Mutlak Getiri'!$AC$2:$AC$25,0))</f>
        <v>19960235.620000001</v>
      </c>
      <c r="P26" s="8">
        <f>INDEX('V_Mutlak Getiri'!O$2:O$25,MATCH(LARGE('V_Mutlak Getiri'!$AC$2:$AC$25,ROW()-3),'V_Mutlak Getiri'!$AC$2:$AC$25,0))</f>
        <v>0.60547288919603592</v>
      </c>
      <c r="Q26" s="9">
        <f>INDEX('V_Mutlak Getiri'!P$2:P$25,MATCH(LARGE('V_Mutlak Getiri'!$AC$2:$AC$25,ROW()-3),'V_Mutlak Getiri'!$AC$2:$AC$25,0))</f>
        <v>1.634994019740758</v>
      </c>
      <c r="R26" s="5" t="str">
        <f>INDEX('V_Mutlak Getiri'!Q$2:Q$25,MATCH(LARGE('V_Mutlak Getiri'!$AC$2:$AC$25,ROW()-3),'V_Mutlak Getiri'!$AC$2:$AC$25,0))</f>
        <v>Görüyor</v>
      </c>
      <c r="S26" s="8">
        <f>INDEX('V_Mutlak Getiri'!R$2:R$25,MATCH(LARGE('V_Mutlak Getiri'!$AC$2:$AC$25,ROW()-3),'V_Mutlak Getiri'!$AC$2:$AC$25,0))</f>
        <v>0</v>
      </c>
      <c r="T26" s="8">
        <f>INDEX('V_Mutlak Getiri'!S$2:S$25,MATCH(LARGE('V_Mutlak Getiri'!$AC$2:$AC$25,ROW()-3),'V_Mutlak Getiri'!$AC$2:$AC$25,0))</f>
        <v>3.44E-2</v>
      </c>
      <c r="U26" s="8">
        <f>INDEX('V_Mutlak Getiri'!T$2:T$25,MATCH(LARGE('V_Mutlak Getiri'!$AC$2:$AC$25,ROW()-3),'V_Mutlak Getiri'!$AC$2:$AC$25,0))</f>
        <v>0</v>
      </c>
      <c r="V26" s="8">
        <f>INDEX('V_Mutlak Getiri'!U$2:U$25,MATCH(LARGE('V_Mutlak Getiri'!$AC$2:$AC$25,ROW()-3),'V_Mutlak Getiri'!$AC$2:$AC$25,0))</f>
        <v>0.60199999999999998</v>
      </c>
      <c r="W26" s="8">
        <f>INDEX('V_Mutlak Getiri'!V$2:V$25,MATCH(LARGE('V_Mutlak Getiri'!$AC$2:$AC$25,ROW()-3),'V_Mutlak Getiri'!$AC$2:$AC$25,0))</f>
        <v>0</v>
      </c>
      <c r="X26" s="8">
        <f>INDEX('V_Mutlak Getiri'!W$2:W$25,MATCH(LARGE('V_Mutlak Getiri'!$AC$2:$AC$25,ROW()-3),'V_Mutlak Getiri'!$AC$2:$AC$25,0))</f>
        <v>0.36359999999999998</v>
      </c>
      <c r="Y26" s="8">
        <f>INDEX('V_Mutlak Getiri'!X$2:X$25,MATCH(LARGE('V_Mutlak Getiri'!$AC$2:$AC$25,ROW()-3),'V_Mutlak Getiri'!$AC$2:$AC$25,0))</f>
        <v>0</v>
      </c>
      <c r="Z26" s="8">
        <f>INDEX('V_Mutlak Getiri'!Y$2:Y$25,MATCH(LARGE('V_Mutlak Getiri'!$AC$2:$AC$25,ROW()-3),'V_Mutlak Getiri'!$AC$2:$AC$25,0))</f>
        <v>0</v>
      </c>
      <c r="AA26" s="8">
        <f>INDEX('V_Mutlak Getiri'!Z$2:Z$25,MATCH(LARGE('V_Mutlak Getiri'!$AC$2:$AC$25,ROW()-3),'V_Mutlak Getiri'!$AC$2:$AC$25,0))</f>
        <v>0</v>
      </c>
      <c r="AB26" s="8">
        <f>INDEX('V_Mutlak Getiri'!AA$2:AA$25,MATCH(LARGE('V_Mutlak Getiri'!$AC$2:$AC$25,ROW()-3),'V_Mutlak Getiri'!$AC$2:$AC$25,0))</f>
        <v>1</v>
      </c>
    </row>
    <row r="27" spans="1:28" x14ac:dyDescent="0.2">
      <c r="A27">
        <v>24</v>
      </c>
      <c r="B27" s="5" t="str">
        <f>INDEX('V_Mutlak Getiri'!A$2:A$25,MATCH(LARGE('V_Mutlak Getiri'!$AC$2:$AC$25,ROW()-3),'V_Mutlak Getiri'!$AC$2:$AC$25,0))</f>
        <v>MGB</v>
      </c>
      <c r="C27" s="5" t="str">
        <f>INDEX('V_Mutlak Getiri'!B$2:B$25,MATCH(LARGE('V_Mutlak Getiri'!$AC$2:$AC$25,ROW()-3),'V_Mutlak Getiri'!$AC$2:$AC$25,0))</f>
        <v>İŞ Portföy Mutlak Getiri Hedefli Hisse Senedi Serbest Fon (Hisse Senedi Yoğun Fon)</v>
      </c>
      <c r="D27" s="5" t="str">
        <f>INDEX('V_Mutlak Getiri'!C$2:C$25,MATCH(LARGE('V_Mutlak Getiri'!$AC$2:$AC$25,ROW()-3),'V_Mutlak Getiri'!$AC$2:$AC$25,0))</f>
        <v>İŞ Portföy</v>
      </c>
      <c r="E27" s="8">
        <f>INDEX('V_Mutlak Getiri'!D$2:D$25,MATCH(LARGE('V_Mutlak Getiri'!$AC$2:$AC$25,ROW()-3),'V_Mutlak Getiri'!$AC$2:$AC$25,0))</f>
        <v>3.2000000000000001E-2</v>
      </c>
      <c r="F27" s="9">
        <f>INDEX('V_Mutlak Getiri'!E$2:E$25,MATCH(LARGE('V_Mutlak Getiri'!$AC$2:$AC$25,ROW()-3),'V_Mutlak Getiri'!$AC$2:$AC$25,0))</f>
        <v>-0.63918789780206264</v>
      </c>
      <c r="G27" s="9">
        <f>INDEX('V_Mutlak Getiri'!F$2:F$25,MATCH(LARGE('V_Mutlak Getiri'!$AC$2:$AC$25,ROW()-3),'V_Mutlak Getiri'!$AC$2:$AC$25,0))</f>
        <v>-1.5431967268314311</v>
      </c>
      <c r="H27" s="9">
        <f>INDEX('V_Mutlak Getiri'!G$2:G$25,MATCH(LARGE('V_Mutlak Getiri'!$AC$2:$AC$25,ROW()-3),'V_Mutlak Getiri'!$AC$2:$AC$25,0))</f>
        <v>-1.3261479657719399</v>
      </c>
      <c r="I27" s="9">
        <f>INDEX('V_Mutlak Getiri'!H$2:H$25,MATCH(LARGE('V_Mutlak Getiri'!$AC$2:$AC$25,ROW()-3),'V_Mutlak Getiri'!$AC$2:$AC$25,0))</f>
        <v>8.5681096252470326</v>
      </c>
      <c r="J27" s="9">
        <f>INDEX('V_Mutlak Getiri'!I$2:I$25,MATCH(LARGE('V_Mutlak Getiri'!$AC$2:$AC$25,ROW()-3),'V_Mutlak Getiri'!$AC$2:$AC$25,0))</f>
        <v>28.867340578530442</v>
      </c>
      <c r="K27" s="10">
        <f>INDEX('V_Mutlak Getiri'!J$2:J$25,MATCH(LARGE('V_Mutlak Getiri'!$AC$2:$AC$25,ROW()-3),'V_Mutlak Getiri'!$AC$2:$AC$25,0))</f>
        <v>548</v>
      </c>
      <c r="L27" s="10">
        <f>INDEX('V_Mutlak Getiri'!K$2:K$25,MATCH(LARGE('V_Mutlak Getiri'!$AC$2:$AC$25,ROW()-3),'V_Mutlak Getiri'!$AC$2:$AC$25,0))</f>
        <v>515</v>
      </c>
      <c r="M27" s="8">
        <f>INDEX('V_Mutlak Getiri'!L$2:L$25,MATCH(LARGE('V_Mutlak Getiri'!$AC$2:$AC$25,ROW()-3),'V_Mutlak Getiri'!$AC$2:$AC$25,0))</f>
        <v>-6.0218978102189791E-2</v>
      </c>
      <c r="N27" s="11">
        <f>INDEX('V_Mutlak Getiri'!M$2:M$25,MATCH(LARGE('V_Mutlak Getiri'!$AC$2:$AC$25,ROW()-3),'V_Mutlak Getiri'!$AC$2:$AC$25,0))</f>
        <v>91408083.069999993</v>
      </c>
      <c r="O27" s="11">
        <f>INDEX('V_Mutlak Getiri'!N$2:N$25,MATCH(LARGE('V_Mutlak Getiri'!$AC$2:$AC$25,ROW()-3),'V_Mutlak Getiri'!$AC$2:$AC$25,0))</f>
        <v>69167685.239999995</v>
      </c>
      <c r="P27" s="8">
        <f>INDEX('V_Mutlak Getiri'!O$2:O$25,MATCH(LARGE('V_Mutlak Getiri'!$AC$2:$AC$25,ROW()-3),'V_Mutlak Getiri'!$AC$2:$AC$25,0))</f>
        <v>-0.2433088746973108</v>
      </c>
      <c r="Q27" s="9">
        <f>INDEX('V_Mutlak Getiri'!P$2:P$25,MATCH(LARGE('V_Mutlak Getiri'!$AC$2:$AC$25,ROW()-3),'V_Mutlak Getiri'!$AC$2:$AC$25,0))</f>
        <v>0.50419896369858097</v>
      </c>
      <c r="R27" s="5" t="str">
        <f>INDEX('V_Mutlak Getiri'!Q$2:Q$25,MATCH(LARGE('V_Mutlak Getiri'!$AC$2:$AC$25,ROW()-3),'V_Mutlak Getiri'!$AC$2:$AC$25,0))</f>
        <v>Görüyor</v>
      </c>
      <c r="S27" s="8">
        <f>INDEX('V_Mutlak Getiri'!R$2:R$25,MATCH(LARGE('V_Mutlak Getiri'!$AC$2:$AC$25,ROW()-3),'V_Mutlak Getiri'!$AC$2:$AC$25,0))</f>
        <v>0</v>
      </c>
      <c r="T27" s="8">
        <f>INDEX('V_Mutlak Getiri'!S$2:S$25,MATCH(LARGE('V_Mutlak Getiri'!$AC$2:$AC$25,ROW()-3),'V_Mutlak Getiri'!$AC$2:$AC$25,0))</f>
        <v>0.11020000000000001</v>
      </c>
      <c r="U27" s="8">
        <f>INDEX('V_Mutlak Getiri'!T$2:T$25,MATCH(LARGE('V_Mutlak Getiri'!$AC$2:$AC$25,ROW()-3),'V_Mutlak Getiri'!$AC$2:$AC$25,0))</f>
        <v>0</v>
      </c>
      <c r="V27" s="8">
        <f>INDEX('V_Mutlak Getiri'!U$2:U$25,MATCH(LARGE('V_Mutlak Getiri'!$AC$2:$AC$25,ROW()-3),'V_Mutlak Getiri'!$AC$2:$AC$25,0))</f>
        <v>0.88980000000000004</v>
      </c>
      <c r="W27" s="8">
        <f>INDEX('V_Mutlak Getiri'!V$2:V$25,MATCH(LARGE('V_Mutlak Getiri'!$AC$2:$AC$25,ROW()-3),'V_Mutlak Getiri'!$AC$2:$AC$25,0))</f>
        <v>0</v>
      </c>
      <c r="X27" s="8">
        <f>INDEX('V_Mutlak Getiri'!W$2:W$25,MATCH(LARGE('V_Mutlak Getiri'!$AC$2:$AC$25,ROW()-3),'V_Mutlak Getiri'!$AC$2:$AC$25,0))</f>
        <v>0</v>
      </c>
      <c r="Y27" s="8">
        <f>INDEX('V_Mutlak Getiri'!X$2:X$25,MATCH(LARGE('V_Mutlak Getiri'!$AC$2:$AC$25,ROW()-3),'V_Mutlak Getiri'!$AC$2:$AC$25,0))</f>
        <v>0</v>
      </c>
      <c r="Z27" s="8">
        <f>INDEX('V_Mutlak Getiri'!Y$2:Y$25,MATCH(LARGE('V_Mutlak Getiri'!$AC$2:$AC$25,ROW()-3),'V_Mutlak Getiri'!$AC$2:$AC$25,0))</f>
        <v>0</v>
      </c>
      <c r="AA27" s="8">
        <f>INDEX('V_Mutlak Getiri'!Z$2:Z$25,MATCH(LARGE('V_Mutlak Getiri'!$AC$2:$AC$25,ROW()-3),'V_Mutlak Getiri'!$AC$2:$AC$25,0))</f>
        <v>0</v>
      </c>
      <c r="AB27" s="8">
        <f>INDEX('V_Mutlak Getiri'!AA$2:AA$25,MATCH(LARGE('V_Mutlak Getiri'!$AC$2:$AC$25,ROW()-3),'V_Mutlak Getiri'!$AC$2:$AC$25,0))</f>
        <v>1</v>
      </c>
    </row>
  </sheetData>
  <conditionalFormatting sqref="B4:AB27">
    <cfRule type="expression" dxfId="9" priority="1">
      <formula>OR($B4="BAI",$B4="BHI",$B4="BIS",$B4="BSD",$B4="BTE",$B4="BTK",$B4="BV1",$B4="BVD",$B4="BVF",$B4="BVV",$B4="BVZ",$B4="MTD",$B4="RUT",$B4="SPR")</formula>
    </cfRule>
  </conditionalFormatting>
  <dataValidations count="1">
    <dataValidation type="list" sqref="E2" xr:uid="{00000000-0002-0000-0400-000000000000}">
      <formula1>"Günlük%,Haftalık,Aylık,Yılbaşına Göre,Yıllık"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62"/>
  <sheetViews>
    <sheetView workbookViewId="0"/>
  </sheetViews>
  <sheetFormatPr baseColWidth="10" defaultColWidth="8.83203125" defaultRowHeight="15" x14ac:dyDescent="0.2"/>
  <sheetData>
    <row r="1" spans="1:29" x14ac:dyDescent="0.2">
      <c r="A1" t="s">
        <v>3</v>
      </c>
      <c r="B1" t="s">
        <v>139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</row>
    <row r="2" spans="1:29" x14ac:dyDescent="0.2">
      <c r="A2" t="s">
        <v>140</v>
      </c>
      <c r="B2" t="s">
        <v>141</v>
      </c>
      <c r="C2" t="s">
        <v>142</v>
      </c>
      <c r="D2">
        <v>1.2500000000000001E-2</v>
      </c>
      <c r="E2">
        <v>0.12845696957064501</v>
      </c>
      <c r="F2">
        <v>0.89605794708742526</v>
      </c>
      <c r="G2">
        <v>4.2013869098508572</v>
      </c>
      <c r="H2">
        <v>28.284433134194291</v>
      </c>
      <c r="I2">
        <v>59.564472933222113</v>
      </c>
      <c r="J2">
        <v>42032</v>
      </c>
      <c r="K2">
        <v>46481</v>
      </c>
      <c r="L2">
        <v>0.105847925390179</v>
      </c>
      <c r="M2">
        <v>94709302853.080002</v>
      </c>
      <c r="N2">
        <v>119890038820.22</v>
      </c>
      <c r="O2">
        <v>0.26587394488799282</v>
      </c>
      <c r="P2">
        <v>0.1013072432409963</v>
      </c>
      <c r="Q2" t="s">
        <v>41</v>
      </c>
      <c r="R2">
        <v>9.1400000000000009E-2</v>
      </c>
      <c r="S2">
        <v>0</v>
      </c>
      <c r="T2">
        <v>0.54590000000000005</v>
      </c>
      <c r="U2">
        <v>0</v>
      </c>
      <c r="V2">
        <v>0.1923</v>
      </c>
      <c r="W2">
        <v>0</v>
      </c>
      <c r="X2">
        <v>5.0000000000000001E-4</v>
      </c>
      <c r="Y2">
        <v>7.1000000000000004E-3</v>
      </c>
      <c r="Z2">
        <v>2.0999999999999999E-3</v>
      </c>
      <c r="AA2">
        <v>0.83930000000000005</v>
      </c>
      <c r="AC2">
        <f>IF(ISNUMBER(INDEX($A$2:$AA$62,1,MATCH('Para Piyasası'!$E$2,$A$1:$AA$1,0))),INDEX($A$2:$AA$62,1,MATCH('Para Piyasası'!$E$2,$A$1:$AA$1,0)),-1000000000)-ROW()/10000000</f>
        <v>0.128456769570645</v>
      </c>
    </row>
    <row r="3" spans="1:29" x14ac:dyDescent="0.2">
      <c r="A3" t="s">
        <v>143</v>
      </c>
      <c r="B3" t="s">
        <v>144</v>
      </c>
      <c r="C3" t="s">
        <v>127</v>
      </c>
      <c r="D3">
        <v>7.3499999999999998E-3</v>
      </c>
      <c r="E3">
        <v>0.12305486415860049</v>
      </c>
      <c r="F3">
        <v>0.8578578875874765</v>
      </c>
      <c r="G3">
        <v>3.99013425980892</v>
      </c>
      <c r="H3">
        <v>21.903729669202971</v>
      </c>
      <c r="I3">
        <v>49.24915223133943</v>
      </c>
      <c r="J3">
        <v>900</v>
      </c>
      <c r="K3">
        <v>845</v>
      </c>
      <c r="L3">
        <v>-6.1111111111111123E-2</v>
      </c>
      <c r="M3">
        <v>726809089.01999998</v>
      </c>
      <c r="N3">
        <v>802608995.99000001</v>
      </c>
      <c r="O3">
        <v>0.1042913580954328</v>
      </c>
      <c r="P3">
        <v>9.5512155245425875E-2</v>
      </c>
      <c r="Q3" t="s">
        <v>41</v>
      </c>
      <c r="R3">
        <v>1.18E-2</v>
      </c>
      <c r="S3">
        <v>0</v>
      </c>
      <c r="T3">
        <v>0.36149999999999999</v>
      </c>
      <c r="U3">
        <v>0</v>
      </c>
      <c r="V3">
        <v>0.18720000000000001</v>
      </c>
      <c r="W3">
        <v>0</v>
      </c>
      <c r="X3">
        <v>0</v>
      </c>
      <c r="Y3">
        <v>0.2707</v>
      </c>
      <c r="Z3">
        <v>0</v>
      </c>
      <c r="AA3">
        <v>0.83119999999999994</v>
      </c>
      <c r="AC3">
        <f>IF(ISNUMBER(INDEX($A$2:$AA$62,2,MATCH('Para Piyasası'!$E$2,$A$1:$AA$1,0))),INDEX($A$2:$AA$62,2,MATCH('Para Piyasası'!$E$2,$A$1:$AA$1,0)),-1000000000)-ROW()/10000000</f>
        <v>0.1230545641586005</v>
      </c>
    </row>
    <row r="4" spans="1:29" x14ac:dyDescent="0.2">
      <c r="A4" t="s">
        <v>145</v>
      </c>
      <c r="B4" t="s">
        <v>146</v>
      </c>
      <c r="C4" t="s">
        <v>147</v>
      </c>
      <c r="D4">
        <v>9.4999999999999998E-3</v>
      </c>
      <c r="E4">
        <v>0.1211616169122465</v>
      </c>
      <c r="F4">
        <v>0.75478739833214625</v>
      </c>
      <c r="G4">
        <v>3.5066317707906252</v>
      </c>
      <c r="H4">
        <v>22.41420330889343</v>
      </c>
      <c r="I4">
        <v>47.146671285824077</v>
      </c>
      <c r="J4">
        <v>3589</v>
      </c>
      <c r="K4">
        <v>3507</v>
      </c>
      <c r="L4">
        <v>-2.2847589857899139E-2</v>
      </c>
      <c r="M4">
        <v>3443611595.46</v>
      </c>
      <c r="N4">
        <v>2936920546.5100002</v>
      </c>
      <c r="O4">
        <v>-0.14713943047991029</v>
      </c>
      <c r="P4">
        <v>8.5409565401441304E-2</v>
      </c>
      <c r="Q4" t="s">
        <v>41</v>
      </c>
      <c r="R4">
        <v>0.40760000000000002</v>
      </c>
      <c r="S4">
        <v>0</v>
      </c>
      <c r="T4">
        <v>0</v>
      </c>
      <c r="U4">
        <v>0</v>
      </c>
      <c r="V4">
        <v>0.1023</v>
      </c>
      <c r="W4">
        <v>0</v>
      </c>
      <c r="X4">
        <v>1.38E-2</v>
      </c>
      <c r="Y4">
        <v>0.16400000000000001</v>
      </c>
      <c r="Z4">
        <v>0</v>
      </c>
      <c r="AA4">
        <v>0.68769999999999998</v>
      </c>
      <c r="AC4">
        <f>IF(ISNUMBER(INDEX($A$2:$AA$62,3,MATCH('Para Piyasası'!$E$2,$A$1:$AA$1,0))),INDEX($A$2:$AA$62,3,MATCH('Para Piyasası'!$E$2,$A$1:$AA$1,0)),-1000000000)-ROW()/10000000</f>
        <v>0.1211612169122465</v>
      </c>
    </row>
    <row r="5" spans="1:29" x14ac:dyDescent="0.2">
      <c r="A5" t="s">
        <v>148</v>
      </c>
      <c r="B5" t="s">
        <v>149</v>
      </c>
      <c r="C5" t="s">
        <v>135</v>
      </c>
      <c r="D5">
        <v>1.2500000000000001E-2</v>
      </c>
      <c r="E5">
        <v>0.11829853288718439</v>
      </c>
      <c r="F5">
        <v>0.70673096265529978</v>
      </c>
      <c r="G5">
        <v>3.6582555725689798</v>
      </c>
      <c r="H5">
        <v>25.51022605415136</v>
      </c>
      <c r="I5">
        <v>54.008323031772868</v>
      </c>
      <c r="J5">
        <v>4192</v>
      </c>
      <c r="K5">
        <v>4197</v>
      </c>
      <c r="L5">
        <v>1.1927480916029689E-3</v>
      </c>
      <c r="M5">
        <v>5248731807.2799997</v>
      </c>
      <c r="N5">
        <v>5570229493.2200003</v>
      </c>
      <c r="O5">
        <v>6.1252450638472837E-2</v>
      </c>
      <c r="P5">
        <v>8.40364247782628E-2</v>
      </c>
      <c r="Q5" t="s">
        <v>41</v>
      </c>
      <c r="R5">
        <v>7.5700000000000003E-2</v>
      </c>
      <c r="S5">
        <v>0</v>
      </c>
      <c r="T5">
        <v>0.3947</v>
      </c>
      <c r="U5">
        <v>0</v>
      </c>
      <c r="V5">
        <v>0.18629999999999999</v>
      </c>
      <c r="W5">
        <v>0</v>
      </c>
      <c r="X5">
        <v>1.7600000000000001E-2</v>
      </c>
      <c r="Y5">
        <v>0.14369999999999999</v>
      </c>
      <c r="Z5">
        <v>0</v>
      </c>
      <c r="AA5">
        <v>0.81799999999999995</v>
      </c>
      <c r="AC5">
        <f>IF(ISNUMBER(INDEX($A$2:$AA$62,4,MATCH('Para Piyasası'!$E$2,$A$1:$AA$1,0))),INDEX($A$2:$AA$62,4,MATCH('Para Piyasası'!$E$2,$A$1:$AA$1,0)),-1000000000)-ROW()/10000000</f>
        <v>0.11829803288718439</v>
      </c>
    </row>
    <row r="6" spans="1:29" x14ac:dyDescent="0.2">
      <c r="A6" t="s">
        <v>150</v>
      </c>
      <c r="B6" t="s">
        <v>151</v>
      </c>
      <c r="C6" t="s">
        <v>152</v>
      </c>
      <c r="D6">
        <v>1.2999999999999999E-2</v>
      </c>
      <c r="E6">
        <v>0.1172511569483614</v>
      </c>
      <c r="F6">
        <v>0.7333196612005155</v>
      </c>
      <c r="G6">
        <v>3.451534202530615</v>
      </c>
      <c r="H6">
        <v>22.412727350852339</v>
      </c>
      <c r="I6">
        <v>47.24962859260966</v>
      </c>
      <c r="J6">
        <v>153475</v>
      </c>
      <c r="K6">
        <v>154247</v>
      </c>
      <c r="L6">
        <v>5.0301352011727918E-3</v>
      </c>
      <c r="M6">
        <v>66244980497.809998</v>
      </c>
      <c r="N6">
        <v>71359180907.169998</v>
      </c>
      <c r="O6">
        <v>7.7201327118347818E-2</v>
      </c>
      <c r="P6">
        <v>8.5210807732093233E-2</v>
      </c>
      <c r="Q6" t="s">
        <v>38</v>
      </c>
      <c r="R6">
        <v>0.43149999999999999</v>
      </c>
      <c r="S6">
        <v>0</v>
      </c>
      <c r="T6">
        <v>0.39629999999999999</v>
      </c>
      <c r="U6">
        <v>0</v>
      </c>
      <c r="V6">
        <v>0</v>
      </c>
      <c r="W6">
        <v>0</v>
      </c>
      <c r="X6">
        <v>4.8999999999999998E-3</v>
      </c>
      <c r="Y6">
        <v>2.9999999999999997E-4</v>
      </c>
      <c r="Z6">
        <v>0</v>
      </c>
      <c r="AA6">
        <v>0.83300000000000007</v>
      </c>
      <c r="AC6">
        <f>IF(ISNUMBER(INDEX($A$2:$AA$62,5,MATCH('Para Piyasası'!$E$2,$A$1:$AA$1,0))),INDEX($A$2:$AA$62,5,MATCH('Para Piyasası'!$E$2,$A$1:$AA$1,0)),-1000000000)-ROW()/10000000</f>
        <v>0.1172505569483614</v>
      </c>
    </row>
    <row r="7" spans="1:29" x14ac:dyDescent="0.2">
      <c r="A7" t="s">
        <v>153</v>
      </c>
      <c r="B7" t="s">
        <v>154</v>
      </c>
      <c r="C7" t="s">
        <v>155</v>
      </c>
      <c r="D7">
        <v>1.0500000000000001E-2</v>
      </c>
      <c r="E7">
        <v>0.11716495311326899</v>
      </c>
      <c r="F7">
        <v>0.83838496279886598</v>
      </c>
      <c r="G7">
        <v>3.8335256423635218</v>
      </c>
      <c r="H7">
        <v>25.371127773233379</v>
      </c>
      <c r="I7">
        <v>53.055148347854463</v>
      </c>
      <c r="J7">
        <v>3655</v>
      </c>
      <c r="K7">
        <v>3590</v>
      </c>
      <c r="L7">
        <v>-1.7783857729138149E-2</v>
      </c>
      <c r="M7">
        <v>2297723961.3699999</v>
      </c>
      <c r="N7">
        <v>2318215129.7800002</v>
      </c>
      <c r="O7">
        <v>8.9180287773917843E-3</v>
      </c>
      <c r="P7">
        <v>9.3436941133639012E-2</v>
      </c>
      <c r="Q7" t="s">
        <v>41</v>
      </c>
      <c r="R7">
        <v>0.12770000000000001</v>
      </c>
      <c r="S7">
        <v>0</v>
      </c>
      <c r="T7">
        <v>0.48099999999999998</v>
      </c>
      <c r="U7">
        <v>0</v>
      </c>
      <c r="V7">
        <v>0.19950000000000001</v>
      </c>
      <c r="W7">
        <v>0</v>
      </c>
      <c r="X7">
        <v>0</v>
      </c>
      <c r="Y7">
        <v>8.4499999999999992E-2</v>
      </c>
      <c r="Z7">
        <v>0</v>
      </c>
      <c r="AA7">
        <v>0.89270000000000005</v>
      </c>
      <c r="AC7">
        <f>IF(ISNUMBER(INDEX($A$2:$AA$62,6,MATCH('Para Piyasası'!$E$2,$A$1:$AA$1,0))),INDEX($A$2:$AA$62,6,MATCH('Para Piyasası'!$E$2,$A$1:$AA$1,0)),-1000000000)-ROW()/10000000</f>
        <v>0.11716425311326899</v>
      </c>
    </row>
    <row r="8" spans="1:29" x14ac:dyDescent="0.2">
      <c r="A8" t="s">
        <v>156</v>
      </c>
      <c r="B8" t="s">
        <v>157</v>
      </c>
      <c r="C8" t="s">
        <v>158</v>
      </c>
      <c r="D8">
        <v>7.9935000000000006E-3</v>
      </c>
      <c r="E8">
        <v>0.1164870157809972</v>
      </c>
      <c r="F8">
        <v>0.7834789450981372</v>
      </c>
      <c r="G8">
        <v>3.6344146590780109</v>
      </c>
      <c r="H8">
        <v>23.221911084480791</v>
      </c>
      <c r="I8">
        <v>50.43796340479998</v>
      </c>
      <c r="J8">
        <v>1754</v>
      </c>
      <c r="K8">
        <v>1639</v>
      </c>
      <c r="L8">
        <v>-6.5564424173318092E-2</v>
      </c>
      <c r="M8">
        <v>1218709240.8699999</v>
      </c>
      <c r="N8">
        <v>1165290589.9400001</v>
      </c>
      <c r="O8">
        <v>-4.3832153838323173E-2</v>
      </c>
      <c r="P8">
        <v>8.4296974630184221E-2</v>
      </c>
      <c r="Q8" t="s">
        <v>41</v>
      </c>
      <c r="R8">
        <v>0</v>
      </c>
      <c r="S8">
        <v>0</v>
      </c>
      <c r="T8">
        <v>0.36849999999999999</v>
      </c>
      <c r="U8">
        <v>0</v>
      </c>
      <c r="V8">
        <v>0.1976</v>
      </c>
      <c r="W8">
        <v>0</v>
      </c>
      <c r="X8">
        <v>0.29260000000000003</v>
      </c>
      <c r="Y8">
        <v>0</v>
      </c>
      <c r="Z8">
        <v>0</v>
      </c>
      <c r="AA8">
        <v>0.85870000000000002</v>
      </c>
      <c r="AC8">
        <f>IF(ISNUMBER(INDEX($A$2:$AA$62,7,MATCH('Para Piyasası'!$E$2,$A$1:$AA$1,0))),INDEX($A$2:$AA$62,7,MATCH('Para Piyasası'!$E$2,$A$1:$AA$1,0)),-1000000000)-ROW()/10000000</f>
        <v>0.1164862157809972</v>
      </c>
    </row>
    <row r="9" spans="1:29" x14ac:dyDescent="0.2">
      <c r="A9" t="s">
        <v>159</v>
      </c>
      <c r="B9" t="s">
        <v>160</v>
      </c>
      <c r="C9" t="s">
        <v>130</v>
      </c>
      <c r="D9">
        <v>6.9999999999999993E-3</v>
      </c>
      <c r="E9">
        <v>0.1151607176609115</v>
      </c>
      <c r="F9">
        <v>0.77093425303158547</v>
      </c>
      <c r="G9">
        <v>3.5648077811098799</v>
      </c>
      <c r="H9">
        <v>23.059961462349769</v>
      </c>
      <c r="I9">
        <v>49.188623615531</v>
      </c>
      <c r="J9">
        <v>14179</v>
      </c>
      <c r="K9">
        <v>13646</v>
      </c>
      <c r="L9">
        <v>-3.7590803300655902E-2</v>
      </c>
      <c r="M9">
        <v>11648158815.02</v>
      </c>
      <c r="N9">
        <v>11726919492.540001</v>
      </c>
      <c r="O9">
        <v>6.7616417985683066E-3</v>
      </c>
      <c r="P9">
        <v>8.780981591528482E-2</v>
      </c>
      <c r="Q9" t="s">
        <v>41</v>
      </c>
      <c r="R9">
        <v>0.40630000000000011</v>
      </c>
      <c r="S9">
        <v>0</v>
      </c>
      <c r="T9">
        <v>9.7899999999999987E-2</v>
      </c>
      <c r="U9">
        <v>0</v>
      </c>
      <c r="V9">
        <v>0.17560000000000001</v>
      </c>
      <c r="W9">
        <v>0</v>
      </c>
      <c r="X9">
        <v>0.1419</v>
      </c>
      <c r="Y9">
        <v>2.81E-2</v>
      </c>
      <c r="Z9">
        <v>0</v>
      </c>
      <c r="AA9">
        <v>0.8498</v>
      </c>
      <c r="AC9">
        <f>IF(ISNUMBER(INDEX($A$2:$AA$62,8,MATCH('Para Piyasası'!$E$2,$A$1:$AA$1,0))),INDEX($A$2:$AA$62,8,MATCH('Para Piyasası'!$E$2,$A$1:$AA$1,0)),-1000000000)-ROW()/10000000</f>
        <v>0.1151598176609115</v>
      </c>
    </row>
    <row r="10" spans="1:29" x14ac:dyDescent="0.2">
      <c r="A10" t="s">
        <v>161</v>
      </c>
      <c r="B10" t="s">
        <v>162</v>
      </c>
      <c r="C10" t="s">
        <v>138</v>
      </c>
      <c r="D10">
        <v>1.0500000000000001E-2</v>
      </c>
      <c r="E10">
        <v>0.11512433791591729</v>
      </c>
      <c r="F10">
        <v>0.71226160638278024</v>
      </c>
      <c r="G10">
        <v>3.4049754532275318</v>
      </c>
      <c r="H10">
        <v>21.87826685614893</v>
      </c>
      <c r="I10">
        <v>46.886952051453569</v>
      </c>
      <c r="J10">
        <v>6288</v>
      </c>
      <c r="K10">
        <v>6050</v>
      </c>
      <c r="L10">
        <v>-3.7849872773536908E-2</v>
      </c>
      <c r="M10">
        <v>17766355331.209999</v>
      </c>
      <c r="N10">
        <v>17386457297.450001</v>
      </c>
      <c r="O10">
        <v>-2.1383003248428459E-2</v>
      </c>
      <c r="P10">
        <v>9.0573089733669204E-2</v>
      </c>
      <c r="Q10" t="s">
        <v>41</v>
      </c>
      <c r="R10">
        <v>0.39250000000000002</v>
      </c>
      <c r="S10">
        <v>0</v>
      </c>
      <c r="T10">
        <v>0.11899999999999999</v>
      </c>
      <c r="U10">
        <v>0</v>
      </c>
      <c r="V10">
        <v>3.4799999999999998E-2</v>
      </c>
      <c r="W10">
        <v>0</v>
      </c>
      <c r="X10">
        <v>0.12559999999999999</v>
      </c>
      <c r="Y10">
        <v>1.9400000000000001E-2</v>
      </c>
      <c r="Z10">
        <v>0</v>
      </c>
      <c r="AA10">
        <v>0.69130000000000003</v>
      </c>
      <c r="AC10">
        <f>IF(ISNUMBER(INDEX($A$2:$AA$62,9,MATCH('Para Piyasası'!$E$2,$A$1:$AA$1,0))),INDEX($A$2:$AA$62,9,MATCH('Para Piyasası'!$E$2,$A$1:$AA$1,0)),-1000000000)-ROW()/10000000</f>
        <v>0.11512333791591729</v>
      </c>
    </row>
    <row r="11" spans="1:29" x14ac:dyDescent="0.2">
      <c r="A11" t="s">
        <v>163</v>
      </c>
      <c r="B11" t="s">
        <v>164</v>
      </c>
      <c r="C11" t="s">
        <v>50</v>
      </c>
      <c r="D11">
        <v>8.0000000000000002E-3</v>
      </c>
      <c r="E11">
        <v>0.1142912868962398</v>
      </c>
      <c r="F11">
        <v>0.78584497300191458</v>
      </c>
      <c r="G11">
        <v>3.606128721500967</v>
      </c>
      <c r="H11">
        <v>23.435745106451591</v>
      </c>
      <c r="I11" t="s">
        <v>165</v>
      </c>
      <c r="J11">
        <v>504</v>
      </c>
      <c r="K11">
        <v>506</v>
      </c>
      <c r="L11">
        <v>3.9682539682539542E-3</v>
      </c>
      <c r="M11">
        <v>1149203235.3599999</v>
      </c>
      <c r="N11">
        <v>1957416728.97</v>
      </c>
      <c r="O11">
        <v>0.70328160306372522</v>
      </c>
      <c r="P11">
        <v>8.694051998176118E-2</v>
      </c>
      <c r="Q11" t="s">
        <v>41</v>
      </c>
      <c r="R11">
        <v>0</v>
      </c>
      <c r="S11">
        <v>0</v>
      </c>
      <c r="T11">
        <v>0.39939999999999998</v>
      </c>
      <c r="U11">
        <v>0</v>
      </c>
      <c r="V11">
        <v>0.18890000000000001</v>
      </c>
      <c r="W11">
        <v>0</v>
      </c>
      <c r="X11">
        <v>0</v>
      </c>
      <c r="Y11">
        <v>0.1164</v>
      </c>
      <c r="Z11">
        <v>2.9499999999999998E-2</v>
      </c>
      <c r="AA11">
        <v>0.73419999999999996</v>
      </c>
      <c r="AC11">
        <f>IF(ISNUMBER(INDEX($A$2:$AA$62,10,MATCH('Para Piyasası'!$E$2,$A$1:$AA$1,0))),INDEX($A$2:$AA$62,10,MATCH('Para Piyasası'!$E$2,$A$1:$AA$1,0)),-1000000000)-ROW()/10000000</f>
        <v>0.11429018689623979</v>
      </c>
    </row>
    <row r="12" spans="1:29" x14ac:dyDescent="0.2">
      <c r="A12" t="s">
        <v>166</v>
      </c>
      <c r="B12" t="s">
        <v>167</v>
      </c>
      <c r="C12" t="s">
        <v>168</v>
      </c>
      <c r="D12">
        <v>9.0000000000000011E-3</v>
      </c>
      <c r="E12">
        <v>0.1141602046666801</v>
      </c>
      <c r="F12">
        <v>0.81255197566805215</v>
      </c>
      <c r="G12">
        <v>3.7369618894461891</v>
      </c>
      <c r="H12">
        <v>24.469660359945689</v>
      </c>
      <c r="I12">
        <v>51.327791159502411</v>
      </c>
      <c r="J12">
        <v>742</v>
      </c>
      <c r="K12">
        <v>881</v>
      </c>
      <c r="L12">
        <v>0.18733153638814029</v>
      </c>
      <c r="M12">
        <v>2154505330.0700002</v>
      </c>
      <c r="N12">
        <v>2287637340.9099998</v>
      </c>
      <c r="O12">
        <v>6.1792379430165578E-2</v>
      </c>
      <c r="P12">
        <v>9.2259625322822586E-2</v>
      </c>
      <c r="Q12" t="s">
        <v>41</v>
      </c>
      <c r="R12">
        <v>5.4899999999999997E-2</v>
      </c>
      <c r="S12">
        <v>0</v>
      </c>
      <c r="T12">
        <v>0.49159999999999998</v>
      </c>
      <c r="U12">
        <v>0</v>
      </c>
      <c r="V12">
        <v>0.1986</v>
      </c>
      <c r="W12">
        <v>0</v>
      </c>
      <c r="X12">
        <v>0</v>
      </c>
      <c r="Y12">
        <v>0.1241</v>
      </c>
      <c r="Z12">
        <v>1.04E-2</v>
      </c>
      <c r="AA12">
        <v>0.87959999999999994</v>
      </c>
      <c r="AC12">
        <f>IF(ISNUMBER(INDEX($A$2:$AA$62,11,MATCH('Para Piyasası'!$E$2,$A$1:$AA$1,0))),INDEX($A$2:$AA$62,11,MATCH('Para Piyasası'!$E$2,$A$1:$AA$1,0)),-1000000000)-ROW()/10000000</f>
        <v>0.11415900466668009</v>
      </c>
    </row>
    <row r="13" spans="1:29" x14ac:dyDescent="0.2">
      <c r="A13" t="s">
        <v>169</v>
      </c>
      <c r="B13" t="s">
        <v>170</v>
      </c>
      <c r="C13" t="s">
        <v>82</v>
      </c>
      <c r="D13">
        <v>1.4E-2</v>
      </c>
      <c r="E13">
        <v>0.1137665232331386</v>
      </c>
      <c r="F13">
        <v>0.73511661410270435</v>
      </c>
      <c r="G13">
        <v>3.461541537698642</v>
      </c>
      <c r="H13">
        <v>21.882714304558391</v>
      </c>
      <c r="I13">
        <v>46.920394789146712</v>
      </c>
      <c r="J13">
        <v>330045</v>
      </c>
      <c r="K13">
        <v>335872</v>
      </c>
      <c r="L13">
        <v>1.765516823463464E-2</v>
      </c>
      <c r="M13">
        <v>149961568530.88</v>
      </c>
      <c r="N13">
        <v>181789419392.10999</v>
      </c>
      <c r="O13">
        <v>0.2122400503878166</v>
      </c>
      <c r="P13">
        <v>8.526266231996929E-2</v>
      </c>
      <c r="Q13" t="s">
        <v>38</v>
      </c>
      <c r="R13">
        <v>0.36980000000000002</v>
      </c>
      <c r="S13">
        <v>0</v>
      </c>
      <c r="T13">
        <v>0.40749999999999997</v>
      </c>
      <c r="U13">
        <v>0</v>
      </c>
      <c r="V13">
        <v>0</v>
      </c>
      <c r="W13">
        <v>0</v>
      </c>
      <c r="X13">
        <v>3.9300000000000002E-2</v>
      </c>
      <c r="Y13">
        <v>1.04E-2</v>
      </c>
      <c r="Z13">
        <v>0</v>
      </c>
      <c r="AA13">
        <v>0.82699999999999996</v>
      </c>
      <c r="AC13">
        <f>IF(ISNUMBER(INDEX($A$2:$AA$62,12,MATCH('Para Piyasası'!$E$2,$A$1:$AA$1,0))),INDEX($A$2:$AA$62,12,MATCH('Para Piyasası'!$E$2,$A$1:$AA$1,0)),-1000000000)-ROW()/10000000</f>
        <v>0.1137652232331386</v>
      </c>
    </row>
    <row r="14" spans="1:29" x14ac:dyDescent="0.2">
      <c r="A14" t="s">
        <v>171</v>
      </c>
      <c r="B14" t="s">
        <v>172</v>
      </c>
      <c r="C14" t="s">
        <v>138</v>
      </c>
      <c r="D14">
        <v>1.4999999999999999E-2</v>
      </c>
      <c r="E14">
        <v>0.1135899737390256</v>
      </c>
      <c r="F14">
        <v>0.73623137250575788</v>
      </c>
      <c r="G14">
        <v>3.4021099694004691</v>
      </c>
      <c r="H14">
        <v>22.279775402455691</v>
      </c>
      <c r="I14">
        <v>47.33472397665912</v>
      </c>
      <c r="J14">
        <v>1141</v>
      </c>
      <c r="K14">
        <v>1163</v>
      </c>
      <c r="L14">
        <v>1.9281332164767791E-2</v>
      </c>
      <c r="M14">
        <v>1191185132.4200001</v>
      </c>
      <c r="N14">
        <v>1215218305.54</v>
      </c>
      <c r="O14">
        <v>2.0175850475210529E-2</v>
      </c>
      <c r="P14">
        <v>8.3261677042363758E-2</v>
      </c>
      <c r="Q14" t="s">
        <v>38</v>
      </c>
      <c r="R14">
        <v>0.31019999999999998</v>
      </c>
      <c r="S14">
        <v>0</v>
      </c>
      <c r="T14">
        <v>8.7899999999999992E-2</v>
      </c>
      <c r="U14">
        <v>0</v>
      </c>
      <c r="V14">
        <v>4.9599999999999998E-2</v>
      </c>
      <c r="W14">
        <v>0</v>
      </c>
      <c r="X14">
        <v>0.2505</v>
      </c>
      <c r="Y14">
        <v>0.15670000000000001</v>
      </c>
      <c r="Z14">
        <v>0</v>
      </c>
      <c r="AA14">
        <v>0.85489999999999999</v>
      </c>
      <c r="AC14">
        <f>IF(ISNUMBER(INDEX($A$2:$AA$62,13,MATCH('Para Piyasası'!$E$2,$A$1:$AA$1,0))),INDEX($A$2:$AA$62,13,MATCH('Para Piyasası'!$E$2,$A$1:$AA$1,0)),-1000000000)-ROW()/10000000</f>
        <v>0.1135885737390256</v>
      </c>
    </row>
    <row r="15" spans="1:29" x14ac:dyDescent="0.2">
      <c r="A15" t="s">
        <v>173</v>
      </c>
      <c r="B15" t="s">
        <v>174</v>
      </c>
      <c r="C15" t="s">
        <v>65</v>
      </c>
      <c r="D15">
        <v>0.01</v>
      </c>
      <c r="E15">
        <v>0.11265914474585249</v>
      </c>
      <c r="F15">
        <v>0.79678887617762317</v>
      </c>
      <c r="G15">
        <v>3.6913543698572799</v>
      </c>
      <c r="H15">
        <v>23.80434519457506</v>
      </c>
      <c r="I15">
        <v>50.879171674216508</v>
      </c>
      <c r="J15">
        <v>3642</v>
      </c>
      <c r="K15">
        <v>3715</v>
      </c>
      <c r="L15">
        <v>2.0043931905546319E-2</v>
      </c>
      <c r="M15">
        <v>1560346441.51</v>
      </c>
      <c r="N15">
        <v>1878622927.1600001</v>
      </c>
      <c r="O15">
        <v>0.20397808921331159</v>
      </c>
      <c r="P15">
        <v>9.1532627432447569E-2</v>
      </c>
      <c r="Q15" t="s">
        <v>41</v>
      </c>
      <c r="R15">
        <v>0.1573</v>
      </c>
      <c r="S15">
        <v>0</v>
      </c>
      <c r="T15">
        <v>0.48080000000000001</v>
      </c>
      <c r="U15">
        <v>0</v>
      </c>
      <c r="V15">
        <v>0.1993</v>
      </c>
      <c r="W15">
        <v>0</v>
      </c>
      <c r="X15">
        <v>0</v>
      </c>
      <c r="Y15">
        <v>4.0800000000000003E-2</v>
      </c>
      <c r="Z15">
        <v>0</v>
      </c>
      <c r="AA15">
        <v>0.87819999999999998</v>
      </c>
      <c r="AC15">
        <f>IF(ISNUMBER(INDEX($A$2:$AA$62,14,MATCH('Para Piyasası'!$E$2,$A$1:$AA$1,0))),INDEX($A$2:$AA$62,14,MATCH('Para Piyasası'!$E$2,$A$1:$AA$1,0)),-1000000000)-ROW()/10000000</f>
        <v>0.11265764474585249</v>
      </c>
    </row>
    <row r="16" spans="1:29" x14ac:dyDescent="0.2">
      <c r="A16" t="s">
        <v>175</v>
      </c>
      <c r="B16" t="s">
        <v>176</v>
      </c>
      <c r="C16" t="s">
        <v>100</v>
      </c>
      <c r="D16">
        <v>1.4800000000000001E-2</v>
      </c>
      <c r="E16">
        <v>0.1125131976720484</v>
      </c>
      <c r="F16">
        <v>0.73803822372766614</v>
      </c>
      <c r="G16">
        <v>3.4300159092415679</v>
      </c>
      <c r="H16">
        <v>22.158486007819359</v>
      </c>
      <c r="I16">
        <v>46.99377802600997</v>
      </c>
      <c r="J16">
        <v>340076</v>
      </c>
      <c r="K16">
        <v>343953</v>
      </c>
      <c r="L16">
        <v>1.140039285336214E-2</v>
      </c>
      <c r="M16">
        <v>69662962973.179993</v>
      </c>
      <c r="N16">
        <v>84573351421.369995</v>
      </c>
      <c r="O16">
        <v>0.21403609338193741</v>
      </c>
      <c r="P16">
        <v>8.4241983229742773E-2</v>
      </c>
      <c r="Q16" t="s">
        <v>38</v>
      </c>
      <c r="R16">
        <v>0.24129999999999999</v>
      </c>
      <c r="S16">
        <v>0</v>
      </c>
      <c r="T16">
        <v>0.58960000000000001</v>
      </c>
      <c r="U16">
        <v>0</v>
      </c>
      <c r="V16">
        <v>5.0000000000000001E-4</v>
      </c>
      <c r="W16">
        <v>0</v>
      </c>
      <c r="X16">
        <v>9.0000000000000011E-3</v>
      </c>
      <c r="Y16">
        <v>7.3000000000000001E-3</v>
      </c>
      <c r="Z16">
        <v>0</v>
      </c>
      <c r="AA16">
        <v>0.84770000000000001</v>
      </c>
      <c r="AC16">
        <f>IF(ISNUMBER(INDEX($A$2:$AA$62,15,MATCH('Para Piyasası'!$E$2,$A$1:$AA$1,0))),INDEX($A$2:$AA$62,15,MATCH('Para Piyasası'!$E$2,$A$1:$AA$1,0)),-1000000000)-ROW()/10000000</f>
        <v>0.11251159767204839</v>
      </c>
    </row>
    <row r="17" spans="1:29" x14ac:dyDescent="0.2">
      <c r="A17" t="s">
        <v>177</v>
      </c>
      <c r="B17" t="s">
        <v>178</v>
      </c>
      <c r="C17" t="s">
        <v>124</v>
      </c>
      <c r="D17">
        <v>1.2800000000000001E-2</v>
      </c>
      <c r="E17">
        <v>0.1124527767723649</v>
      </c>
      <c r="F17">
        <v>0.77867341983921534</v>
      </c>
      <c r="G17">
        <v>3.4611831319141029</v>
      </c>
      <c r="H17">
        <v>22.290724221118818</v>
      </c>
      <c r="I17">
        <v>47.482241750791722</v>
      </c>
      <c r="J17">
        <v>4057</v>
      </c>
      <c r="K17">
        <v>3809</v>
      </c>
      <c r="L17">
        <v>-6.112891298989398E-2</v>
      </c>
      <c r="M17">
        <v>547287346.39999998</v>
      </c>
      <c r="N17">
        <v>524390369.38999999</v>
      </c>
      <c r="O17">
        <v>-4.1837212500186571E-2</v>
      </c>
      <c r="P17">
        <v>8.4261409278851174E-2</v>
      </c>
      <c r="Q17" t="s">
        <v>38</v>
      </c>
      <c r="R17">
        <v>0.28570000000000001</v>
      </c>
      <c r="S17">
        <v>0</v>
      </c>
      <c r="T17">
        <v>0.36649999999999999</v>
      </c>
      <c r="U17">
        <v>0</v>
      </c>
      <c r="V17">
        <v>0</v>
      </c>
      <c r="W17">
        <v>0</v>
      </c>
      <c r="X17">
        <v>0.17019999999999999</v>
      </c>
      <c r="Y17">
        <v>2.9600000000000001E-2</v>
      </c>
      <c r="Z17">
        <v>0</v>
      </c>
      <c r="AA17">
        <v>0.85199999999999998</v>
      </c>
      <c r="AC17">
        <f>IF(ISNUMBER(INDEX($A$2:$AA$62,16,MATCH('Para Piyasası'!$E$2,$A$1:$AA$1,0))),INDEX($A$2:$AA$62,16,MATCH('Para Piyasası'!$E$2,$A$1:$AA$1,0)),-1000000000)-ROW()/10000000</f>
        <v>0.11245107677236491</v>
      </c>
    </row>
    <row r="18" spans="1:29" x14ac:dyDescent="0.2">
      <c r="A18" t="s">
        <v>179</v>
      </c>
      <c r="B18" t="s">
        <v>180</v>
      </c>
      <c r="C18" t="s">
        <v>100</v>
      </c>
      <c r="D18">
        <v>1.4800000000000001E-2</v>
      </c>
      <c r="E18">
        <v>0.1123600277667558</v>
      </c>
      <c r="F18">
        <v>0.73127036681275293</v>
      </c>
      <c r="G18">
        <v>3.3579638092050561</v>
      </c>
      <c r="H18">
        <v>21.614419492133919</v>
      </c>
      <c r="I18">
        <v>46.370966490004143</v>
      </c>
      <c r="J18">
        <v>80756</v>
      </c>
      <c r="K18">
        <v>79944</v>
      </c>
      <c r="L18">
        <v>-1.005498043489028E-2</v>
      </c>
      <c r="M18">
        <v>38094599876.690002</v>
      </c>
      <c r="N18">
        <v>38539389102.160004</v>
      </c>
      <c r="O18">
        <v>1.167591277792024E-2</v>
      </c>
      <c r="P18">
        <v>8.4211245974023394E-2</v>
      </c>
      <c r="Q18" t="s">
        <v>38</v>
      </c>
      <c r="R18">
        <v>0.32419999999999999</v>
      </c>
      <c r="S18">
        <v>0</v>
      </c>
      <c r="T18">
        <v>0.39460000000000001</v>
      </c>
      <c r="U18">
        <v>0</v>
      </c>
      <c r="V18">
        <v>0</v>
      </c>
      <c r="W18">
        <v>0</v>
      </c>
      <c r="X18">
        <v>2.1299999999999999E-2</v>
      </c>
      <c r="Y18">
        <v>9.3999999999999986E-3</v>
      </c>
      <c r="Z18">
        <v>0</v>
      </c>
      <c r="AA18">
        <v>0.74950000000000006</v>
      </c>
      <c r="AC18">
        <f>IF(ISNUMBER(INDEX($A$2:$AA$62,17,MATCH('Para Piyasası'!$E$2,$A$1:$AA$1,0))),INDEX($A$2:$AA$62,17,MATCH('Para Piyasası'!$E$2,$A$1:$AA$1,0)),-1000000000)-ROW()/10000000</f>
        <v>0.1123582277667558</v>
      </c>
    </row>
    <row r="19" spans="1:29" x14ac:dyDescent="0.2">
      <c r="A19" t="s">
        <v>181</v>
      </c>
      <c r="B19" t="s">
        <v>182</v>
      </c>
      <c r="C19" t="s">
        <v>97</v>
      </c>
      <c r="D19">
        <v>7.8750000000000001E-3</v>
      </c>
      <c r="E19">
        <v>0.11225003270611821</v>
      </c>
      <c r="F19">
        <v>0.80711984731625108</v>
      </c>
      <c r="G19">
        <v>3.6701854419707298</v>
      </c>
      <c r="H19">
        <v>22.703546661296262</v>
      </c>
      <c r="I19">
        <v>49.792996832654481</v>
      </c>
      <c r="J19">
        <v>602</v>
      </c>
      <c r="K19">
        <v>596</v>
      </c>
      <c r="L19">
        <v>-9.966777408637828E-3</v>
      </c>
      <c r="M19">
        <v>428394954.86000001</v>
      </c>
      <c r="N19">
        <v>397224075.52999997</v>
      </c>
      <c r="O19">
        <v>-7.2762013129185288E-2</v>
      </c>
      <c r="P19">
        <v>9.1958067459059101E-2</v>
      </c>
      <c r="Q19" t="s">
        <v>41</v>
      </c>
      <c r="R19">
        <v>0.26939999999999997</v>
      </c>
      <c r="S19">
        <v>7.000000000000001E-4</v>
      </c>
      <c r="T19">
        <v>0.33520000000000011</v>
      </c>
      <c r="U19">
        <v>0</v>
      </c>
      <c r="V19">
        <v>0.19950000000000001</v>
      </c>
      <c r="W19">
        <v>0</v>
      </c>
      <c r="X19">
        <v>5.1000000000000004E-3</v>
      </c>
      <c r="Y19">
        <v>2.23E-2</v>
      </c>
      <c r="Z19">
        <v>0</v>
      </c>
      <c r="AA19">
        <v>0.83220000000000005</v>
      </c>
      <c r="AC19">
        <f>IF(ISNUMBER(INDEX($A$2:$AA$62,18,MATCH('Para Piyasası'!$E$2,$A$1:$AA$1,0))),INDEX($A$2:$AA$62,18,MATCH('Para Piyasası'!$E$2,$A$1:$AA$1,0)),-1000000000)-ROW()/10000000</f>
        <v>0.11224813270611821</v>
      </c>
    </row>
    <row r="20" spans="1:29" x14ac:dyDescent="0.2">
      <c r="A20" t="s">
        <v>183</v>
      </c>
      <c r="B20" t="s">
        <v>184</v>
      </c>
      <c r="C20" t="s">
        <v>71</v>
      </c>
      <c r="D20">
        <v>1.4500000000000001E-2</v>
      </c>
      <c r="E20">
        <v>0.112237450662378</v>
      </c>
      <c r="F20">
        <v>0.73901384371273249</v>
      </c>
      <c r="G20">
        <v>3.4152655856893199</v>
      </c>
      <c r="H20">
        <v>22.175043298527001</v>
      </c>
      <c r="I20">
        <v>47.166791549087627</v>
      </c>
      <c r="J20">
        <v>310647</v>
      </c>
      <c r="K20">
        <v>309614</v>
      </c>
      <c r="L20">
        <v>-3.325317804453332E-3</v>
      </c>
      <c r="M20">
        <v>69699034326.160004</v>
      </c>
      <c r="N20">
        <v>68465269347.870003</v>
      </c>
      <c r="O20">
        <v>-1.7701320975503591E-2</v>
      </c>
      <c r="P20">
        <v>8.3637359255214247E-2</v>
      </c>
      <c r="Q20" t="s">
        <v>41</v>
      </c>
      <c r="R20">
        <v>0.31809999999999999</v>
      </c>
      <c r="S20">
        <v>0</v>
      </c>
      <c r="T20">
        <v>0.46050000000000002</v>
      </c>
      <c r="U20">
        <v>0</v>
      </c>
      <c r="V20">
        <v>0</v>
      </c>
      <c r="W20">
        <v>0</v>
      </c>
      <c r="X20">
        <v>2.53E-2</v>
      </c>
      <c r="Y20">
        <v>5.4000000000000003E-3</v>
      </c>
      <c r="Z20">
        <v>2.2000000000000001E-3</v>
      </c>
      <c r="AA20">
        <v>0.8115</v>
      </c>
      <c r="AC20">
        <f>IF(ISNUMBER(INDEX($A$2:$AA$62,19,MATCH('Para Piyasası'!$E$2,$A$1:$AA$1,0))),INDEX($A$2:$AA$62,19,MATCH('Para Piyasası'!$E$2,$A$1:$AA$1,0)),-1000000000)-ROW()/10000000</f>
        <v>0.112235450662378</v>
      </c>
    </row>
    <row r="21" spans="1:29" x14ac:dyDescent="0.2">
      <c r="A21" t="s">
        <v>185</v>
      </c>
      <c r="B21" t="s">
        <v>186</v>
      </c>
      <c r="C21" t="s">
        <v>187</v>
      </c>
      <c r="D21">
        <v>1.2500000000000001E-2</v>
      </c>
      <c r="E21">
        <v>0.1121819116399303</v>
      </c>
      <c r="F21">
        <v>0.76876170613404682</v>
      </c>
      <c r="G21">
        <v>3.5731749984611478</v>
      </c>
      <c r="H21">
        <v>25.00065589235745</v>
      </c>
      <c r="I21">
        <v>52.996173659090587</v>
      </c>
      <c r="J21">
        <v>1922</v>
      </c>
      <c r="K21">
        <v>1857</v>
      </c>
      <c r="L21">
        <v>-3.3818938605619131E-2</v>
      </c>
      <c r="M21">
        <v>679145197.61000001</v>
      </c>
      <c r="N21">
        <v>629485607.97000003</v>
      </c>
      <c r="O21">
        <v>-7.3120725604419401E-2</v>
      </c>
      <c r="P21">
        <v>8.4975783840720409E-2</v>
      </c>
      <c r="Q21" t="s">
        <v>41</v>
      </c>
      <c r="R21">
        <v>0.23180000000000001</v>
      </c>
      <c r="S21">
        <v>0</v>
      </c>
      <c r="T21">
        <v>0.29870000000000002</v>
      </c>
      <c r="U21">
        <v>0</v>
      </c>
      <c r="V21">
        <v>0.159</v>
      </c>
      <c r="W21">
        <v>0</v>
      </c>
      <c r="X21">
        <v>0</v>
      </c>
      <c r="Y21">
        <v>0.1178</v>
      </c>
      <c r="Z21">
        <v>0</v>
      </c>
      <c r="AA21">
        <v>0.80730000000000002</v>
      </c>
      <c r="AC21">
        <f>IF(ISNUMBER(INDEX($A$2:$AA$62,20,MATCH('Para Piyasası'!$E$2,$A$1:$AA$1,0))),INDEX($A$2:$AA$62,20,MATCH('Para Piyasası'!$E$2,$A$1:$AA$1,0)),-1000000000)-ROW()/10000000</f>
        <v>0.11217981163993029</v>
      </c>
    </row>
    <row r="22" spans="1:29" x14ac:dyDescent="0.2">
      <c r="A22" t="s">
        <v>188</v>
      </c>
      <c r="B22" t="s">
        <v>189</v>
      </c>
      <c r="C22" t="s">
        <v>190</v>
      </c>
      <c r="D22">
        <v>1.1299999999999999E-2</v>
      </c>
      <c r="E22">
        <v>0.1120286410718485</v>
      </c>
      <c r="F22">
        <v>0.75440460997795444</v>
      </c>
      <c r="G22">
        <v>3.600147261136621</v>
      </c>
      <c r="H22">
        <v>20.696186333616449</v>
      </c>
      <c r="I22">
        <v>45.741096276406743</v>
      </c>
      <c r="J22">
        <v>842</v>
      </c>
      <c r="K22">
        <v>840</v>
      </c>
      <c r="L22">
        <v>-2.3752969121140222E-3</v>
      </c>
      <c r="M22">
        <v>187801438.34999999</v>
      </c>
      <c r="N22">
        <v>149193257.56999999</v>
      </c>
      <c r="O22">
        <v>-0.20557979278117711</v>
      </c>
      <c r="P22">
        <v>8.4752293315559418E-2</v>
      </c>
      <c r="Q22" t="s">
        <v>41</v>
      </c>
      <c r="R22">
        <v>9.0999999999999998E-2</v>
      </c>
      <c r="S22">
        <v>0</v>
      </c>
      <c r="T22">
        <v>0.33739999999999998</v>
      </c>
      <c r="U22">
        <v>0</v>
      </c>
      <c r="V22">
        <v>0.1903</v>
      </c>
      <c r="W22">
        <v>0</v>
      </c>
      <c r="X22">
        <v>0</v>
      </c>
      <c r="Y22">
        <v>0.14549999999999999</v>
      </c>
      <c r="Z22">
        <v>0</v>
      </c>
      <c r="AA22">
        <v>0.76419999999999999</v>
      </c>
      <c r="AC22">
        <f>IF(ISNUMBER(INDEX($A$2:$AA$62,21,MATCH('Para Piyasası'!$E$2,$A$1:$AA$1,0))),INDEX($A$2:$AA$62,21,MATCH('Para Piyasası'!$E$2,$A$1:$AA$1,0)),-1000000000)-ROW()/10000000</f>
        <v>0.1120264410718485</v>
      </c>
    </row>
    <row r="23" spans="1:29" x14ac:dyDescent="0.2">
      <c r="A23" t="s">
        <v>191</v>
      </c>
      <c r="B23" t="s">
        <v>192</v>
      </c>
      <c r="C23" t="s">
        <v>87</v>
      </c>
      <c r="D23">
        <v>9.0000000000000011E-3</v>
      </c>
      <c r="E23">
        <v>0.1118239115710962</v>
      </c>
      <c r="F23">
        <v>0.74847699357538655</v>
      </c>
      <c r="G23">
        <v>3.459201011428048</v>
      </c>
      <c r="H23">
        <v>22.474831133589259</v>
      </c>
      <c r="I23">
        <v>47.547119722323842</v>
      </c>
      <c r="J23">
        <v>1580</v>
      </c>
      <c r="K23">
        <v>1556</v>
      </c>
      <c r="L23">
        <v>-1.5189873417721491E-2</v>
      </c>
      <c r="M23">
        <v>1970183368.0599999</v>
      </c>
      <c r="N23">
        <v>1699598133.47</v>
      </c>
      <c r="O23">
        <v>-0.13734012730827169</v>
      </c>
      <c r="P23">
        <v>8.487403458091658E-2</v>
      </c>
      <c r="Q23" t="s">
        <v>38</v>
      </c>
      <c r="R23">
        <v>0.38879999999999998</v>
      </c>
      <c r="S23">
        <v>0</v>
      </c>
      <c r="T23">
        <v>0.3589</v>
      </c>
      <c r="U23">
        <v>0</v>
      </c>
      <c r="V23">
        <v>0</v>
      </c>
      <c r="W23">
        <v>0</v>
      </c>
      <c r="X23">
        <v>5.1000000000000004E-3</v>
      </c>
      <c r="Y23">
        <v>5.0099999999999999E-2</v>
      </c>
      <c r="Z23">
        <v>0</v>
      </c>
      <c r="AA23">
        <v>0.80290000000000006</v>
      </c>
      <c r="AC23">
        <f>IF(ISNUMBER(INDEX($A$2:$AA$62,22,MATCH('Para Piyasası'!$E$2,$A$1:$AA$1,0))),INDEX($A$2:$AA$62,22,MATCH('Para Piyasası'!$E$2,$A$1:$AA$1,0)),-1000000000)-ROW()/10000000</f>
        <v>0.1118216115710962</v>
      </c>
    </row>
    <row r="24" spans="1:29" x14ac:dyDescent="0.2">
      <c r="A24" t="s">
        <v>193</v>
      </c>
      <c r="B24" t="s">
        <v>194</v>
      </c>
      <c r="C24" t="s">
        <v>195</v>
      </c>
      <c r="D24">
        <v>1.2500000000000001E-2</v>
      </c>
      <c r="E24">
        <v>0.1111943415175842</v>
      </c>
      <c r="F24">
        <v>0.78397475632925318</v>
      </c>
      <c r="G24">
        <v>3.4914408673293762</v>
      </c>
      <c r="H24">
        <v>22.281978976170191</v>
      </c>
      <c r="I24">
        <v>50.242165618842691</v>
      </c>
      <c r="J24">
        <v>336</v>
      </c>
      <c r="K24">
        <v>313</v>
      </c>
      <c r="L24">
        <v>-6.8452380952380931E-2</v>
      </c>
      <c r="M24">
        <v>621954607.16999996</v>
      </c>
      <c r="N24">
        <v>610199321.12</v>
      </c>
      <c r="O24">
        <v>-1.8900553054005838E-2</v>
      </c>
      <c r="P24">
        <v>8.7492336651440808E-2</v>
      </c>
      <c r="Q24" t="s">
        <v>41</v>
      </c>
      <c r="R24">
        <v>2.0000000000000001E-4</v>
      </c>
      <c r="S24">
        <v>0</v>
      </c>
      <c r="T24">
        <v>0.73299999999999998</v>
      </c>
      <c r="U24">
        <v>0</v>
      </c>
      <c r="V24">
        <v>1.1000000000000001E-3</v>
      </c>
      <c r="W24">
        <v>0</v>
      </c>
      <c r="X24">
        <v>0</v>
      </c>
      <c r="Y24">
        <v>0.11169999999999999</v>
      </c>
      <c r="Z24">
        <v>0</v>
      </c>
      <c r="AA24">
        <v>0.84599999999999997</v>
      </c>
      <c r="AC24">
        <f>IF(ISNUMBER(INDEX($A$2:$AA$62,23,MATCH('Para Piyasası'!$E$2,$A$1:$AA$1,0))),INDEX($A$2:$AA$62,23,MATCH('Para Piyasası'!$E$2,$A$1:$AA$1,0)),-1000000000)-ROW()/10000000</f>
        <v>0.1111919415175842</v>
      </c>
    </row>
    <row r="25" spans="1:29" x14ac:dyDescent="0.2">
      <c r="A25" t="s">
        <v>196</v>
      </c>
      <c r="B25" t="s">
        <v>197</v>
      </c>
      <c r="C25" t="s">
        <v>71</v>
      </c>
      <c r="D25">
        <v>4.8999999999999998E-3</v>
      </c>
      <c r="E25">
        <v>0.1109474304473945</v>
      </c>
      <c r="F25">
        <v>0.75912388969658906</v>
      </c>
      <c r="G25">
        <v>3.4420883112861622</v>
      </c>
      <c r="H25">
        <v>22.273172176115931</v>
      </c>
      <c r="I25">
        <v>47.804559159456247</v>
      </c>
      <c r="J25">
        <v>672</v>
      </c>
      <c r="K25">
        <v>644</v>
      </c>
      <c r="L25">
        <v>-4.166666666666663E-2</v>
      </c>
      <c r="M25">
        <v>8542661839.5600004</v>
      </c>
      <c r="N25">
        <v>8402119746.3000002</v>
      </c>
      <c r="O25">
        <v>-1.6451791713113059E-2</v>
      </c>
      <c r="P25">
        <v>8.6578808557024114E-2</v>
      </c>
      <c r="Q25" t="s">
        <v>41</v>
      </c>
      <c r="R25">
        <v>0.2959</v>
      </c>
      <c r="S25">
        <v>0</v>
      </c>
      <c r="T25">
        <v>0.45269999999999999</v>
      </c>
      <c r="U25">
        <v>0</v>
      </c>
      <c r="V25">
        <v>0</v>
      </c>
      <c r="W25">
        <v>0</v>
      </c>
      <c r="X25">
        <v>1.54E-2</v>
      </c>
      <c r="Y25">
        <v>0</v>
      </c>
      <c r="Z25">
        <v>0</v>
      </c>
      <c r="AA25">
        <v>0.76400000000000001</v>
      </c>
      <c r="AC25">
        <f>IF(ISNUMBER(INDEX($A$2:$AA$62,24,MATCH('Para Piyasası'!$E$2,$A$1:$AA$1,0))),INDEX($A$2:$AA$62,24,MATCH('Para Piyasası'!$E$2,$A$1:$AA$1,0)),-1000000000)-ROW()/10000000</f>
        <v>0.11094493044739449</v>
      </c>
    </row>
    <row r="26" spans="1:29" x14ac:dyDescent="0.2">
      <c r="A26" t="s">
        <v>198</v>
      </c>
      <c r="B26" t="s">
        <v>199</v>
      </c>
      <c r="C26" t="s">
        <v>68</v>
      </c>
      <c r="D26">
        <v>1.2999999999999999E-2</v>
      </c>
      <c r="E26">
        <v>0.1108154600452327</v>
      </c>
      <c r="F26">
        <v>0.74039016357305698</v>
      </c>
      <c r="G26">
        <v>3.4314051787259552</v>
      </c>
      <c r="H26">
        <v>21.766489824385431</v>
      </c>
      <c r="I26">
        <v>45.99736916283004</v>
      </c>
      <c r="J26">
        <v>8878</v>
      </c>
      <c r="K26">
        <v>8468</v>
      </c>
      <c r="L26">
        <v>-4.6181572426222117E-2</v>
      </c>
      <c r="M26">
        <v>3342750364.9200001</v>
      </c>
      <c r="N26">
        <v>3145665968.8299999</v>
      </c>
      <c r="O26">
        <v>-5.8958753892684679E-2</v>
      </c>
      <c r="P26">
        <v>8.4741619972194898E-2</v>
      </c>
      <c r="Q26" t="s">
        <v>38</v>
      </c>
      <c r="R26">
        <v>0.28050000000000003</v>
      </c>
      <c r="S26">
        <v>0</v>
      </c>
      <c r="T26">
        <v>0.46189999999999998</v>
      </c>
      <c r="U26">
        <v>0</v>
      </c>
      <c r="V26">
        <v>0</v>
      </c>
      <c r="W26">
        <v>0</v>
      </c>
      <c r="X26">
        <v>2.5999999999999999E-2</v>
      </c>
      <c r="Y26">
        <v>0.1144</v>
      </c>
      <c r="Z26">
        <v>0</v>
      </c>
      <c r="AA26">
        <v>0.88280000000000003</v>
      </c>
      <c r="AC26">
        <f>IF(ISNUMBER(INDEX($A$2:$AA$62,25,MATCH('Para Piyasası'!$E$2,$A$1:$AA$1,0))),INDEX($A$2:$AA$62,25,MATCH('Para Piyasası'!$E$2,$A$1:$AA$1,0)),-1000000000)-ROW()/10000000</f>
        <v>0.11081286004523269</v>
      </c>
    </row>
    <row r="27" spans="1:29" x14ac:dyDescent="0.2">
      <c r="A27" t="s">
        <v>200</v>
      </c>
      <c r="B27" t="s">
        <v>201</v>
      </c>
      <c r="C27" t="s">
        <v>138</v>
      </c>
      <c r="D27">
        <v>9.0000000000000011E-3</v>
      </c>
      <c r="E27">
        <v>0.11055264607757739</v>
      </c>
      <c r="F27">
        <v>0.7504856801772597</v>
      </c>
      <c r="G27">
        <v>3.488671387071296</v>
      </c>
      <c r="H27">
        <v>22.695248015987371</v>
      </c>
      <c r="I27">
        <v>48.287540657619552</v>
      </c>
      <c r="J27">
        <v>7021</v>
      </c>
      <c r="K27">
        <v>6718</v>
      </c>
      <c r="L27">
        <v>-4.3156245549067052E-2</v>
      </c>
      <c r="M27">
        <v>6948936074.46</v>
      </c>
      <c r="N27">
        <v>6954007048.5500002</v>
      </c>
      <c r="O27">
        <v>7.2974827162930467E-4</v>
      </c>
      <c r="P27">
        <v>8.4174374807981331E-2</v>
      </c>
      <c r="Q27" t="s">
        <v>38</v>
      </c>
      <c r="R27">
        <v>0.40029999999999999</v>
      </c>
      <c r="S27">
        <v>0</v>
      </c>
      <c r="T27">
        <v>0.14749999999999999</v>
      </c>
      <c r="U27">
        <v>0</v>
      </c>
      <c r="V27">
        <v>5.7799999999999997E-2</v>
      </c>
      <c r="W27">
        <v>0</v>
      </c>
      <c r="X27">
        <v>0.14810000000000001</v>
      </c>
      <c r="Y27">
        <v>5.1100000000000013E-2</v>
      </c>
      <c r="Z27">
        <v>0</v>
      </c>
      <c r="AA27">
        <v>0.80479999999999996</v>
      </c>
      <c r="AC27">
        <f>IF(ISNUMBER(INDEX($A$2:$AA$62,26,MATCH('Para Piyasası'!$E$2,$A$1:$AA$1,0))),INDEX($A$2:$AA$62,26,MATCH('Para Piyasası'!$E$2,$A$1:$AA$1,0)),-1000000000)-ROW()/10000000</f>
        <v>0.1105499460775774</v>
      </c>
    </row>
    <row r="28" spans="1:29" x14ac:dyDescent="0.2">
      <c r="A28" t="s">
        <v>202</v>
      </c>
      <c r="B28" t="s">
        <v>203</v>
      </c>
      <c r="C28" t="s">
        <v>87</v>
      </c>
      <c r="D28">
        <v>1.0999999999999999E-2</v>
      </c>
      <c r="E28">
        <v>0.1104743382529749</v>
      </c>
      <c r="F28">
        <v>0.7424614976865751</v>
      </c>
      <c r="G28">
        <v>3.4291374617238191</v>
      </c>
      <c r="H28">
        <v>22.29989611568379</v>
      </c>
      <c r="I28">
        <v>47.143242765236693</v>
      </c>
      <c r="J28">
        <v>17228</v>
      </c>
      <c r="K28">
        <v>16789</v>
      </c>
      <c r="L28">
        <v>-2.548177385651262E-2</v>
      </c>
      <c r="M28">
        <v>4452857210.5799999</v>
      </c>
      <c r="N28">
        <v>4447911591.5200005</v>
      </c>
      <c r="O28">
        <v>-1.1106619471760171E-3</v>
      </c>
      <c r="P28">
        <v>8.4079313730525559E-2</v>
      </c>
      <c r="Q28" t="s">
        <v>38</v>
      </c>
      <c r="R28">
        <v>0.34649999999999997</v>
      </c>
      <c r="S28">
        <v>0</v>
      </c>
      <c r="T28">
        <v>0.43190000000000001</v>
      </c>
      <c r="U28">
        <v>0</v>
      </c>
      <c r="V28">
        <v>0</v>
      </c>
      <c r="W28">
        <v>0</v>
      </c>
      <c r="X28">
        <v>1.1999999999999999E-3</v>
      </c>
      <c r="Y28">
        <v>1.0699999999999999E-2</v>
      </c>
      <c r="Z28">
        <v>0</v>
      </c>
      <c r="AA28">
        <v>0.79029999999999989</v>
      </c>
      <c r="AC28">
        <f>IF(ISNUMBER(INDEX($A$2:$AA$62,27,MATCH('Para Piyasası'!$E$2,$A$1:$AA$1,0))),INDEX($A$2:$AA$62,27,MATCH('Para Piyasası'!$E$2,$A$1:$AA$1,0)),-1000000000)-ROW()/10000000</f>
        <v>0.1104715382529749</v>
      </c>
    </row>
    <row r="29" spans="1:29" x14ac:dyDescent="0.2">
      <c r="A29" t="s">
        <v>204</v>
      </c>
      <c r="B29" t="s">
        <v>205</v>
      </c>
      <c r="C29" t="s">
        <v>79</v>
      </c>
      <c r="D29">
        <v>4.8999999999999998E-3</v>
      </c>
      <c r="E29">
        <v>0.1097455543177972</v>
      </c>
      <c r="F29">
        <v>0.76834467009812002</v>
      </c>
      <c r="G29">
        <v>3.5275551767153019</v>
      </c>
      <c r="H29">
        <v>22.88917347674186</v>
      </c>
      <c r="I29">
        <v>48.295012627656916</v>
      </c>
      <c r="J29">
        <v>19650</v>
      </c>
      <c r="K29">
        <v>19349</v>
      </c>
      <c r="L29">
        <v>-1.531806615776077E-2</v>
      </c>
      <c r="M29">
        <v>50431139436.260002</v>
      </c>
      <c r="N29">
        <v>47475464314.699997</v>
      </c>
      <c r="O29">
        <v>-5.8608136849568671E-2</v>
      </c>
      <c r="P29">
        <v>8.6289070513661234E-2</v>
      </c>
      <c r="Q29" t="s">
        <v>41</v>
      </c>
      <c r="R29">
        <v>0.4143</v>
      </c>
      <c r="S29">
        <v>0</v>
      </c>
      <c r="T29">
        <v>0.28839999999999999</v>
      </c>
      <c r="U29">
        <v>0</v>
      </c>
      <c r="V29">
        <v>4.8099999999999997E-2</v>
      </c>
      <c r="W29">
        <v>0</v>
      </c>
      <c r="X29">
        <v>2.1299999999999999E-2</v>
      </c>
      <c r="Y29">
        <v>2.18E-2</v>
      </c>
      <c r="Z29">
        <v>0</v>
      </c>
      <c r="AA29">
        <v>0.79389999999999994</v>
      </c>
      <c r="AC29">
        <f>IF(ISNUMBER(INDEX($A$2:$AA$62,28,MATCH('Para Piyasası'!$E$2,$A$1:$AA$1,0))),INDEX($A$2:$AA$62,28,MATCH('Para Piyasası'!$E$2,$A$1:$AA$1,0)),-1000000000)-ROW()/10000000</f>
        <v>0.1097426543177972</v>
      </c>
    </row>
    <row r="30" spans="1:29" x14ac:dyDescent="0.2">
      <c r="A30" t="s">
        <v>206</v>
      </c>
      <c r="B30" t="s">
        <v>207</v>
      </c>
      <c r="C30" t="s">
        <v>121</v>
      </c>
      <c r="D30">
        <v>1.2999999999999999E-2</v>
      </c>
      <c r="E30">
        <v>0.109436638734528</v>
      </c>
      <c r="F30">
        <v>0.74492362884179819</v>
      </c>
      <c r="G30">
        <v>3.48876194079073</v>
      </c>
      <c r="H30">
        <v>22.420872030656682</v>
      </c>
      <c r="I30">
        <v>47.50939669881771</v>
      </c>
      <c r="J30">
        <v>8081</v>
      </c>
      <c r="K30">
        <v>8139</v>
      </c>
      <c r="L30">
        <v>7.177329538423427E-3</v>
      </c>
      <c r="M30">
        <v>13131057304.75</v>
      </c>
      <c r="N30">
        <v>13599328928.030001</v>
      </c>
      <c r="O30">
        <v>3.5661379918783043E-2</v>
      </c>
      <c r="P30">
        <v>8.5315881176328129E-2</v>
      </c>
      <c r="Q30" t="s">
        <v>41</v>
      </c>
      <c r="R30">
        <v>0.36840000000000012</v>
      </c>
      <c r="S30">
        <v>0</v>
      </c>
      <c r="T30">
        <v>0</v>
      </c>
      <c r="U30">
        <v>0</v>
      </c>
      <c r="V30">
        <v>0.19159999999999999</v>
      </c>
      <c r="W30">
        <v>0</v>
      </c>
      <c r="X30">
        <v>4.4499999999999998E-2</v>
      </c>
      <c r="Y30">
        <v>0.19409999999999999</v>
      </c>
      <c r="Z30">
        <v>0</v>
      </c>
      <c r="AA30">
        <v>0.79860000000000009</v>
      </c>
      <c r="AC30">
        <f>IF(ISNUMBER(INDEX($A$2:$AA$62,29,MATCH('Para Piyasası'!$E$2,$A$1:$AA$1,0))),INDEX($A$2:$AA$62,29,MATCH('Para Piyasası'!$E$2,$A$1:$AA$1,0)),-1000000000)-ROW()/10000000</f>
        <v>0.10943363873452799</v>
      </c>
    </row>
    <row r="31" spans="1:29" x14ac:dyDescent="0.2">
      <c r="A31" t="s">
        <v>208</v>
      </c>
      <c r="B31" t="s">
        <v>209</v>
      </c>
      <c r="C31" t="s">
        <v>82</v>
      </c>
      <c r="D31">
        <v>1.4E-2</v>
      </c>
      <c r="E31">
        <v>0.10887813979767461</v>
      </c>
      <c r="F31">
        <v>0.71312524677695777</v>
      </c>
      <c r="G31">
        <v>3.297871165346145</v>
      </c>
      <c r="H31">
        <v>21.27290167448999</v>
      </c>
      <c r="I31">
        <v>45.800193008646019</v>
      </c>
      <c r="J31">
        <v>56994</v>
      </c>
      <c r="K31">
        <v>57808</v>
      </c>
      <c r="L31">
        <v>1.428220514440115E-2</v>
      </c>
      <c r="M31">
        <v>122071660846.34</v>
      </c>
      <c r="N31">
        <v>118338670507.48</v>
      </c>
      <c r="O31">
        <v>-3.0580319076341289E-2</v>
      </c>
      <c r="P31">
        <v>8.3992551817183014E-2</v>
      </c>
      <c r="Q31" t="s">
        <v>38</v>
      </c>
      <c r="R31">
        <v>0.2112</v>
      </c>
      <c r="S31">
        <v>0</v>
      </c>
      <c r="T31">
        <v>0.4904</v>
      </c>
      <c r="U31">
        <v>0</v>
      </c>
      <c r="V31">
        <v>0</v>
      </c>
      <c r="W31">
        <v>0</v>
      </c>
      <c r="X31">
        <v>5.9299999999999999E-2</v>
      </c>
      <c r="Y31">
        <v>1.43E-2</v>
      </c>
      <c r="Z31">
        <v>0</v>
      </c>
      <c r="AA31">
        <v>0.7752</v>
      </c>
      <c r="AC31">
        <f>IF(ISNUMBER(INDEX($A$2:$AA$62,30,MATCH('Para Piyasası'!$E$2,$A$1:$AA$1,0))),INDEX($A$2:$AA$62,30,MATCH('Para Piyasası'!$E$2,$A$1:$AA$1,0)),-1000000000)-ROW()/10000000</f>
        <v>0.1088750397976746</v>
      </c>
    </row>
    <row r="32" spans="1:29" x14ac:dyDescent="0.2">
      <c r="A32" t="s">
        <v>210</v>
      </c>
      <c r="B32" t="s">
        <v>211</v>
      </c>
      <c r="C32" t="s">
        <v>79</v>
      </c>
      <c r="D32">
        <v>1.2999999999999999E-2</v>
      </c>
      <c r="E32">
        <v>0.1088667759881812</v>
      </c>
      <c r="F32">
        <v>0.75379575293073042</v>
      </c>
      <c r="G32">
        <v>3.4713037200396091</v>
      </c>
      <c r="H32">
        <v>22.481531060866541</v>
      </c>
      <c r="I32">
        <v>47.27035542978706</v>
      </c>
      <c r="J32">
        <v>1031918</v>
      </c>
      <c r="K32">
        <v>1029553</v>
      </c>
      <c r="L32">
        <v>-2.2918487709294721E-3</v>
      </c>
      <c r="M32">
        <v>42680729982.849998</v>
      </c>
      <c r="N32">
        <v>43403749468.870003</v>
      </c>
      <c r="O32">
        <v>1.694018556642618E-2</v>
      </c>
      <c r="P32">
        <v>8.4957131126735266E-2</v>
      </c>
      <c r="Q32" t="s">
        <v>38</v>
      </c>
      <c r="R32">
        <v>0.43309999999999998</v>
      </c>
      <c r="S32">
        <v>0</v>
      </c>
      <c r="T32">
        <v>0.16039999999999999</v>
      </c>
      <c r="U32">
        <v>0</v>
      </c>
      <c r="V32">
        <v>0.15129999999999999</v>
      </c>
      <c r="W32">
        <v>0</v>
      </c>
      <c r="X32">
        <v>1.83E-2</v>
      </c>
      <c r="Y32">
        <v>2.3300000000000001E-2</v>
      </c>
      <c r="Z32">
        <v>0</v>
      </c>
      <c r="AA32">
        <v>0.7864000000000001</v>
      </c>
      <c r="AC32">
        <f>IF(ISNUMBER(INDEX($A$2:$AA$62,31,MATCH('Para Piyasası'!$E$2,$A$1:$AA$1,0))),INDEX($A$2:$AA$62,31,MATCH('Para Piyasası'!$E$2,$A$1:$AA$1,0)),-1000000000)-ROW()/10000000</f>
        <v>0.10886357598818121</v>
      </c>
    </row>
    <row r="33" spans="1:29" x14ac:dyDescent="0.2">
      <c r="A33" t="s">
        <v>212</v>
      </c>
      <c r="B33" t="s">
        <v>213</v>
      </c>
      <c r="C33" t="s">
        <v>124</v>
      </c>
      <c r="D33">
        <v>4.8999999999999998E-3</v>
      </c>
      <c r="E33">
        <v>0.1088540189226217</v>
      </c>
      <c r="F33">
        <v>0.75560615422978206</v>
      </c>
      <c r="G33">
        <v>3.5040379661742</v>
      </c>
      <c r="H33">
        <v>22.48409127441484</v>
      </c>
      <c r="I33">
        <v>47.921955205242867</v>
      </c>
      <c r="J33">
        <v>30090</v>
      </c>
      <c r="K33">
        <v>29361</v>
      </c>
      <c r="L33">
        <v>-2.4227318045862419E-2</v>
      </c>
      <c r="M33">
        <v>56225212069.739998</v>
      </c>
      <c r="N33">
        <v>61161618171.489998</v>
      </c>
      <c r="O33">
        <v>8.7797020589749586E-2</v>
      </c>
      <c r="P33">
        <v>8.2050736574631578E-2</v>
      </c>
      <c r="Q33" t="s">
        <v>41</v>
      </c>
      <c r="R33">
        <v>0.50060000000000004</v>
      </c>
      <c r="S33">
        <v>0</v>
      </c>
      <c r="T33">
        <v>0.28070000000000001</v>
      </c>
      <c r="U33">
        <v>0</v>
      </c>
      <c r="V33">
        <v>2.98E-2</v>
      </c>
      <c r="W33">
        <v>0</v>
      </c>
      <c r="X33">
        <v>2.5000000000000001E-3</v>
      </c>
      <c r="Y33">
        <v>1.6999999999999999E-3</v>
      </c>
      <c r="Z33">
        <v>0</v>
      </c>
      <c r="AA33">
        <v>0.81530000000000002</v>
      </c>
      <c r="AC33">
        <f>IF(ISNUMBER(INDEX($A$2:$AA$62,32,MATCH('Para Piyasası'!$E$2,$A$1:$AA$1,0))),INDEX($A$2:$AA$62,32,MATCH('Para Piyasası'!$E$2,$A$1:$AA$1,0)),-1000000000)-ROW()/10000000</f>
        <v>0.1088507189226217</v>
      </c>
    </row>
    <row r="34" spans="1:29" x14ac:dyDescent="0.2">
      <c r="A34" t="s">
        <v>214</v>
      </c>
      <c r="B34" t="s">
        <v>215</v>
      </c>
      <c r="C34" t="s">
        <v>116</v>
      </c>
      <c r="D34">
        <v>1.09E-2</v>
      </c>
      <c r="E34">
        <v>0.10828661241237821</v>
      </c>
      <c r="F34">
        <v>0.7537368347365847</v>
      </c>
      <c r="G34">
        <v>3.507191547375577</v>
      </c>
      <c r="H34">
        <v>22.987407655193142</v>
      </c>
      <c r="I34">
        <v>48.4993594319971</v>
      </c>
      <c r="J34">
        <v>736</v>
      </c>
      <c r="K34">
        <v>712</v>
      </c>
      <c r="L34">
        <v>-3.2608695652173947E-2</v>
      </c>
      <c r="M34">
        <v>395563103.13</v>
      </c>
      <c r="N34">
        <v>437501676.48000002</v>
      </c>
      <c r="O34">
        <v>0.1060224601792981</v>
      </c>
      <c r="P34">
        <v>8.2923461968257353E-2</v>
      </c>
      <c r="Q34" t="s">
        <v>41</v>
      </c>
      <c r="R34">
        <v>2.52E-2</v>
      </c>
      <c r="S34">
        <v>0</v>
      </c>
      <c r="T34">
        <v>0.51910000000000001</v>
      </c>
      <c r="U34">
        <v>0</v>
      </c>
      <c r="V34">
        <v>0</v>
      </c>
      <c r="W34">
        <v>0</v>
      </c>
      <c r="X34">
        <v>9.3200000000000005E-2</v>
      </c>
      <c r="Y34">
        <v>0.25309999999999999</v>
      </c>
      <c r="Z34">
        <v>0</v>
      </c>
      <c r="AA34">
        <v>0.89060000000000006</v>
      </c>
      <c r="AC34">
        <f>IF(ISNUMBER(INDEX($A$2:$AA$62,33,MATCH('Para Piyasası'!$E$2,$A$1:$AA$1,0))),INDEX($A$2:$AA$62,33,MATCH('Para Piyasası'!$E$2,$A$1:$AA$1,0)),-1000000000)-ROW()/10000000</f>
        <v>0.1082832124123782</v>
      </c>
    </row>
    <row r="35" spans="1:29" x14ac:dyDescent="0.2">
      <c r="A35" t="s">
        <v>216</v>
      </c>
      <c r="B35" t="s">
        <v>217</v>
      </c>
      <c r="C35" t="s">
        <v>90</v>
      </c>
      <c r="D35">
        <v>1.2500000000000001E-2</v>
      </c>
      <c r="E35">
        <v>0.1081978011735707</v>
      </c>
      <c r="F35">
        <v>0.74559299936818313</v>
      </c>
      <c r="G35">
        <v>3.456826935217538</v>
      </c>
      <c r="H35">
        <v>22.325693757166889</v>
      </c>
      <c r="I35">
        <v>47.18891562972054</v>
      </c>
      <c r="J35">
        <v>24397</v>
      </c>
      <c r="K35">
        <v>24420</v>
      </c>
      <c r="L35">
        <v>9.4273886133544593E-4</v>
      </c>
      <c r="M35">
        <v>23727534968.849998</v>
      </c>
      <c r="N35">
        <v>24915595161.639999</v>
      </c>
      <c r="O35">
        <v>5.0070948977620773E-2</v>
      </c>
      <c r="P35">
        <v>8.4903277649886769E-2</v>
      </c>
      <c r="Q35" t="s">
        <v>41</v>
      </c>
      <c r="R35">
        <v>0.26469999999999999</v>
      </c>
      <c r="S35">
        <v>0</v>
      </c>
      <c r="T35">
        <v>0.53590000000000004</v>
      </c>
      <c r="U35">
        <v>0</v>
      </c>
      <c r="V35">
        <v>9.1600000000000001E-2</v>
      </c>
      <c r="W35">
        <v>0</v>
      </c>
      <c r="X35">
        <v>0</v>
      </c>
      <c r="Y35">
        <v>0</v>
      </c>
      <c r="Z35">
        <v>0</v>
      </c>
      <c r="AA35">
        <v>0.89219999999999999</v>
      </c>
      <c r="AC35">
        <f>IF(ISNUMBER(INDEX($A$2:$AA$62,34,MATCH('Para Piyasası'!$E$2,$A$1:$AA$1,0))),INDEX($A$2:$AA$62,34,MATCH('Para Piyasası'!$E$2,$A$1:$AA$1,0)),-1000000000)-ROW()/10000000</f>
        <v>0.10819430117357069</v>
      </c>
    </row>
    <row r="36" spans="1:29" x14ac:dyDescent="0.2">
      <c r="A36" t="s">
        <v>218</v>
      </c>
      <c r="B36" t="s">
        <v>219</v>
      </c>
      <c r="C36" t="s">
        <v>37</v>
      </c>
      <c r="D36">
        <v>1.0500000000000001E-2</v>
      </c>
      <c r="E36">
        <v>0.10814677952117881</v>
      </c>
      <c r="F36">
        <v>0.72857830119801292</v>
      </c>
      <c r="G36">
        <v>3.4429247623364518</v>
      </c>
      <c r="H36">
        <v>22.549144999689322</v>
      </c>
      <c r="I36">
        <v>48.355220805090362</v>
      </c>
      <c r="J36">
        <v>3001</v>
      </c>
      <c r="K36">
        <v>2917</v>
      </c>
      <c r="L36">
        <v>-2.7990669776741139E-2</v>
      </c>
      <c r="M36">
        <v>2788445356</v>
      </c>
      <c r="N36">
        <v>3180241027.23</v>
      </c>
      <c r="O36">
        <v>0.14050684923301751</v>
      </c>
      <c r="P36">
        <v>8.3662680877020099E-2</v>
      </c>
      <c r="Q36" t="s">
        <v>41</v>
      </c>
      <c r="R36">
        <v>1.1999999999999999E-3</v>
      </c>
      <c r="S36">
        <v>0</v>
      </c>
      <c r="T36">
        <v>0.7661</v>
      </c>
      <c r="U36">
        <v>0</v>
      </c>
      <c r="V36">
        <v>3.2899999999999999E-2</v>
      </c>
      <c r="W36">
        <v>0</v>
      </c>
      <c r="X36">
        <v>0</v>
      </c>
      <c r="Y36">
        <v>7.7899999999999997E-2</v>
      </c>
      <c r="Z36">
        <v>0</v>
      </c>
      <c r="AA36">
        <v>0.87809999999999999</v>
      </c>
      <c r="AC36">
        <f>IF(ISNUMBER(INDEX($A$2:$AA$62,35,MATCH('Para Piyasası'!$E$2,$A$1:$AA$1,0))),INDEX($A$2:$AA$62,35,MATCH('Para Piyasası'!$E$2,$A$1:$AA$1,0)),-1000000000)-ROW()/10000000</f>
        <v>0.1081431795211788</v>
      </c>
    </row>
    <row r="37" spans="1:29" x14ac:dyDescent="0.2">
      <c r="A37" t="s">
        <v>220</v>
      </c>
      <c r="B37" t="s">
        <v>221</v>
      </c>
      <c r="C37" t="s">
        <v>62</v>
      </c>
      <c r="D37">
        <v>8.8999999999999999E-3</v>
      </c>
      <c r="E37">
        <v>0.10789453094437459</v>
      </c>
      <c r="F37">
        <v>0.76579057487715652</v>
      </c>
      <c r="G37">
        <v>3.613955356593324</v>
      </c>
      <c r="H37">
        <v>23.354982806825841</v>
      </c>
      <c r="I37">
        <v>49.47673522031095</v>
      </c>
      <c r="J37">
        <v>2408</v>
      </c>
      <c r="K37">
        <v>2367</v>
      </c>
      <c r="L37">
        <v>-1.7026578073089719E-2</v>
      </c>
      <c r="M37">
        <v>2425890805.52</v>
      </c>
      <c r="N37">
        <v>2157676603.7800002</v>
      </c>
      <c r="O37">
        <v>-0.1105631799789549</v>
      </c>
      <c r="P37">
        <v>8.5635127615862158E-2</v>
      </c>
      <c r="Q37" t="s">
        <v>41</v>
      </c>
      <c r="R37">
        <v>0.24149999999999999</v>
      </c>
      <c r="S37">
        <v>0</v>
      </c>
      <c r="T37">
        <v>0.29699999999999999</v>
      </c>
      <c r="U37">
        <v>0</v>
      </c>
      <c r="V37">
        <v>0</v>
      </c>
      <c r="W37">
        <v>0</v>
      </c>
      <c r="X37">
        <v>7.17E-2</v>
      </c>
      <c r="Y37">
        <v>0.1668</v>
      </c>
      <c r="Z37">
        <v>9.3999999999999986E-3</v>
      </c>
      <c r="AA37">
        <v>0.78639999999999999</v>
      </c>
      <c r="AC37">
        <f>IF(ISNUMBER(INDEX($A$2:$AA$62,36,MATCH('Para Piyasası'!$E$2,$A$1:$AA$1,0))),INDEX($A$2:$AA$62,36,MATCH('Para Piyasası'!$E$2,$A$1:$AA$1,0)),-1000000000)-ROW()/10000000</f>
        <v>0.1078908309443746</v>
      </c>
    </row>
    <row r="38" spans="1:29" x14ac:dyDescent="0.2">
      <c r="A38" t="s">
        <v>222</v>
      </c>
      <c r="B38" t="s">
        <v>223</v>
      </c>
      <c r="C38" t="s">
        <v>59</v>
      </c>
      <c r="D38">
        <v>9.0000000000000011E-3</v>
      </c>
      <c r="E38">
        <v>0.1077519482805656</v>
      </c>
      <c r="F38">
        <v>0.75004725566938379</v>
      </c>
      <c r="G38">
        <v>3.4462554607079592</v>
      </c>
      <c r="H38">
        <v>22.817585726515151</v>
      </c>
      <c r="I38">
        <v>48.948000683593598</v>
      </c>
      <c r="J38">
        <v>3621</v>
      </c>
      <c r="K38">
        <v>3471</v>
      </c>
      <c r="L38">
        <v>-4.1425020712510308E-2</v>
      </c>
      <c r="M38">
        <v>7436647923.6499996</v>
      </c>
      <c r="N38">
        <v>6543476838.3999996</v>
      </c>
      <c r="O38">
        <v>-0.1201039896496298</v>
      </c>
      <c r="P38">
        <v>8.5710264204913358E-2</v>
      </c>
      <c r="Q38" t="s">
        <v>41</v>
      </c>
      <c r="R38">
        <v>0.27860000000000001</v>
      </c>
      <c r="S38">
        <v>0</v>
      </c>
      <c r="T38">
        <v>0.46520000000000011</v>
      </c>
      <c r="U38">
        <v>0</v>
      </c>
      <c r="V38">
        <v>3.3599999999999998E-2</v>
      </c>
      <c r="W38">
        <v>0</v>
      </c>
      <c r="X38">
        <v>1.6999999999999999E-3</v>
      </c>
      <c r="Y38">
        <v>9.5700000000000007E-2</v>
      </c>
      <c r="Z38">
        <v>0</v>
      </c>
      <c r="AA38">
        <v>0.87480000000000002</v>
      </c>
      <c r="AC38">
        <f>IF(ISNUMBER(INDEX($A$2:$AA$62,37,MATCH('Para Piyasası'!$E$2,$A$1:$AA$1,0))),INDEX($A$2:$AA$62,37,MATCH('Para Piyasası'!$E$2,$A$1:$AA$1,0)),-1000000000)-ROW()/10000000</f>
        <v>0.1077481482805656</v>
      </c>
    </row>
    <row r="39" spans="1:29" x14ac:dyDescent="0.2">
      <c r="A39" t="s">
        <v>224</v>
      </c>
      <c r="B39" t="s">
        <v>225</v>
      </c>
      <c r="C39" t="s">
        <v>138</v>
      </c>
      <c r="D39">
        <v>1.4200000000000001E-2</v>
      </c>
      <c r="E39">
        <v>0.1076859714961742</v>
      </c>
      <c r="F39">
        <v>0.73633767674912143</v>
      </c>
      <c r="G39">
        <v>3.4216621847843021</v>
      </c>
      <c r="H39">
        <v>22.029599100016579</v>
      </c>
      <c r="I39">
        <v>46.876679199745809</v>
      </c>
      <c r="J39">
        <v>229307</v>
      </c>
      <c r="K39">
        <v>230478</v>
      </c>
      <c r="L39">
        <v>5.1066910299293333E-3</v>
      </c>
      <c r="M39">
        <v>185181374422.31</v>
      </c>
      <c r="N39">
        <v>196765775312.57999</v>
      </c>
      <c r="O39">
        <v>6.2557052113953571E-2</v>
      </c>
      <c r="P39">
        <v>8.3364629147924876E-2</v>
      </c>
      <c r="Q39" t="s">
        <v>38</v>
      </c>
      <c r="R39">
        <v>0.41460000000000002</v>
      </c>
      <c r="S39">
        <v>0</v>
      </c>
      <c r="T39">
        <v>0.33950000000000002</v>
      </c>
      <c r="U39">
        <v>0</v>
      </c>
      <c r="V39">
        <v>8.6999999999999994E-3</v>
      </c>
      <c r="W39">
        <v>0</v>
      </c>
      <c r="X39">
        <v>7.6E-3</v>
      </c>
      <c r="Y39">
        <v>1.9199999999999998E-2</v>
      </c>
      <c r="Z39">
        <v>0</v>
      </c>
      <c r="AA39">
        <v>0.78960000000000008</v>
      </c>
      <c r="AC39">
        <f>IF(ISNUMBER(INDEX($A$2:$AA$62,38,MATCH('Para Piyasası'!$E$2,$A$1:$AA$1,0))),INDEX($A$2:$AA$62,38,MATCH('Para Piyasası'!$E$2,$A$1:$AA$1,0)),-1000000000)-ROW()/10000000</f>
        <v>0.1076820714961742</v>
      </c>
    </row>
    <row r="40" spans="1:29" x14ac:dyDescent="0.2">
      <c r="A40" t="s">
        <v>226</v>
      </c>
      <c r="B40" t="s">
        <v>227</v>
      </c>
      <c r="C40" t="s">
        <v>228</v>
      </c>
      <c r="D40">
        <v>1.2999999999999999E-2</v>
      </c>
      <c r="E40">
        <v>0.10750675264281639</v>
      </c>
      <c r="F40">
        <v>0.74516415242338319</v>
      </c>
      <c r="G40">
        <v>3.4463822827497159</v>
      </c>
      <c r="H40">
        <v>22.221918666287841</v>
      </c>
      <c r="I40">
        <v>47.312759020405522</v>
      </c>
      <c r="J40">
        <v>51877</v>
      </c>
      <c r="K40">
        <v>51614</v>
      </c>
      <c r="L40">
        <v>-5.0696840603735582E-3</v>
      </c>
      <c r="M40">
        <v>95830436954.979996</v>
      </c>
      <c r="N40">
        <v>100444049546.67999</v>
      </c>
      <c r="O40">
        <v>4.8143499479893048E-2</v>
      </c>
      <c r="P40">
        <v>8.4256167507498633E-2</v>
      </c>
      <c r="Q40" t="s">
        <v>38</v>
      </c>
      <c r="R40">
        <v>0.42870000000000003</v>
      </c>
      <c r="S40">
        <v>0</v>
      </c>
      <c r="T40">
        <v>0.32600000000000001</v>
      </c>
      <c r="U40">
        <v>0</v>
      </c>
      <c r="V40">
        <v>4.0000000000000001E-3</v>
      </c>
      <c r="W40">
        <v>0</v>
      </c>
      <c r="X40">
        <v>3.3700000000000001E-2</v>
      </c>
      <c r="Y40">
        <v>4.7600000000000003E-2</v>
      </c>
      <c r="Z40">
        <v>2.3E-3</v>
      </c>
      <c r="AA40">
        <v>0.84229999999999994</v>
      </c>
      <c r="AC40">
        <f>IF(ISNUMBER(INDEX($A$2:$AA$62,39,MATCH('Para Piyasası'!$E$2,$A$1:$AA$1,0))),INDEX($A$2:$AA$62,39,MATCH('Para Piyasası'!$E$2,$A$1:$AA$1,0)),-1000000000)-ROW()/10000000</f>
        <v>0.10750275264281639</v>
      </c>
    </row>
    <row r="41" spans="1:29" x14ac:dyDescent="0.2">
      <c r="A41" t="s">
        <v>229</v>
      </c>
      <c r="B41" t="s">
        <v>230</v>
      </c>
      <c r="C41" t="s">
        <v>47</v>
      </c>
      <c r="D41">
        <v>1.2500000000000001E-2</v>
      </c>
      <c r="E41">
        <v>0.10749631314299619</v>
      </c>
      <c r="F41">
        <v>0.74744964102748668</v>
      </c>
      <c r="G41">
        <v>3.4572038469483868</v>
      </c>
      <c r="H41">
        <v>22.370457248041191</v>
      </c>
      <c r="I41">
        <v>47.644472979081662</v>
      </c>
      <c r="J41">
        <v>4824</v>
      </c>
      <c r="K41">
        <v>4744</v>
      </c>
      <c r="L41">
        <v>-1.6583747927031541E-2</v>
      </c>
      <c r="M41">
        <v>3267072795.7600002</v>
      </c>
      <c r="N41">
        <v>3246711042.02</v>
      </c>
      <c r="O41">
        <v>-6.2324150739542228E-3</v>
      </c>
      <c r="P41">
        <v>8.473804504174709E-2</v>
      </c>
      <c r="Q41" t="s">
        <v>41</v>
      </c>
      <c r="R41">
        <v>0.45329999999999998</v>
      </c>
      <c r="S41">
        <v>0</v>
      </c>
      <c r="T41">
        <v>0</v>
      </c>
      <c r="U41">
        <v>0</v>
      </c>
      <c r="V41">
        <v>0.13020000000000001</v>
      </c>
      <c r="W41">
        <v>0</v>
      </c>
      <c r="X41">
        <v>4.8999999999999998E-3</v>
      </c>
      <c r="Y41">
        <v>0.21129999999999999</v>
      </c>
      <c r="Z41">
        <v>0</v>
      </c>
      <c r="AA41">
        <v>0.79969999999999997</v>
      </c>
      <c r="AC41">
        <f>IF(ISNUMBER(INDEX($A$2:$AA$62,40,MATCH('Para Piyasası'!$E$2,$A$1:$AA$1,0))),INDEX($A$2:$AA$62,40,MATCH('Para Piyasası'!$E$2,$A$1:$AA$1,0)),-1000000000)-ROW()/10000000</f>
        <v>0.10749221314299619</v>
      </c>
    </row>
    <row r="42" spans="1:29" x14ac:dyDescent="0.2">
      <c r="A42" t="s">
        <v>231</v>
      </c>
      <c r="B42" t="s">
        <v>232</v>
      </c>
      <c r="C42" t="s">
        <v>79</v>
      </c>
      <c r="D42">
        <v>1.2999999999999999E-2</v>
      </c>
      <c r="E42">
        <v>0.10716334108129549</v>
      </c>
      <c r="F42">
        <v>0.75117156940931462</v>
      </c>
      <c r="G42">
        <v>3.4759817152128609</v>
      </c>
      <c r="H42">
        <v>22.425059066745408</v>
      </c>
      <c r="I42">
        <v>47.148546263325429</v>
      </c>
      <c r="J42">
        <v>174956</v>
      </c>
      <c r="K42">
        <v>177586</v>
      </c>
      <c r="L42">
        <v>1.5032350991106339E-2</v>
      </c>
      <c r="M42">
        <v>73550068170.300003</v>
      </c>
      <c r="N42">
        <v>81585909149.25</v>
      </c>
      <c r="O42">
        <v>0.1092567441316787</v>
      </c>
      <c r="P42">
        <v>8.5220609005413742E-2</v>
      </c>
      <c r="Q42" t="s">
        <v>38</v>
      </c>
      <c r="R42">
        <v>0.41139999999999999</v>
      </c>
      <c r="S42">
        <v>0</v>
      </c>
      <c r="T42">
        <v>0.2379</v>
      </c>
      <c r="U42">
        <v>0</v>
      </c>
      <c r="V42">
        <v>0.1118</v>
      </c>
      <c r="W42">
        <v>0</v>
      </c>
      <c r="X42">
        <v>1.4999999999999999E-2</v>
      </c>
      <c r="Y42">
        <v>2.5499999999999998E-2</v>
      </c>
      <c r="Z42">
        <v>0</v>
      </c>
      <c r="AA42">
        <v>0.80159999999999998</v>
      </c>
      <c r="AC42">
        <f>IF(ISNUMBER(INDEX($A$2:$AA$62,41,MATCH('Para Piyasası'!$E$2,$A$1:$AA$1,0))),INDEX($A$2:$AA$62,41,MATCH('Para Piyasası'!$E$2,$A$1:$AA$1,0)),-1000000000)-ROW()/10000000</f>
        <v>0.1071591410812955</v>
      </c>
    </row>
    <row r="43" spans="1:29" x14ac:dyDescent="0.2">
      <c r="A43" t="s">
        <v>233</v>
      </c>
      <c r="B43" t="s">
        <v>234</v>
      </c>
      <c r="C43" t="s">
        <v>235</v>
      </c>
      <c r="D43">
        <v>3.0000000000000001E-3</v>
      </c>
      <c r="E43">
        <v>0.1070434064327275</v>
      </c>
      <c r="F43">
        <v>0.74734265197828886</v>
      </c>
      <c r="G43">
        <v>3.5032647825370189</v>
      </c>
      <c r="H43">
        <v>22.80144197396357</v>
      </c>
      <c r="I43">
        <v>48.171824913116311</v>
      </c>
      <c r="J43">
        <v>484</v>
      </c>
      <c r="K43">
        <v>487</v>
      </c>
      <c r="L43">
        <v>6.1983471074380514E-3</v>
      </c>
      <c r="M43">
        <v>3006632049</v>
      </c>
      <c r="N43">
        <v>3260884202.5</v>
      </c>
      <c r="O43">
        <v>8.4563774135436365E-2</v>
      </c>
      <c r="P43">
        <v>8.4021760323839303E-2</v>
      </c>
      <c r="Q43" t="s">
        <v>41</v>
      </c>
      <c r="R43">
        <v>0.1565</v>
      </c>
      <c r="S43">
        <v>0</v>
      </c>
      <c r="T43">
        <v>0.71849999999999992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0.87499999999999989</v>
      </c>
      <c r="AC43">
        <f>IF(ISNUMBER(INDEX($A$2:$AA$62,42,MATCH('Para Piyasası'!$E$2,$A$1:$AA$1,0))),INDEX($A$2:$AA$62,42,MATCH('Para Piyasası'!$E$2,$A$1:$AA$1,0)),-1000000000)-ROW()/10000000</f>
        <v>0.1070391064327275</v>
      </c>
    </row>
    <row r="44" spans="1:29" x14ac:dyDescent="0.2">
      <c r="A44" t="s">
        <v>236</v>
      </c>
      <c r="B44" t="s">
        <v>237</v>
      </c>
      <c r="C44" t="s">
        <v>59</v>
      </c>
      <c r="D44">
        <v>1.2999999999999999E-2</v>
      </c>
      <c r="E44">
        <v>0.1069818225977404</v>
      </c>
      <c r="F44">
        <v>0.74602036214150846</v>
      </c>
      <c r="G44">
        <v>3.4361270461881639</v>
      </c>
      <c r="H44">
        <v>22.527707213991871</v>
      </c>
      <c r="I44">
        <v>48.449113007545748</v>
      </c>
      <c r="J44">
        <v>5029</v>
      </c>
      <c r="K44">
        <v>4869</v>
      </c>
      <c r="L44">
        <v>-3.1815470272419932E-2</v>
      </c>
      <c r="M44">
        <v>5727971695.6000004</v>
      </c>
      <c r="N44">
        <v>6076340538.6999998</v>
      </c>
      <c r="O44">
        <v>6.0818883474512031E-2</v>
      </c>
      <c r="P44">
        <v>8.5258815620813902E-2</v>
      </c>
      <c r="Q44" t="s">
        <v>41</v>
      </c>
      <c r="R44">
        <v>0.31940000000000002</v>
      </c>
      <c r="S44">
        <v>0</v>
      </c>
      <c r="T44">
        <v>0.39939999999999998</v>
      </c>
      <c r="U44">
        <v>0</v>
      </c>
      <c r="V44">
        <v>5.1900000000000002E-2</v>
      </c>
      <c r="W44">
        <v>0</v>
      </c>
      <c r="X44">
        <v>1.8E-3</v>
      </c>
      <c r="Y44">
        <v>9.7599999999999992E-2</v>
      </c>
      <c r="Z44">
        <v>0</v>
      </c>
      <c r="AA44">
        <v>0.87009999999999998</v>
      </c>
      <c r="AC44">
        <f>IF(ISNUMBER(INDEX($A$2:$AA$62,43,MATCH('Para Piyasası'!$E$2,$A$1:$AA$1,0))),INDEX($A$2:$AA$62,43,MATCH('Para Piyasası'!$E$2,$A$1:$AA$1,0)),-1000000000)-ROW()/10000000</f>
        <v>0.1069774225977404</v>
      </c>
    </row>
    <row r="45" spans="1:29" x14ac:dyDescent="0.2">
      <c r="A45" t="s">
        <v>238</v>
      </c>
      <c r="B45" t="s">
        <v>239</v>
      </c>
      <c r="C45" t="s">
        <v>228</v>
      </c>
      <c r="D45">
        <v>1.2999999999999999E-2</v>
      </c>
      <c r="E45">
        <v>0.10696322215744131</v>
      </c>
      <c r="F45">
        <v>0.73330516472711604</v>
      </c>
      <c r="G45">
        <v>3.391817028851118</v>
      </c>
      <c r="H45">
        <v>21.960037208528881</v>
      </c>
      <c r="I45">
        <v>47.381729239582008</v>
      </c>
      <c r="J45">
        <v>2487</v>
      </c>
      <c r="K45">
        <v>2412</v>
      </c>
      <c r="L45">
        <v>-3.0156815440289478E-2</v>
      </c>
      <c r="M45">
        <v>6146421092.3100004</v>
      </c>
      <c r="N45">
        <v>5282547190.0600004</v>
      </c>
      <c r="O45">
        <v>-0.14054909178461961</v>
      </c>
      <c r="P45">
        <v>8.2400603366677275E-2</v>
      </c>
      <c r="Q45" t="s">
        <v>41</v>
      </c>
      <c r="R45">
        <v>0.39629999999999999</v>
      </c>
      <c r="S45">
        <v>0</v>
      </c>
      <c r="T45">
        <v>4.5499999999999999E-2</v>
      </c>
      <c r="U45">
        <v>0</v>
      </c>
      <c r="V45">
        <v>3.32E-2</v>
      </c>
      <c r="W45">
        <v>0</v>
      </c>
      <c r="X45">
        <v>0.1031</v>
      </c>
      <c r="Y45">
        <v>7.6299999999999993E-2</v>
      </c>
      <c r="Z45">
        <v>6.7000000000000002E-3</v>
      </c>
      <c r="AA45">
        <v>0.66110000000000002</v>
      </c>
      <c r="AC45">
        <f>IF(ISNUMBER(INDEX($A$2:$AA$62,44,MATCH('Para Piyasası'!$E$2,$A$1:$AA$1,0))),INDEX($A$2:$AA$62,44,MATCH('Para Piyasası'!$E$2,$A$1:$AA$1,0)),-1000000000)-ROW()/10000000</f>
        <v>0.1069587221574413</v>
      </c>
    </row>
    <row r="46" spans="1:29" x14ac:dyDescent="0.2">
      <c r="A46" t="s">
        <v>240</v>
      </c>
      <c r="B46" t="s">
        <v>241</v>
      </c>
      <c r="C46" t="s">
        <v>124</v>
      </c>
      <c r="D46">
        <v>1.5299999999999999E-2</v>
      </c>
      <c r="E46">
        <v>0.1068572331043738</v>
      </c>
      <c r="F46">
        <v>0.73696363869140136</v>
      </c>
      <c r="G46">
        <v>3.4507230349848821</v>
      </c>
      <c r="H46">
        <v>22.126790748081191</v>
      </c>
      <c r="I46">
        <v>46.762006227652847</v>
      </c>
      <c r="J46">
        <v>139040</v>
      </c>
      <c r="K46">
        <v>145744</v>
      </c>
      <c r="L46">
        <v>4.8216340621404008E-2</v>
      </c>
      <c r="M46">
        <v>75467696582.699997</v>
      </c>
      <c r="N46">
        <v>77856043687.229996</v>
      </c>
      <c r="O46">
        <v>3.1647277082490037E-2</v>
      </c>
      <c r="P46">
        <v>8.1106342614121613E-2</v>
      </c>
      <c r="Q46" t="s">
        <v>38</v>
      </c>
      <c r="R46">
        <v>0.48680000000000001</v>
      </c>
      <c r="S46">
        <v>0</v>
      </c>
      <c r="T46">
        <v>0.28420000000000001</v>
      </c>
      <c r="U46">
        <v>0</v>
      </c>
      <c r="V46">
        <v>1.3100000000000001E-2</v>
      </c>
      <c r="W46">
        <v>0</v>
      </c>
      <c r="X46">
        <v>3.5000000000000001E-3</v>
      </c>
      <c r="Y46">
        <v>9.4999999999999998E-3</v>
      </c>
      <c r="Z46">
        <v>0</v>
      </c>
      <c r="AA46">
        <v>0.79710000000000003</v>
      </c>
      <c r="AC46">
        <f>IF(ISNUMBER(INDEX($A$2:$AA$62,45,MATCH('Para Piyasası'!$E$2,$A$1:$AA$1,0))),INDEX($A$2:$AA$62,45,MATCH('Para Piyasası'!$E$2,$A$1:$AA$1,0)),-1000000000)-ROW()/10000000</f>
        <v>0.1068526331043738</v>
      </c>
    </row>
    <row r="47" spans="1:29" x14ac:dyDescent="0.2">
      <c r="A47" t="s">
        <v>242</v>
      </c>
      <c r="B47" t="s">
        <v>243</v>
      </c>
      <c r="C47" t="s">
        <v>90</v>
      </c>
      <c r="D47">
        <v>1.2E-2</v>
      </c>
      <c r="E47">
        <v>0.106321181333624</v>
      </c>
      <c r="F47">
        <v>0.75448777206135187</v>
      </c>
      <c r="G47">
        <v>3.503054240487002</v>
      </c>
      <c r="H47">
        <v>22.848152845042911</v>
      </c>
      <c r="I47">
        <v>47.741081104481758</v>
      </c>
      <c r="J47">
        <v>1065</v>
      </c>
      <c r="K47">
        <v>1118</v>
      </c>
      <c r="L47">
        <v>4.9765258215962449E-2</v>
      </c>
      <c r="M47">
        <v>1753355095.6600001</v>
      </c>
      <c r="N47">
        <v>1897117385.46</v>
      </c>
      <c r="O47">
        <v>8.1992683715836012E-2</v>
      </c>
      <c r="P47">
        <v>8.426729365023744E-2</v>
      </c>
      <c r="Q47" t="s">
        <v>38</v>
      </c>
      <c r="R47">
        <v>0</v>
      </c>
      <c r="S47">
        <v>0</v>
      </c>
      <c r="T47">
        <v>0.79069999999999996</v>
      </c>
      <c r="U47">
        <v>0</v>
      </c>
      <c r="V47">
        <v>9.0299999999999991E-2</v>
      </c>
      <c r="W47">
        <v>0</v>
      </c>
      <c r="X47">
        <v>0</v>
      </c>
      <c r="Y47">
        <v>0</v>
      </c>
      <c r="Z47">
        <v>0</v>
      </c>
      <c r="AA47">
        <v>0.88100000000000001</v>
      </c>
      <c r="AC47">
        <f>IF(ISNUMBER(INDEX($A$2:$AA$62,46,MATCH('Para Piyasası'!$E$2,$A$1:$AA$1,0))),INDEX($A$2:$AA$62,46,MATCH('Para Piyasası'!$E$2,$A$1:$AA$1,0)),-1000000000)-ROW()/10000000</f>
        <v>0.10631648133362401</v>
      </c>
    </row>
    <row r="48" spans="1:29" x14ac:dyDescent="0.2">
      <c r="A48" t="s">
        <v>244</v>
      </c>
      <c r="B48" t="s">
        <v>245</v>
      </c>
      <c r="C48" t="s">
        <v>74</v>
      </c>
      <c r="D48">
        <v>0.01</v>
      </c>
      <c r="E48">
        <v>0.1061581195694217</v>
      </c>
      <c r="F48">
        <v>0.73681026397371951</v>
      </c>
      <c r="G48">
        <v>3.398427919358515</v>
      </c>
      <c r="H48">
        <v>22.34021027721225</v>
      </c>
      <c r="I48">
        <v>47.303821976545059</v>
      </c>
      <c r="J48">
        <v>953</v>
      </c>
      <c r="K48">
        <v>938</v>
      </c>
      <c r="L48">
        <v>-1.5739769150052488E-2</v>
      </c>
      <c r="M48">
        <v>2618919407.1500001</v>
      </c>
      <c r="N48">
        <v>2618835107.2399998</v>
      </c>
      <c r="O48">
        <v>-3.2188814123146343E-5</v>
      </c>
      <c r="P48">
        <v>8.3603292664749057E-2</v>
      </c>
      <c r="Q48" t="s">
        <v>41</v>
      </c>
      <c r="R48">
        <v>0.16400000000000001</v>
      </c>
      <c r="S48">
        <v>0</v>
      </c>
      <c r="T48">
        <v>0.6522</v>
      </c>
      <c r="U48">
        <v>0</v>
      </c>
      <c r="V48">
        <v>2.0000000000000001E-4</v>
      </c>
      <c r="W48">
        <v>0</v>
      </c>
      <c r="X48">
        <v>1.0699999999999999E-2</v>
      </c>
      <c r="Y48">
        <v>4.5499999999999999E-2</v>
      </c>
      <c r="Z48">
        <v>0</v>
      </c>
      <c r="AA48">
        <v>0.87259999999999993</v>
      </c>
      <c r="AC48">
        <f>IF(ISNUMBER(INDEX($A$2:$AA$62,47,MATCH('Para Piyasası'!$E$2,$A$1:$AA$1,0))),INDEX($A$2:$AA$62,47,MATCH('Para Piyasası'!$E$2,$A$1:$AA$1,0)),-1000000000)-ROW()/10000000</f>
        <v>0.1061533195694217</v>
      </c>
    </row>
    <row r="49" spans="1:29" x14ac:dyDescent="0.2">
      <c r="A49" t="s">
        <v>246</v>
      </c>
      <c r="B49" t="s">
        <v>247</v>
      </c>
      <c r="C49" t="s">
        <v>248</v>
      </c>
      <c r="D49">
        <v>0.01</v>
      </c>
      <c r="E49">
        <v>0.1060531026372491</v>
      </c>
      <c r="F49">
        <v>0.7399870036319145</v>
      </c>
      <c r="G49">
        <v>3.4454219954846321</v>
      </c>
      <c r="H49">
        <v>22.54459607903372</v>
      </c>
      <c r="I49">
        <v>47.67222740752117</v>
      </c>
      <c r="J49">
        <v>378</v>
      </c>
      <c r="K49">
        <v>377</v>
      </c>
      <c r="L49">
        <v>-2.6455026455026731E-3</v>
      </c>
      <c r="M49">
        <v>6605043202.3800001</v>
      </c>
      <c r="N49">
        <v>8211032126.8000002</v>
      </c>
      <c r="O49">
        <v>0.2431458622165126</v>
      </c>
      <c r="P49">
        <v>8.2047453119471411E-2</v>
      </c>
      <c r="Q49" t="s">
        <v>41</v>
      </c>
      <c r="R49">
        <v>3.85E-2</v>
      </c>
      <c r="S49">
        <v>0</v>
      </c>
      <c r="T49">
        <v>0.64639999999999997</v>
      </c>
      <c r="U49">
        <v>0</v>
      </c>
      <c r="V49">
        <v>0.1905</v>
      </c>
      <c r="W49">
        <v>0</v>
      </c>
      <c r="X49">
        <v>2.1100000000000001E-2</v>
      </c>
      <c r="Y49">
        <v>0</v>
      </c>
      <c r="Z49">
        <v>0</v>
      </c>
      <c r="AA49">
        <v>0.89649999999999996</v>
      </c>
      <c r="AC49">
        <f>IF(ISNUMBER(INDEX($A$2:$AA$62,48,MATCH('Para Piyasası'!$E$2,$A$1:$AA$1,0))),INDEX($A$2:$AA$62,48,MATCH('Para Piyasası'!$E$2,$A$1:$AA$1,0)),-1000000000)-ROW()/10000000</f>
        <v>0.10604820263724909</v>
      </c>
    </row>
    <row r="50" spans="1:29" x14ac:dyDescent="0.2">
      <c r="A50" t="s">
        <v>249</v>
      </c>
      <c r="B50" t="s">
        <v>250</v>
      </c>
      <c r="C50" t="s">
        <v>82</v>
      </c>
      <c r="D50">
        <v>9.4999999999999998E-3</v>
      </c>
      <c r="E50">
        <v>0.1059298362476868</v>
      </c>
      <c r="F50">
        <v>0.76281547673557881</v>
      </c>
      <c r="G50">
        <v>3.5415294348774218</v>
      </c>
      <c r="H50">
        <v>22.284607195639829</v>
      </c>
      <c r="I50">
        <v>47.764956637355091</v>
      </c>
      <c r="J50">
        <v>155</v>
      </c>
      <c r="K50">
        <v>155</v>
      </c>
      <c r="L50">
        <v>0</v>
      </c>
      <c r="M50">
        <v>2153771033.5700002</v>
      </c>
      <c r="N50">
        <v>2861031858.4899998</v>
      </c>
      <c r="O50">
        <v>0.32838255037150987</v>
      </c>
      <c r="P50">
        <v>8.5495902521546013E-2</v>
      </c>
      <c r="Q50" t="s">
        <v>41</v>
      </c>
      <c r="R50">
        <v>0.1729</v>
      </c>
      <c r="S50">
        <v>0</v>
      </c>
      <c r="T50">
        <v>0.24479999999999999</v>
      </c>
      <c r="U50">
        <v>0</v>
      </c>
      <c r="V50">
        <v>0</v>
      </c>
      <c r="W50">
        <v>0</v>
      </c>
      <c r="X50">
        <v>0.26860000000000001</v>
      </c>
      <c r="Y50">
        <v>0.1011</v>
      </c>
      <c r="Z50">
        <v>0</v>
      </c>
      <c r="AA50">
        <v>0.78739999999999999</v>
      </c>
      <c r="AC50">
        <f>IF(ISNUMBER(INDEX($A$2:$AA$62,49,MATCH('Para Piyasası'!$E$2,$A$1:$AA$1,0))),INDEX($A$2:$AA$62,49,MATCH('Para Piyasası'!$E$2,$A$1:$AA$1,0)),-1000000000)-ROW()/10000000</f>
        <v>0.1059248362476868</v>
      </c>
    </row>
    <row r="51" spans="1:29" x14ac:dyDescent="0.2">
      <c r="A51" t="s">
        <v>251</v>
      </c>
      <c r="B51" t="s">
        <v>252</v>
      </c>
      <c r="C51" t="s">
        <v>253</v>
      </c>
      <c r="D51">
        <v>1.2999999999999999E-2</v>
      </c>
      <c r="E51">
        <v>0.1057018647097951</v>
      </c>
      <c r="F51">
        <v>0.74077139116104362</v>
      </c>
      <c r="G51">
        <v>3.3981232489494362</v>
      </c>
      <c r="H51">
        <v>21.978127051910288</v>
      </c>
      <c r="I51">
        <v>46.601600932830607</v>
      </c>
      <c r="J51">
        <v>3166</v>
      </c>
      <c r="K51">
        <v>3163</v>
      </c>
      <c r="L51">
        <v>-9.4756790903349764E-4</v>
      </c>
      <c r="M51">
        <v>643946953.48000002</v>
      </c>
      <c r="N51">
        <v>659423982.12</v>
      </c>
      <c r="O51">
        <v>2.4034632909371689E-2</v>
      </c>
      <c r="P51">
        <v>8.2230175450233131E-2</v>
      </c>
      <c r="Q51" t="s">
        <v>38</v>
      </c>
      <c r="R51">
        <v>0</v>
      </c>
      <c r="S51">
        <v>0</v>
      </c>
      <c r="T51">
        <v>0.47020000000000001</v>
      </c>
      <c r="U51">
        <v>0</v>
      </c>
      <c r="V51">
        <v>0.1908</v>
      </c>
      <c r="W51">
        <v>0</v>
      </c>
      <c r="X51">
        <v>0</v>
      </c>
      <c r="Y51">
        <v>0.2203</v>
      </c>
      <c r="Z51">
        <v>0</v>
      </c>
      <c r="AA51">
        <v>0.88129999999999997</v>
      </c>
      <c r="AC51">
        <f>IF(ISNUMBER(INDEX($A$2:$AA$62,50,MATCH('Para Piyasası'!$E$2,$A$1:$AA$1,0))),INDEX($A$2:$AA$62,50,MATCH('Para Piyasası'!$E$2,$A$1:$AA$1,0)),-1000000000)-ROW()/10000000</f>
        <v>0.10569676470979511</v>
      </c>
    </row>
    <row r="52" spans="1:29" x14ac:dyDescent="0.2">
      <c r="A52" t="s">
        <v>254</v>
      </c>
      <c r="B52" t="s">
        <v>255</v>
      </c>
      <c r="C52" t="s">
        <v>235</v>
      </c>
      <c r="D52">
        <v>9.0000000000000011E-3</v>
      </c>
      <c r="E52">
        <v>0.10568118870639689</v>
      </c>
      <c r="F52">
        <v>0.74587393275502567</v>
      </c>
      <c r="G52">
        <v>3.4870115537820818</v>
      </c>
      <c r="H52">
        <v>22.747159220477581</v>
      </c>
      <c r="I52">
        <v>48.037179584790678</v>
      </c>
      <c r="J52">
        <v>8232</v>
      </c>
      <c r="K52">
        <v>7957</v>
      </c>
      <c r="L52">
        <v>-3.3406219630709437E-2</v>
      </c>
      <c r="M52">
        <v>6165809386.0600004</v>
      </c>
      <c r="N52">
        <v>6323438116.4300003</v>
      </c>
      <c r="O52">
        <v>2.5564969738827159E-2</v>
      </c>
      <c r="P52">
        <v>8.6007452318614605E-2</v>
      </c>
      <c r="Q52" t="s">
        <v>41</v>
      </c>
      <c r="R52">
        <v>0.1462</v>
      </c>
      <c r="S52">
        <v>0</v>
      </c>
      <c r="T52">
        <v>0.54969999999999997</v>
      </c>
      <c r="U52">
        <v>0</v>
      </c>
      <c r="V52">
        <v>0</v>
      </c>
      <c r="W52">
        <v>0</v>
      </c>
      <c r="X52">
        <v>2.76E-2</v>
      </c>
      <c r="Y52">
        <v>0.1149</v>
      </c>
      <c r="Z52">
        <v>0</v>
      </c>
      <c r="AA52">
        <v>0.83839999999999992</v>
      </c>
      <c r="AC52">
        <f>IF(ISNUMBER(INDEX($A$2:$AA$62,51,MATCH('Para Piyasası'!$E$2,$A$1:$AA$1,0))),INDEX($A$2:$AA$62,51,MATCH('Para Piyasası'!$E$2,$A$1:$AA$1,0)),-1000000000)-ROW()/10000000</f>
        <v>0.1056759887063969</v>
      </c>
    </row>
    <row r="53" spans="1:29" x14ac:dyDescent="0.2">
      <c r="A53" t="s">
        <v>256</v>
      </c>
      <c r="B53" t="s">
        <v>257</v>
      </c>
      <c r="C53" t="s">
        <v>87</v>
      </c>
      <c r="D53">
        <v>0.01</v>
      </c>
      <c r="E53">
        <v>0.1055327224053659</v>
      </c>
      <c r="F53">
        <v>0.74539971450704456</v>
      </c>
      <c r="G53">
        <v>3.4219068053034101</v>
      </c>
      <c r="H53">
        <v>22.364699338438051</v>
      </c>
      <c r="I53">
        <v>47.061459029684102</v>
      </c>
      <c r="J53">
        <v>495194</v>
      </c>
      <c r="K53">
        <v>498673</v>
      </c>
      <c r="L53">
        <v>7.0255293884819991E-3</v>
      </c>
      <c r="M53">
        <v>64423402691.860001</v>
      </c>
      <c r="N53">
        <v>65501189051.129997</v>
      </c>
      <c r="O53">
        <v>1.672973351663987E-2</v>
      </c>
      <c r="P53">
        <v>8.3806193260238776E-2</v>
      </c>
      <c r="Q53" t="s">
        <v>38</v>
      </c>
      <c r="R53">
        <v>0.11940000000000001</v>
      </c>
      <c r="S53">
        <v>0</v>
      </c>
      <c r="T53">
        <v>0.74730000000000008</v>
      </c>
      <c r="U53">
        <v>0</v>
      </c>
      <c r="V53">
        <v>0</v>
      </c>
      <c r="W53">
        <v>0</v>
      </c>
      <c r="X53">
        <v>2.5000000000000001E-3</v>
      </c>
      <c r="Y53">
        <v>0</v>
      </c>
      <c r="Z53">
        <v>1.6999999999999999E-3</v>
      </c>
      <c r="AA53">
        <v>0.87090000000000012</v>
      </c>
      <c r="AC53">
        <f>IF(ISNUMBER(INDEX($A$2:$AA$62,52,MATCH('Para Piyasası'!$E$2,$A$1:$AA$1,0))),INDEX($A$2:$AA$62,52,MATCH('Para Piyasası'!$E$2,$A$1:$AA$1,0)),-1000000000)-ROW()/10000000</f>
        <v>0.1055274224053659</v>
      </c>
    </row>
    <row r="54" spans="1:29" x14ac:dyDescent="0.2">
      <c r="A54" t="s">
        <v>258</v>
      </c>
      <c r="B54" t="s">
        <v>259</v>
      </c>
      <c r="C54" t="s">
        <v>235</v>
      </c>
      <c r="D54">
        <v>1.022E-2</v>
      </c>
      <c r="E54">
        <v>0.10545863865198959</v>
      </c>
      <c r="F54">
        <v>0.7369794653672157</v>
      </c>
      <c r="G54">
        <v>3.4299208760283362</v>
      </c>
      <c r="H54">
        <v>22.324496705391741</v>
      </c>
      <c r="I54">
        <v>47.576108246340887</v>
      </c>
      <c r="J54">
        <v>6943</v>
      </c>
      <c r="K54">
        <v>6918</v>
      </c>
      <c r="L54">
        <v>-3.6007489557827732E-3</v>
      </c>
      <c r="M54">
        <v>1181267451.77</v>
      </c>
      <c r="N54">
        <v>1150187060.24</v>
      </c>
      <c r="O54">
        <v>-2.6311053845959661E-2</v>
      </c>
      <c r="P54">
        <v>8.2680681461221997E-2</v>
      </c>
      <c r="Q54" t="s">
        <v>38</v>
      </c>
      <c r="R54">
        <v>5.2200000000000003E-2</v>
      </c>
      <c r="S54">
        <v>0</v>
      </c>
      <c r="T54">
        <v>0.45219999999999999</v>
      </c>
      <c r="U54">
        <v>0</v>
      </c>
      <c r="V54">
        <v>7.3700000000000002E-2</v>
      </c>
      <c r="W54">
        <v>0</v>
      </c>
      <c r="X54">
        <v>1.4999999999999999E-2</v>
      </c>
      <c r="Y54">
        <v>0.20019999999999999</v>
      </c>
      <c r="Z54">
        <v>0</v>
      </c>
      <c r="AA54">
        <v>0.79330000000000001</v>
      </c>
      <c r="AC54">
        <f>IF(ISNUMBER(INDEX($A$2:$AA$62,53,MATCH('Para Piyasası'!$E$2,$A$1:$AA$1,0))),INDEX($A$2:$AA$62,53,MATCH('Para Piyasası'!$E$2,$A$1:$AA$1,0)),-1000000000)-ROW()/10000000</f>
        <v>0.10545323865198959</v>
      </c>
    </row>
    <row r="55" spans="1:29" x14ac:dyDescent="0.2">
      <c r="A55" t="s">
        <v>260</v>
      </c>
      <c r="B55" t="s">
        <v>261</v>
      </c>
      <c r="C55" t="s">
        <v>262</v>
      </c>
      <c r="D55">
        <v>1.2E-2</v>
      </c>
      <c r="E55">
        <v>0.1051754747620981</v>
      </c>
      <c r="F55">
        <v>0.75341634368657484</v>
      </c>
      <c r="G55">
        <v>3.4412603463865881</v>
      </c>
      <c r="H55">
        <v>22.376054309812819</v>
      </c>
      <c r="I55">
        <v>47.65866432788215</v>
      </c>
      <c r="J55">
        <v>19014</v>
      </c>
      <c r="K55">
        <v>19258</v>
      </c>
      <c r="L55">
        <v>1.283264962659092E-2</v>
      </c>
      <c r="M55">
        <v>12966292786.190001</v>
      </c>
      <c r="N55">
        <v>12953428296.23</v>
      </c>
      <c r="O55">
        <v>-9.9214865591368273E-4</v>
      </c>
      <c r="P55">
        <v>8.4555696312752102E-2</v>
      </c>
      <c r="Q55" t="s">
        <v>41</v>
      </c>
      <c r="R55">
        <v>0.33310000000000001</v>
      </c>
      <c r="S55">
        <v>0</v>
      </c>
      <c r="T55">
        <v>0.14660000000000001</v>
      </c>
      <c r="U55">
        <v>0</v>
      </c>
      <c r="V55">
        <v>0.14580000000000001</v>
      </c>
      <c r="W55">
        <v>0</v>
      </c>
      <c r="X55">
        <v>3.6799999999999999E-2</v>
      </c>
      <c r="Y55">
        <v>9.1199999999999989E-2</v>
      </c>
      <c r="Z55">
        <v>2.5000000000000001E-3</v>
      </c>
      <c r="AA55">
        <v>0.75600000000000001</v>
      </c>
      <c r="AC55">
        <f>IF(ISNUMBER(INDEX($A$2:$AA$62,54,MATCH('Para Piyasası'!$E$2,$A$1:$AA$1,0))),INDEX($A$2:$AA$62,54,MATCH('Para Piyasası'!$E$2,$A$1:$AA$1,0)),-1000000000)-ROW()/10000000</f>
        <v>0.10516997476209809</v>
      </c>
    </row>
    <row r="56" spans="1:29" x14ac:dyDescent="0.2">
      <c r="A56" t="s">
        <v>263</v>
      </c>
      <c r="B56" t="s">
        <v>264</v>
      </c>
      <c r="C56" t="s">
        <v>265</v>
      </c>
      <c r="D56">
        <v>1.2500000000000001E-2</v>
      </c>
      <c r="E56">
        <v>0.1050116041729776</v>
      </c>
      <c r="F56">
        <v>0.73628906841498587</v>
      </c>
      <c r="G56">
        <v>3.4000126246032769</v>
      </c>
      <c r="H56">
        <v>22.19412019498748</v>
      </c>
      <c r="I56">
        <v>47.19496508474117</v>
      </c>
      <c r="J56">
        <v>3444</v>
      </c>
      <c r="K56">
        <v>3351</v>
      </c>
      <c r="L56">
        <v>-2.7003484320557439E-2</v>
      </c>
      <c r="M56">
        <v>2729067503.0599999</v>
      </c>
      <c r="N56">
        <v>1375001633.8399999</v>
      </c>
      <c r="O56">
        <v>-0.49616430070041773</v>
      </c>
      <c r="P56">
        <v>8.4029654830736267E-2</v>
      </c>
      <c r="Q56" t="s">
        <v>41</v>
      </c>
      <c r="R56">
        <v>0.30299999999999999</v>
      </c>
      <c r="S56">
        <v>0</v>
      </c>
      <c r="T56">
        <v>0.29830000000000001</v>
      </c>
      <c r="U56">
        <v>0</v>
      </c>
      <c r="V56">
        <v>0.19239999999999999</v>
      </c>
      <c r="W56">
        <v>0</v>
      </c>
      <c r="X56">
        <v>0</v>
      </c>
      <c r="Y56">
        <v>1.2200000000000001E-2</v>
      </c>
      <c r="Z56">
        <v>0</v>
      </c>
      <c r="AA56">
        <v>0.80590000000000006</v>
      </c>
      <c r="AC56">
        <f>IF(ISNUMBER(INDEX($A$2:$AA$62,55,MATCH('Para Piyasası'!$E$2,$A$1:$AA$1,0))),INDEX($A$2:$AA$62,55,MATCH('Para Piyasası'!$E$2,$A$1:$AA$1,0)),-1000000000)-ROW()/10000000</f>
        <v>0.1050060041729776</v>
      </c>
    </row>
    <row r="57" spans="1:29" x14ac:dyDescent="0.2">
      <c r="A57" t="s">
        <v>266</v>
      </c>
      <c r="B57" t="s">
        <v>267</v>
      </c>
      <c r="C57" t="s">
        <v>100</v>
      </c>
      <c r="D57">
        <v>6.9999999999999993E-3</v>
      </c>
      <c r="E57">
        <v>0.1048084529660764</v>
      </c>
      <c r="F57">
        <v>0.73635842050889799</v>
      </c>
      <c r="G57">
        <v>3.3257569118355201</v>
      </c>
      <c r="H57">
        <v>21.945752310367482</v>
      </c>
      <c r="I57">
        <v>47.461304972894339</v>
      </c>
      <c r="J57">
        <v>2939</v>
      </c>
      <c r="K57">
        <v>2784</v>
      </c>
      <c r="L57">
        <v>-5.2739026879891071E-2</v>
      </c>
      <c r="M57">
        <v>4393143568.9399996</v>
      </c>
      <c r="N57">
        <v>4115053447.23</v>
      </c>
      <c r="O57">
        <v>-6.3300940965400398E-2</v>
      </c>
      <c r="P57">
        <v>8.5100627102235052E-2</v>
      </c>
      <c r="Q57" t="s">
        <v>41</v>
      </c>
      <c r="R57">
        <v>0</v>
      </c>
      <c r="S57">
        <v>0</v>
      </c>
      <c r="T57">
        <v>0.58409999999999995</v>
      </c>
      <c r="U57">
        <v>0</v>
      </c>
      <c r="V57">
        <v>2.0000000000000001E-4</v>
      </c>
      <c r="W57">
        <v>0</v>
      </c>
      <c r="X57">
        <v>3.0499999999999999E-2</v>
      </c>
      <c r="Y57">
        <v>0</v>
      </c>
      <c r="Z57">
        <v>0</v>
      </c>
      <c r="AA57">
        <v>0.6147999999999999</v>
      </c>
      <c r="AC57">
        <f>IF(ISNUMBER(INDEX($A$2:$AA$62,56,MATCH('Para Piyasası'!$E$2,$A$1:$AA$1,0))),INDEX($A$2:$AA$62,56,MATCH('Para Piyasası'!$E$2,$A$1:$AA$1,0)),-1000000000)-ROW()/10000000</f>
        <v>0.1048027529660764</v>
      </c>
    </row>
    <row r="58" spans="1:29" x14ac:dyDescent="0.2">
      <c r="A58" t="s">
        <v>268</v>
      </c>
      <c r="B58" t="s">
        <v>269</v>
      </c>
      <c r="C58" t="s">
        <v>103</v>
      </c>
      <c r="D58">
        <v>1.2500000000000001E-2</v>
      </c>
      <c r="E58">
        <v>0.1042512704029885</v>
      </c>
      <c r="F58">
        <v>0.74167376089424586</v>
      </c>
      <c r="G58">
        <v>3.4002387837729131</v>
      </c>
      <c r="H58">
        <v>22.31371135634927</v>
      </c>
      <c r="I58">
        <v>48.651976352176682</v>
      </c>
      <c r="J58">
        <v>7228</v>
      </c>
      <c r="K58">
        <v>6957</v>
      </c>
      <c r="L58">
        <v>-3.7493082457111249E-2</v>
      </c>
      <c r="M58">
        <v>6370128982.4799995</v>
      </c>
      <c r="N58">
        <v>6210845752.6000004</v>
      </c>
      <c r="O58">
        <v>-2.5004710315612359E-2</v>
      </c>
      <c r="P58">
        <v>8.2804539032129448E-2</v>
      </c>
      <c r="Q58" t="s">
        <v>41</v>
      </c>
      <c r="R58">
        <v>0.30680000000000002</v>
      </c>
      <c r="S58">
        <v>0</v>
      </c>
      <c r="T58">
        <v>0.49080000000000001</v>
      </c>
      <c r="U58">
        <v>0</v>
      </c>
      <c r="V58">
        <v>6.1400000000000003E-2</v>
      </c>
      <c r="W58">
        <v>0</v>
      </c>
      <c r="X58">
        <v>0</v>
      </c>
      <c r="Y58">
        <v>1.6999999999999999E-3</v>
      </c>
      <c r="Z58">
        <v>0</v>
      </c>
      <c r="AA58">
        <v>0.86070000000000002</v>
      </c>
      <c r="AC58">
        <f>IF(ISNUMBER(INDEX($A$2:$AA$62,57,MATCH('Para Piyasası'!$E$2,$A$1:$AA$1,0))),INDEX($A$2:$AA$62,57,MATCH('Para Piyasası'!$E$2,$A$1:$AA$1,0)),-1000000000)-ROW()/10000000</f>
        <v>0.1042454704029885</v>
      </c>
    </row>
    <row r="59" spans="1:29" x14ac:dyDescent="0.2">
      <c r="A59" t="s">
        <v>270</v>
      </c>
      <c r="B59" t="s">
        <v>271</v>
      </c>
      <c r="C59" t="s">
        <v>262</v>
      </c>
      <c r="D59">
        <v>1.4999999999999999E-2</v>
      </c>
      <c r="E59">
        <v>0.1041390153758037</v>
      </c>
      <c r="F59">
        <v>0.71700051361067718</v>
      </c>
      <c r="G59">
        <v>3.3563838758643878</v>
      </c>
      <c r="H59">
        <v>22.187328647624739</v>
      </c>
      <c r="I59">
        <v>47.334254973853461</v>
      </c>
      <c r="J59">
        <v>385</v>
      </c>
      <c r="K59">
        <v>417</v>
      </c>
      <c r="L59">
        <v>8.3116883116883145E-2</v>
      </c>
      <c r="M59">
        <v>249996368.31999999</v>
      </c>
      <c r="N59">
        <v>252534816.56</v>
      </c>
      <c r="O59">
        <v>1.0153940463450081E-2</v>
      </c>
      <c r="P59">
        <v>8.1335797007360933E-2</v>
      </c>
      <c r="Q59" t="s">
        <v>38</v>
      </c>
      <c r="R59">
        <v>0.1323</v>
      </c>
      <c r="S59">
        <v>0</v>
      </c>
      <c r="T59">
        <v>0.6734</v>
      </c>
      <c r="U59">
        <v>0</v>
      </c>
      <c r="V59">
        <v>1.2999999999999999E-3</v>
      </c>
      <c r="W59">
        <v>0</v>
      </c>
      <c r="X59">
        <v>0</v>
      </c>
      <c r="Y59">
        <v>0</v>
      </c>
      <c r="Z59">
        <v>0</v>
      </c>
      <c r="AA59">
        <v>0.80700000000000005</v>
      </c>
      <c r="AC59">
        <f>IF(ISNUMBER(INDEX($A$2:$AA$62,58,MATCH('Para Piyasası'!$E$2,$A$1:$AA$1,0))),INDEX($A$2:$AA$62,58,MATCH('Para Piyasası'!$E$2,$A$1:$AA$1,0)),-1000000000)-ROW()/10000000</f>
        <v>0.10413311537580369</v>
      </c>
    </row>
    <row r="60" spans="1:29" x14ac:dyDescent="0.2">
      <c r="A60" t="s">
        <v>272</v>
      </c>
      <c r="B60" t="s">
        <v>273</v>
      </c>
      <c r="C60" t="s">
        <v>274</v>
      </c>
      <c r="D60">
        <v>1.24E-2</v>
      </c>
      <c r="E60">
        <v>0.1038391871278854</v>
      </c>
      <c r="F60">
        <v>0.72996230008703922</v>
      </c>
      <c r="G60">
        <v>3.3661637140738998</v>
      </c>
      <c r="H60">
        <v>21.964177659999251</v>
      </c>
      <c r="I60">
        <v>46.844903343893797</v>
      </c>
      <c r="J60">
        <v>5410</v>
      </c>
      <c r="K60">
        <v>4445</v>
      </c>
      <c r="L60">
        <v>-0.17837338262476901</v>
      </c>
      <c r="M60">
        <v>1890371809.1400001</v>
      </c>
      <c r="N60">
        <v>1450388920.9100001</v>
      </c>
      <c r="O60">
        <v>-0.232749391470329</v>
      </c>
      <c r="P60">
        <v>8.2810377825099757E-2</v>
      </c>
      <c r="Q60" t="s">
        <v>41</v>
      </c>
      <c r="R60">
        <v>0.1767</v>
      </c>
      <c r="S60">
        <v>0</v>
      </c>
      <c r="T60">
        <v>0.53859999999999997</v>
      </c>
      <c r="U60">
        <v>0</v>
      </c>
      <c r="V60">
        <v>2.0999999999999999E-3</v>
      </c>
      <c r="W60">
        <v>0</v>
      </c>
      <c r="X60">
        <v>0</v>
      </c>
      <c r="Y60">
        <v>0.1178</v>
      </c>
      <c r="Z60">
        <v>2.86E-2</v>
      </c>
      <c r="AA60">
        <v>0.86380000000000001</v>
      </c>
      <c r="AC60">
        <f>IF(ISNUMBER(INDEX($A$2:$AA$62,59,MATCH('Para Piyasası'!$E$2,$A$1:$AA$1,0))),INDEX($A$2:$AA$62,59,MATCH('Para Piyasası'!$E$2,$A$1:$AA$1,0)),-1000000000)-ROW()/10000000</f>
        <v>0.10383318712788539</v>
      </c>
    </row>
    <row r="61" spans="1:29" x14ac:dyDescent="0.2">
      <c r="A61" t="s">
        <v>275</v>
      </c>
      <c r="B61" t="s">
        <v>276</v>
      </c>
      <c r="C61" t="s">
        <v>277</v>
      </c>
      <c r="D61">
        <v>0.01</v>
      </c>
      <c r="E61">
        <v>0.1034056343633516</v>
      </c>
      <c r="F61">
        <v>0.66960518944021441</v>
      </c>
      <c r="G61">
        <v>3.2853481684446568</v>
      </c>
      <c r="H61">
        <v>21.925922933651481</v>
      </c>
      <c r="I61">
        <v>45.926891597886517</v>
      </c>
      <c r="J61">
        <v>156</v>
      </c>
      <c r="K61">
        <v>157</v>
      </c>
      <c r="L61">
        <v>6.4102564102563866E-3</v>
      </c>
      <c r="M61">
        <v>103818161.23</v>
      </c>
      <c r="N61">
        <v>87898901.980000004</v>
      </c>
      <c r="O61">
        <v>-0.15333790409495199</v>
      </c>
      <c r="P61">
        <v>7.6423358220251078E-2</v>
      </c>
      <c r="Q61" t="s">
        <v>41</v>
      </c>
      <c r="R61">
        <v>0</v>
      </c>
      <c r="S61">
        <v>0</v>
      </c>
      <c r="T61">
        <v>0.52439999999999998</v>
      </c>
      <c r="U61">
        <v>0</v>
      </c>
      <c r="V61">
        <v>0.18579999999999999</v>
      </c>
      <c r="W61">
        <v>0</v>
      </c>
      <c r="X61">
        <v>0</v>
      </c>
      <c r="Y61">
        <v>0</v>
      </c>
      <c r="Z61">
        <v>2.46E-2</v>
      </c>
      <c r="AA61">
        <v>0.73480000000000001</v>
      </c>
      <c r="AC61">
        <f>IF(ISNUMBER(INDEX($A$2:$AA$62,60,MATCH('Para Piyasası'!$E$2,$A$1:$AA$1,0))),INDEX($A$2:$AA$62,60,MATCH('Para Piyasası'!$E$2,$A$1:$AA$1,0)),-1000000000)-ROW()/10000000</f>
        <v>0.1033995343633516</v>
      </c>
    </row>
    <row r="62" spans="1:29" x14ac:dyDescent="0.2">
      <c r="A62" t="s">
        <v>278</v>
      </c>
      <c r="B62" t="s">
        <v>279</v>
      </c>
      <c r="C62" t="s">
        <v>280</v>
      </c>
      <c r="D62">
        <v>0.01</v>
      </c>
      <c r="E62">
        <v>9.2497230683608045E-2</v>
      </c>
      <c r="F62">
        <v>0.64244296673736656</v>
      </c>
      <c r="G62">
        <v>3.2749157312682802</v>
      </c>
      <c r="H62">
        <v>20.582545233475471</v>
      </c>
      <c r="I62">
        <v>46.00538242615071</v>
      </c>
      <c r="J62">
        <v>4689</v>
      </c>
      <c r="K62">
        <v>4505</v>
      </c>
      <c r="L62">
        <v>-3.9240776284922167E-2</v>
      </c>
      <c r="M62">
        <v>2741365602.2600002</v>
      </c>
      <c r="N62">
        <v>2353293132.52</v>
      </c>
      <c r="O62">
        <v>-0.1415617345676442</v>
      </c>
      <c r="P62">
        <v>7.98985434780006E-2</v>
      </c>
      <c r="Q62" t="s">
        <v>41</v>
      </c>
      <c r="R62">
        <v>0.1731</v>
      </c>
      <c r="S62">
        <v>0</v>
      </c>
      <c r="T62">
        <v>0.38159999999999988</v>
      </c>
      <c r="U62">
        <v>0</v>
      </c>
      <c r="V62">
        <v>0</v>
      </c>
      <c r="W62">
        <v>0</v>
      </c>
      <c r="X62">
        <v>4.1599999999999998E-2</v>
      </c>
      <c r="Y62">
        <v>0.1353</v>
      </c>
      <c r="Z62">
        <v>0</v>
      </c>
      <c r="AA62">
        <v>0.73159999999999992</v>
      </c>
      <c r="AC62">
        <f>IF(ISNUMBER(INDEX($A$2:$AA$62,61,MATCH('Para Piyasası'!$E$2,$A$1:$AA$1,0))),INDEX($A$2:$AA$62,61,MATCH('Para Piyasası'!$E$2,$A$1:$AA$1,0)),-1000000000)-ROW()/10000000</f>
        <v>9.2491030683608047E-2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64"/>
  <sheetViews>
    <sheetView tabSelected="1" workbookViewId="0">
      <pane xSplit="3" ySplit="3" topLeftCell="D4" activePane="bottomRight" state="frozen"/>
      <selection pane="topRight"/>
      <selection pane="bottomLeft"/>
      <selection pane="bottomRight" activeCell="E2" sqref="E2"/>
    </sheetView>
  </sheetViews>
  <sheetFormatPr baseColWidth="10" defaultColWidth="8.83203125" defaultRowHeight="15" x14ac:dyDescent="0.2"/>
  <cols>
    <col min="2" max="2" width="9" customWidth="1"/>
    <col min="3" max="3" width="68" customWidth="1"/>
    <col min="4" max="4" width="26" customWidth="1"/>
    <col min="5" max="28" width="13" customWidth="1"/>
  </cols>
  <sheetData>
    <row r="1" spans="1:28" x14ac:dyDescent="0.2">
      <c r="F1" s="6">
        <v>46216</v>
      </c>
      <c r="G1" s="6">
        <v>46210</v>
      </c>
      <c r="H1" s="6">
        <v>46185</v>
      </c>
      <c r="I1" s="6">
        <v>46022</v>
      </c>
      <c r="J1" s="6">
        <v>45852</v>
      </c>
    </row>
    <row r="2" spans="1:28" x14ac:dyDescent="0.2">
      <c r="B2" s="3" t="s">
        <v>75</v>
      </c>
      <c r="D2" s="7" t="s">
        <v>0</v>
      </c>
      <c r="E2" s="2" t="s">
        <v>13</v>
      </c>
    </row>
    <row r="3" spans="1:28" ht="48" x14ac:dyDescent="0.2">
      <c r="B3" s="4" t="s">
        <v>3</v>
      </c>
      <c r="C3" s="4" t="s">
        <v>139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6</v>
      </c>
      <c r="J3" s="4" t="s">
        <v>16</v>
      </c>
      <c r="K3" s="4" t="s">
        <v>17</v>
      </c>
      <c r="L3" s="4" t="s">
        <v>18</v>
      </c>
      <c r="M3" s="4" t="s">
        <v>19</v>
      </c>
      <c r="N3" s="4" t="s">
        <v>20</v>
      </c>
      <c r="O3" s="4" t="s">
        <v>21</v>
      </c>
      <c r="P3" s="4" t="s">
        <v>22</v>
      </c>
      <c r="Q3" s="4" t="s">
        <v>23</v>
      </c>
      <c r="R3" s="4" t="s">
        <v>24</v>
      </c>
      <c r="S3" s="4" t="s">
        <v>25</v>
      </c>
      <c r="T3" s="4" t="s">
        <v>26</v>
      </c>
      <c r="U3" s="4" t="s">
        <v>27</v>
      </c>
      <c r="V3" s="4" t="s">
        <v>28</v>
      </c>
      <c r="W3" s="4" t="s">
        <v>29</v>
      </c>
      <c r="X3" s="4" t="s">
        <v>30</v>
      </c>
      <c r="Y3" s="4" t="s">
        <v>31</v>
      </c>
      <c r="Z3" s="4" t="s">
        <v>32</v>
      </c>
      <c r="AA3" s="4" t="s">
        <v>33</v>
      </c>
      <c r="AB3" s="4" t="s">
        <v>34</v>
      </c>
    </row>
    <row r="4" spans="1:28" x14ac:dyDescent="0.2">
      <c r="A4">
        <v>1</v>
      </c>
      <c r="B4" s="5" t="str">
        <f>INDEX('V_Para Piyasası'!A$2:A$62,MATCH(LARGE('V_Para Piyasası'!$AC$2:$AC$62,ROW()-3),'V_Para Piyasası'!$AC$2:$AC$62,0))</f>
        <v>PRY</v>
      </c>
      <c r="C4" s="5" t="str">
        <f>INDEX('V_Para Piyasası'!B$2:B$62,MATCH(LARGE('V_Para Piyasası'!$AC$2:$AC$62,ROW()-3),'V_Para Piyasası'!$AC$2:$AC$62,0))</f>
        <v>Pusula Portföy Para Piyasası (TL) Fonu</v>
      </c>
      <c r="D4" s="5" t="str">
        <f>INDEX('V_Para Piyasası'!C$2:C$62,MATCH(LARGE('V_Para Piyasası'!$AC$2:$AC$62,ROW()-3),'V_Para Piyasası'!$AC$2:$AC$62,0))</f>
        <v>Pusula Portföy</v>
      </c>
      <c r="E4" s="8">
        <f>INDEX('V_Para Piyasası'!D$2:D$62,MATCH(LARGE('V_Para Piyasası'!$AC$2:$AC$62,ROW()-3),'V_Para Piyasası'!$AC$2:$AC$62,0))</f>
        <v>1.2500000000000001E-2</v>
      </c>
      <c r="F4" s="9">
        <f>INDEX('V_Para Piyasası'!E$2:E$62,MATCH(LARGE('V_Para Piyasası'!$AC$2:$AC$62,ROW()-3),'V_Para Piyasası'!$AC$2:$AC$62,0))</f>
        <v>0.12845696957064501</v>
      </c>
      <c r="G4" s="9">
        <f>INDEX('V_Para Piyasası'!F$2:F$62,MATCH(LARGE('V_Para Piyasası'!$AC$2:$AC$62,ROW()-3),'V_Para Piyasası'!$AC$2:$AC$62,0))</f>
        <v>0.89605794708742526</v>
      </c>
      <c r="H4" s="9">
        <f>INDEX('V_Para Piyasası'!G$2:G$62,MATCH(LARGE('V_Para Piyasası'!$AC$2:$AC$62,ROW()-3),'V_Para Piyasası'!$AC$2:$AC$62,0))</f>
        <v>4.2013869098508572</v>
      </c>
      <c r="I4" s="9">
        <f>INDEX('V_Para Piyasası'!H$2:H$62,MATCH(LARGE('V_Para Piyasası'!$AC$2:$AC$62,ROW()-3),'V_Para Piyasası'!$AC$2:$AC$62,0))</f>
        <v>28.284433134194291</v>
      </c>
      <c r="J4" s="9">
        <f>INDEX('V_Para Piyasası'!I$2:I$62,MATCH(LARGE('V_Para Piyasası'!$AC$2:$AC$62,ROW()-3),'V_Para Piyasası'!$AC$2:$AC$62,0))</f>
        <v>59.564472933222113</v>
      </c>
      <c r="K4" s="10">
        <f>INDEX('V_Para Piyasası'!J$2:J$62,MATCH(LARGE('V_Para Piyasası'!$AC$2:$AC$62,ROW()-3),'V_Para Piyasası'!$AC$2:$AC$62,0))</f>
        <v>42032</v>
      </c>
      <c r="L4" s="10">
        <f>INDEX('V_Para Piyasası'!K$2:K$62,MATCH(LARGE('V_Para Piyasası'!$AC$2:$AC$62,ROW()-3),'V_Para Piyasası'!$AC$2:$AC$62,0))</f>
        <v>46481</v>
      </c>
      <c r="M4" s="8">
        <f>INDEX('V_Para Piyasası'!L$2:L$62,MATCH(LARGE('V_Para Piyasası'!$AC$2:$AC$62,ROW()-3),'V_Para Piyasası'!$AC$2:$AC$62,0))</f>
        <v>0.105847925390179</v>
      </c>
      <c r="N4" s="11">
        <f>INDEX('V_Para Piyasası'!M$2:M$62,MATCH(LARGE('V_Para Piyasası'!$AC$2:$AC$62,ROW()-3),'V_Para Piyasası'!$AC$2:$AC$62,0))</f>
        <v>94709302853.080002</v>
      </c>
      <c r="O4" s="11">
        <f>INDEX('V_Para Piyasası'!N$2:N$62,MATCH(LARGE('V_Para Piyasası'!$AC$2:$AC$62,ROW()-3),'V_Para Piyasası'!$AC$2:$AC$62,0))</f>
        <v>119890038820.22</v>
      </c>
      <c r="P4" s="8">
        <f>INDEX('V_Para Piyasası'!O$2:O$62,MATCH(LARGE('V_Para Piyasası'!$AC$2:$AC$62,ROW()-3),'V_Para Piyasası'!$AC$2:$AC$62,0))</f>
        <v>0.26587394488799282</v>
      </c>
      <c r="Q4" s="9">
        <f>INDEX('V_Para Piyasası'!P$2:P$62,MATCH(LARGE('V_Para Piyasası'!$AC$2:$AC$62,ROW()-3),'V_Para Piyasası'!$AC$2:$AC$62,0))</f>
        <v>0.1013072432409963</v>
      </c>
      <c r="R4" s="5" t="str">
        <f>INDEX('V_Para Piyasası'!Q$2:Q$62,MATCH(LARGE('V_Para Piyasası'!$AC$2:$AC$62,ROW()-3),'V_Para Piyasası'!$AC$2:$AC$62,0))</f>
        <v>Görüyor</v>
      </c>
      <c r="S4" s="8">
        <f>INDEX('V_Para Piyasası'!R$2:R$62,MATCH(LARGE('V_Para Piyasası'!$AC$2:$AC$62,ROW()-3),'V_Para Piyasası'!$AC$2:$AC$62,0))</f>
        <v>9.1400000000000009E-2</v>
      </c>
      <c r="T4" s="8">
        <f>INDEX('V_Para Piyasası'!S$2:S$62,MATCH(LARGE('V_Para Piyasası'!$AC$2:$AC$62,ROW()-3),'V_Para Piyasası'!$AC$2:$AC$62,0))</f>
        <v>0</v>
      </c>
      <c r="U4" s="8">
        <f>INDEX('V_Para Piyasası'!T$2:T$62,MATCH(LARGE('V_Para Piyasası'!$AC$2:$AC$62,ROW()-3),'V_Para Piyasası'!$AC$2:$AC$62,0))</f>
        <v>0.54590000000000005</v>
      </c>
      <c r="V4" s="8">
        <f>INDEX('V_Para Piyasası'!U$2:U$62,MATCH(LARGE('V_Para Piyasası'!$AC$2:$AC$62,ROW()-3),'V_Para Piyasası'!$AC$2:$AC$62,0))</f>
        <v>0</v>
      </c>
      <c r="W4" s="8">
        <f>INDEX('V_Para Piyasası'!V$2:V$62,MATCH(LARGE('V_Para Piyasası'!$AC$2:$AC$62,ROW()-3),'V_Para Piyasası'!$AC$2:$AC$62,0))</f>
        <v>0.1923</v>
      </c>
      <c r="X4" s="8">
        <f>INDEX('V_Para Piyasası'!W$2:W$62,MATCH(LARGE('V_Para Piyasası'!$AC$2:$AC$62,ROW()-3),'V_Para Piyasası'!$AC$2:$AC$62,0))</f>
        <v>0</v>
      </c>
      <c r="Y4" s="8">
        <f>INDEX('V_Para Piyasası'!X$2:X$62,MATCH(LARGE('V_Para Piyasası'!$AC$2:$AC$62,ROW()-3),'V_Para Piyasası'!$AC$2:$AC$62,0))</f>
        <v>5.0000000000000001E-4</v>
      </c>
      <c r="Z4" s="8">
        <f>INDEX('V_Para Piyasası'!Y$2:Y$62,MATCH(LARGE('V_Para Piyasası'!$AC$2:$AC$62,ROW()-3),'V_Para Piyasası'!$AC$2:$AC$62,0))</f>
        <v>7.1000000000000004E-3</v>
      </c>
      <c r="AA4" s="8">
        <f>INDEX('V_Para Piyasası'!Z$2:Z$62,MATCH(LARGE('V_Para Piyasası'!$AC$2:$AC$62,ROW()-3),'V_Para Piyasası'!$AC$2:$AC$62,0))</f>
        <v>2.0999999999999999E-3</v>
      </c>
      <c r="AB4" s="8">
        <f>INDEX('V_Para Piyasası'!AA$2:AA$62,MATCH(LARGE('V_Para Piyasası'!$AC$2:$AC$62,ROW()-3),'V_Para Piyasası'!$AC$2:$AC$62,0))</f>
        <v>0.83930000000000005</v>
      </c>
    </row>
    <row r="5" spans="1:28" x14ac:dyDescent="0.2">
      <c r="A5">
        <v>2</v>
      </c>
      <c r="B5" s="5" t="str">
        <f>INDEX('V_Para Piyasası'!A$2:A$62,MATCH(LARGE('V_Para Piyasası'!$AC$2:$AC$62,ROW()-3),'V_Para Piyasası'!$AC$2:$AC$62,0))</f>
        <v>MPL</v>
      </c>
      <c r="C5" s="5" t="str">
        <f>INDEX('V_Para Piyasası'!B$2:B$62,MATCH(LARGE('V_Para Piyasası'!$AC$2:$AC$62,ROW()-3),'V_Para Piyasası'!$AC$2:$AC$62,0))</f>
        <v>MT Portföy Para Piyasası (TL) Fonu</v>
      </c>
      <c r="D5" s="5" t="str">
        <f>INDEX('V_Para Piyasası'!C$2:C$62,MATCH(LARGE('V_Para Piyasası'!$AC$2:$AC$62,ROW()-3),'V_Para Piyasası'!$AC$2:$AC$62,0))</f>
        <v>MT Portföy</v>
      </c>
      <c r="E5" s="8">
        <f>INDEX('V_Para Piyasası'!D$2:D$62,MATCH(LARGE('V_Para Piyasası'!$AC$2:$AC$62,ROW()-3),'V_Para Piyasası'!$AC$2:$AC$62,0))</f>
        <v>7.3499999999999998E-3</v>
      </c>
      <c r="F5" s="9">
        <f>INDEX('V_Para Piyasası'!E$2:E$62,MATCH(LARGE('V_Para Piyasası'!$AC$2:$AC$62,ROW()-3),'V_Para Piyasası'!$AC$2:$AC$62,0))</f>
        <v>0.12305486415860049</v>
      </c>
      <c r="G5" s="9">
        <f>INDEX('V_Para Piyasası'!F$2:F$62,MATCH(LARGE('V_Para Piyasası'!$AC$2:$AC$62,ROW()-3),'V_Para Piyasası'!$AC$2:$AC$62,0))</f>
        <v>0.8578578875874765</v>
      </c>
      <c r="H5" s="9">
        <f>INDEX('V_Para Piyasası'!G$2:G$62,MATCH(LARGE('V_Para Piyasası'!$AC$2:$AC$62,ROW()-3),'V_Para Piyasası'!$AC$2:$AC$62,0))</f>
        <v>3.99013425980892</v>
      </c>
      <c r="I5" s="9">
        <f>INDEX('V_Para Piyasası'!H$2:H$62,MATCH(LARGE('V_Para Piyasası'!$AC$2:$AC$62,ROW()-3),'V_Para Piyasası'!$AC$2:$AC$62,0))</f>
        <v>21.903729669202971</v>
      </c>
      <c r="J5" s="9">
        <f>INDEX('V_Para Piyasası'!I$2:I$62,MATCH(LARGE('V_Para Piyasası'!$AC$2:$AC$62,ROW()-3),'V_Para Piyasası'!$AC$2:$AC$62,0))</f>
        <v>49.24915223133943</v>
      </c>
      <c r="K5" s="10">
        <f>INDEX('V_Para Piyasası'!J$2:J$62,MATCH(LARGE('V_Para Piyasası'!$AC$2:$AC$62,ROW()-3),'V_Para Piyasası'!$AC$2:$AC$62,0))</f>
        <v>900</v>
      </c>
      <c r="L5" s="10">
        <f>INDEX('V_Para Piyasası'!K$2:K$62,MATCH(LARGE('V_Para Piyasası'!$AC$2:$AC$62,ROW()-3),'V_Para Piyasası'!$AC$2:$AC$62,0))</f>
        <v>845</v>
      </c>
      <c r="M5" s="8">
        <f>INDEX('V_Para Piyasası'!L$2:L$62,MATCH(LARGE('V_Para Piyasası'!$AC$2:$AC$62,ROW()-3),'V_Para Piyasası'!$AC$2:$AC$62,0))</f>
        <v>-6.1111111111111123E-2</v>
      </c>
      <c r="N5" s="11">
        <f>INDEX('V_Para Piyasası'!M$2:M$62,MATCH(LARGE('V_Para Piyasası'!$AC$2:$AC$62,ROW()-3),'V_Para Piyasası'!$AC$2:$AC$62,0))</f>
        <v>726809089.01999998</v>
      </c>
      <c r="O5" s="11">
        <f>INDEX('V_Para Piyasası'!N$2:N$62,MATCH(LARGE('V_Para Piyasası'!$AC$2:$AC$62,ROW()-3),'V_Para Piyasası'!$AC$2:$AC$62,0))</f>
        <v>802608995.99000001</v>
      </c>
      <c r="P5" s="8">
        <f>INDEX('V_Para Piyasası'!O$2:O$62,MATCH(LARGE('V_Para Piyasası'!$AC$2:$AC$62,ROW()-3),'V_Para Piyasası'!$AC$2:$AC$62,0))</f>
        <v>0.1042913580954328</v>
      </c>
      <c r="Q5" s="9">
        <f>INDEX('V_Para Piyasası'!P$2:P$62,MATCH(LARGE('V_Para Piyasası'!$AC$2:$AC$62,ROW()-3),'V_Para Piyasası'!$AC$2:$AC$62,0))</f>
        <v>9.5512155245425875E-2</v>
      </c>
      <c r="R5" s="5" t="str">
        <f>INDEX('V_Para Piyasası'!Q$2:Q$62,MATCH(LARGE('V_Para Piyasası'!$AC$2:$AC$62,ROW()-3),'V_Para Piyasası'!$AC$2:$AC$62,0))</f>
        <v>Görüyor</v>
      </c>
      <c r="S5" s="8">
        <f>INDEX('V_Para Piyasası'!R$2:R$62,MATCH(LARGE('V_Para Piyasası'!$AC$2:$AC$62,ROW()-3),'V_Para Piyasası'!$AC$2:$AC$62,0))</f>
        <v>1.18E-2</v>
      </c>
      <c r="T5" s="8">
        <f>INDEX('V_Para Piyasası'!S$2:S$62,MATCH(LARGE('V_Para Piyasası'!$AC$2:$AC$62,ROW()-3),'V_Para Piyasası'!$AC$2:$AC$62,0))</f>
        <v>0</v>
      </c>
      <c r="U5" s="8">
        <f>INDEX('V_Para Piyasası'!T$2:T$62,MATCH(LARGE('V_Para Piyasası'!$AC$2:$AC$62,ROW()-3),'V_Para Piyasası'!$AC$2:$AC$62,0))</f>
        <v>0.36149999999999999</v>
      </c>
      <c r="V5" s="8">
        <f>INDEX('V_Para Piyasası'!U$2:U$62,MATCH(LARGE('V_Para Piyasası'!$AC$2:$AC$62,ROW()-3),'V_Para Piyasası'!$AC$2:$AC$62,0))</f>
        <v>0</v>
      </c>
      <c r="W5" s="8">
        <f>INDEX('V_Para Piyasası'!V$2:V$62,MATCH(LARGE('V_Para Piyasası'!$AC$2:$AC$62,ROW()-3),'V_Para Piyasası'!$AC$2:$AC$62,0))</f>
        <v>0.18720000000000001</v>
      </c>
      <c r="X5" s="8">
        <f>INDEX('V_Para Piyasası'!W$2:W$62,MATCH(LARGE('V_Para Piyasası'!$AC$2:$AC$62,ROW()-3),'V_Para Piyasası'!$AC$2:$AC$62,0))</f>
        <v>0</v>
      </c>
      <c r="Y5" s="8">
        <f>INDEX('V_Para Piyasası'!X$2:X$62,MATCH(LARGE('V_Para Piyasası'!$AC$2:$AC$62,ROW()-3),'V_Para Piyasası'!$AC$2:$AC$62,0))</f>
        <v>0</v>
      </c>
      <c r="Z5" s="8">
        <f>INDEX('V_Para Piyasası'!Y$2:Y$62,MATCH(LARGE('V_Para Piyasası'!$AC$2:$AC$62,ROW()-3),'V_Para Piyasası'!$AC$2:$AC$62,0))</f>
        <v>0.2707</v>
      </c>
      <c r="AA5" s="8">
        <f>INDEX('V_Para Piyasası'!Z$2:Z$62,MATCH(LARGE('V_Para Piyasası'!$AC$2:$AC$62,ROW()-3),'V_Para Piyasası'!$AC$2:$AC$62,0))</f>
        <v>0</v>
      </c>
      <c r="AB5" s="8">
        <f>INDEX('V_Para Piyasası'!AA$2:AA$62,MATCH(LARGE('V_Para Piyasası'!$AC$2:$AC$62,ROW()-3),'V_Para Piyasası'!$AC$2:$AC$62,0))</f>
        <v>0.83119999999999994</v>
      </c>
    </row>
    <row r="6" spans="1:28" x14ac:dyDescent="0.2">
      <c r="A6">
        <v>3</v>
      </c>
      <c r="B6" s="5" t="str">
        <f>INDEX('V_Para Piyasası'!A$2:A$62,MATCH(LARGE('V_Para Piyasası'!$AC$2:$AC$62,ROW()-3),'V_Para Piyasası'!$AC$2:$AC$62,0))</f>
        <v>IDL</v>
      </c>
      <c r="C6" s="5" t="str">
        <f>INDEX('V_Para Piyasası'!B$2:B$62,MATCH(LARGE('V_Para Piyasası'!$AC$2:$AC$62,ROW()-3),'V_Para Piyasası'!$AC$2:$AC$62,0))</f>
        <v>Aktif Portföy Para Piyasası (TL) Fonu</v>
      </c>
      <c r="D6" s="5" t="str">
        <f>INDEX('V_Para Piyasası'!C$2:C$62,MATCH(LARGE('V_Para Piyasası'!$AC$2:$AC$62,ROW()-3),'V_Para Piyasası'!$AC$2:$AC$62,0))</f>
        <v>Aktif Portföy</v>
      </c>
      <c r="E6" s="8">
        <f>INDEX('V_Para Piyasası'!D$2:D$62,MATCH(LARGE('V_Para Piyasası'!$AC$2:$AC$62,ROW()-3),'V_Para Piyasası'!$AC$2:$AC$62,0))</f>
        <v>9.4999999999999998E-3</v>
      </c>
      <c r="F6" s="9">
        <f>INDEX('V_Para Piyasası'!E$2:E$62,MATCH(LARGE('V_Para Piyasası'!$AC$2:$AC$62,ROW()-3),'V_Para Piyasası'!$AC$2:$AC$62,0))</f>
        <v>0.1211616169122465</v>
      </c>
      <c r="G6" s="9">
        <f>INDEX('V_Para Piyasası'!F$2:F$62,MATCH(LARGE('V_Para Piyasası'!$AC$2:$AC$62,ROW()-3),'V_Para Piyasası'!$AC$2:$AC$62,0))</f>
        <v>0.75478739833214625</v>
      </c>
      <c r="H6" s="9">
        <f>INDEX('V_Para Piyasası'!G$2:G$62,MATCH(LARGE('V_Para Piyasası'!$AC$2:$AC$62,ROW()-3),'V_Para Piyasası'!$AC$2:$AC$62,0))</f>
        <v>3.5066317707906252</v>
      </c>
      <c r="I6" s="9">
        <f>INDEX('V_Para Piyasası'!H$2:H$62,MATCH(LARGE('V_Para Piyasası'!$AC$2:$AC$62,ROW()-3),'V_Para Piyasası'!$AC$2:$AC$62,0))</f>
        <v>22.41420330889343</v>
      </c>
      <c r="J6" s="9">
        <f>INDEX('V_Para Piyasası'!I$2:I$62,MATCH(LARGE('V_Para Piyasası'!$AC$2:$AC$62,ROW()-3),'V_Para Piyasası'!$AC$2:$AC$62,0))</f>
        <v>47.146671285824077</v>
      </c>
      <c r="K6" s="10">
        <f>INDEX('V_Para Piyasası'!J$2:J$62,MATCH(LARGE('V_Para Piyasası'!$AC$2:$AC$62,ROW()-3),'V_Para Piyasası'!$AC$2:$AC$62,0))</f>
        <v>3589</v>
      </c>
      <c r="L6" s="10">
        <f>INDEX('V_Para Piyasası'!K$2:K$62,MATCH(LARGE('V_Para Piyasası'!$AC$2:$AC$62,ROW()-3),'V_Para Piyasası'!$AC$2:$AC$62,0))</f>
        <v>3507</v>
      </c>
      <c r="M6" s="8">
        <f>INDEX('V_Para Piyasası'!L$2:L$62,MATCH(LARGE('V_Para Piyasası'!$AC$2:$AC$62,ROW()-3),'V_Para Piyasası'!$AC$2:$AC$62,0))</f>
        <v>-2.2847589857899139E-2</v>
      </c>
      <c r="N6" s="11">
        <f>INDEX('V_Para Piyasası'!M$2:M$62,MATCH(LARGE('V_Para Piyasası'!$AC$2:$AC$62,ROW()-3),'V_Para Piyasası'!$AC$2:$AC$62,0))</f>
        <v>3443611595.46</v>
      </c>
      <c r="O6" s="11">
        <f>INDEX('V_Para Piyasası'!N$2:N$62,MATCH(LARGE('V_Para Piyasası'!$AC$2:$AC$62,ROW()-3),'V_Para Piyasası'!$AC$2:$AC$62,0))</f>
        <v>2936920546.5100002</v>
      </c>
      <c r="P6" s="8">
        <f>INDEX('V_Para Piyasası'!O$2:O$62,MATCH(LARGE('V_Para Piyasası'!$AC$2:$AC$62,ROW()-3),'V_Para Piyasası'!$AC$2:$AC$62,0))</f>
        <v>-0.14713943047991029</v>
      </c>
      <c r="Q6" s="9">
        <f>INDEX('V_Para Piyasası'!P$2:P$62,MATCH(LARGE('V_Para Piyasası'!$AC$2:$AC$62,ROW()-3),'V_Para Piyasası'!$AC$2:$AC$62,0))</f>
        <v>8.5409565401441304E-2</v>
      </c>
      <c r="R6" s="5" t="str">
        <f>INDEX('V_Para Piyasası'!Q$2:Q$62,MATCH(LARGE('V_Para Piyasası'!$AC$2:$AC$62,ROW()-3),'V_Para Piyasası'!$AC$2:$AC$62,0))</f>
        <v>Görüyor</v>
      </c>
      <c r="S6" s="8">
        <f>INDEX('V_Para Piyasası'!R$2:R$62,MATCH(LARGE('V_Para Piyasası'!$AC$2:$AC$62,ROW()-3),'V_Para Piyasası'!$AC$2:$AC$62,0))</f>
        <v>0.40760000000000002</v>
      </c>
      <c r="T6" s="8">
        <f>INDEX('V_Para Piyasası'!S$2:S$62,MATCH(LARGE('V_Para Piyasası'!$AC$2:$AC$62,ROW()-3),'V_Para Piyasası'!$AC$2:$AC$62,0))</f>
        <v>0</v>
      </c>
      <c r="U6" s="8">
        <f>INDEX('V_Para Piyasası'!T$2:T$62,MATCH(LARGE('V_Para Piyasası'!$AC$2:$AC$62,ROW()-3),'V_Para Piyasası'!$AC$2:$AC$62,0))</f>
        <v>0</v>
      </c>
      <c r="V6" s="8">
        <f>INDEX('V_Para Piyasası'!U$2:U$62,MATCH(LARGE('V_Para Piyasası'!$AC$2:$AC$62,ROW()-3),'V_Para Piyasası'!$AC$2:$AC$62,0))</f>
        <v>0</v>
      </c>
      <c r="W6" s="8">
        <f>INDEX('V_Para Piyasası'!V$2:V$62,MATCH(LARGE('V_Para Piyasası'!$AC$2:$AC$62,ROW()-3),'V_Para Piyasası'!$AC$2:$AC$62,0))</f>
        <v>0.1023</v>
      </c>
      <c r="X6" s="8">
        <f>INDEX('V_Para Piyasası'!W$2:W$62,MATCH(LARGE('V_Para Piyasası'!$AC$2:$AC$62,ROW()-3),'V_Para Piyasası'!$AC$2:$AC$62,0))</f>
        <v>0</v>
      </c>
      <c r="Y6" s="8">
        <f>INDEX('V_Para Piyasası'!X$2:X$62,MATCH(LARGE('V_Para Piyasası'!$AC$2:$AC$62,ROW()-3),'V_Para Piyasası'!$AC$2:$AC$62,0))</f>
        <v>1.38E-2</v>
      </c>
      <c r="Z6" s="8">
        <f>INDEX('V_Para Piyasası'!Y$2:Y$62,MATCH(LARGE('V_Para Piyasası'!$AC$2:$AC$62,ROW()-3),'V_Para Piyasası'!$AC$2:$AC$62,0))</f>
        <v>0.16400000000000001</v>
      </c>
      <c r="AA6" s="8">
        <f>INDEX('V_Para Piyasası'!Z$2:Z$62,MATCH(LARGE('V_Para Piyasası'!$AC$2:$AC$62,ROW()-3),'V_Para Piyasası'!$AC$2:$AC$62,0))</f>
        <v>0</v>
      </c>
      <c r="AB6" s="8">
        <f>INDEX('V_Para Piyasası'!AA$2:AA$62,MATCH(LARGE('V_Para Piyasası'!$AC$2:$AC$62,ROW()-3),'V_Para Piyasası'!$AC$2:$AC$62,0))</f>
        <v>0.68769999999999998</v>
      </c>
    </row>
    <row r="7" spans="1:28" x14ac:dyDescent="0.2">
      <c r="A7">
        <v>4</v>
      </c>
      <c r="B7" s="5" t="str">
        <f>INDEX('V_Para Piyasası'!A$2:A$62,MATCH(LARGE('V_Para Piyasası'!$AC$2:$AC$62,ROW()-3),'V_Para Piyasası'!$AC$2:$AC$62,0))</f>
        <v>GO6</v>
      </c>
      <c r="C7" s="5" t="str">
        <f>INDEX('V_Para Piyasası'!B$2:B$62,MATCH(LARGE('V_Para Piyasası'!$AC$2:$AC$62,ROW()-3),'V_Para Piyasası'!$AC$2:$AC$62,0))</f>
        <v>One Portföy Para Piyasası (TL) Fonu</v>
      </c>
      <c r="D7" s="5" t="str">
        <f>INDEX('V_Para Piyasası'!C$2:C$62,MATCH(LARGE('V_Para Piyasası'!$AC$2:$AC$62,ROW()-3),'V_Para Piyasası'!$AC$2:$AC$62,0))</f>
        <v>One Portföy</v>
      </c>
      <c r="E7" s="8">
        <f>INDEX('V_Para Piyasası'!D$2:D$62,MATCH(LARGE('V_Para Piyasası'!$AC$2:$AC$62,ROW()-3),'V_Para Piyasası'!$AC$2:$AC$62,0))</f>
        <v>1.2500000000000001E-2</v>
      </c>
      <c r="F7" s="9">
        <f>INDEX('V_Para Piyasası'!E$2:E$62,MATCH(LARGE('V_Para Piyasası'!$AC$2:$AC$62,ROW()-3),'V_Para Piyasası'!$AC$2:$AC$62,0))</f>
        <v>0.11829853288718439</v>
      </c>
      <c r="G7" s="9">
        <f>INDEX('V_Para Piyasası'!F$2:F$62,MATCH(LARGE('V_Para Piyasası'!$AC$2:$AC$62,ROW()-3),'V_Para Piyasası'!$AC$2:$AC$62,0))</f>
        <v>0.70673096265529978</v>
      </c>
      <c r="H7" s="9">
        <f>INDEX('V_Para Piyasası'!G$2:G$62,MATCH(LARGE('V_Para Piyasası'!$AC$2:$AC$62,ROW()-3),'V_Para Piyasası'!$AC$2:$AC$62,0))</f>
        <v>3.6582555725689798</v>
      </c>
      <c r="I7" s="9">
        <f>INDEX('V_Para Piyasası'!H$2:H$62,MATCH(LARGE('V_Para Piyasası'!$AC$2:$AC$62,ROW()-3),'V_Para Piyasası'!$AC$2:$AC$62,0))</f>
        <v>25.51022605415136</v>
      </c>
      <c r="J7" s="9">
        <f>INDEX('V_Para Piyasası'!I$2:I$62,MATCH(LARGE('V_Para Piyasası'!$AC$2:$AC$62,ROW()-3),'V_Para Piyasası'!$AC$2:$AC$62,0))</f>
        <v>54.008323031772868</v>
      </c>
      <c r="K7" s="10">
        <f>INDEX('V_Para Piyasası'!J$2:J$62,MATCH(LARGE('V_Para Piyasası'!$AC$2:$AC$62,ROW()-3),'V_Para Piyasası'!$AC$2:$AC$62,0))</f>
        <v>4192</v>
      </c>
      <c r="L7" s="10">
        <f>INDEX('V_Para Piyasası'!K$2:K$62,MATCH(LARGE('V_Para Piyasası'!$AC$2:$AC$62,ROW()-3),'V_Para Piyasası'!$AC$2:$AC$62,0))</f>
        <v>4197</v>
      </c>
      <c r="M7" s="8">
        <f>INDEX('V_Para Piyasası'!L$2:L$62,MATCH(LARGE('V_Para Piyasası'!$AC$2:$AC$62,ROW()-3),'V_Para Piyasası'!$AC$2:$AC$62,0))</f>
        <v>1.1927480916029689E-3</v>
      </c>
      <c r="N7" s="11">
        <f>INDEX('V_Para Piyasası'!M$2:M$62,MATCH(LARGE('V_Para Piyasası'!$AC$2:$AC$62,ROW()-3),'V_Para Piyasası'!$AC$2:$AC$62,0))</f>
        <v>5248731807.2799997</v>
      </c>
      <c r="O7" s="11">
        <f>INDEX('V_Para Piyasası'!N$2:N$62,MATCH(LARGE('V_Para Piyasası'!$AC$2:$AC$62,ROW()-3),'V_Para Piyasası'!$AC$2:$AC$62,0))</f>
        <v>5570229493.2200003</v>
      </c>
      <c r="P7" s="8">
        <f>INDEX('V_Para Piyasası'!O$2:O$62,MATCH(LARGE('V_Para Piyasası'!$AC$2:$AC$62,ROW()-3),'V_Para Piyasası'!$AC$2:$AC$62,0))</f>
        <v>6.1252450638472837E-2</v>
      </c>
      <c r="Q7" s="9">
        <f>INDEX('V_Para Piyasası'!P$2:P$62,MATCH(LARGE('V_Para Piyasası'!$AC$2:$AC$62,ROW()-3),'V_Para Piyasası'!$AC$2:$AC$62,0))</f>
        <v>8.40364247782628E-2</v>
      </c>
      <c r="R7" s="5" t="str">
        <f>INDEX('V_Para Piyasası'!Q$2:Q$62,MATCH(LARGE('V_Para Piyasası'!$AC$2:$AC$62,ROW()-3),'V_Para Piyasası'!$AC$2:$AC$62,0))</f>
        <v>Görüyor</v>
      </c>
      <c r="S7" s="8">
        <f>INDEX('V_Para Piyasası'!R$2:R$62,MATCH(LARGE('V_Para Piyasası'!$AC$2:$AC$62,ROW()-3),'V_Para Piyasası'!$AC$2:$AC$62,0))</f>
        <v>7.5700000000000003E-2</v>
      </c>
      <c r="T7" s="8">
        <f>INDEX('V_Para Piyasası'!S$2:S$62,MATCH(LARGE('V_Para Piyasası'!$AC$2:$AC$62,ROW()-3),'V_Para Piyasası'!$AC$2:$AC$62,0))</f>
        <v>0</v>
      </c>
      <c r="U7" s="8">
        <f>INDEX('V_Para Piyasası'!T$2:T$62,MATCH(LARGE('V_Para Piyasası'!$AC$2:$AC$62,ROW()-3),'V_Para Piyasası'!$AC$2:$AC$62,0))</f>
        <v>0.3947</v>
      </c>
      <c r="V7" s="8">
        <f>INDEX('V_Para Piyasası'!U$2:U$62,MATCH(LARGE('V_Para Piyasası'!$AC$2:$AC$62,ROW()-3),'V_Para Piyasası'!$AC$2:$AC$62,0))</f>
        <v>0</v>
      </c>
      <c r="W7" s="8">
        <f>INDEX('V_Para Piyasası'!V$2:V$62,MATCH(LARGE('V_Para Piyasası'!$AC$2:$AC$62,ROW()-3),'V_Para Piyasası'!$AC$2:$AC$62,0))</f>
        <v>0.18629999999999999</v>
      </c>
      <c r="X7" s="8">
        <f>INDEX('V_Para Piyasası'!W$2:W$62,MATCH(LARGE('V_Para Piyasası'!$AC$2:$AC$62,ROW()-3),'V_Para Piyasası'!$AC$2:$AC$62,0))</f>
        <v>0</v>
      </c>
      <c r="Y7" s="8">
        <f>INDEX('V_Para Piyasası'!X$2:X$62,MATCH(LARGE('V_Para Piyasası'!$AC$2:$AC$62,ROW()-3),'V_Para Piyasası'!$AC$2:$AC$62,0))</f>
        <v>1.7600000000000001E-2</v>
      </c>
      <c r="Z7" s="8">
        <f>INDEX('V_Para Piyasası'!Y$2:Y$62,MATCH(LARGE('V_Para Piyasası'!$AC$2:$AC$62,ROW()-3),'V_Para Piyasası'!$AC$2:$AC$62,0))</f>
        <v>0.14369999999999999</v>
      </c>
      <c r="AA7" s="8">
        <f>INDEX('V_Para Piyasası'!Z$2:Z$62,MATCH(LARGE('V_Para Piyasası'!$AC$2:$AC$62,ROW()-3),'V_Para Piyasası'!$AC$2:$AC$62,0))</f>
        <v>0</v>
      </c>
      <c r="AB7" s="8">
        <f>INDEX('V_Para Piyasası'!AA$2:AA$62,MATCH(LARGE('V_Para Piyasası'!$AC$2:$AC$62,ROW()-3),'V_Para Piyasası'!$AC$2:$AC$62,0))</f>
        <v>0.81799999999999995</v>
      </c>
    </row>
    <row r="8" spans="1:28" x14ac:dyDescent="0.2">
      <c r="A8">
        <v>5</v>
      </c>
      <c r="B8" s="5" t="str">
        <f>INDEX('V_Para Piyasası'!A$2:A$62,MATCH(LARGE('V_Para Piyasası'!$AC$2:$AC$62,ROW()-3),'V_Para Piyasası'!$AC$2:$AC$62,0))</f>
        <v>VK6</v>
      </c>
      <c r="C8" s="5" t="str">
        <f>INDEX('V_Para Piyasası'!B$2:B$62,MATCH(LARGE('V_Para Piyasası'!$AC$2:$AC$62,ROW()-3),'V_Para Piyasası'!$AC$2:$AC$62,0))</f>
        <v>V Portföy Vakıfbank Para Piyasası (TL) Fonu</v>
      </c>
      <c r="D8" s="5" t="str">
        <f>INDEX('V_Para Piyasası'!C$2:C$62,MATCH(LARGE('V_Para Piyasası'!$AC$2:$AC$62,ROW()-3),'V_Para Piyasası'!$AC$2:$AC$62,0))</f>
        <v>V Portföy</v>
      </c>
      <c r="E8" s="8">
        <f>INDEX('V_Para Piyasası'!D$2:D$62,MATCH(LARGE('V_Para Piyasası'!$AC$2:$AC$62,ROW()-3),'V_Para Piyasası'!$AC$2:$AC$62,0))</f>
        <v>1.2999999999999999E-2</v>
      </c>
      <c r="F8" s="9">
        <f>INDEX('V_Para Piyasası'!E$2:E$62,MATCH(LARGE('V_Para Piyasası'!$AC$2:$AC$62,ROW()-3),'V_Para Piyasası'!$AC$2:$AC$62,0))</f>
        <v>0.1172511569483614</v>
      </c>
      <c r="G8" s="9">
        <f>INDEX('V_Para Piyasası'!F$2:F$62,MATCH(LARGE('V_Para Piyasası'!$AC$2:$AC$62,ROW()-3),'V_Para Piyasası'!$AC$2:$AC$62,0))</f>
        <v>0.7333196612005155</v>
      </c>
      <c r="H8" s="9">
        <f>INDEX('V_Para Piyasası'!G$2:G$62,MATCH(LARGE('V_Para Piyasası'!$AC$2:$AC$62,ROW()-3),'V_Para Piyasası'!$AC$2:$AC$62,0))</f>
        <v>3.451534202530615</v>
      </c>
      <c r="I8" s="9">
        <f>INDEX('V_Para Piyasası'!H$2:H$62,MATCH(LARGE('V_Para Piyasası'!$AC$2:$AC$62,ROW()-3),'V_Para Piyasası'!$AC$2:$AC$62,0))</f>
        <v>22.412727350852339</v>
      </c>
      <c r="J8" s="9">
        <f>INDEX('V_Para Piyasası'!I$2:I$62,MATCH(LARGE('V_Para Piyasası'!$AC$2:$AC$62,ROW()-3),'V_Para Piyasası'!$AC$2:$AC$62,0))</f>
        <v>47.24962859260966</v>
      </c>
      <c r="K8" s="10">
        <f>INDEX('V_Para Piyasası'!J$2:J$62,MATCH(LARGE('V_Para Piyasası'!$AC$2:$AC$62,ROW()-3),'V_Para Piyasası'!$AC$2:$AC$62,0))</f>
        <v>153475</v>
      </c>
      <c r="L8" s="10">
        <f>INDEX('V_Para Piyasası'!K$2:K$62,MATCH(LARGE('V_Para Piyasası'!$AC$2:$AC$62,ROW()-3),'V_Para Piyasası'!$AC$2:$AC$62,0))</f>
        <v>154247</v>
      </c>
      <c r="M8" s="8">
        <f>INDEX('V_Para Piyasası'!L$2:L$62,MATCH(LARGE('V_Para Piyasası'!$AC$2:$AC$62,ROW()-3),'V_Para Piyasası'!$AC$2:$AC$62,0))</f>
        <v>5.0301352011727918E-3</v>
      </c>
      <c r="N8" s="11">
        <f>INDEX('V_Para Piyasası'!M$2:M$62,MATCH(LARGE('V_Para Piyasası'!$AC$2:$AC$62,ROW()-3),'V_Para Piyasası'!$AC$2:$AC$62,0))</f>
        <v>66244980497.809998</v>
      </c>
      <c r="O8" s="11">
        <f>INDEX('V_Para Piyasası'!N$2:N$62,MATCH(LARGE('V_Para Piyasası'!$AC$2:$AC$62,ROW()-3),'V_Para Piyasası'!$AC$2:$AC$62,0))</f>
        <v>71359180907.169998</v>
      </c>
      <c r="P8" s="8">
        <f>INDEX('V_Para Piyasası'!O$2:O$62,MATCH(LARGE('V_Para Piyasası'!$AC$2:$AC$62,ROW()-3),'V_Para Piyasası'!$AC$2:$AC$62,0))</f>
        <v>7.7201327118347818E-2</v>
      </c>
      <c r="Q8" s="9">
        <f>INDEX('V_Para Piyasası'!P$2:P$62,MATCH(LARGE('V_Para Piyasası'!$AC$2:$AC$62,ROW()-3),'V_Para Piyasası'!$AC$2:$AC$62,0))</f>
        <v>8.5210807732093233E-2</v>
      </c>
      <c r="R8" s="5" t="str">
        <f>INDEX('V_Para Piyasası'!Q$2:Q$62,MATCH(LARGE('V_Para Piyasası'!$AC$2:$AC$62,ROW()-3),'V_Para Piyasası'!$AC$2:$AC$62,0))</f>
        <v>Görmüyor</v>
      </c>
      <c r="S8" s="8">
        <f>INDEX('V_Para Piyasası'!R$2:R$62,MATCH(LARGE('V_Para Piyasası'!$AC$2:$AC$62,ROW()-3),'V_Para Piyasası'!$AC$2:$AC$62,0))</f>
        <v>0.43149999999999999</v>
      </c>
      <c r="T8" s="8">
        <f>INDEX('V_Para Piyasası'!S$2:S$62,MATCH(LARGE('V_Para Piyasası'!$AC$2:$AC$62,ROW()-3),'V_Para Piyasası'!$AC$2:$AC$62,0))</f>
        <v>0</v>
      </c>
      <c r="U8" s="8">
        <f>INDEX('V_Para Piyasası'!T$2:T$62,MATCH(LARGE('V_Para Piyasası'!$AC$2:$AC$62,ROW()-3),'V_Para Piyasası'!$AC$2:$AC$62,0))</f>
        <v>0.39629999999999999</v>
      </c>
      <c r="V8" s="8">
        <f>INDEX('V_Para Piyasası'!U$2:U$62,MATCH(LARGE('V_Para Piyasası'!$AC$2:$AC$62,ROW()-3),'V_Para Piyasası'!$AC$2:$AC$62,0))</f>
        <v>0</v>
      </c>
      <c r="W8" s="8">
        <f>INDEX('V_Para Piyasası'!V$2:V$62,MATCH(LARGE('V_Para Piyasası'!$AC$2:$AC$62,ROW()-3),'V_Para Piyasası'!$AC$2:$AC$62,0))</f>
        <v>0</v>
      </c>
      <c r="X8" s="8">
        <f>INDEX('V_Para Piyasası'!W$2:W$62,MATCH(LARGE('V_Para Piyasası'!$AC$2:$AC$62,ROW()-3),'V_Para Piyasası'!$AC$2:$AC$62,0))</f>
        <v>0</v>
      </c>
      <c r="Y8" s="8">
        <f>INDEX('V_Para Piyasası'!X$2:X$62,MATCH(LARGE('V_Para Piyasası'!$AC$2:$AC$62,ROW()-3),'V_Para Piyasası'!$AC$2:$AC$62,0))</f>
        <v>4.8999999999999998E-3</v>
      </c>
      <c r="Z8" s="8">
        <f>INDEX('V_Para Piyasası'!Y$2:Y$62,MATCH(LARGE('V_Para Piyasası'!$AC$2:$AC$62,ROW()-3),'V_Para Piyasası'!$AC$2:$AC$62,0))</f>
        <v>2.9999999999999997E-4</v>
      </c>
      <c r="AA8" s="8">
        <f>INDEX('V_Para Piyasası'!Z$2:Z$62,MATCH(LARGE('V_Para Piyasası'!$AC$2:$AC$62,ROW()-3),'V_Para Piyasası'!$AC$2:$AC$62,0))</f>
        <v>0</v>
      </c>
      <c r="AB8" s="8">
        <f>INDEX('V_Para Piyasası'!AA$2:AA$62,MATCH(LARGE('V_Para Piyasası'!$AC$2:$AC$62,ROW()-3),'V_Para Piyasası'!$AC$2:$AC$62,0))</f>
        <v>0.83300000000000007</v>
      </c>
    </row>
    <row r="9" spans="1:28" x14ac:dyDescent="0.2">
      <c r="A9">
        <v>6</v>
      </c>
      <c r="B9" s="5" t="str">
        <f>INDEX('V_Para Piyasası'!A$2:A$62,MATCH(LARGE('V_Para Piyasası'!$AC$2:$AC$62,ROW()-3),'V_Para Piyasası'!$AC$2:$AC$62,0))</f>
        <v>PPT</v>
      </c>
      <c r="C9" s="5" t="str">
        <f>INDEX('V_Para Piyasası'!B$2:B$62,MATCH(LARGE('V_Para Piyasası'!$AC$2:$AC$62,ROW()-3),'V_Para Piyasası'!$AC$2:$AC$62,0))</f>
        <v>Atlas Portföy Para Piyasası (TL) Fonu</v>
      </c>
      <c r="D9" s="5" t="str">
        <f>INDEX('V_Para Piyasası'!C$2:C$62,MATCH(LARGE('V_Para Piyasası'!$AC$2:$AC$62,ROW()-3),'V_Para Piyasası'!$AC$2:$AC$62,0))</f>
        <v>Atlas Portföy</v>
      </c>
      <c r="E9" s="8">
        <f>INDEX('V_Para Piyasası'!D$2:D$62,MATCH(LARGE('V_Para Piyasası'!$AC$2:$AC$62,ROW()-3),'V_Para Piyasası'!$AC$2:$AC$62,0))</f>
        <v>1.0500000000000001E-2</v>
      </c>
      <c r="F9" s="9">
        <f>INDEX('V_Para Piyasası'!E$2:E$62,MATCH(LARGE('V_Para Piyasası'!$AC$2:$AC$62,ROW()-3),'V_Para Piyasası'!$AC$2:$AC$62,0))</f>
        <v>0.11716495311326899</v>
      </c>
      <c r="G9" s="9">
        <f>INDEX('V_Para Piyasası'!F$2:F$62,MATCH(LARGE('V_Para Piyasası'!$AC$2:$AC$62,ROW()-3),'V_Para Piyasası'!$AC$2:$AC$62,0))</f>
        <v>0.83838496279886598</v>
      </c>
      <c r="H9" s="9">
        <f>INDEX('V_Para Piyasası'!G$2:G$62,MATCH(LARGE('V_Para Piyasası'!$AC$2:$AC$62,ROW()-3),'V_Para Piyasası'!$AC$2:$AC$62,0))</f>
        <v>3.8335256423635218</v>
      </c>
      <c r="I9" s="9">
        <f>INDEX('V_Para Piyasası'!H$2:H$62,MATCH(LARGE('V_Para Piyasası'!$AC$2:$AC$62,ROW()-3),'V_Para Piyasası'!$AC$2:$AC$62,0))</f>
        <v>25.371127773233379</v>
      </c>
      <c r="J9" s="9">
        <f>INDEX('V_Para Piyasası'!I$2:I$62,MATCH(LARGE('V_Para Piyasası'!$AC$2:$AC$62,ROW()-3),'V_Para Piyasası'!$AC$2:$AC$62,0))</f>
        <v>53.055148347854463</v>
      </c>
      <c r="K9" s="10">
        <f>INDEX('V_Para Piyasası'!J$2:J$62,MATCH(LARGE('V_Para Piyasası'!$AC$2:$AC$62,ROW()-3),'V_Para Piyasası'!$AC$2:$AC$62,0))</f>
        <v>3655</v>
      </c>
      <c r="L9" s="10">
        <f>INDEX('V_Para Piyasası'!K$2:K$62,MATCH(LARGE('V_Para Piyasası'!$AC$2:$AC$62,ROW()-3),'V_Para Piyasası'!$AC$2:$AC$62,0))</f>
        <v>3590</v>
      </c>
      <c r="M9" s="8">
        <f>INDEX('V_Para Piyasası'!L$2:L$62,MATCH(LARGE('V_Para Piyasası'!$AC$2:$AC$62,ROW()-3),'V_Para Piyasası'!$AC$2:$AC$62,0))</f>
        <v>-1.7783857729138149E-2</v>
      </c>
      <c r="N9" s="11">
        <f>INDEX('V_Para Piyasası'!M$2:M$62,MATCH(LARGE('V_Para Piyasası'!$AC$2:$AC$62,ROW()-3),'V_Para Piyasası'!$AC$2:$AC$62,0))</f>
        <v>2297723961.3699999</v>
      </c>
      <c r="O9" s="11">
        <f>INDEX('V_Para Piyasası'!N$2:N$62,MATCH(LARGE('V_Para Piyasası'!$AC$2:$AC$62,ROW()-3),'V_Para Piyasası'!$AC$2:$AC$62,0))</f>
        <v>2318215129.7800002</v>
      </c>
      <c r="P9" s="8">
        <f>INDEX('V_Para Piyasası'!O$2:O$62,MATCH(LARGE('V_Para Piyasası'!$AC$2:$AC$62,ROW()-3),'V_Para Piyasası'!$AC$2:$AC$62,0))</f>
        <v>8.9180287773917843E-3</v>
      </c>
      <c r="Q9" s="9">
        <f>INDEX('V_Para Piyasası'!P$2:P$62,MATCH(LARGE('V_Para Piyasası'!$AC$2:$AC$62,ROW()-3),'V_Para Piyasası'!$AC$2:$AC$62,0))</f>
        <v>9.3436941133639012E-2</v>
      </c>
      <c r="R9" s="5" t="str">
        <f>INDEX('V_Para Piyasası'!Q$2:Q$62,MATCH(LARGE('V_Para Piyasası'!$AC$2:$AC$62,ROW()-3),'V_Para Piyasası'!$AC$2:$AC$62,0))</f>
        <v>Görüyor</v>
      </c>
      <c r="S9" s="8">
        <f>INDEX('V_Para Piyasası'!R$2:R$62,MATCH(LARGE('V_Para Piyasası'!$AC$2:$AC$62,ROW()-3),'V_Para Piyasası'!$AC$2:$AC$62,0))</f>
        <v>0.12770000000000001</v>
      </c>
      <c r="T9" s="8">
        <f>INDEX('V_Para Piyasası'!S$2:S$62,MATCH(LARGE('V_Para Piyasası'!$AC$2:$AC$62,ROW()-3),'V_Para Piyasası'!$AC$2:$AC$62,0))</f>
        <v>0</v>
      </c>
      <c r="U9" s="8">
        <f>INDEX('V_Para Piyasası'!T$2:T$62,MATCH(LARGE('V_Para Piyasası'!$AC$2:$AC$62,ROW()-3),'V_Para Piyasası'!$AC$2:$AC$62,0))</f>
        <v>0.48099999999999998</v>
      </c>
      <c r="V9" s="8">
        <f>INDEX('V_Para Piyasası'!U$2:U$62,MATCH(LARGE('V_Para Piyasası'!$AC$2:$AC$62,ROW()-3),'V_Para Piyasası'!$AC$2:$AC$62,0))</f>
        <v>0</v>
      </c>
      <c r="W9" s="8">
        <f>INDEX('V_Para Piyasası'!V$2:V$62,MATCH(LARGE('V_Para Piyasası'!$AC$2:$AC$62,ROW()-3),'V_Para Piyasası'!$AC$2:$AC$62,0))</f>
        <v>0.19950000000000001</v>
      </c>
      <c r="X9" s="8">
        <f>INDEX('V_Para Piyasası'!W$2:W$62,MATCH(LARGE('V_Para Piyasası'!$AC$2:$AC$62,ROW()-3),'V_Para Piyasası'!$AC$2:$AC$62,0))</f>
        <v>0</v>
      </c>
      <c r="Y9" s="8">
        <f>INDEX('V_Para Piyasası'!X$2:X$62,MATCH(LARGE('V_Para Piyasası'!$AC$2:$AC$62,ROW()-3),'V_Para Piyasası'!$AC$2:$AC$62,0))</f>
        <v>0</v>
      </c>
      <c r="Z9" s="8">
        <f>INDEX('V_Para Piyasası'!Y$2:Y$62,MATCH(LARGE('V_Para Piyasası'!$AC$2:$AC$62,ROW()-3),'V_Para Piyasası'!$AC$2:$AC$62,0))</f>
        <v>8.4499999999999992E-2</v>
      </c>
      <c r="AA9" s="8">
        <f>INDEX('V_Para Piyasası'!Z$2:Z$62,MATCH(LARGE('V_Para Piyasası'!$AC$2:$AC$62,ROW()-3),'V_Para Piyasası'!$AC$2:$AC$62,0))</f>
        <v>0</v>
      </c>
      <c r="AB9" s="8">
        <f>INDEX('V_Para Piyasası'!AA$2:AA$62,MATCH(LARGE('V_Para Piyasası'!$AC$2:$AC$62,ROW()-3),'V_Para Piyasası'!$AC$2:$AC$62,0))</f>
        <v>0.89270000000000005</v>
      </c>
    </row>
    <row r="10" spans="1:28" x14ac:dyDescent="0.2">
      <c r="A10">
        <v>7</v>
      </c>
      <c r="B10" s="5" t="str">
        <f>INDEX('V_Para Piyasası'!A$2:A$62,MATCH(LARGE('V_Para Piyasası'!$AC$2:$AC$62,ROW()-3),'V_Para Piyasası'!$AC$2:$AC$62,0))</f>
        <v>EIL</v>
      </c>
      <c r="C10" s="5" t="str">
        <f>INDEX('V_Para Piyasası'!B$2:B$62,MATCH(LARGE('V_Para Piyasası'!$AC$2:$AC$62,ROW()-3),'V_Para Piyasası'!$AC$2:$AC$62,0))</f>
        <v>Astra Portföy Para Piyasası (TL) Fonu</v>
      </c>
      <c r="D10" s="5" t="str">
        <f>INDEX('V_Para Piyasası'!C$2:C$62,MATCH(LARGE('V_Para Piyasası'!$AC$2:$AC$62,ROW()-3),'V_Para Piyasası'!$AC$2:$AC$62,0))</f>
        <v>Astra Portföy</v>
      </c>
      <c r="E10" s="8">
        <f>INDEX('V_Para Piyasası'!D$2:D$62,MATCH(LARGE('V_Para Piyasası'!$AC$2:$AC$62,ROW()-3),'V_Para Piyasası'!$AC$2:$AC$62,0))</f>
        <v>7.9935000000000006E-3</v>
      </c>
      <c r="F10" s="9">
        <f>INDEX('V_Para Piyasası'!E$2:E$62,MATCH(LARGE('V_Para Piyasası'!$AC$2:$AC$62,ROW()-3),'V_Para Piyasası'!$AC$2:$AC$62,0))</f>
        <v>0.1164870157809972</v>
      </c>
      <c r="G10" s="9">
        <f>INDEX('V_Para Piyasası'!F$2:F$62,MATCH(LARGE('V_Para Piyasası'!$AC$2:$AC$62,ROW()-3),'V_Para Piyasası'!$AC$2:$AC$62,0))</f>
        <v>0.7834789450981372</v>
      </c>
      <c r="H10" s="9">
        <f>INDEX('V_Para Piyasası'!G$2:G$62,MATCH(LARGE('V_Para Piyasası'!$AC$2:$AC$62,ROW()-3),'V_Para Piyasası'!$AC$2:$AC$62,0))</f>
        <v>3.6344146590780109</v>
      </c>
      <c r="I10" s="9">
        <f>INDEX('V_Para Piyasası'!H$2:H$62,MATCH(LARGE('V_Para Piyasası'!$AC$2:$AC$62,ROW()-3),'V_Para Piyasası'!$AC$2:$AC$62,0))</f>
        <v>23.221911084480791</v>
      </c>
      <c r="J10" s="9">
        <f>INDEX('V_Para Piyasası'!I$2:I$62,MATCH(LARGE('V_Para Piyasası'!$AC$2:$AC$62,ROW()-3),'V_Para Piyasası'!$AC$2:$AC$62,0))</f>
        <v>50.43796340479998</v>
      </c>
      <c r="K10" s="10">
        <f>INDEX('V_Para Piyasası'!J$2:J$62,MATCH(LARGE('V_Para Piyasası'!$AC$2:$AC$62,ROW()-3),'V_Para Piyasası'!$AC$2:$AC$62,0))</f>
        <v>1754</v>
      </c>
      <c r="L10" s="10">
        <f>INDEX('V_Para Piyasası'!K$2:K$62,MATCH(LARGE('V_Para Piyasası'!$AC$2:$AC$62,ROW()-3),'V_Para Piyasası'!$AC$2:$AC$62,0))</f>
        <v>1639</v>
      </c>
      <c r="M10" s="8">
        <f>INDEX('V_Para Piyasası'!L$2:L$62,MATCH(LARGE('V_Para Piyasası'!$AC$2:$AC$62,ROW()-3),'V_Para Piyasası'!$AC$2:$AC$62,0))</f>
        <v>-6.5564424173318092E-2</v>
      </c>
      <c r="N10" s="11">
        <f>INDEX('V_Para Piyasası'!M$2:M$62,MATCH(LARGE('V_Para Piyasası'!$AC$2:$AC$62,ROW()-3),'V_Para Piyasası'!$AC$2:$AC$62,0))</f>
        <v>1218709240.8699999</v>
      </c>
      <c r="O10" s="11">
        <f>INDEX('V_Para Piyasası'!N$2:N$62,MATCH(LARGE('V_Para Piyasası'!$AC$2:$AC$62,ROW()-3),'V_Para Piyasası'!$AC$2:$AC$62,0))</f>
        <v>1165290589.9400001</v>
      </c>
      <c r="P10" s="8">
        <f>INDEX('V_Para Piyasası'!O$2:O$62,MATCH(LARGE('V_Para Piyasası'!$AC$2:$AC$62,ROW()-3),'V_Para Piyasası'!$AC$2:$AC$62,0))</f>
        <v>-4.3832153838323173E-2</v>
      </c>
      <c r="Q10" s="9">
        <f>INDEX('V_Para Piyasası'!P$2:P$62,MATCH(LARGE('V_Para Piyasası'!$AC$2:$AC$62,ROW()-3),'V_Para Piyasası'!$AC$2:$AC$62,0))</f>
        <v>8.4296974630184221E-2</v>
      </c>
      <c r="R10" s="5" t="str">
        <f>INDEX('V_Para Piyasası'!Q$2:Q$62,MATCH(LARGE('V_Para Piyasası'!$AC$2:$AC$62,ROW()-3),'V_Para Piyasası'!$AC$2:$AC$62,0))</f>
        <v>Görüyor</v>
      </c>
      <c r="S10" s="8">
        <f>INDEX('V_Para Piyasası'!R$2:R$62,MATCH(LARGE('V_Para Piyasası'!$AC$2:$AC$62,ROW()-3),'V_Para Piyasası'!$AC$2:$AC$62,0))</f>
        <v>0</v>
      </c>
      <c r="T10" s="8">
        <f>INDEX('V_Para Piyasası'!S$2:S$62,MATCH(LARGE('V_Para Piyasası'!$AC$2:$AC$62,ROW()-3),'V_Para Piyasası'!$AC$2:$AC$62,0))</f>
        <v>0</v>
      </c>
      <c r="U10" s="8">
        <f>INDEX('V_Para Piyasası'!T$2:T$62,MATCH(LARGE('V_Para Piyasası'!$AC$2:$AC$62,ROW()-3),'V_Para Piyasası'!$AC$2:$AC$62,0))</f>
        <v>0.36849999999999999</v>
      </c>
      <c r="V10" s="8">
        <f>INDEX('V_Para Piyasası'!U$2:U$62,MATCH(LARGE('V_Para Piyasası'!$AC$2:$AC$62,ROW()-3),'V_Para Piyasası'!$AC$2:$AC$62,0))</f>
        <v>0</v>
      </c>
      <c r="W10" s="8">
        <f>INDEX('V_Para Piyasası'!V$2:V$62,MATCH(LARGE('V_Para Piyasası'!$AC$2:$AC$62,ROW()-3),'V_Para Piyasası'!$AC$2:$AC$62,0))</f>
        <v>0.1976</v>
      </c>
      <c r="X10" s="8">
        <f>INDEX('V_Para Piyasası'!W$2:W$62,MATCH(LARGE('V_Para Piyasası'!$AC$2:$AC$62,ROW()-3),'V_Para Piyasası'!$AC$2:$AC$62,0))</f>
        <v>0</v>
      </c>
      <c r="Y10" s="8">
        <f>INDEX('V_Para Piyasası'!X$2:X$62,MATCH(LARGE('V_Para Piyasası'!$AC$2:$AC$62,ROW()-3),'V_Para Piyasası'!$AC$2:$AC$62,0))</f>
        <v>0.29260000000000003</v>
      </c>
      <c r="Z10" s="8">
        <f>INDEX('V_Para Piyasası'!Y$2:Y$62,MATCH(LARGE('V_Para Piyasası'!$AC$2:$AC$62,ROW()-3),'V_Para Piyasası'!$AC$2:$AC$62,0))</f>
        <v>0</v>
      </c>
      <c r="AA10" s="8">
        <f>INDEX('V_Para Piyasası'!Z$2:Z$62,MATCH(LARGE('V_Para Piyasası'!$AC$2:$AC$62,ROW()-3),'V_Para Piyasası'!$AC$2:$AC$62,0))</f>
        <v>0</v>
      </c>
      <c r="AB10" s="8">
        <f>INDEX('V_Para Piyasası'!AA$2:AA$62,MATCH(LARGE('V_Para Piyasası'!$AC$2:$AC$62,ROW()-3),'V_Para Piyasası'!$AC$2:$AC$62,0))</f>
        <v>0.85870000000000002</v>
      </c>
    </row>
    <row r="11" spans="1:28" x14ac:dyDescent="0.2">
      <c r="A11">
        <v>8</v>
      </c>
      <c r="B11" s="5" t="str">
        <f>INDEX('V_Para Piyasası'!A$2:A$62,MATCH(LARGE('V_Para Piyasası'!$AC$2:$AC$62,ROW()-3),'V_Para Piyasası'!$AC$2:$AC$62,0))</f>
        <v>PPN</v>
      </c>
      <c r="C11" s="5" t="str">
        <f>INDEX('V_Para Piyasası'!B$2:B$62,MATCH(LARGE('V_Para Piyasası'!$AC$2:$AC$62,ROW()-3),'V_Para Piyasası'!$AC$2:$AC$62,0))</f>
        <v>Nurol Portföy Para Piyasası (TL) Fonu</v>
      </c>
      <c r="D11" s="5" t="str">
        <f>INDEX('V_Para Piyasası'!C$2:C$62,MATCH(LARGE('V_Para Piyasası'!$AC$2:$AC$62,ROW()-3),'V_Para Piyasası'!$AC$2:$AC$62,0))</f>
        <v>Nurol Portföy</v>
      </c>
      <c r="E11" s="8">
        <f>INDEX('V_Para Piyasası'!D$2:D$62,MATCH(LARGE('V_Para Piyasası'!$AC$2:$AC$62,ROW()-3),'V_Para Piyasası'!$AC$2:$AC$62,0))</f>
        <v>6.9999999999999993E-3</v>
      </c>
      <c r="F11" s="9">
        <f>INDEX('V_Para Piyasası'!E$2:E$62,MATCH(LARGE('V_Para Piyasası'!$AC$2:$AC$62,ROW()-3),'V_Para Piyasası'!$AC$2:$AC$62,0))</f>
        <v>0.1151607176609115</v>
      </c>
      <c r="G11" s="9">
        <f>INDEX('V_Para Piyasası'!F$2:F$62,MATCH(LARGE('V_Para Piyasası'!$AC$2:$AC$62,ROW()-3),'V_Para Piyasası'!$AC$2:$AC$62,0))</f>
        <v>0.77093425303158547</v>
      </c>
      <c r="H11" s="9">
        <f>INDEX('V_Para Piyasası'!G$2:G$62,MATCH(LARGE('V_Para Piyasası'!$AC$2:$AC$62,ROW()-3),'V_Para Piyasası'!$AC$2:$AC$62,0))</f>
        <v>3.5648077811098799</v>
      </c>
      <c r="I11" s="9">
        <f>INDEX('V_Para Piyasası'!H$2:H$62,MATCH(LARGE('V_Para Piyasası'!$AC$2:$AC$62,ROW()-3),'V_Para Piyasası'!$AC$2:$AC$62,0))</f>
        <v>23.059961462349769</v>
      </c>
      <c r="J11" s="9">
        <f>INDEX('V_Para Piyasası'!I$2:I$62,MATCH(LARGE('V_Para Piyasası'!$AC$2:$AC$62,ROW()-3),'V_Para Piyasası'!$AC$2:$AC$62,0))</f>
        <v>49.188623615531</v>
      </c>
      <c r="K11" s="10">
        <f>INDEX('V_Para Piyasası'!J$2:J$62,MATCH(LARGE('V_Para Piyasası'!$AC$2:$AC$62,ROW()-3),'V_Para Piyasası'!$AC$2:$AC$62,0))</f>
        <v>14179</v>
      </c>
      <c r="L11" s="10">
        <f>INDEX('V_Para Piyasası'!K$2:K$62,MATCH(LARGE('V_Para Piyasası'!$AC$2:$AC$62,ROW()-3),'V_Para Piyasası'!$AC$2:$AC$62,0))</f>
        <v>13646</v>
      </c>
      <c r="M11" s="8">
        <f>INDEX('V_Para Piyasası'!L$2:L$62,MATCH(LARGE('V_Para Piyasası'!$AC$2:$AC$62,ROW()-3),'V_Para Piyasası'!$AC$2:$AC$62,0))</f>
        <v>-3.7590803300655902E-2</v>
      </c>
      <c r="N11" s="11">
        <f>INDEX('V_Para Piyasası'!M$2:M$62,MATCH(LARGE('V_Para Piyasası'!$AC$2:$AC$62,ROW()-3),'V_Para Piyasası'!$AC$2:$AC$62,0))</f>
        <v>11648158815.02</v>
      </c>
      <c r="O11" s="11">
        <f>INDEX('V_Para Piyasası'!N$2:N$62,MATCH(LARGE('V_Para Piyasası'!$AC$2:$AC$62,ROW()-3),'V_Para Piyasası'!$AC$2:$AC$62,0))</f>
        <v>11726919492.540001</v>
      </c>
      <c r="P11" s="8">
        <f>INDEX('V_Para Piyasası'!O$2:O$62,MATCH(LARGE('V_Para Piyasası'!$AC$2:$AC$62,ROW()-3),'V_Para Piyasası'!$AC$2:$AC$62,0))</f>
        <v>6.7616417985683066E-3</v>
      </c>
      <c r="Q11" s="9">
        <f>INDEX('V_Para Piyasası'!P$2:P$62,MATCH(LARGE('V_Para Piyasası'!$AC$2:$AC$62,ROW()-3),'V_Para Piyasası'!$AC$2:$AC$62,0))</f>
        <v>8.780981591528482E-2</v>
      </c>
      <c r="R11" s="5" t="str">
        <f>INDEX('V_Para Piyasası'!Q$2:Q$62,MATCH(LARGE('V_Para Piyasası'!$AC$2:$AC$62,ROW()-3),'V_Para Piyasası'!$AC$2:$AC$62,0))</f>
        <v>Görüyor</v>
      </c>
      <c r="S11" s="8">
        <f>INDEX('V_Para Piyasası'!R$2:R$62,MATCH(LARGE('V_Para Piyasası'!$AC$2:$AC$62,ROW()-3),'V_Para Piyasası'!$AC$2:$AC$62,0))</f>
        <v>0.40630000000000011</v>
      </c>
      <c r="T11" s="8">
        <f>INDEX('V_Para Piyasası'!S$2:S$62,MATCH(LARGE('V_Para Piyasası'!$AC$2:$AC$62,ROW()-3),'V_Para Piyasası'!$AC$2:$AC$62,0))</f>
        <v>0</v>
      </c>
      <c r="U11" s="8">
        <f>INDEX('V_Para Piyasası'!T$2:T$62,MATCH(LARGE('V_Para Piyasası'!$AC$2:$AC$62,ROW()-3),'V_Para Piyasası'!$AC$2:$AC$62,0))</f>
        <v>9.7899999999999987E-2</v>
      </c>
      <c r="V11" s="8">
        <f>INDEX('V_Para Piyasası'!U$2:U$62,MATCH(LARGE('V_Para Piyasası'!$AC$2:$AC$62,ROW()-3),'V_Para Piyasası'!$AC$2:$AC$62,0))</f>
        <v>0</v>
      </c>
      <c r="W11" s="8">
        <f>INDEX('V_Para Piyasası'!V$2:V$62,MATCH(LARGE('V_Para Piyasası'!$AC$2:$AC$62,ROW()-3),'V_Para Piyasası'!$AC$2:$AC$62,0))</f>
        <v>0.17560000000000001</v>
      </c>
      <c r="X11" s="8">
        <f>INDEX('V_Para Piyasası'!W$2:W$62,MATCH(LARGE('V_Para Piyasası'!$AC$2:$AC$62,ROW()-3),'V_Para Piyasası'!$AC$2:$AC$62,0))</f>
        <v>0</v>
      </c>
      <c r="Y11" s="8">
        <f>INDEX('V_Para Piyasası'!X$2:X$62,MATCH(LARGE('V_Para Piyasası'!$AC$2:$AC$62,ROW()-3),'V_Para Piyasası'!$AC$2:$AC$62,0))</f>
        <v>0.1419</v>
      </c>
      <c r="Z11" s="8">
        <f>INDEX('V_Para Piyasası'!Y$2:Y$62,MATCH(LARGE('V_Para Piyasası'!$AC$2:$AC$62,ROW()-3),'V_Para Piyasası'!$AC$2:$AC$62,0))</f>
        <v>2.81E-2</v>
      </c>
      <c r="AA11" s="8">
        <f>INDEX('V_Para Piyasası'!Z$2:Z$62,MATCH(LARGE('V_Para Piyasası'!$AC$2:$AC$62,ROW()-3),'V_Para Piyasası'!$AC$2:$AC$62,0))</f>
        <v>0</v>
      </c>
      <c r="AB11" s="8">
        <f>INDEX('V_Para Piyasası'!AA$2:AA$62,MATCH(LARGE('V_Para Piyasası'!$AC$2:$AC$62,ROW()-3),'V_Para Piyasası'!$AC$2:$AC$62,0))</f>
        <v>0.8498</v>
      </c>
    </row>
    <row r="12" spans="1:28" x14ac:dyDescent="0.2">
      <c r="A12">
        <v>9</v>
      </c>
      <c r="B12" s="5" t="str">
        <f>INDEX('V_Para Piyasası'!A$2:A$62,MATCH(LARGE('V_Para Piyasası'!$AC$2:$AC$62,ROW()-3),'V_Para Piyasası'!$AC$2:$AC$62,0))</f>
        <v>IOO</v>
      </c>
      <c r="C12" s="5" t="str">
        <f>INDEX('V_Para Piyasası'!B$2:B$62,MATCH(LARGE('V_Para Piyasası'!$AC$2:$AC$62,ROW()-3),'V_Para Piyasası'!$AC$2:$AC$62,0))</f>
        <v>İŞ Portföy İkinci Para Piyasası (TL) Fonu</v>
      </c>
      <c r="D12" s="5" t="str">
        <f>INDEX('V_Para Piyasası'!C$2:C$62,MATCH(LARGE('V_Para Piyasası'!$AC$2:$AC$62,ROW()-3),'V_Para Piyasası'!$AC$2:$AC$62,0))</f>
        <v>İŞ Portföy</v>
      </c>
      <c r="E12" s="8">
        <f>INDEX('V_Para Piyasası'!D$2:D$62,MATCH(LARGE('V_Para Piyasası'!$AC$2:$AC$62,ROW()-3),'V_Para Piyasası'!$AC$2:$AC$62,0))</f>
        <v>1.0500000000000001E-2</v>
      </c>
      <c r="F12" s="9">
        <f>INDEX('V_Para Piyasası'!E$2:E$62,MATCH(LARGE('V_Para Piyasası'!$AC$2:$AC$62,ROW()-3),'V_Para Piyasası'!$AC$2:$AC$62,0))</f>
        <v>0.11512433791591729</v>
      </c>
      <c r="G12" s="9">
        <f>INDEX('V_Para Piyasası'!F$2:F$62,MATCH(LARGE('V_Para Piyasası'!$AC$2:$AC$62,ROW()-3),'V_Para Piyasası'!$AC$2:$AC$62,0))</f>
        <v>0.71226160638278024</v>
      </c>
      <c r="H12" s="9">
        <f>INDEX('V_Para Piyasası'!G$2:G$62,MATCH(LARGE('V_Para Piyasası'!$AC$2:$AC$62,ROW()-3),'V_Para Piyasası'!$AC$2:$AC$62,0))</f>
        <v>3.4049754532275318</v>
      </c>
      <c r="I12" s="9">
        <f>INDEX('V_Para Piyasası'!H$2:H$62,MATCH(LARGE('V_Para Piyasası'!$AC$2:$AC$62,ROW()-3),'V_Para Piyasası'!$AC$2:$AC$62,0))</f>
        <v>21.87826685614893</v>
      </c>
      <c r="J12" s="9">
        <f>INDEX('V_Para Piyasası'!I$2:I$62,MATCH(LARGE('V_Para Piyasası'!$AC$2:$AC$62,ROW()-3),'V_Para Piyasası'!$AC$2:$AC$62,0))</f>
        <v>46.886952051453569</v>
      </c>
      <c r="K12" s="10">
        <f>INDEX('V_Para Piyasası'!J$2:J$62,MATCH(LARGE('V_Para Piyasası'!$AC$2:$AC$62,ROW()-3),'V_Para Piyasası'!$AC$2:$AC$62,0))</f>
        <v>6288</v>
      </c>
      <c r="L12" s="10">
        <f>INDEX('V_Para Piyasası'!K$2:K$62,MATCH(LARGE('V_Para Piyasası'!$AC$2:$AC$62,ROW()-3),'V_Para Piyasası'!$AC$2:$AC$62,0))</f>
        <v>6050</v>
      </c>
      <c r="M12" s="8">
        <f>INDEX('V_Para Piyasası'!L$2:L$62,MATCH(LARGE('V_Para Piyasası'!$AC$2:$AC$62,ROW()-3),'V_Para Piyasası'!$AC$2:$AC$62,0))</f>
        <v>-3.7849872773536908E-2</v>
      </c>
      <c r="N12" s="11">
        <f>INDEX('V_Para Piyasası'!M$2:M$62,MATCH(LARGE('V_Para Piyasası'!$AC$2:$AC$62,ROW()-3),'V_Para Piyasası'!$AC$2:$AC$62,0))</f>
        <v>17766355331.209999</v>
      </c>
      <c r="O12" s="11">
        <f>INDEX('V_Para Piyasası'!N$2:N$62,MATCH(LARGE('V_Para Piyasası'!$AC$2:$AC$62,ROW()-3),'V_Para Piyasası'!$AC$2:$AC$62,0))</f>
        <v>17386457297.450001</v>
      </c>
      <c r="P12" s="8">
        <f>INDEX('V_Para Piyasası'!O$2:O$62,MATCH(LARGE('V_Para Piyasası'!$AC$2:$AC$62,ROW()-3),'V_Para Piyasası'!$AC$2:$AC$62,0))</f>
        <v>-2.1383003248428459E-2</v>
      </c>
      <c r="Q12" s="9">
        <f>INDEX('V_Para Piyasası'!P$2:P$62,MATCH(LARGE('V_Para Piyasası'!$AC$2:$AC$62,ROW()-3),'V_Para Piyasası'!$AC$2:$AC$62,0))</f>
        <v>9.0573089733669204E-2</v>
      </c>
      <c r="R12" s="5" t="str">
        <f>INDEX('V_Para Piyasası'!Q$2:Q$62,MATCH(LARGE('V_Para Piyasası'!$AC$2:$AC$62,ROW()-3),'V_Para Piyasası'!$AC$2:$AC$62,0))</f>
        <v>Görüyor</v>
      </c>
      <c r="S12" s="8">
        <f>INDEX('V_Para Piyasası'!R$2:R$62,MATCH(LARGE('V_Para Piyasası'!$AC$2:$AC$62,ROW()-3),'V_Para Piyasası'!$AC$2:$AC$62,0))</f>
        <v>0.39250000000000002</v>
      </c>
      <c r="T12" s="8">
        <f>INDEX('V_Para Piyasası'!S$2:S$62,MATCH(LARGE('V_Para Piyasası'!$AC$2:$AC$62,ROW()-3),'V_Para Piyasası'!$AC$2:$AC$62,0))</f>
        <v>0</v>
      </c>
      <c r="U12" s="8">
        <f>INDEX('V_Para Piyasası'!T$2:T$62,MATCH(LARGE('V_Para Piyasası'!$AC$2:$AC$62,ROW()-3),'V_Para Piyasası'!$AC$2:$AC$62,0))</f>
        <v>0.11899999999999999</v>
      </c>
      <c r="V12" s="8">
        <f>INDEX('V_Para Piyasası'!U$2:U$62,MATCH(LARGE('V_Para Piyasası'!$AC$2:$AC$62,ROW()-3),'V_Para Piyasası'!$AC$2:$AC$62,0))</f>
        <v>0</v>
      </c>
      <c r="W12" s="8">
        <f>INDEX('V_Para Piyasası'!V$2:V$62,MATCH(LARGE('V_Para Piyasası'!$AC$2:$AC$62,ROW()-3),'V_Para Piyasası'!$AC$2:$AC$62,0))</f>
        <v>3.4799999999999998E-2</v>
      </c>
      <c r="X12" s="8">
        <f>INDEX('V_Para Piyasası'!W$2:W$62,MATCH(LARGE('V_Para Piyasası'!$AC$2:$AC$62,ROW()-3),'V_Para Piyasası'!$AC$2:$AC$62,0))</f>
        <v>0</v>
      </c>
      <c r="Y12" s="8">
        <f>INDEX('V_Para Piyasası'!X$2:X$62,MATCH(LARGE('V_Para Piyasası'!$AC$2:$AC$62,ROW()-3),'V_Para Piyasası'!$AC$2:$AC$62,0))</f>
        <v>0.12559999999999999</v>
      </c>
      <c r="Z12" s="8">
        <f>INDEX('V_Para Piyasası'!Y$2:Y$62,MATCH(LARGE('V_Para Piyasası'!$AC$2:$AC$62,ROW()-3),'V_Para Piyasası'!$AC$2:$AC$62,0))</f>
        <v>1.9400000000000001E-2</v>
      </c>
      <c r="AA12" s="8">
        <f>INDEX('V_Para Piyasası'!Z$2:Z$62,MATCH(LARGE('V_Para Piyasası'!$AC$2:$AC$62,ROW()-3),'V_Para Piyasası'!$AC$2:$AC$62,0))</f>
        <v>0</v>
      </c>
      <c r="AB12" s="8">
        <f>INDEX('V_Para Piyasası'!AA$2:AA$62,MATCH(LARGE('V_Para Piyasası'!$AC$2:$AC$62,ROW()-3),'V_Para Piyasası'!$AC$2:$AC$62,0))</f>
        <v>0.69130000000000003</v>
      </c>
    </row>
    <row r="13" spans="1:28" x14ac:dyDescent="0.2">
      <c r="A13">
        <v>10</v>
      </c>
      <c r="B13" s="5" t="str">
        <f>INDEX('V_Para Piyasası'!A$2:A$62,MATCH(LARGE('V_Para Piyasası'!$AC$2:$AC$62,ROW()-3),'V_Para Piyasası'!$AC$2:$AC$62,0))</f>
        <v>BVF</v>
      </c>
      <c r="C13" s="5" t="str">
        <f>INDEX('V_Para Piyasası'!B$2:B$62,MATCH(LARGE('V_Para Piyasası'!$AC$2:$AC$62,ROW()-3),'V_Para Piyasası'!$AC$2:$AC$62,0))</f>
        <v>BV Portföy Para Piyasası (TL) Fon</v>
      </c>
      <c r="D13" s="5" t="str">
        <f>INDEX('V_Para Piyasası'!C$2:C$62,MATCH(LARGE('V_Para Piyasası'!$AC$2:$AC$62,ROW()-3),'V_Para Piyasası'!$AC$2:$AC$62,0))</f>
        <v>BV Portföy</v>
      </c>
      <c r="E13" s="8">
        <f>INDEX('V_Para Piyasası'!D$2:D$62,MATCH(LARGE('V_Para Piyasası'!$AC$2:$AC$62,ROW()-3),'V_Para Piyasası'!$AC$2:$AC$62,0))</f>
        <v>8.0000000000000002E-3</v>
      </c>
      <c r="F13" s="9">
        <f>INDEX('V_Para Piyasası'!E$2:E$62,MATCH(LARGE('V_Para Piyasası'!$AC$2:$AC$62,ROW()-3),'V_Para Piyasası'!$AC$2:$AC$62,0))</f>
        <v>0.1142912868962398</v>
      </c>
      <c r="G13" s="9">
        <f>INDEX('V_Para Piyasası'!F$2:F$62,MATCH(LARGE('V_Para Piyasası'!$AC$2:$AC$62,ROW()-3),'V_Para Piyasası'!$AC$2:$AC$62,0))</f>
        <v>0.78584497300191458</v>
      </c>
      <c r="H13" s="9">
        <f>INDEX('V_Para Piyasası'!G$2:G$62,MATCH(LARGE('V_Para Piyasası'!$AC$2:$AC$62,ROW()-3),'V_Para Piyasası'!$AC$2:$AC$62,0))</f>
        <v>3.606128721500967</v>
      </c>
      <c r="I13" s="9">
        <f>INDEX('V_Para Piyasası'!H$2:H$62,MATCH(LARGE('V_Para Piyasası'!$AC$2:$AC$62,ROW()-3),'V_Para Piyasası'!$AC$2:$AC$62,0))</f>
        <v>23.435745106451591</v>
      </c>
      <c r="J13" s="9" t="str">
        <f>INDEX('V_Para Piyasası'!I$2:I$62,MATCH(LARGE('V_Para Piyasası'!$AC$2:$AC$62,ROW()-3),'V_Para Piyasası'!$AC$2:$AC$62,0))</f>
        <v>-</v>
      </c>
      <c r="K13" s="10">
        <f>INDEX('V_Para Piyasası'!J$2:J$62,MATCH(LARGE('V_Para Piyasası'!$AC$2:$AC$62,ROW()-3),'V_Para Piyasası'!$AC$2:$AC$62,0))</f>
        <v>504</v>
      </c>
      <c r="L13" s="10">
        <f>INDEX('V_Para Piyasası'!K$2:K$62,MATCH(LARGE('V_Para Piyasası'!$AC$2:$AC$62,ROW()-3),'V_Para Piyasası'!$AC$2:$AC$62,0))</f>
        <v>506</v>
      </c>
      <c r="M13" s="8">
        <f>INDEX('V_Para Piyasası'!L$2:L$62,MATCH(LARGE('V_Para Piyasası'!$AC$2:$AC$62,ROW()-3),'V_Para Piyasası'!$AC$2:$AC$62,0))</f>
        <v>3.9682539682539542E-3</v>
      </c>
      <c r="N13" s="11">
        <f>INDEX('V_Para Piyasası'!M$2:M$62,MATCH(LARGE('V_Para Piyasası'!$AC$2:$AC$62,ROW()-3),'V_Para Piyasası'!$AC$2:$AC$62,0))</f>
        <v>1149203235.3599999</v>
      </c>
      <c r="O13" s="11">
        <f>INDEX('V_Para Piyasası'!N$2:N$62,MATCH(LARGE('V_Para Piyasası'!$AC$2:$AC$62,ROW()-3),'V_Para Piyasası'!$AC$2:$AC$62,0))</f>
        <v>1957416728.97</v>
      </c>
      <c r="P13" s="8">
        <f>INDEX('V_Para Piyasası'!O$2:O$62,MATCH(LARGE('V_Para Piyasası'!$AC$2:$AC$62,ROW()-3),'V_Para Piyasası'!$AC$2:$AC$62,0))</f>
        <v>0.70328160306372522</v>
      </c>
      <c r="Q13" s="9">
        <f>INDEX('V_Para Piyasası'!P$2:P$62,MATCH(LARGE('V_Para Piyasası'!$AC$2:$AC$62,ROW()-3),'V_Para Piyasası'!$AC$2:$AC$62,0))</f>
        <v>8.694051998176118E-2</v>
      </c>
      <c r="R13" s="5" t="str">
        <f>INDEX('V_Para Piyasası'!Q$2:Q$62,MATCH(LARGE('V_Para Piyasası'!$AC$2:$AC$62,ROW()-3),'V_Para Piyasası'!$AC$2:$AC$62,0))</f>
        <v>Görüyor</v>
      </c>
      <c r="S13" s="8">
        <f>INDEX('V_Para Piyasası'!R$2:R$62,MATCH(LARGE('V_Para Piyasası'!$AC$2:$AC$62,ROW()-3),'V_Para Piyasası'!$AC$2:$AC$62,0))</f>
        <v>0</v>
      </c>
      <c r="T13" s="8">
        <f>INDEX('V_Para Piyasası'!S$2:S$62,MATCH(LARGE('V_Para Piyasası'!$AC$2:$AC$62,ROW()-3),'V_Para Piyasası'!$AC$2:$AC$62,0))</f>
        <v>0</v>
      </c>
      <c r="U13" s="8">
        <f>INDEX('V_Para Piyasası'!T$2:T$62,MATCH(LARGE('V_Para Piyasası'!$AC$2:$AC$62,ROW()-3),'V_Para Piyasası'!$AC$2:$AC$62,0))</f>
        <v>0.39939999999999998</v>
      </c>
      <c r="V13" s="8">
        <f>INDEX('V_Para Piyasası'!U$2:U$62,MATCH(LARGE('V_Para Piyasası'!$AC$2:$AC$62,ROW()-3),'V_Para Piyasası'!$AC$2:$AC$62,0))</f>
        <v>0</v>
      </c>
      <c r="W13" s="8">
        <f>INDEX('V_Para Piyasası'!V$2:V$62,MATCH(LARGE('V_Para Piyasası'!$AC$2:$AC$62,ROW()-3),'V_Para Piyasası'!$AC$2:$AC$62,0))</f>
        <v>0.18890000000000001</v>
      </c>
      <c r="X13" s="8">
        <f>INDEX('V_Para Piyasası'!W$2:W$62,MATCH(LARGE('V_Para Piyasası'!$AC$2:$AC$62,ROW()-3),'V_Para Piyasası'!$AC$2:$AC$62,0))</f>
        <v>0</v>
      </c>
      <c r="Y13" s="8">
        <f>INDEX('V_Para Piyasası'!X$2:X$62,MATCH(LARGE('V_Para Piyasası'!$AC$2:$AC$62,ROW()-3),'V_Para Piyasası'!$AC$2:$AC$62,0))</f>
        <v>0</v>
      </c>
      <c r="Z13" s="8">
        <f>INDEX('V_Para Piyasası'!Y$2:Y$62,MATCH(LARGE('V_Para Piyasası'!$AC$2:$AC$62,ROW()-3),'V_Para Piyasası'!$AC$2:$AC$62,0))</f>
        <v>0.1164</v>
      </c>
      <c r="AA13" s="8">
        <f>INDEX('V_Para Piyasası'!Z$2:Z$62,MATCH(LARGE('V_Para Piyasası'!$AC$2:$AC$62,ROW()-3),'V_Para Piyasası'!$AC$2:$AC$62,0))</f>
        <v>2.9499999999999998E-2</v>
      </c>
      <c r="AB13" s="8">
        <f>INDEX('V_Para Piyasası'!AA$2:AA$62,MATCH(LARGE('V_Para Piyasası'!$AC$2:$AC$62,ROW()-3),'V_Para Piyasası'!$AC$2:$AC$62,0))</f>
        <v>0.73419999999999996</v>
      </c>
    </row>
    <row r="14" spans="1:28" x14ac:dyDescent="0.2">
      <c r="A14">
        <v>11</v>
      </c>
      <c r="B14" s="5" t="str">
        <f>INDEX('V_Para Piyasası'!A$2:A$62,MATCH(LARGE('V_Para Piyasası'!$AC$2:$AC$62,ROW()-3),'V_Para Piyasası'!$AC$2:$AC$62,0))</f>
        <v>RBP</v>
      </c>
      <c r="C14" s="5" t="str">
        <f>INDEX('V_Para Piyasası'!B$2:B$62,MATCH(LARGE('V_Para Piyasası'!$AC$2:$AC$62,ROW()-3),'V_Para Piyasası'!$AC$2:$AC$62,0))</f>
        <v>Re-pıe Portföy Birinci Para Piyasası (TL) Fonu</v>
      </c>
      <c r="D14" s="5" t="str">
        <f>INDEX('V_Para Piyasası'!C$2:C$62,MATCH(LARGE('V_Para Piyasası'!$AC$2:$AC$62,ROW()-3),'V_Para Piyasası'!$AC$2:$AC$62,0))</f>
        <v>Re-pıe Portföy</v>
      </c>
      <c r="E14" s="8">
        <f>INDEX('V_Para Piyasası'!D$2:D$62,MATCH(LARGE('V_Para Piyasası'!$AC$2:$AC$62,ROW()-3),'V_Para Piyasası'!$AC$2:$AC$62,0))</f>
        <v>9.0000000000000011E-3</v>
      </c>
      <c r="F14" s="9">
        <f>INDEX('V_Para Piyasası'!E$2:E$62,MATCH(LARGE('V_Para Piyasası'!$AC$2:$AC$62,ROW()-3),'V_Para Piyasası'!$AC$2:$AC$62,0))</f>
        <v>0.1141602046666801</v>
      </c>
      <c r="G14" s="9">
        <f>INDEX('V_Para Piyasası'!F$2:F$62,MATCH(LARGE('V_Para Piyasası'!$AC$2:$AC$62,ROW()-3),'V_Para Piyasası'!$AC$2:$AC$62,0))</f>
        <v>0.81255197566805215</v>
      </c>
      <c r="H14" s="9">
        <f>INDEX('V_Para Piyasası'!G$2:G$62,MATCH(LARGE('V_Para Piyasası'!$AC$2:$AC$62,ROW()-3),'V_Para Piyasası'!$AC$2:$AC$62,0))</f>
        <v>3.7369618894461891</v>
      </c>
      <c r="I14" s="9">
        <f>INDEX('V_Para Piyasası'!H$2:H$62,MATCH(LARGE('V_Para Piyasası'!$AC$2:$AC$62,ROW()-3),'V_Para Piyasası'!$AC$2:$AC$62,0))</f>
        <v>24.469660359945689</v>
      </c>
      <c r="J14" s="9">
        <f>INDEX('V_Para Piyasası'!I$2:I$62,MATCH(LARGE('V_Para Piyasası'!$AC$2:$AC$62,ROW()-3),'V_Para Piyasası'!$AC$2:$AC$62,0))</f>
        <v>51.327791159502411</v>
      </c>
      <c r="K14" s="10">
        <f>INDEX('V_Para Piyasası'!J$2:J$62,MATCH(LARGE('V_Para Piyasası'!$AC$2:$AC$62,ROW()-3),'V_Para Piyasası'!$AC$2:$AC$62,0))</f>
        <v>742</v>
      </c>
      <c r="L14" s="10">
        <f>INDEX('V_Para Piyasası'!K$2:K$62,MATCH(LARGE('V_Para Piyasası'!$AC$2:$AC$62,ROW()-3),'V_Para Piyasası'!$AC$2:$AC$62,0))</f>
        <v>881</v>
      </c>
      <c r="M14" s="8">
        <f>INDEX('V_Para Piyasası'!L$2:L$62,MATCH(LARGE('V_Para Piyasası'!$AC$2:$AC$62,ROW()-3),'V_Para Piyasası'!$AC$2:$AC$62,0))</f>
        <v>0.18733153638814029</v>
      </c>
      <c r="N14" s="11">
        <f>INDEX('V_Para Piyasası'!M$2:M$62,MATCH(LARGE('V_Para Piyasası'!$AC$2:$AC$62,ROW()-3),'V_Para Piyasası'!$AC$2:$AC$62,0))</f>
        <v>2154505330.0700002</v>
      </c>
      <c r="O14" s="11">
        <f>INDEX('V_Para Piyasası'!N$2:N$62,MATCH(LARGE('V_Para Piyasası'!$AC$2:$AC$62,ROW()-3),'V_Para Piyasası'!$AC$2:$AC$62,0))</f>
        <v>2287637340.9099998</v>
      </c>
      <c r="P14" s="8">
        <f>INDEX('V_Para Piyasası'!O$2:O$62,MATCH(LARGE('V_Para Piyasası'!$AC$2:$AC$62,ROW()-3),'V_Para Piyasası'!$AC$2:$AC$62,0))</f>
        <v>6.1792379430165578E-2</v>
      </c>
      <c r="Q14" s="9">
        <f>INDEX('V_Para Piyasası'!P$2:P$62,MATCH(LARGE('V_Para Piyasası'!$AC$2:$AC$62,ROW()-3),'V_Para Piyasası'!$AC$2:$AC$62,0))</f>
        <v>9.2259625322822586E-2</v>
      </c>
      <c r="R14" s="5" t="str">
        <f>INDEX('V_Para Piyasası'!Q$2:Q$62,MATCH(LARGE('V_Para Piyasası'!$AC$2:$AC$62,ROW()-3),'V_Para Piyasası'!$AC$2:$AC$62,0))</f>
        <v>Görüyor</v>
      </c>
      <c r="S14" s="8">
        <f>INDEX('V_Para Piyasası'!R$2:R$62,MATCH(LARGE('V_Para Piyasası'!$AC$2:$AC$62,ROW()-3),'V_Para Piyasası'!$AC$2:$AC$62,0))</f>
        <v>5.4899999999999997E-2</v>
      </c>
      <c r="T14" s="8">
        <f>INDEX('V_Para Piyasası'!S$2:S$62,MATCH(LARGE('V_Para Piyasası'!$AC$2:$AC$62,ROW()-3),'V_Para Piyasası'!$AC$2:$AC$62,0))</f>
        <v>0</v>
      </c>
      <c r="U14" s="8">
        <f>INDEX('V_Para Piyasası'!T$2:T$62,MATCH(LARGE('V_Para Piyasası'!$AC$2:$AC$62,ROW()-3),'V_Para Piyasası'!$AC$2:$AC$62,0))</f>
        <v>0.49159999999999998</v>
      </c>
      <c r="V14" s="8">
        <f>INDEX('V_Para Piyasası'!U$2:U$62,MATCH(LARGE('V_Para Piyasası'!$AC$2:$AC$62,ROW()-3),'V_Para Piyasası'!$AC$2:$AC$62,0))</f>
        <v>0</v>
      </c>
      <c r="W14" s="8">
        <f>INDEX('V_Para Piyasası'!V$2:V$62,MATCH(LARGE('V_Para Piyasası'!$AC$2:$AC$62,ROW()-3),'V_Para Piyasası'!$AC$2:$AC$62,0))</f>
        <v>0.1986</v>
      </c>
      <c r="X14" s="8">
        <f>INDEX('V_Para Piyasası'!W$2:W$62,MATCH(LARGE('V_Para Piyasası'!$AC$2:$AC$62,ROW()-3),'V_Para Piyasası'!$AC$2:$AC$62,0))</f>
        <v>0</v>
      </c>
      <c r="Y14" s="8">
        <f>INDEX('V_Para Piyasası'!X$2:X$62,MATCH(LARGE('V_Para Piyasası'!$AC$2:$AC$62,ROW()-3),'V_Para Piyasası'!$AC$2:$AC$62,0))</f>
        <v>0</v>
      </c>
      <c r="Z14" s="8">
        <f>INDEX('V_Para Piyasası'!Y$2:Y$62,MATCH(LARGE('V_Para Piyasası'!$AC$2:$AC$62,ROW()-3),'V_Para Piyasası'!$AC$2:$AC$62,0))</f>
        <v>0.1241</v>
      </c>
      <c r="AA14" s="8">
        <f>INDEX('V_Para Piyasası'!Z$2:Z$62,MATCH(LARGE('V_Para Piyasası'!$AC$2:$AC$62,ROW()-3),'V_Para Piyasası'!$AC$2:$AC$62,0))</f>
        <v>1.04E-2</v>
      </c>
      <c r="AB14" s="8">
        <f>INDEX('V_Para Piyasası'!AA$2:AA$62,MATCH(LARGE('V_Para Piyasası'!$AC$2:$AC$62,ROW()-3),'V_Para Piyasası'!$AC$2:$AC$62,0))</f>
        <v>0.87959999999999994</v>
      </c>
    </row>
    <row r="15" spans="1:28" x14ac:dyDescent="0.2">
      <c r="A15">
        <v>12</v>
      </c>
      <c r="B15" s="5" t="str">
        <f>INDEX('V_Para Piyasası'!A$2:A$62,MATCH(LARGE('V_Para Piyasası'!$AC$2:$AC$62,ROW()-3),'V_Para Piyasası'!$AC$2:$AC$62,0))</f>
        <v>GTL</v>
      </c>
      <c r="C15" s="5" t="str">
        <f>INDEX('V_Para Piyasası'!B$2:B$62,MATCH(LARGE('V_Para Piyasası'!$AC$2:$AC$62,ROW()-3),'V_Para Piyasası'!$AC$2:$AC$62,0))</f>
        <v>Garanti Portföy Birinci Para Piyasası (TL) Fonu</v>
      </c>
      <c r="D15" s="5" t="str">
        <f>INDEX('V_Para Piyasası'!C$2:C$62,MATCH(LARGE('V_Para Piyasası'!$AC$2:$AC$62,ROW()-3),'V_Para Piyasası'!$AC$2:$AC$62,0))</f>
        <v>Garanti Portföy</v>
      </c>
      <c r="E15" s="8">
        <f>INDEX('V_Para Piyasası'!D$2:D$62,MATCH(LARGE('V_Para Piyasası'!$AC$2:$AC$62,ROW()-3),'V_Para Piyasası'!$AC$2:$AC$62,0))</f>
        <v>1.4E-2</v>
      </c>
      <c r="F15" s="9">
        <f>INDEX('V_Para Piyasası'!E$2:E$62,MATCH(LARGE('V_Para Piyasası'!$AC$2:$AC$62,ROW()-3),'V_Para Piyasası'!$AC$2:$AC$62,0))</f>
        <v>0.1137665232331386</v>
      </c>
      <c r="G15" s="9">
        <f>INDEX('V_Para Piyasası'!F$2:F$62,MATCH(LARGE('V_Para Piyasası'!$AC$2:$AC$62,ROW()-3),'V_Para Piyasası'!$AC$2:$AC$62,0))</f>
        <v>0.73511661410270435</v>
      </c>
      <c r="H15" s="9">
        <f>INDEX('V_Para Piyasası'!G$2:G$62,MATCH(LARGE('V_Para Piyasası'!$AC$2:$AC$62,ROW()-3),'V_Para Piyasası'!$AC$2:$AC$62,0))</f>
        <v>3.461541537698642</v>
      </c>
      <c r="I15" s="9">
        <f>INDEX('V_Para Piyasası'!H$2:H$62,MATCH(LARGE('V_Para Piyasası'!$AC$2:$AC$62,ROW()-3),'V_Para Piyasası'!$AC$2:$AC$62,0))</f>
        <v>21.882714304558391</v>
      </c>
      <c r="J15" s="9">
        <f>INDEX('V_Para Piyasası'!I$2:I$62,MATCH(LARGE('V_Para Piyasası'!$AC$2:$AC$62,ROW()-3),'V_Para Piyasası'!$AC$2:$AC$62,0))</f>
        <v>46.920394789146712</v>
      </c>
      <c r="K15" s="10">
        <f>INDEX('V_Para Piyasası'!J$2:J$62,MATCH(LARGE('V_Para Piyasası'!$AC$2:$AC$62,ROW()-3),'V_Para Piyasası'!$AC$2:$AC$62,0))</f>
        <v>330045</v>
      </c>
      <c r="L15" s="10">
        <f>INDEX('V_Para Piyasası'!K$2:K$62,MATCH(LARGE('V_Para Piyasası'!$AC$2:$AC$62,ROW()-3),'V_Para Piyasası'!$AC$2:$AC$62,0))</f>
        <v>335872</v>
      </c>
      <c r="M15" s="8">
        <f>INDEX('V_Para Piyasası'!L$2:L$62,MATCH(LARGE('V_Para Piyasası'!$AC$2:$AC$62,ROW()-3),'V_Para Piyasası'!$AC$2:$AC$62,0))</f>
        <v>1.765516823463464E-2</v>
      </c>
      <c r="N15" s="11">
        <f>INDEX('V_Para Piyasası'!M$2:M$62,MATCH(LARGE('V_Para Piyasası'!$AC$2:$AC$62,ROW()-3),'V_Para Piyasası'!$AC$2:$AC$62,0))</f>
        <v>149961568530.88</v>
      </c>
      <c r="O15" s="11">
        <f>INDEX('V_Para Piyasası'!N$2:N$62,MATCH(LARGE('V_Para Piyasası'!$AC$2:$AC$62,ROW()-3),'V_Para Piyasası'!$AC$2:$AC$62,0))</f>
        <v>181789419392.10999</v>
      </c>
      <c r="P15" s="8">
        <f>INDEX('V_Para Piyasası'!O$2:O$62,MATCH(LARGE('V_Para Piyasası'!$AC$2:$AC$62,ROW()-3),'V_Para Piyasası'!$AC$2:$AC$62,0))</f>
        <v>0.2122400503878166</v>
      </c>
      <c r="Q15" s="9">
        <f>INDEX('V_Para Piyasası'!P$2:P$62,MATCH(LARGE('V_Para Piyasası'!$AC$2:$AC$62,ROW()-3),'V_Para Piyasası'!$AC$2:$AC$62,0))</f>
        <v>8.526266231996929E-2</v>
      </c>
      <c r="R15" s="5" t="str">
        <f>INDEX('V_Para Piyasası'!Q$2:Q$62,MATCH(LARGE('V_Para Piyasası'!$AC$2:$AC$62,ROW()-3),'V_Para Piyasası'!$AC$2:$AC$62,0))</f>
        <v>Görmüyor</v>
      </c>
      <c r="S15" s="8">
        <f>INDEX('V_Para Piyasası'!R$2:R$62,MATCH(LARGE('V_Para Piyasası'!$AC$2:$AC$62,ROW()-3),'V_Para Piyasası'!$AC$2:$AC$62,0))</f>
        <v>0.36980000000000002</v>
      </c>
      <c r="T15" s="8">
        <f>INDEX('V_Para Piyasası'!S$2:S$62,MATCH(LARGE('V_Para Piyasası'!$AC$2:$AC$62,ROW()-3),'V_Para Piyasası'!$AC$2:$AC$62,0))</f>
        <v>0</v>
      </c>
      <c r="U15" s="8">
        <f>INDEX('V_Para Piyasası'!T$2:T$62,MATCH(LARGE('V_Para Piyasası'!$AC$2:$AC$62,ROW()-3),'V_Para Piyasası'!$AC$2:$AC$62,0))</f>
        <v>0.40749999999999997</v>
      </c>
      <c r="V15" s="8">
        <f>INDEX('V_Para Piyasası'!U$2:U$62,MATCH(LARGE('V_Para Piyasası'!$AC$2:$AC$62,ROW()-3),'V_Para Piyasası'!$AC$2:$AC$62,0))</f>
        <v>0</v>
      </c>
      <c r="W15" s="8">
        <f>INDEX('V_Para Piyasası'!V$2:V$62,MATCH(LARGE('V_Para Piyasası'!$AC$2:$AC$62,ROW()-3),'V_Para Piyasası'!$AC$2:$AC$62,0))</f>
        <v>0</v>
      </c>
      <c r="X15" s="8">
        <f>INDEX('V_Para Piyasası'!W$2:W$62,MATCH(LARGE('V_Para Piyasası'!$AC$2:$AC$62,ROW()-3),'V_Para Piyasası'!$AC$2:$AC$62,0))</f>
        <v>0</v>
      </c>
      <c r="Y15" s="8">
        <f>INDEX('V_Para Piyasası'!X$2:X$62,MATCH(LARGE('V_Para Piyasası'!$AC$2:$AC$62,ROW()-3),'V_Para Piyasası'!$AC$2:$AC$62,0))</f>
        <v>3.9300000000000002E-2</v>
      </c>
      <c r="Z15" s="8">
        <f>INDEX('V_Para Piyasası'!Y$2:Y$62,MATCH(LARGE('V_Para Piyasası'!$AC$2:$AC$62,ROW()-3),'V_Para Piyasası'!$AC$2:$AC$62,0))</f>
        <v>1.04E-2</v>
      </c>
      <c r="AA15" s="8">
        <f>INDEX('V_Para Piyasası'!Z$2:Z$62,MATCH(LARGE('V_Para Piyasası'!$AC$2:$AC$62,ROW()-3),'V_Para Piyasası'!$AC$2:$AC$62,0))</f>
        <v>0</v>
      </c>
      <c r="AB15" s="8">
        <f>INDEX('V_Para Piyasası'!AA$2:AA$62,MATCH(LARGE('V_Para Piyasası'!$AC$2:$AC$62,ROW()-3),'V_Para Piyasası'!$AC$2:$AC$62,0))</f>
        <v>0.82699999999999996</v>
      </c>
    </row>
    <row r="16" spans="1:28" x14ac:dyDescent="0.2">
      <c r="A16">
        <v>13</v>
      </c>
      <c r="B16" s="5" t="str">
        <f>INDEX('V_Para Piyasası'!A$2:A$62,MATCH(LARGE('V_Para Piyasası'!$AC$2:$AC$62,ROW()-3),'V_Para Piyasası'!$AC$2:$AC$62,0))</f>
        <v>IUZ</v>
      </c>
      <c r="C16" s="5" t="str">
        <f>INDEX('V_Para Piyasası'!B$2:B$62,MATCH(LARGE('V_Para Piyasası'!$AC$2:$AC$62,ROW()-3),'V_Para Piyasası'!$AC$2:$AC$62,0))</f>
        <v>İŞ Portföy Anadolubank Para Piyasası (TL) Fonu</v>
      </c>
      <c r="D16" s="5" t="str">
        <f>INDEX('V_Para Piyasası'!C$2:C$62,MATCH(LARGE('V_Para Piyasası'!$AC$2:$AC$62,ROW()-3),'V_Para Piyasası'!$AC$2:$AC$62,0))</f>
        <v>İŞ Portföy</v>
      </c>
      <c r="E16" s="8">
        <f>INDEX('V_Para Piyasası'!D$2:D$62,MATCH(LARGE('V_Para Piyasası'!$AC$2:$AC$62,ROW()-3),'V_Para Piyasası'!$AC$2:$AC$62,0))</f>
        <v>1.4999999999999999E-2</v>
      </c>
      <c r="F16" s="9">
        <f>INDEX('V_Para Piyasası'!E$2:E$62,MATCH(LARGE('V_Para Piyasası'!$AC$2:$AC$62,ROW()-3),'V_Para Piyasası'!$AC$2:$AC$62,0))</f>
        <v>0.1135899737390256</v>
      </c>
      <c r="G16" s="9">
        <f>INDEX('V_Para Piyasası'!F$2:F$62,MATCH(LARGE('V_Para Piyasası'!$AC$2:$AC$62,ROW()-3),'V_Para Piyasası'!$AC$2:$AC$62,0))</f>
        <v>0.73623137250575788</v>
      </c>
      <c r="H16" s="9">
        <f>INDEX('V_Para Piyasası'!G$2:G$62,MATCH(LARGE('V_Para Piyasası'!$AC$2:$AC$62,ROW()-3),'V_Para Piyasası'!$AC$2:$AC$62,0))</f>
        <v>3.4021099694004691</v>
      </c>
      <c r="I16" s="9">
        <f>INDEX('V_Para Piyasası'!H$2:H$62,MATCH(LARGE('V_Para Piyasası'!$AC$2:$AC$62,ROW()-3),'V_Para Piyasası'!$AC$2:$AC$62,0))</f>
        <v>22.279775402455691</v>
      </c>
      <c r="J16" s="9">
        <f>INDEX('V_Para Piyasası'!I$2:I$62,MATCH(LARGE('V_Para Piyasası'!$AC$2:$AC$62,ROW()-3),'V_Para Piyasası'!$AC$2:$AC$62,0))</f>
        <v>47.33472397665912</v>
      </c>
      <c r="K16" s="10">
        <f>INDEX('V_Para Piyasası'!J$2:J$62,MATCH(LARGE('V_Para Piyasası'!$AC$2:$AC$62,ROW()-3),'V_Para Piyasası'!$AC$2:$AC$62,0))</f>
        <v>1141</v>
      </c>
      <c r="L16" s="10">
        <f>INDEX('V_Para Piyasası'!K$2:K$62,MATCH(LARGE('V_Para Piyasası'!$AC$2:$AC$62,ROW()-3),'V_Para Piyasası'!$AC$2:$AC$62,0))</f>
        <v>1163</v>
      </c>
      <c r="M16" s="8">
        <f>INDEX('V_Para Piyasası'!L$2:L$62,MATCH(LARGE('V_Para Piyasası'!$AC$2:$AC$62,ROW()-3),'V_Para Piyasası'!$AC$2:$AC$62,0))</f>
        <v>1.9281332164767791E-2</v>
      </c>
      <c r="N16" s="11">
        <f>INDEX('V_Para Piyasası'!M$2:M$62,MATCH(LARGE('V_Para Piyasası'!$AC$2:$AC$62,ROW()-3),'V_Para Piyasası'!$AC$2:$AC$62,0))</f>
        <v>1191185132.4200001</v>
      </c>
      <c r="O16" s="11">
        <f>INDEX('V_Para Piyasası'!N$2:N$62,MATCH(LARGE('V_Para Piyasası'!$AC$2:$AC$62,ROW()-3),'V_Para Piyasası'!$AC$2:$AC$62,0))</f>
        <v>1215218305.54</v>
      </c>
      <c r="P16" s="8">
        <f>INDEX('V_Para Piyasası'!O$2:O$62,MATCH(LARGE('V_Para Piyasası'!$AC$2:$AC$62,ROW()-3),'V_Para Piyasası'!$AC$2:$AC$62,0))</f>
        <v>2.0175850475210529E-2</v>
      </c>
      <c r="Q16" s="9">
        <f>INDEX('V_Para Piyasası'!P$2:P$62,MATCH(LARGE('V_Para Piyasası'!$AC$2:$AC$62,ROW()-3),'V_Para Piyasası'!$AC$2:$AC$62,0))</f>
        <v>8.3261677042363758E-2</v>
      </c>
      <c r="R16" s="5" t="str">
        <f>INDEX('V_Para Piyasası'!Q$2:Q$62,MATCH(LARGE('V_Para Piyasası'!$AC$2:$AC$62,ROW()-3),'V_Para Piyasası'!$AC$2:$AC$62,0))</f>
        <v>Görmüyor</v>
      </c>
      <c r="S16" s="8">
        <f>INDEX('V_Para Piyasası'!R$2:R$62,MATCH(LARGE('V_Para Piyasası'!$AC$2:$AC$62,ROW()-3),'V_Para Piyasası'!$AC$2:$AC$62,0))</f>
        <v>0.31019999999999998</v>
      </c>
      <c r="T16" s="8">
        <f>INDEX('V_Para Piyasası'!S$2:S$62,MATCH(LARGE('V_Para Piyasası'!$AC$2:$AC$62,ROW()-3),'V_Para Piyasası'!$AC$2:$AC$62,0))</f>
        <v>0</v>
      </c>
      <c r="U16" s="8">
        <f>INDEX('V_Para Piyasası'!T$2:T$62,MATCH(LARGE('V_Para Piyasası'!$AC$2:$AC$62,ROW()-3),'V_Para Piyasası'!$AC$2:$AC$62,0))</f>
        <v>8.7899999999999992E-2</v>
      </c>
      <c r="V16" s="8">
        <f>INDEX('V_Para Piyasası'!U$2:U$62,MATCH(LARGE('V_Para Piyasası'!$AC$2:$AC$62,ROW()-3),'V_Para Piyasası'!$AC$2:$AC$62,0))</f>
        <v>0</v>
      </c>
      <c r="W16" s="8">
        <f>INDEX('V_Para Piyasası'!V$2:V$62,MATCH(LARGE('V_Para Piyasası'!$AC$2:$AC$62,ROW()-3),'V_Para Piyasası'!$AC$2:$AC$62,0))</f>
        <v>4.9599999999999998E-2</v>
      </c>
      <c r="X16" s="8">
        <f>INDEX('V_Para Piyasası'!W$2:W$62,MATCH(LARGE('V_Para Piyasası'!$AC$2:$AC$62,ROW()-3),'V_Para Piyasası'!$AC$2:$AC$62,0))</f>
        <v>0</v>
      </c>
      <c r="Y16" s="8">
        <f>INDEX('V_Para Piyasası'!X$2:X$62,MATCH(LARGE('V_Para Piyasası'!$AC$2:$AC$62,ROW()-3),'V_Para Piyasası'!$AC$2:$AC$62,0))</f>
        <v>0.2505</v>
      </c>
      <c r="Z16" s="8">
        <f>INDEX('V_Para Piyasası'!Y$2:Y$62,MATCH(LARGE('V_Para Piyasası'!$AC$2:$AC$62,ROW()-3),'V_Para Piyasası'!$AC$2:$AC$62,0))</f>
        <v>0.15670000000000001</v>
      </c>
      <c r="AA16" s="8">
        <f>INDEX('V_Para Piyasası'!Z$2:Z$62,MATCH(LARGE('V_Para Piyasası'!$AC$2:$AC$62,ROW()-3),'V_Para Piyasası'!$AC$2:$AC$62,0))</f>
        <v>0</v>
      </c>
      <c r="AB16" s="8">
        <f>INDEX('V_Para Piyasası'!AA$2:AA$62,MATCH(LARGE('V_Para Piyasası'!$AC$2:$AC$62,ROW()-3),'V_Para Piyasası'!$AC$2:$AC$62,0))</f>
        <v>0.85489999999999999</v>
      </c>
    </row>
    <row r="17" spans="1:28" x14ac:dyDescent="0.2">
      <c r="A17">
        <v>14</v>
      </c>
      <c r="B17" s="5" t="str">
        <f>INDEX('V_Para Piyasası'!A$2:A$62,MATCH(LARGE('V_Para Piyasası'!$AC$2:$AC$62,ROW()-3),'V_Para Piyasası'!$AC$2:$AC$62,0))</f>
        <v>AC4</v>
      </c>
      <c r="C17" s="5" t="str">
        <f>INDEX('V_Para Piyasası'!B$2:B$62,MATCH(LARGE('V_Para Piyasası'!$AC$2:$AC$62,ROW()-3),'V_Para Piyasası'!$AC$2:$AC$62,0))</f>
        <v>Pardus Portföy Para Piyasası (TL) Fon</v>
      </c>
      <c r="D17" s="5" t="str">
        <f>INDEX('V_Para Piyasası'!C$2:C$62,MATCH(LARGE('V_Para Piyasası'!$AC$2:$AC$62,ROW()-3),'V_Para Piyasası'!$AC$2:$AC$62,0))</f>
        <v>Pardus Portföy</v>
      </c>
      <c r="E17" s="8">
        <f>INDEX('V_Para Piyasası'!D$2:D$62,MATCH(LARGE('V_Para Piyasası'!$AC$2:$AC$62,ROW()-3),'V_Para Piyasası'!$AC$2:$AC$62,0))</f>
        <v>0.01</v>
      </c>
      <c r="F17" s="9">
        <f>INDEX('V_Para Piyasası'!E$2:E$62,MATCH(LARGE('V_Para Piyasası'!$AC$2:$AC$62,ROW()-3),'V_Para Piyasası'!$AC$2:$AC$62,0))</f>
        <v>0.11265914474585249</v>
      </c>
      <c r="G17" s="9">
        <f>INDEX('V_Para Piyasası'!F$2:F$62,MATCH(LARGE('V_Para Piyasası'!$AC$2:$AC$62,ROW()-3),'V_Para Piyasası'!$AC$2:$AC$62,0))</f>
        <v>0.79678887617762317</v>
      </c>
      <c r="H17" s="9">
        <f>INDEX('V_Para Piyasası'!G$2:G$62,MATCH(LARGE('V_Para Piyasası'!$AC$2:$AC$62,ROW()-3),'V_Para Piyasası'!$AC$2:$AC$62,0))</f>
        <v>3.6913543698572799</v>
      </c>
      <c r="I17" s="9">
        <f>INDEX('V_Para Piyasası'!H$2:H$62,MATCH(LARGE('V_Para Piyasası'!$AC$2:$AC$62,ROW()-3),'V_Para Piyasası'!$AC$2:$AC$62,0))</f>
        <v>23.80434519457506</v>
      </c>
      <c r="J17" s="9">
        <f>INDEX('V_Para Piyasası'!I$2:I$62,MATCH(LARGE('V_Para Piyasası'!$AC$2:$AC$62,ROW()-3),'V_Para Piyasası'!$AC$2:$AC$62,0))</f>
        <v>50.879171674216508</v>
      </c>
      <c r="K17" s="10">
        <f>INDEX('V_Para Piyasası'!J$2:J$62,MATCH(LARGE('V_Para Piyasası'!$AC$2:$AC$62,ROW()-3),'V_Para Piyasası'!$AC$2:$AC$62,0))</f>
        <v>3642</v>
      </c>
      <c r="L17" s="10">
        <f>INDEX('V_Para Piyasası'!K$2:K$62,MATCH(LARGE('V_Para Piyasası'!$AC$2:$AC$62,ROW()-3),'V_Para Piyasası'!$AC$2:$AC$62,0))</f>
        <v>3715</v>
      </c>
      <c r="M17" s="8">
        <f>INDEX('V_Para Piyasası'!L$2:L$62,MATCH(LARGE('V_Para Piyasası'!$AC$2:$AC$62,ROW()-3),'V_Para Piyasası'!$AC$2:$AC$62,0))</f>
        <v>2.0043931905546319E-2</v>
      </c>
      <c r="N17" s="11">
        <f>INDEX('V_Para Piyasası'!M$2:M$62,MATCH(LARGE('V_Para Piyasası'!$AC$2:$AC$62,ROW()-3),'V_Para Piyasası'!$AC$2:$AC$62,0))</f>
        <v>1560346441.51</v>
      </c>
      <c r="O17" s="11">
        <f>INDEX('V_Para Piyasası'!N$2:N$62,MATCH(LARGE('V_Para Piyasası'!$AC$2:$AC$62,ROW()-3),'V_Para Piyasası'!$AC$2:$AC$62,0))</f>
        <v>1878622927.1600001</v>
      </c>
      <c r="P17" s="8">
        <f>INDEX('V_Para Piyasası'!O$2:O$62,MATCH(LARGE('V_Para Piyasası'!$AC$2:$AC$62,ROW()-3),'V_Para Piyasası'!$AC$2:$AC$62,0))</f>
        <v>0.20397808921331159</v>
      </c>
      <c r="Q17" s="9">
        <f>INDEX('V_Para Piyasası'!P$2:P$62,MATCH(LARGE('V_Para Piyasası'!$AC$2:$AC$62,ROW()-3),'V_Para Piyasası'!$AC$2:$AC$62,0))</f>
        <v>9.1532627432447569E-2</v>
      </c>
      <c r="R17" s="5" t="str">
        <f>INDEX('V_Para Piyasası'!Q$2:Q$62,MATCH(LARGE('V_Para Piyasası'!$AC$2:$AC$62,ROW()-3),'V_Para Piyasası'!$AC$2:$AC$62,0))</f>
        <v>Görüyor</v>
      </c>
      <c r="S17" s="8">
        <f>INDEX('V_Para Piyasası'!R$2:R$62,MATCH(LARGE('V_Para Piyasası'!$AC$2:$AC$62,ROW()-3),'V_Para Piyasası'!$AC$2:$AC$62,0))</f>
        <v>0.1573</v>
      </c>
      <c r="T17" s="8">
        <f>INDEX('V_Para Piyasası'!S$2:S$62,MATCH(LARGE('V_Para Piyasası'!$AC$2:$AC$62,ROW()-3),'V_Para Piyasası'!$AC$2:$AC$62,0))</f>
        <v>0</v>
      </c>
      <c r="U17" s="8">
        <f>INDEX('V_Para Piyasası'!T$2:T$62,MATCH(LARGE('V_Para Piyasası'!$AC$2:$AC$62,ROW()-3),'V_Para Piyasası'!$AC$2:$AC$62,0))</f>
        <v>0.48080000000000001</v>
      </c>
      <c r="V17" s="8">
        <f>INDEX('V_Para Piyasası'!U$2:U$62,MATCH(LARGE('V_Para Piyasası'!$AC$2:$AC$62,ROW()-3),'V_Para Piyasası'!$AC$2:$AC$62,0))</f>
        <v>0</v>
      </c>
      <c r="W17" s="8">
        <f>INDEX('V_Para Piyasası'!V$2:V$62,MATCH(LARGE('V_Para Piyasası'!$AC$2:$AC$62,ROW()-3),'V_Para Piyasası'!$AC$2:$AC$62,0))</f>
        <v>0.1993</v>
      </c>
      <c r="X17" s="8">
        <f>INDEX('V_Para Piyasası'!W$2:W$62,MATCH(LARGE('V_Para Piyasası'!$AC$2:$AC$62,ROW()-3),'V_Para Piyasası'!$AC$2:$AC$62,0))</f>
        <v>0</v>
      </c>
      <c r="Y17" s="8">
        <f>INDEX('V_Para Piyasası'!X$2:X$62,MATCH(LARGE('V_Para Piyasası'!$AC$2:$AC$62,ROW()-3),'V_Para Piyasası'!$AC$2:$AC$62,0))</f>
        <v>0</v>
      </c>
      <c r="Z17" s="8">
        <f>INDEX('V_Para Piyasası'!Y$2:Y$62,MATCH(LARGE('V_Para Piyasası'!$AC$2:$AC$62,ROW()-3),'V_Para Piyasası'!$AC$2:$AC$62,0))</f>
        <v>4.0800000000000003E-2</v>
      </c>
      <c r="AA17" s="8">
        <f>INDEX('V_Para Piyasası'!Z$2:Z$62,MATCH(LARGE('V_Para Piyasası'!$AC$2:$AC$62,ROW()-3),'V_Para Piyasası'!$AC$2:$AC$62,0))</f>
        <v>0</v>
      </c>
      <c r="AB17" s="8">
        <f>INDEX('V_Para Piyasası'!AA$2:AA$62,MATCH(LARGE('V_Para Piyasası'!$AC$2:$AC$62,ROW()-3),'V_Para Piyasası'!$AC$2:$AC$62,0))</f>
        <v>0.87819999999999998</v>
      </c>
    </row>
    <row r="18" spans="1:28" x14ac:dyDescent="0.2">
      <c r="A18">
        <v>15</v>
      </c>
      <c r="B18" s="5" t="str">
        <f>INDEX('V_Para Piyasası'!A$2:A$62,MATCH(LARGE('V_Para Piyasası'!$AC$2:$AC$62,ROW()-3),'V_Para Piyasası'!$AC$2:$AC$62,0))</f>
        <v>YLB</v>
      </c>
      <c r="C18" s="5" t="str">
        <f>INDEX('V_Para Piyasası'!B$2:B$62,MATCH(LARGE('V_Para Piyasası'!$AC$2:$AC$62,ROW()-3),'V_Para Piyasası'!$AC$2:$AC$62,0))</f>
        <v>Yapı Kredi Portföy Para Piyasası Fonu</v>
      </c>
      <c r="D18" s="5" t="str">
        <f>INDEX('V_Para Piyasası'!C$2:C$62,MATCH(LARGE('V_Para Piyasası'!$AC$2:$AC$62,ROW()-3),'V_Para Piyasası'!$AC$2:$AC$62,0))</f>
        <v>Yapı Kredi Portföy</v>
      </c>
      <c r="E18" s="8">
        <f>INDEX('V_Para Piyasası'!D$2:D$62,MATCH(LARGE('V_Para Piyasası'!$AC$2:$AC$62,ROW()-3),'V_Para Piyasası'!$AC$2:$AC$62,0))</f>
        <v>1.4800000000000001E-2</v>
      </c>
      <c r="F18" s="9">
        <f>INDEX('V_Para Piyasası'!E$2:E$62,MATCH(LARGE('V_Para Piyasası'!$AC$2:$AC$62,ROW()-3),'V_Para Piyasası'!$AC$2:$AC$62,0))</f>
        <v>0.1125131976720484</v>
      </c>
      <c r="G18" s="9">
        <f>INDEX('V_Para Piyasası'!F$2:F$62,MATCH(LARGE('V_Para Piyasası'!$AC$2:$AC$62,ROW()-3),'V_Para Piyasası'!$AC$2:$AC$62,0))</f>
        <v>0.73803822372766614</v>
      </c>
      <c r="H18" s="9">
        <f>INDEX('V_Para Piyasası'!G$2:G$62,MATCH(LARGE('V_Para Piyasası'!$AC$2:$AC$62,ROW()-3),'V_Para Piyasası'!$AC$2:$AC$62,0))</f>
        <v>3.4300159092415679</v>
      </c>
      <c r="I18" s="9">
        <f>INDEX('V_Para Piyasası'!H$2:H$62,MATCH(LARGE('V_Para Piyasası'!$AC$2:$AC$62,ROW()-3),'V_Para Piyasası'!$AC$2:$AC$62,0))</f>
        <v>22.158486007819359</v>
      </c>
      <c r="J18" s="9">
        <f>INDEX('V_Para Piyasası'!I$2:I$62,MATCH(LARGE('V_Para Piyasası'!$AC$2:$AC$62,ROW()-3),'V_Para Piyasası'!$AC$2:$AC$62,0))</f>
        <v>46.99377802600997</v>
      </c>
      <c r="K18" s="10">
        <f>INDEX('V_Para Piyasası'!J$2:J$62,MATCH(LARGE('V_Para Piyasası'!$AC$2:$AC$62,ROW()-3),'V_Para Piyasası'!$AC$2:$AC$62,0))</f>
        <v>340076</v>
      </c>
      <c r="L18" s="10">
        <f>INDEX('V_Para Piyasası'!K$2:K$62,MATCH(LARGE('V_Para Piyasası'!$AC$2:$AC$62,ROW()-3),'V_Para Piyasası'!$AC$2:$AC$62,0))</f>
        <v>343953</v>
      </c>
      <c r="M18" s="8">
        <f>INDEX('V_Para Piyasası'!L$2:L$62,MATCH(LARGE('V_Para Piyasası'!$AC$2:$AC$62,ROW()-3),'V_Para Piyasası'!$AC$2:$AC$62,0))</f>
        <v>1.140039285336214E-2</v>
      </c>
      <c r="N18" s="11">
        <f>INDEX('V_Para Piyasası'!M$2:M$62,MATCH(LARGE('V_Para Piyasası'!$AC$2:$AC$62,ROW()-3),'V_Para Piyasası'!$AC$2:$AC$62,0))</f>
        <v>69662962973.179993</v>
      </c>
      <c r="O18" s="11">
        <f>INDEX('V_Para Piyasası'!N$2:N$62,MATCH(LARGE('V_Para Piyasası'!$AC$2:$AC$62,ROW()-3),'V_Para Piyasası'!$AC$2:$AC$62,0))</f>
        <v>84573351421.369995</v>
      </c>
      <c r="P18" s="8">
        <f>INDEX('V_Para Piyasası'!O$2:O$62,MATCH(LARGE('V_Para Piyasası'!$AC$2:$AC$62,ROW()-3),'V_Para Piyasası'!$AC$2:$AC$62,0))</f>
        <v>0.21403609338193741</v>
      </c>
      <c r="Q18" s="9">
        <f>INDEX('V_Para Piyasası'!P$2:P$62,MATCH(LARGE('V_Para Piyasası'!$AC$2:$AC$62,ROW()-3),'V_Para Piyasası'!$AC$2:$AC$62,0))</f>
        <v>8.4241983229742773E-2</v>
      </c>
      <c r="R18" s="5" t="str">
        <f>INDEX('V_Para Piyasası'!Q$2:Q$62,MATCH(LARGE('V_Para Piyasası'!$AC$2:$AC$62,ROW()-3),'V_Para Piyasası'!$AC$2:$AC$62,0))</f>
        <v>Görmüyor</v>
      </c>
      <c r="S18" s="8">
        <f>INDEX('V_Para Piyasası'!R$2:R$62,MATCH(LARGE('V_Para Piyasası'!$AC$2:$AC$62,ROW()-3),'V_Para Piyasası'!$AC$2:$AC$62,0))</f>
        <v>0.24129999999999999</v>
      </c>
      <c r="T18" s="8">
        <f>INDEX('V_Para Piyasası'!S$2:S$62,MATCH(LARGE('V_Para Piyasası'!$AC$2:$AC$62,ROW()-3),'V_Para Piyasası'!$AC$2:$AC$62,0))</f>
        <v>0</v>
      </c>
      <c r="U18" s="8">
        <f>INDEX('V_Para Piyasası'!T$2:T$62,MATCH(LARGE('V_Para Piyasası'!$AC$2:$AC$62,ROW()-3),'V_Para Piyasası'!$AC$2:$AC$62,0))</f>
        <v>0.58960000000000001</v>
      </c>
      <c r="V18" s="8">
        <f>INDEX('V_Para Piyasası'!U$2:U$62,MATCH(LARGE('V_Para Piyasası'!$AC$2:$AC$62,ROW()-3),'V_Para Piyasası'!$AC$2:$AC$62,0))</f>
        <v>0</v>
      </c>
      <c r="W18" s="8">
        <f>INDEX('V_Para Piyasası'!V$2:V$62,MATCH(LARGE('V_Para Piyasası'!$AC$2:$AC$62,ROW()-3),'V_Para Piyasası'!$AC$2:$AC$62,0))</f>
        <v>5.0000000000000001E-4</v>
      </c>
      <c r="X18" s="8">
        <f>INDEX('V_Para Piyasası'!W$2:W$62,MATCH(LARGE('V_Para Piyasası'!$AC$2:$AC$62,ROW()-3),'V_Para Piyasası'!$AC$2:$AC$62,0))</f>
        <v>0</v>
      </c>
      <c r="Y18" s="8">
        <f>INDEX('V_Para Piyasası'!X$2:X$62,MATCH(LARGE('V_Para Piyasası'!$AC$2:$AC$62,ROW()-3),'V_Para Piyasası'!$AC$2:$AC$62,0))</f>
        <v>9.0000000000000011E-3</v>
      </c>
      <c r="Z18" s="8">
        <f>INDEX('V_Para Piyasası'!Y$2:Y$62,MATCH(LARGE('V_Para Piyasası'!$AC$2:$AC$62,ROW()-3),'V_Para Piyasası'!$AC$2:$AC$62,0))</f>
        <v>7.3000000000000001E-3</v>
      </c>
      <c r="AA18" s="8">
        <f>INDEX('V_Para Piyasası'!Z$2:Z$62,MATCH(LARGE('V_Para Piyasası'!$AC$2:$AC$62,ROW()-3),'V_Para Piyasası'!$AC$2:$AC$62,0))</f>
        <v>0</v>
      </c>
      <c r="AB18" s="8">
        <f>INDEX('V_Para Piyasası'!AA$2:AA$62,MATCH(LARGE('V_Para Piyasası'!$AC$2:$AC$62,ROW()-3),'V_Para Piyasası'!$AC$2:$AC$62,0))</f>
        <v>0.84770000000000001</v>
      </c>
    </row>
    <row r="19" spans="1:28" x14ac:dyDescent="0.2">
      <c r="A19">
        <v>16</v>
      </c>
      <c r="B19" s="5" t="str">
        <f>INDEX('V_Para Piyasası'!A$2:A$62,MATCH(LARGE('V_Para Piyasası'!$AC$2:$AC$62,ROW()-3),'V_Para Piyasası'!$AC$2:$AC$62,0))</f>
        <v>ANL</v>
      </c>
      <c r="C19" s="5" t="str">
        <f>INDEX('V_Para Piyasası'!B$2:B$62,MATCH(LARGE('V_Para Piyasası'!$AC$2:$AC$62,ROW()-3),'V_Para Piyasası'!$AC$2:$AC$62,0))</f>
        <v>AK Portföy Alternatif Bank Para Piyasası (Tl)fonu</v>
      </c>
      <c r="D19" s="5" t="str">
        <f>INDEX('V_Para Piyasası'!C$2:C$62,MATCH(LARGE('V_Para Piyasası'!$AC$2:$AC$62,ROW()-3),'V_Para Piyasası'!$AC$2:$AC$62,0))</f>
        <v>AK Portföy</v>
      </c>
      <c r="E19" s="8">
        <f>INDEX('V_Para Piyasası'!D$2:D$62,MATCH(LARGE('V_Para Piyasası'!$AC$2:$AC$62,ROW()-3),'V_Para Piyasası'!$AC$2:$AC$62,0))</f>
        <v>1.2800000000000001E-2</v>
      </c>
      <c r="F19" s="9">
        <f>INDEX('V_Para Piyasası'!E$2:E$62,MATCH(LARGE('V_Para Piyasası'!$AC$2:$AC$62,ROW()-3),'V_Para Piyasası'!$AC$2:$AC$62,0))</f>
        <v>0.1124527767723649</v>
      </c>
      <c r="G19" s="9">
        <f>INDEX('V_Para Piyasası'!F$2:F$62,MATCH(LARGE('V_Para Piyasası'!$AC$2:$AC$62,ROW()-3),'V_Para Piyasası'!$AC$2:$AC$62,0))</f>
        <v>0.77867341983921534</v>
      </c>
      <c r="H19" s="9">
        <f>INDEX('V_Para Piyasası'!G$2:G$62,MATCH(LARGE('V_Para Piyasası'!$AC$2:$AC$62,ROW()-3),'V_Para Piyasası'!$AC$2:$AC$62,0))</f>
        <v>3.4611831319141029</v>
      </c>
      <c r="I19" s="9">
        <f>INDEX('V_Para Piyasası'!H$2:H$62,MATCH(LARGE('V_Para Piyasası'!$AC$2:$AC$62,ROW()-3),'V_Para Piyasası'!$AC$2:$AC$62,0))</f>
        <v>22.290724221118818</v>
      </c>
      <c r="J19" s="9">
        <f>INDEX('V_Para Piyasası'!I$2:I$62,MATCH(LARGE('V_Para Piyasası'!$AC$2:$AC$62,ROW()-3),'V_Para Piyasası'!$AC$2:$AC$62,0))</f>
        <v>47.482241750791722</v>
      </c>
      <c r="K19" s="10">
        <f>INDEX('V_Para Piyasası'!J$2:J$62,MATCH(LARGE('V_Para Piyasası'!$AC$2:$AC$62,ROW()-3),'V_Para Piyasası'!$AC$2:$AC$62,0))</f>
        <v>4057</v>
      </c>
      <c r="L19" s="10">
        <f>INDEX('V_Para Piyasası'!K$2:K$62,MATCH(LARGE('V_Para Piyasası'!$AC$2:$AC$62,ROW()-3),'V_Para Piyasası'!$AC$2:$AC$62,0))</f>
        <v>3809</v>
      </c>
      <c r="M19" s="8">
        <f>INDEX('V_Para Piyasası'!L$2:L$62,MATCH(LARGE('V_Para Piyasası'!$AC$2:$AC$62,ROW()-3),'V_Para Piyasası'!$AC$2:$AC$62,0))</f>
        <v>-6.112891298989398E-2</v>
      </c>
      <c r="N19" s="11">
        <f>INDEX('V_Para Piyasası'!M$2:M$62,MATCH(LARGE('V_Para Piyasası'!$AC$2:$AC$62,ROW()-3),'V_Para Piyasası'!$AC$2:$AC$62,0))</f>
        <v>547287346.39999998</v>
      </c>
      <c r="O19" s="11">
        <f>INDEX('V_Para Piyasası'!N$2:N$62,MATCH(LARGE('V_Para Piyasası'!$AC$2:$AC$62,ROW()-3),'V_Para Piyasası'!$AC$2:$AC$62,0))</f>
        <v>524390369.38999999</v>
      </c>
      <c r="P19" s="8">
        <f>INDEX('V_Para Piyasası'!O$2:O$62,MATCH(LARGE('V_Para Piyasası'!$AC$2:$AC$62,ROW()-3),'V_Para Piyasası'!$AC$2:$AC$62,0))</f>
        <v>-4.1837212500186571E-2</v>
      </c>
      <c r="Q19" s="9">
        <f>INDEX('V_Para Piyasası'!P$2:P$62,MATCH(LARGE('V_Para Piyasası'!$AC$2:$AC$62,ROW()-3),'V_Para Piyasası'!$AC$2:$AC$62,0))</f>
        <v>8.4261409278851174E-2</v>
      </c>
      <c r="R19" s="5" t="str">
        <f>INDEX('V_Para Piyasası'!Q$2:Q$62,MATCH(LARGE('V_Para Piyasası'!$AC$2:$AC$62,ROW()-3),'V_Para Piyasası'!$AC$2:$AC$62,0))</f>
        <v>Görmüyor</v>
      </c>
      <c r="S19" s="8">
        <f>INDEX('V_Para Piyasası'!R$2:R$62,MATCH(LARGE('V_Para Piyasası'!$AC$2:$AC$62,ROW()-3),'V_Para Piyasası'!$AC$2:$AC$62,0))</f>
        <v>0.28570000000000001</v>
      </c>
      <c r="T19" s="8">
        <f>INDEX('V_Para Piyasası'!S$2:S$62,MATCH(LARGE('V_Para Piyasası'!$AC$2:$AC$62,ROW()-3),'V_Para Piyasası'!$AC$2:$AC$62,0))</f>
        <v>0</v>
      </c>
      <c r="U19" s="8">
        <f>INDEX('V_Para Piyasası'!T$2:T$62,MATCH(LARGE('V_Para Piyasası'!$AC$2:$AC$62,ROW()-3),'V_Para Piyasası'!$AC$2:$AC$62,0))</f>
        <v>0.36649999999999999</v>
      </c>
      <c r="V19" s="8">
        <f>INDEX('V_Para Piyasası'!U$2:U$62,MATCH(LARGE('V_Para Piyasası'!$AC$2:$AC$62,ROW()-3),'V_Para Piyasası'!$AC$2:$AC$62,0))</f>
        <v>0</v>
      </c>
      <c r="W19" s="8">
        <f>INDEX('V_Para Piyasası'!V$2:V$62,MATCH(LARGE('V_Para Piyasası'!$AC$2:$AC$62,ROW()-3),'V_Para Piyasası'!$AC$2:$AC$62,0))</f>
        <v>0</v>
      </c>
      <c r="X19" s="8">
        <f>INDEX('V_Para Piyasası'!W$2:W$62,MATCH(LARGE('V_Para Piyasası'!$AC$2:$AC$62,ROW()-3),'V_Para Piyasası'!$AC$2:$AC$62,0))</f>
        <v>0</v>
      </c>
      <c r="Y19" s="8">
        <f>INDEX('V_Para Piyasası'!X$2:X$62,MATCH(LARGE('V_Para Piyasası'!$AC$2:$AC$62,ROW()-3),'V_Para Piyasası'!$AC$2:$AC$62,0))</f>
        <v>0.17019999999999999</v>
      </c>
      <c r="Z19" s="8">
        <f>INDEX('V_Para Piyasası'!Y$2:Y$62,MATCH(LARGE('V_Para Piyasası'!$AC$2:$AC$62,ROW()-3),'V_Para Piyasası'!$AC$2:$AC$62,0))</f>
        <v>2.9600000000000001E-2</v>
      </c>
      <c r="AA19" s="8">
        <f>INDEX('V_Para Piyasası'!Z$2:Z$62,MATCH(LARGE('V_Para Piyasası'!$AC$2:$AC$62,ROW()-3),'V_Para Piyasası'!$AC$2:$AC$62,0))</f>
        <v>0</v>
      </c>
      <c r="AB19" s="8">
        <f>INDEX('V_Para Piyasası'!AA$2:AA$62,MATCH(LARGE('V_Para Piyasası'!$AC$2:$AC$62,ROW()-3),'V_Para Piyasası'!$AC$2:$AC$62,0))</f>
        <v>0.85199999999999998</v>
      </c>
    </row>
    <row r="20" spans="1:28" x14ac:dyDescent="0.2">
      <c r="A20">
        <v>17</v>
      </c>
      <c r="B20" s="5" t="str">
        <f>INDEX('V_Para Piyasası'!A$2:A$62,MATCH(LARGE('V_Para Piyasası'!$AC$2:$AC$62,ROW()-3),'V_Para Piyasası'!$AC$2:$AC$62,0))</f>
        <v>YVD</v>
      </c>
      <c r="C20" s="5" t="str">
        <f>INDEX('V_Para Piyasası'!B$2:B$62,MATCH(LARGE('V_Para Piyasası'!$AC$2:$AC$62,ROW()-3),'V_Para Piyasası'!$AC$2:$AC$62,0))</f>
        <v>Yapı Kredi Portföy İkinci Para Piyasası (TL) Fonu</v>
      </c>
      <c r="D20" s="5" t="str">
        <f>INDEX('V_Para Piyasası'!C$2:C$62,MATCH(LARGE('V_Para Piyasası'!$AC$2:$AC$62,ROW()-3),'V_Para Piyasası'!$AC$2:$AC$62,0))</f>
        <v>Yapı Kredi Portföy</v>
      </c>
      <c r="E20" s="8">
        <f>INDEX('V_Para Piyasası'!D$2:D$62,MATCH(LARGE('V_Para Piyasası'!$AC$2:$AC$62,ROW()-3),'V_Para Piyasası'!$AC$2:$AC$62,0))</f>
        <v>1.4800000000000001E-2</v>
      </c>
      <c r="F20" s="9">
        <f>INDEX('V_Para Piyasası'!E$2:E$62,MATCH(LARGE('V_Para Piyasası'!$AC$2:$AC$62,ROW()-3),'V_Para Piyasası'!$AC$2:$AC$62,0))</f>
        <v>0.1123600277667558</v>
      </c>
      <c r="G20" s="9">
        <f>INDEX('V_Para Piyasası'!F$2:F$62,MATCH(LARGE('V_Para Piyasası'!$AC$2:$AC$62,ROW()-3),'V_Para Piyasası'!$AC$2:$AC$62,0))</f>
        <v>0.73127036681275293</v>
      </c>
      <c r="H20" s="9">
        <f>INDEX('V_Para Piyasası'!G$2:G$62,MATCH(LARGE('V_Para Piyasası'!$AC$2:$AC$62,ROW()-3),'V_Para Piyasası'!$AC$2:$AC$62,0))</f>
        <v>3.3579638092050561</v>
      </c>
      <c r="I20" s="9">
        <f>INDEX('V_Para Piyasası'!H$2:H$62,MATCH(LARGE('V_Para Piyasası'!$AC$2:$AC$62,ROW()-3),'V_Para Piyasası'!$AC$2:$AC$62,0))</f>
        <v>21.614419492133919</v>
      </c>
      <c r="J20" s="9">
        <f>INDEX('V_Para Piyasası'!I$2:I$62,MATCH(LARGE('V_Para Piyasası'!$AC$2:$AC$62,ROW()-3),'V_Para Piyasası'!$AC$2:$AC$62,0))</f>
        <v>46.370966490004143</v>
      </c>
      <c r="K20" s="10">
        <f>INDEX('V_Para Piyasası'!J$2:J$62,MATCH(LARGE('V_Para Piyasası'!$AC$2:$AC$62,ROW()-3),'V_Para Piyasası'!$AC$2:$AC$62,0))</f>
        <v>80756</v>
      </c>
      <c r="L20" s="10">
        <f>INDEX('V_Para Piyasası'!K$2:K$62,MATCH(LARGE('V_Para Piyasası'!$AC$2:$AC$62,ROW()-3),'V_Para Piyasası'!$AC$2:$AC$62,0))</f>
        <v>79944</v>
      </c>
      <c r="M20" s="8">
        <f>INDEX('V_Para Piyasası'!L$2:L$62,MATCH(LARGE('V_Para Piyasası'!$AC$2:$AC$62,ROW()-3),'V_Para Piyasası'!$AC$2:$AC$62,0))</f>
        <v>-1.005498043489028E-2</v>
      </c>
      <c r="N20" s="11">
        <f>INDEX('V_Para Piyasası'!M$2:M$62,MATCH(LARGE('V_Para Piyasası'!$AC$2:$AC$62,ROW()-3),'V_Para Piyasası'!$AC$2:$AC$62,0))</f>
        <v>38094599876.690002</v>
      </c>
      <c r="O20" s="11">
        <f>INDEX('V_Para Piyasası'!N$2:N$62,MATCH(LARGE('V_Para Piyasası'!$AC$2:$AC$62,ROW()-3),'V_Para Piyasası'!$AC$2:$AC$62,0))</f>
        <v>38539389102.160004</v>
      </c>
      <c r="P20" s="8">
        <f>INDEX('V_Para Piyasası'!O$2:O$62,MATCH(LARGE('V_Para Piyasası'!$AC$2:$AC$62,ROW()-3),'V_Para Piyasası'!$AC$2:$AC$62,0))</f>
        <v>1.167591277792024E-2</v>
      </c>
      <c r="Q20" s="9">
        <f>INDEX('V_Para Piyasası'!P$2:P$62,MATCH(LARGE('V_Para Piyasası'!$AC$2:$AC$62,ROW()-3),'V_Para Piyasası'!$AC$2:$AC$62,0))</f>
        <v>8.4211245974023394E-2</v>
      </c>
      <c r="R20" s="5" t="str">
        <f>INDEX('V_Para Piyasası'!Q$2:Q$62,MATCH(LARGE('V_Para Piyasası'!$AC$2:$AC$62,ROW()-3),'V_Para Piyasası'!$AC$2:$AC$62,0))</f>
        <v>Görmüyor</v>
      </c>
      <c r="S20" s="8">
        <f>INDEX('V_Para Piyasası'!R$2:R$62,MATCH(LARGE('V_Para Piyasası'!$AC$2:$AC$62,ROW()-3),'V_Para Piyasası'!$AC$2:$AC$62,0))</f>
        <v>0.32419999999999999</v>
      </c>
      <c r="T20" s="8">
        <f>INDEX('V_Para Piyasası'!S$2:S$62,MATCH(LARGE('V_Para Piyasası'!$AC$2:$AC$62,ROW()-3),'V_Para Piyasası'!$AC$2:$AC$62,0))</f>
        <v>0</v>
      </c>
      <c r="U20" s="8">
        <f>INDEX('V_Para Piyasası'!T$2:T$62,MATCH(LARGE('V_Para Piyasası'!$AC$2:$AC$62,ROW()-3),'V_Para Piyasası'!$AC$2:$AC$62,0))</f>
        <v>0.39460000000000001</v>
      </c>
      <c r="V20" s="8">
        <f>INDEX('V_Para Piyasası'!U$2:U$62,MATCH(LARGE('V_Para Piyasası'!$AC$2:$AC$62,ROW()-3),'V_Para Piyasası'!$AC$2:$AC$62,0))</f>
        <v>0</v>
      </c>
      <c r="W20" s="8">
        <f>INDEX('V_Para Piyasası'!V$2:V$62,MATCH(LARGE('V_Para Piyasası'!$AC$2:$AC$62,ROW()-3),'V_Para Piyasası'!$AC$2:$AC$62,0))</f>
        <v>0</v>
      </c>
      <c r="X20" s="8">
        <f>INDEX('V_Para Piyasası'!W$2:W$62,MATCH(LARGE('V_Para Piyasası'!$AC$2:$AC$62,ROW()-3),'V_Para Piyasası'!$AC$2:$AC$62,0))</f>
        <v>0</v>
      </c>
      <c r="Y20" s="8">
        <f>INDEX('V_Para Piyasası'!X$2:X$62,MATCH(LARGE('V_Para Piyasası'!$AC$2:$AC$62,ROW()-3),'V_Para Piyasası'!$AC$2:$AC$62,0))</f>
        <v>2.1299999999999999E-2</v>
      </c>
      <c r="Z20" s="8">
        <f>INDEX('V_Para Piyasası'!Y$2:Y$62,MATCH(LARGE('V_Para Piyasası'!$AC$2:$AC$62,ROW()-3),'V_Para Piyasası'!$AC$2:$AC$62,0))</f>
        <v>9.3999999999999986E-3</v>
      </c>
      <c r="AA20" s="8">
        <f>INDEX('V_Para Piyasası'!Z$2:Z$62,MATCH(LARGE('V_Para Piyasası'!$AC$2:$AC$62,ROW()-3),'V_Para Piyasası'!$AC$2:$AC$62,0))</f>
        <v>0</v>
      </c>
      <c r="AB20" s="8">
        <f>INDEX('V_Para Piyasası'!AA$2:AA$62,MATCH(LARGE('V_Para Piyasası'!$AC$2:$AC$62,ROW()-3),'V_Para Piyasası'!$AC$2:$AC$62,0))</f>
        <v>0.74950000000000006</v>
      </c>
    </row>
    <row r="21" spans="1:28" x14ac:dyDescent="0.2">
      <c r="A21">
        <v>18</v>
      </c>
      <c r="B21" s="5" t="str">
        <f>INDEX('V_Para Piyasası'!A$2:A$62,MATCH(LARGE('V_Para Piyasası'!$AC$2:$AC$62,ROW()-3),'V_Para Piyasası'!$AC$2:$AC$62,0))</f>
        <v>PRD</v>
      </c>
      <c r="C21" s="5" t="str">
        <f>INDEX('V_Para Piyasası'!B$2:B$62,MATCH(LARGE('V_Para Piyasası'!$AC$2:$AC$62,ROW()-3),'V_Para Piyasası'!$AC$2:$AC$62,0))</f>
        <v>Piramit Portföy Para Piyasası (TL) Fonu</v>
      </c>
      <c r="D21" s="5" t="str">
        <f>INDEX('V_Para Piyasası'!C$2:C$62,MATCH(LARGE('V_Para Piyasası'!$AC$2:$AC$62,ROW()-3),'V_Para Piyasası'!$AC$2:$AC$62,0))</f>
        <v>Piramit Portföy</v>
      </c>
      <c r="E21" s="8">
        <f>INDEX('V_Para Piyasası'!D$2:D$62,MATCH(LARGE('V_Para Piyasası'!$AC$2:$AC$62,ROW()-3),'V_Para Piyasası'!$AC$2:$AC$62,0))</f>
        <v>7.8750000000000001E-3</v>
      </c>
      <c r="F21" s="9">
        <f>INDEX('V_Para Piyasası'!E$2:E$62,MATCH(LARGE('V_Para Piyasası'!$AC$2:$AC$62,ROW()-3),'V_Para Piyasası'!$AC$2:$AC$62,0))</f>
        <v>0.11225003270611821</v>
      </c>
      <c r="G21" s="9">
        <f>INDEX('V_Para Piyasası'!F$2:F$62,MATCH(LARGE('V_Para Piyasası'!$AC$2:$AC$62,ROW()-3),'V_Para Piyasası'!$AC$2:$AC$62,0))</f>
        <v>0.80711984731625108</v>
      </c>
      <c r="H21" s="9">
        <f>INDEX('V_Para Piyasası'!G$2:G$62,MATCH(LARGE('V_Para Piyasası'!$AC$2:$AC$62,ROW()-3),'V_Para Piyasası'!$AC$2:$AC$62,0))</f>
        <v>3.6701854419707298</v>
      </c>
      <c r="I21" s="9">
        <f>INDEX('V_Para Piyasası'!H$2:H$62,MATCH(LARGE('V_Para Piyasası'!$AC$2:$AC$62,ROW()-3),'V_Para Piyasası'!$AC$2:$AC$62,0))</f>
        <v>22.703546661296262</v>
      </c>
      <c r="J21" s="9">
        <f>INDEX('V_Para Piyasası'!I$2:I$62,MATCH(LARGE('V_Para Piyasası'!$AC$2:$AC$62,ROW()-3),'V_Para Piyasası'!$AC$2:$AC$62,0))</f>
        <v>49.792996832654481</v>
      </c>
      <c r="K21" s="10">
        <f>INDEX('V_Para Piyasası'!J$2:J$62,MATCH(LARGE('V_Para Piyasası'!$AC$2:$AC$62,ROW()-3),'V_Para Piyasası'!$AC$2:$AC$62,0))</f>
        <v>602</v>
      </c>
      <c r="L21" s="10">
        <f>INDEX('V_Para Piyasası'!K$2:K$62,MATCH(LARGE('V_Para Piyasası'!$AC$2:$AC$62,ROW()-3),'V_Para Piyasası'!$AC$2:$AC$62,0))</f>
        <v>596</v>
      </c>
      <c r="M21" s="8">
        <f>INDEX('V_Para Piyasası'!L$2:L$62,MATCH(LARGE('V_Para Piyasası'!$AC$2:$AC$62,ROW()-3),'V_Para Piyasası'!$AC$2:$AC$62,0))</f>
        <v>-9.966777408637828E-3</v>
      </c>
      <c r="N21" s="11">
        <f>INDEX('V_Para Piyasası'!M$2:M$62,MATCH(LARGE('V_Para Piyasası'!$AC$2:$AC$62,ROW()-3),'V_Para Piyasası'!$AC$2:$AC$62,0))</f>
        <v>428394954.86000001</v>
      </c>
      <c r="O21" s="11">
        <f>INDEX('V_Para Piyasası'!N$2:N$62,MATCH(LARGE('V_Para Piyasası'!$AC$2:$AC$62,ROW()-3),'V_Para Piyasası'!$AC$2:$AC$62,0))</f>
        <v>397224075.52999997</v>
      </c>
      <c r="P21" s="8">
        <f>INDEX('V_Para Piyasası'!O$2:O$62,MATCH(LARGE('V_Para Piyasası'!$AC$2:$AC$62,ROW()-3),'V_Para Piyasası'!$AC$2:$AC$62,0))</f>
        <v>-7.2762013129185288E-2</v>
      </c>
      <c r="Q21" s="9">
        <f>INDEX('V_Para Piyasası'!P$2:P$62,MATCH(LARGE('V_Para Piyasası'!$AC$2:$AC$62,ROW()-3),'V_Para Piyasası'!$AC$2:$AC$62,0))</f>
        <v>9.1958067459059101E-2</v>
      </c>
      <c r="R21" s="5" t="str">
        <f>INDEX('V_Para Piyasası'!Q$2:Q$62,MATCH(LARGE('V_Para Piyasası'!$AC$2:$AC$62,ROW()-3),'V_Para Piyasası'!$AC$2:$AC$62,0))</f>
        <v>Görüyor</v>
      </c>
      <c r="S21" s="8">
        <f>INDEX('V_Para Piyasası'!R$2:R$62,MATCH(LARGE('V_Para Piyasası'!$AC$2:$AC$62,ROW()-3),'V_Para Piyasası'!$AC$2:$AC$62,0))</f>
        <v>0.26939999999999997</v>
      </c>
      <c r="T21" s="8">
        <f>INDEX('V_Para Piyasası'!S$2:S$62,MATCH(LARGE('V_Para Piyasası'!$AC$2:$AC$62,ROW()-3),'V_Para Piyasası'!$AC$2:$AC$62,0))</f>
        <v>7.000000000000001E-4</v>
      </c>
      <c r="U21" s="8">
        <f>INDEX('V_Para Piyasası'!T$2:T$62,MATCH(LARGE('V_Para Piyasası'!$AC$2:$AC$62,ROW()-3),'V_Para Piyasası'!$AC$2:$AC$62,0))</f>
        <v>0.33520000000000011</v>
      </c>
      <c r="V21" s="8">
        <f>INDEX('V_Para Piyasası'!U$2:U$62,MATCH(LARGE('V_Para Piyasası'!$AC$2:$AC$62,ROW()-3),'V_Para Piyasası'!$AC$2:$AC$62,0))</f>
        <v>0</v>
      </c>
      <c r="W21" s="8">
        <f>INDEX('V_Para Piyasası'!V$2:V$62,MATCH(LARGE('V_Para Piyasası'!$AC$2:$AC$62,ROW()-3),'V_Para Piyasası'!$AC$2:$AC$62,0))</f>
        <v>0.19950000000000001</v>
      </c>
      <c r="X21" s="8">
        <f>INDEX('V_Para Piyasası'!W$2:W$62,MATCH(LARGE('V_Para Piyasası'!$AC$2:$AC$62,ROW()-3),'V_Para Piyasası'!$AC$2:$AC$62,0))</f>
        <v>0</v>
      </c>
      <c r="Y21" s="8">
        <f>INDEX('V_Para Piyasası'!X$2:X$62,MATCH(LARGE('V_Para Piyasası'!$AC$2:$AC$62,ROW()-3),'V_Para Piyasası'!$AC$2:$AC$62,0))</f>
        <v>5.1000000000000004E-3</v>
      </c>
      <c r="Z21" s="8">
        <f>INDEX('V_Para Piyasası'!Y$2:Y$62,MATCH(LARGE('V_Para Piyasası'!$AC$2:$AC$62,ROW()-3),'V_Para Piyasası'!$AC$2:$AC$62,0))</f>
        <v>2.23E-2</v>
      </c>
      <c r="AA21" s="8">
        <f>INDEX('V_Para Piyasası'!Z$2:Z$62,MATCH(LARGE('V_Para Piyasası'!$AC$2:$AC$62,ROW()-3),'V_Para Piyasası'!$AC$2:$AC$62,0))</f>
        <v>0</v>
      </c>
      <c r="AB21" s="8">
        <f>INDEX('V_Para Piyasası'!AA$2:AA$62,MATCH(LARGE('V_Para Piyasası'!$AC$2:$AC$62,ROW()-3),'V_Para Piyasası'!$AC$2:$AC$62,0))</f>
        <v>0.83220000000000005</v>
      </c>
    </row>
    <row r="22" spans="1:28" x14ac:dyDescent="0.2">
      <c r="A22">
        <v>19</v>
      </c>
      <c r="B22" s="5" t="str">
        <f>INDEX('V_Para Piyasası'!A$2:A$62,MATCH(LARGE('V_Para Piyasası'!$AC$2:$AC$62,ROW()-3),'V_Para Piyasası'!$AC$2:$AC$62,0))</f>
        <v>DLY</v>
      </c>
      <c r="C22" s="5" t="str">
        <f>INDEX('V_Para Piyasası'!B$2:B$62,MATCH(LARGE('V_Para Piyasası'!$AC$2:$AC$62,ROW()-3),'V_Para Piyasası'!$AC$2:$AC$62,0))</f>
        <v>Deniz Portföy Para Piyasası (TL) Fonu</v>
      </c>
      <c r="D22" s="5" t="str">
        <f>INDEX('V_Para Piyasası'!C$2:C$62,MATCH(LARGE('V_Para Piyasası'!$AC$2:$AC$62,ROW()-3),'V_Para Piyasası'!$AC$2:$AC$62,0))</f>
        <v>Deniz Portföy</v>
      </c>
      <c r="E22" s="8">
        <f>INDEX('V_Para Piyasası'!D$2:D$62,MATCH(LARGE('V_Para Piyasası'!$AC$2:$AC$62,ROW()-3),'V_Para Piyasası'!$AC$2:$AC$62,0))</f>
        <v>1.4500000000000001E-2</v>
      </c>
      <c r="F22" s="9">
        <f>INDEX('V_Para Piyasası'!E$2:E$62,MATCH(LARGE('V_Para Piyasası'!$AC$2:$AC$62,ROW()-3),'V_Para Piyasası'!$AC$2:$AC$62,0))</f>
        <v>0.112237450662378</v>
      </c>
      <c r="G22" s="9">
        <f>INDEX('V_Para Piyasası'!F$2:F$62,MATCH(LARGE('V_Para Piyasası'!$AC$2:$AC$62,ROW()-3),'V_Para Piyasası'!$AC$2:$AC$62,0))</f>
        <v>0.73901384371273249</v>
      </c>
      <c r="H22" s="9">
        <f>INDEX('V_Para Piyasası'!G$2:G$62,MATCH(LARGE('V_Para Piyasası'!$AC$2:$AC$62,ROW()-3),'V_Para Piyasası'!$AC$2:$AC$62,0))</f>
        <v>3.4152655856893199</v>
      </c>
      <c r="I22" s="9">
        <f>INDEX('V_Para Piyasası'!H$2:H$62,MATCH(LARGE('V_Para Piyasası'!$AC$2:$AC$62,ROW()-3),'V_Para Piyasası'!$AC$2:$AC$62,0))</f>
        <v>22.175043298527001</v>
      </c>
      <c r="J22" s="9">
        <f>INDEX('V_Para Piyasası'!I$2:I$62,MATCH(LARGE('V_Para Piyasası'!$AC$2:$AC$62,ROW()-3),'V_Para Piyasası'!$AC$2:$AC$62,0))</f>
        <v>47.166791549087627</v>
      </c>
      <c r="K22" s="10">
        <f>INDEX('V_Para Piyasası'!J$2:J$62,MATCH(LARGE('V_Para Piyasası'!$AC$2:$AC$62,ROW()-3),'V_Para Piyasası'!$AC$2:$AC$62,0))</f>
        <v>310647</v>
      </c>
      <c r="L22" s="10">
        <f>INDEX('V_Para Piyasası'!K$2:K$62,MATCH(LARGE('V_Para Piyasası'!$AC$2:$AC$62,ROW()-3),'V_Para Piyasası'!$AC$2:$AC$62,0))</f>
        <v>309614</v>
      </c>
      <c r="M22" s="8">
        <f>INDEX('V_Para Piyasası'!L$2:L$62,MATCH(LARGE('V_Para Piyasası'!$AC$2:$AC$62,ROW()-3),'V_Para Piyasası'!$AC$2:$AC$62,0))</f>
        <v>-3.325317804453332E-3</v>
      </c>
      <c r="N22" s="11">
        <f>INDEX('V_Para Piyasası'!M$2:M$62,MATCH(LARGE('V_Para Piyasası'!$AC$2:$AC$62,ROW()-3),'V_Para Piyasası'!$AC$2:$AC$62,0))</f>
        <v>69699034326.160004</v>
      </c>
      <c r="O22" s="11">
        <f>INDEX('V_Para Piyasası'!N$2:N$62,MATCH(LARGE('V_Para Piyasası'!$AC$2:$AC$62,ROW()-3),'V_Para Piyasası'!$AC$2:$AC$62,0))</f>
        <v>68465269347.870003</v>
      </c>
      <c r="P22" s="8">
        <f>INDEX('V_Para Piyasası'!O$2:O$62,MATCH(LARGE('V_Para Piyasası'!$AC$2:$AC$62,ROW()-3),'V_Para Piyasası'!$AC$2:$AC$62,0))</f>
        <v>-1.7701320975503591E-2</v>
      </c>
      <c r="Q22" s="9">
        <f>INDEX('V_Para Piyasası'!P$2:P$62,MATCH(LARGE('V_Para Piyasası'!$AC$2:$AC$62,ROW()-3),'V_Para Piyasası'!$AC$2:$AC$62,0))</f>
        <v>8.3637359255214247E-2</v>
      </c>
      <c r="R22" s="5" t="str">
        <f>INDEX('V_Para Piyasası'!Q$2:Q$62,MATCH(LARGE('V_Para Piyasası'!$AC$2:$AC$62,ROW()-3),'V_Para Piyasası'!$AC$2:$AC$62,0))</f>
        <v>Görüyor</v>
      </c>
      <c r="S22" s="8">
        <f>INDEX('V_Para Piyasası'!R$2:R$62,MATCH(LARGE('V_Para Piyasası'!$AC$2:$AC$62,ROW()-3),'V_Para Piyasası'!$AC$2:$AC$62,0))</f>
        <v>0.31809999999999999</v>
      </c>
      <c r="T22" s="8">
        <f>INDEX('V_Para Piyasası'!S$2:S$62,MATCH(LARGE('V_Para Piyasası'!$AC$2:$AC$62,ROW()-3),'V_Para Piyasası'!$AC$2:$AC$62,0))</f>
        <v>0</v>
      </c>
      <c r="U22" s="8">
        <f>INDEX('V_Para Piyasası'!T$2:T$62,MATCH(LARGE('V_Para Piyasası'!$AC$2:$AC$62,ROW()-3),'V_Para Piyasası'!$AC$2:$AC$62,0))</f>
        <v>0.46050000000000002</v>
      </c>
      <c r="V22" s="8">
        <f>INDEX('V_Para Piyasası'!U$2:U$62,MATCH(LARGE('V_Para Piyasası'!$AC$2:$AC$62,ROW()-3),'V_Para Piyasası'!$AC$2:$AC$62,0))</f>
        <v>0</v>
      </c>
      <c r="W22" s="8">
        <f>INDEX('V_Para Piyasası'!V$2:V$62,MATCH(LARGE('V_Para Piyasası'!$AC$2:$AC$62,ROW()-3),'V_Para Piyasası'!$AC$2:$AC$62,0))</f>
        <v>0</v>
      </c>
      <c r="X22" s="8">
        <f>INDEX('V_Para Piyasası'!W$2:W$62,MATCH(LARGE('V_Para Piyasası'!$AC$2:$AC$62,ROW()-3),'V_Para Piyasası'!$AC$2:$AC$62,0))</f>
        <v>0</v>
      </c>
      <c r="Y22" s="8">
        <f>INDEX('V_Para Piyasası'!X$2:X$62,MATCH(LARGE('V_Para Piyasası'!$AC$2:$AC$62,ROW()-3),'V_Para Piyasası'!$AC$2:$AC$62,0))</f>
        <v>2.53E-2</v>
      </c>
      <c r="Z22" s="8">
        <f>INDEX('V_Para Piyasası'!Y$2:Y$62,MATCH(LARGE('V_Para Piyasası'!$AC$2:$AC$62,ROW()-3),'V_Para Piyasası'!$AC$2:$AC$62,0))</f>
        <v>5.4000000000000003E-3</v>
      </c>
      <c r="AA22" s="8">
        <f>INDEX('V_Para Piyasası'!Z$2:Z$62,MATCH(LARGE('V_Para Piyasası'!$AC$2:$AC$62,ROW()-3),'V_Para Piyasası'!$AC$2:$AC$62,0))</f>
        <v>2.2000000000000001E-3</v>
      </c>
      <c r="AB22" s="8">
        <f>INDEX('V_Para Piyasası'!AA$2:AA$62,MATCH(LARGE('V_Para Piyasası'!$AC$2:$AC$62,ROW()-3),'V_Para Piyasası'!$AC$2:$AC$62,0))</f>
        <v>0.8115</v>
      </c>
    </row>
    <row r="23" spans="1:28" x14ac:dyDescent="0.2">
      <c r="A23">
        <v>20</v>
      </c>
      <c r="B23" s="5" t="str">
        <f>INDEX('V_Para Piyasası'!A$2:A$62,MATCH(LARGE('V_Para Piyasası'!$AC$2:$AC$62,ROW()-3),'V_Para Piyasası'!$AC$2:$AC$62,0))</f>
        <v>HVT</v>
      </c>
      <c r="C23" s="5" t="str">
        <f>INDEX('V_Para Piyasası'!B$2:B$62,MATCH(LARGE('V_Para Piyasası'!$AC$2:$AC$62,ROW()-3),'V_Para Piyasası'!$AC$2:$AC$62,0))</f>
        <v>Allbatross Portföy Birinci Para Piyasası (TL) Fonu</v>
      </c>
      <c r="D23" s="5" t="str">
        <f>INDEX('V_Para Piyasası'!C$2:C$62,MATCH(LARGE('V_Para Piyasası'!$AC$2:$AC$62,ROW()-3),'V_Para Piyasası'!$AC$2:$AC$62,0))</f>
        <v>Allbatross Portföy</v>
      </c>
      <c r="E23" s="8">
        <f>INDEX('V_Para Piyasası'!D$2:D$62,MATCH(LARGE('V_Para Piyasası'!$AC$2:$AC$62,ROW()-3),'V_Para Piyasası'!$AC$2:$AC$62,0))</f>
        <v>1.2500000000000001E-2</v>
      </c>
      <c r="F23" s="9">
        <f>INDEX('V_Para Piyasası'!E$2:E$62,MATCH(LARGE('V_Para Piyasası'!$AC$2:$AC$62,ROW()-3),'V_Para Piyasası'!$AC$2:$AC$62,0))</f>
        <v>0.1121819116399303</v>
      </c>
      <c r="G23" s="9">
        <f>INDEX('V_Para Piyasası'!F$2:F$62,MATCH(LARGE('V_Para Piyasası'!$AC$2:$AC$62,ROW()-3),'V_Para Piyasası'!$AC$2:$AC$62,0))</f>
        <v>0.76876170613404682</v>
      </c>
      <c r="H23" s="9">
        <f>INDEX('V_Para Piyasası'!G$2:G$62,MATCH(LARGE('V_Para Piyasası'!$AC$2:$AC$62,ROW()-3),'V_Para Piyasası'!$AC$2:$AC$62,0))</f>
        <v>3.5731749984611478</v>
      </c>
      <c r="I23" s="9">
        <f>INDEX('V_Para Piyasası'!H$2:H$62,MATCH(LARGE('V_Para Piyasası'!$AC$2:$AC$62,ROW()-3),'V_Para Piyasası'!$AC$2:$AC$62,0))</f>
        <v>25.00065589235745</v>
      </c>
      <c r="J23" s="9">
        <f>INDEX('V_Para Piyasası'!I$2:I$62,MATCH(LARGE('V_Para Piyasası'!$AC$2:$AC$62,ROW()-3),'V_Para Piyasası'!$AC$2:$AC$62,0))</f>
        <v>52.996173659090587</v>
      </c>
      <c r="K23" s="10">
        <f>INDEX('V_Para Piyasası'!J$2:J$62,MATCH(LARGE('V_Para Piyasası'!$AC$2:$AC$62,ROW()-3),'V_Para Piyasası'!$AC$2:$AC$62,0))</f>
        <v>1922</v>
      </c>
      <c r="L23" s="10">
        <f>INDEX('V_Para Piyasası'!K$2:K$62,MATCH(LARGE('V_Para Piyasası'!$AC$2:$AC$62,ROW()-3),'V_Para Piyasası'!$AC$2:$AC$62,0))</f>
        <v>1857</v>
      </c>
      <c r="M23" s="8">
        <f>INDEX('V_Para Piyasası'!L$2:L$62,MATCH(LARGE('V_Para Piyasası'!$AC$2:$AC$62,ROW()-3),'V_Para Piyasası'!$AC$2:$AC$62,0))</f>
        <v>-3.3818938605619131E-2</v>
      </c>
      <c r="N23" s="11">
        <f>INDEX('V_Para Piyasası'!M$2:M$62,MATCH(LARGE('V_Para Piyasası'!$AC$2:$AC$62,ROW()-3),'V_Para Piyasası'!$AC$2:$AC$62,0))</f>
        <v>679145197.61000001</v>
      </c>
      <c r="O23" s="11">
        <f>INDEX('V_Para Piyasası'!N$2:N$62,MATCH(LARGE('V_Para Piyasası'!$AC$2:$AC$62,ROW()-3),'V_Para Piyasası'!$AC$2:$AC$62,0))</f>
        <v>629485607.97000003</v>
      </c>
      <c r="P23" s="8">
        <f>INDEX('V_Para Piyasası'!O$2:O$62,MATCH(LARGE('V_Para Piyasası'!$AC$2:$AC$62,ROW()-3),'V_Para Piyasası'!$AC$2:$AC$62,0))</f>
        <v>-7.3120725604419401E-2</v>
      </c>
      <c r="Q23" s="9">
        <f>INDEX('V_Para Piyasası'!P$2:P$62,MATCH(LARGE('V_Para Piyasası'!$AC$2:$AC$62,ROW()-3),'V_Para Piyasası'!$AC$2:$AC$62,0))</f>
        <v>8.4975783840720409E-2</v>
      </c>
      <c r="R23" s="5" t="str">
        <f>INDEX('V_Para Piyasası'!Q$2:Q$62,MATCH(LARGE('V_Para Piyasası'!$AC$2:$AC$62,ROW()-3),'V_Para Piyasası'!$AC$2:$AC$62,0))</f>
        <v>Görüyor</v>
      </c>
      <c r="S23" s="8">
        <f>INDEX('V_Para Piyasası'!R$2:R$62,MATCH(LARGE('V_Para Piyasası'!$AC$2:$AC$62,ROW()-3),'V_Para Piyasası'!$AC$2:$AC$62,0))</f>
        <v>0.23180000000000001</v>
      </c>
      <c r="T23" s="8">
        <f>INDEX('V_Para Piyasası'!S$2:S$62,MATCH(LARGE('V_Para Piyasası'!$AC$2:$AC$62,ROW()-3),'V_Para Piyasası'!$AC$2:$AC$62,0))</f>
        <v>0</v>
      </c>
      <c r="U23" s="8">
        <f>INDEX('V_Para Piyasası'!T$2:T$62,MATCH(LARGE('V_Para Piyasası'!$AC$2:$AC$62,ROW()-3),'V_Para Piyasası'!$AC$2:$AC$62,0))</f>
        <v>0.29870000000000002</v>
      </c>
      <c r="V23" s="8">
        <f>INDEX('V_Para Piyasası'!U$2:U$62,MATCH(LARGE('V_Para Piyasası'!$AC$2:$AC$62,ROW()-3),'V_Para Piyasası'!$AC$2:$AC$62,0))</f>
        <v>0</v>
      </c>
      <c r="W23" s="8">
        <f>INDEX('V_Para Piyasası'!V$2:V$62,MATCH(LARGE('V_Para Piyasası'!$AC$2:$AC$62,ROW()-3),'V_Para Piyasası'!$AC$2:$AC$62,0))</f>
        <v>0.159</v>
      </c>
      <c r="X23" s="8">
        <f>INDEX('V_Para Piyasası'!W$2:W$62,MATCH(LARGE('V_Para Piyasası'!$AC$2:$AC$62,ROW()-3),'V_Para Piyasası'!$AC$2:$AC$62,0))</f>
        <v>0</v>
      </c>
      <c r="Y23" s="8">
        <f>INDEX('V_Para Piyasası'!X$2:X$62,MATCH(LARGE('V_Para Piyasası'!$AC$2:$AC$62,ROW()-3),'V_Para Piyasası'!$AC$2:$AC$62,0))</f>
        <v>0</v>
      </c>
      <c r="Z23" s="8">
        <f>INDEX('V_Para Piyasası'!Y$2:Y$62,MATCH(LARGE('V_Para Piyasası'!$AC$2:$AC$62,ROW()-3),'V_Para Piyasası'!$AC$2:$AC$62,0))</f>
        <v>0.1178</v>
      </c>
      <c r="AA23" s="8">
        <f>INDEX('V_Para Piyasası'!Z$2:Z$62,MATCH(LARGE('V_Para Piyasası'!$AC$2:$AC$62,ROW()-3),'V_Para Piyasası'!$AC$2:$AC$62,0))</f>
        <v>0</v>
      </c>
      <c r="AB23" s="8">
        <f>INDEX('V_Para Piyasası'!AA$2:AA$62,MATCH(LARGE('V_Para Piyasası'!$AC$2:$AC$62,ROW()-3),'V_Para Piyasası'!$AC$2:$AC$62,0))</f>
        <v>0.80730000000000002</v>
      </c>
    </row>
    <row r="24" spans="1:28" x14ac:dyDescent="0.2">
      <c r="A24">
        <v>21</v>
      </c>
      <c r="B24" s="5" t="str">
        <f>INDEX('V_Para Piyasası'!A$2:A$62,MATCH(LARGE('V_Para Piyasası'!$AC$2:$AC$62,ROW()-3),'V_Para Piyasası'!$AC$2:$AC$62,0))</f>
        <v>KIE</v>
      </c>
      <c r="C24" s="5" t="str">
        <f>INDEX('V_Para Piyasası'!B$2:B$62,MATCH(LARGE('V_Para Piyasası'!$AC$2:$AC$62,ROW()-3),'V_Para Piyasası'!$AC$2:$AC$62,0))</f>
        <v>Trıve Portföy Para Piyasası (TL) Fonu</v>
      </c>
      <c r="D24" s="5" t="str">
        <f>INDEX('V_Para Piyasası'!C$2:C$62,MATCH(LARGE('V_Para Piyasası'!$AC$2:$AC$62,ROW()-3),'V_Para Piyasası'!$AC$2:$AC$62,0))</f>
        <v>Trıve Portföy</v>
      </c>
      <c r="E24" s="8">
        <f>INDEX('V_Para Piyasası'!D$2:D$62,MATCH(LARGE('V_Para Piyasası'!$AC$2:$AC$62,ROW()-3),'V_Para Piyasası'!$AC$2:$AC$62,0))</f>
        <v>1.1299999999999999E-2</v>
      </c>
      <c r="F24" s="9">
        <f>INDEX('V_Para Piyasası'!E$2:E$62,MATCH(LARGE('V_Para Piyasası'!$AC$2:$AC$62,ROW()-3),'V_Para Piyasası'!$AC$2:$AC$62,0))</f>
        <v>0.1120286410718485</v>
      </c>
      <c r="G24" s="9">
        <f>INDEX('V_Para Piyasası'!F$2:F$62,MATCH(LARGE('V_Para Piyasası'!$AC$2:$AC$62,ROW()-3),'V_Para Piyasası'!$AC$2:$AC$62,0))</f>
        <v>0.75440460997795444</v>
      </c>
      <c r="H24" s="9">
        <f>INDEX('V_Para Piyasası'!G$2:G$62,MATCH(LARGE('V_Para Piyasası'!$AC$2:$AC$62,ROW()-3),'V_Para Piyasası'!$AC$2:$AC$62,0))</f>
        <v>3.600147261136621</v>
      </c>
      <c r="I24" s="9">
        <f>INDEX('V_Para Piyasası'!H$2:H$62,MATCH(LARGE('V_Para Piyasası'!$AC$2:$AC$62,ROW()-3),'V_Para Piyasası'!$AC$2:$AC$62,0))</f>
        <v>20.696186333616449</v>
      </c>
      <c r="J24" s="9">
        <f>INDEX('V_Para Piyasası'!I$2:I$62,MATCH(LARGE('V_Para Piyasası'!$AC$2:$AC$62,ROW()-3),'V_Para Piyasası'!$AC$2:$AC$62,0))</f>
        <v>45.741096276406743</v>
      </c>
      <c r="K24" s="10">
        <f>INDEX('V_Para Piyasası'!J$2:J$62,MATCH(LARGE('V_Para Piyasası'!$AC$2:$AC$62,ROW()-3),'V_Para Piyasası'!$AC$2:$AC$62,0))</f>
        <v>842</v>
      </c>
      <c r="L24" s="10">
        <f>INDEX('V_Para Piyasası'!K$2:K$62,MATCH(LARGE('V_Para Piyasası'!$AC$2:$AC$62,ROW()-3),'V_Para Piyasası'!$AC$2:$AC$62,0))</f>
        <v>840</v>
      </c>
      <c r="M24" s="8">
        <f>INDEX('V_Para Piyasası'!L$2:L$62,MATCH(LARGE('V_Para Piyasası'!$AC$2:$AC$62,ROW()-3),'V_Para Piyasası'!$AC$2:$AC$62,0))</f>
        <v>-2.3752969121140222E-3</v>
      </c>
      <c r="N24" s="11">
        <f>INDEX('V_Para Piyasası'!M$2:M$62,MATCH(LARGE('V_Para Piyasası'!$AC$2:$AC$62,ROW()-3),'V_Para Piyasası'!$AC$2:$AC$62,0))</f>
        <v>187801438.34999999</v>
      </c>
      <c r="O24" s="11">
        <f>INDEX('V_Para Piyasası'!N$2:N$62,MATCH(LARGE('V_Para Piyasası'!$AC$2:$AC$62,ROW()-3),'V_Para Piyasası'!$AC$2:$AC$62,0))</f>
        <v>149193257.56999999</v>
      </c>
      <c r="P24" s="8">
        <f>INDEX('V_Para Piyasası'!O$2:O$62,MATCH(LARGE('V_Para Piyasası'!$AC$2:$AC$62,ROW()-3),'V_Para Piyasası'!$AC$2:$AC$62,0))</f>
        <v>-0.20557979278117711</v>
      </c>
      <c r="Q24" s="9">
        <f>INDEX('V_Para Piyasası'!P$2:P$62,MATCH(LARGE('V_Para Piyasası'!$AC$2:$AC$62,ROW()-3),'V_Para Piyasası'!$AC$2:$AC$62,0))</f>
        <v>8.4752293315559418E-2</v>
      </c>
      <c r="R24" s="5" t="str">
        <f>INDEX('V_Para Piyasası'!Q$2:Q$62,MATCH(LARGE('V_Para Piyasası'!$AC$2:$AC$62,ROW()-3),'V_Para Piyasası'!$AC$2:$AC$62,0))</f>
        <v>Görüyor</v>
      </c>
      <c r="S24" s="8">
        <f>INDEX('V_Para Piyasası'!R$2:R$62,MATCH(LARGE('V_Para Piyasası'!$AC$2:$AC$62,ROW()-3),'V_Para Piyasası'!$AC$2:$AC$62,0))</f>
        <v>9.0999999999999998E-2</v>
      </c>
      <c r="T24" s="8">
        <f>INDEX('V_Para Piyasası'!S$2:S$62,MATCH(LARGE('V_Para Piyasası'!$AC$2:$AC$62,ROW()-3),'V_Para Piyasası'!$AC$2:$AC$62,0))</f>
        <v>0</v>
      </c>
      <c r="U24" s="8">
        <f>INDEX('V_Para Piyasası'!T$2:T$62,MATCH(LARGE('V_Para Piyasası'!$AC$2:$AC$62,ROW()-3),'V_Para Piyasası'!$AC$2:$AC$62,0))</f>
        <v>0.33739999999999998</v>
      </c>
      <c r="V24" s="8">
        <f>INDEX('V_Para Piyasası'!U$2:U$62,MATCH(LARGE('V_Para Piyasası'!$AC$2:$AC$62,ROW()-3),'V_Para Piyasası'!$AC$2:$AC$62,0))</f>
        <v>0</v>
      </c>
      <c r="W24" s="8">
        <f>INDEX('V_Para Piyasası'!V$2:V$62,MATCH(LARGE('V_Para Piyasası'!$AC$2:$AC$62,ROW()-3),'V_Para Piyasası'!$AC$2:$AC$62,0))</f>
        <v>0.1903</v>
      </c>
      <c r="X24" s="8">
        <f>INDEX('V_Para Piyasası'!W$2:W$62,MATCH(LARGE('V_Para Piyasası'!$AC$2:$AC$62,ROW()-3),'V_Para Piyasası'!$AC$2:$AC$62,0))</f>
        <v>0</v>
      </c>
      <c r="Y24" s="8">
        <f>INDEX('V_Para Piyasası'!X$2:X$62,MATCH(LARGE('V_Para Piyasası'!$AC$2:$AC$62,ROW()-3),'V_Para Piyasası'!$AC$2:$AC$62,0))</f>
        <v>0</v>
      </c>
      <c r="Z24" s="8">
        <f>INDEX('V_Para Piyasası'!Y$2:Y$62,MATCH(LARGE('V_Para Piyasası'!$AC$2:$AC$62,ROW()-3),'V_Para Piyasası'!$AC$2:$AC$62,0))</f>
        <v>0.14549999999999999</v>
      </c>
      <c r="AA24" s="8">
        <f>INDEX('V_Para Piyasası'!Z$2:Z$62,MATCH(LARGE('V_Para Piyasası'!$AC$2:$AC$62,ROW()-3),'V_Para Piyasası'!$AC$2:$AC$62,0))</f>
        <v>0</v>
      </c>
      <c r="AB24" s="8">
        <f>INDEX('V_Para Piyasası'!AA$2:AA$62,MATCH(LARGE('V_Para Piyasası'!$AC$2:$AC$62,ROW()-3),'V_Para Piyasası'!$AC$2:$AC$62,0))</f>
        <v>0.76419999999999999</v>
      </c>
    </row>
    <row r="25" spans="1:28" x14ac:dyDescent="0.2">
      <c r="A25">
        <v>22</v>
      </c>
      <c r="B25" s="5" t="str">
        <f>INDEX('V_Para Piyasası'!A$2:A$62,MATCH(LARGE('V_Para Piyasası'!$AC$2:$AC$62,ROW()-3),'V_Para Piyasası'!$AC$2:$AC$62,0))</f>
        <v>BRG</v>
      </c>
      <c r="C25" s="5" t="str">
        <f>INDEX('V_Para Piyasası'!B$2:B$62,MATCH(LARGE('V_Para Piyasası'!$AC$2:$AC$62,ROW()-3),'V_Para Piyasası'!$AC$2:$AC$62,0))</f>
        <v>Teb Portföy Burgan Bank Para Piyasası (TL) Fonu</v>
      </c>
      <c r="D25" s="5" t="str">
        <f>INDEX('V_Para Piyasası'!C$2:C$62,MATCH(LARGE('V_Para Piyasası'!$AC$2:$AC$62,ROW()-3),'V_Para Piyasası'!$AC$2:$AC$62,0))</f>
        <v>Teb Portföy</v>
      </c>
      <c r="E25" s="8">
        <f>INDEX('V_Para Piyasası'!D$2:D$62,MATCH(LARGE('V_Para Piyasası'!$AC$2:$AC$62,ROW()-3),'V_Para Piyasası'!$AC$2:$AC$62,0))</f>
        <v>9.0000000000000011E-3</v>
      </c>
      <c r="F25" s="9">
        <f>INDEX('V_Para Piyasası'!E$2:E$62,MATCH(LARGE('V_Para Piyasası'!$AC$2:$AC$62,ROW()-3),'V_Para Piyasası'!$AC$2:$AC$62,0))</f>
        <v>0.1118239115710962</v>
      </c>
      <c r="G25" s="9">
        <f>INDEX('V_Para Piyasası'!F$2:F$62,MATCH(LARGE('V_Para Piyasası'!$AC$2:$AC$62,ROW()-3),'V_Para Piyasası'!$AC$2:$AC$62,0))</f>
        <v>0.74847699357538655</v>
      </c>
      <c r="H25" s="9">
        <f>INDEX('V_Para Piyasası'!G$2:G$62,MATCH(LARGE('V_Para Piyasası'!$AC$2:$AC$62,ROW()-3),'V_Para Piyasası'!$AC$2:$AC$62,0))</f>
        <v>3.459201011428048</v>
      </c>
      <c r="I25" s="9">
        <f>INDEX('V_Para Piyasası'!H$2:H$62,MATCH(LARGE('V_Para Piyasası'!$AC$2:$AC$62,ROW()-3),'V_Para Piyasası'!$AC$2:$AC$62,0))</f>
        <v>22.474831133589259</v>
      </c>
      <c r="J25" s="9">
        <f>INDEX('V_Para Piyasası'!I$2:I$62,MATCH(LARGE('V_Para Piyasası'!$AC$2:$AC$62,ROW()-3),'V_Para Piyasası'!$AC$2:$AC$62,0))</f>
        <v>47.547119722323842</v>
      </c>
      <c r="K25" s="10">
        <f>INDEX('V_Para Piyasası'!J$2:J$62,MATCH(LARGE('V_Para Piyasası'!$AC$2:$AC$62,ROW()-3),'V_Para Piyasası'!$AC$2:$AC$62,0))</f>
        <v>1580</v>
      </c>
      <c r="L25" s="10">
        <f>INDEX('V_Para Piyasası'!K$2:K$62,MATCH(LARGE('V_Para Piyasası'!$AC$2:$AC$62,ROW()-3),'V_Para Piyasası'!$AC$2:$AC$62,0))</f>
        <v>1556</v>
      </c>
      <c r="M25" s="8">
        <f>INDEX('V_Para Piyasası'!L$2:L$62,MATCH(LARGE('V_Para Piyasası'!$AC$2:$AC$62,ROW()-3),'V_Para Piyasası'!$AC$2:$AC$62,0))</f>
        <v>-1.5189873417721491E-2</v>
      </c>
      <c r="N25" s="11">
        <f>INDEX('V_Para Piyasası'!M$2:M$62,MATCH(LARGE('V_Para Piyasası'!$AC$2:$AC$62,ROW()-3),'V_Para Piyasası'!$AC$2:$AC$62,0))</f>
        <v>1970183368.0599999</v>
      </c>
      <c r="O25" s="11">
        <f>INDEX('V_Para Piyasası'!N$2:N$62,MATCH(LARGE('V_Para Piyasası'!$AC$2:$AC$62,ROW()-3),'V_Para Piyasası'!$AC$2:$AC$62,0))</f>
        <v>1699598133.47</v>
      </c>
      <c r="P25" s="8">
        <f>INDEX('V_Para Piyasası'!O$2:O$62,MATCH(LARGE('V_Para Piyasası'!$AC$2:$AC$62,ROW()-3),'V_Para Piyasası'!$AC$2:$AC$62,0))</f>
        <v>-0.13734012730827169</v>
      </c>
      <c r="Q25" s="9">
        <f>INDEX('V_Para Piyasası'!P$2:P$62,MATCH(LARGE('V_Para Piyasası'!$AC$2:$AC$62,ROW()-3),'V_Para Piyasası'!$AC$2:$AC$62,0))</f>
        <v>8.487403458091658E-2</v>
      </c>
      <c r="R25" s="5" t="str">
        <f>INDEX('V_Para Piyasası'!Q$2:Q$62,MATCH(LARGE('V_Para Piyasası'!$AC$2:$AC$62,ROW()-3),'V_Para Piyasası'!$AC$2:$AC$62,0))</f>
        <v>Görmüyor</v>
      </c>
      <c r="S25" s="8">
        <f>INDEX('V_Para Piyasası'!R$2:R$62,MATCH(LARGE('V_Para Piyasası'!$AC$2:$AC$62,ROW()-3),'V_Para Piyasası'!$AC$2:$AC$62,0))</f>
        <v>0.38879999999999998</v>
      </c>
      <c r="T25" s="8">
        <f>INDEX('V_Para Piyasası'!S$2:S$62,MATCH(LARGE('V_Para Piyasası'!$AC$2:$AC$62,ROW()-3),'V_Para Piyasası'!$AC$2:$AC$62,0))</f>
        <v>0</v>
      </c>
      <c r="U25" s="8">
        <f>INDEX('V_Para Piyasası'!T$2:T$62,MATCH(LARGE('V_Para Piyasası'!$AC$2:$AC$62,ROW()-3),'V_Para Piyasası'!$AC$2:$AC$62,0))</f>
        <v>0.3589</v>
      </c>
      <c r="V25" s="8">
        <f>INDEX('V_Para Piyasası'!U$2:U$62,MATCH(LARGE('V_Para Piyasası'!$AC$2:$AC$62,ROW()-3),'V_Para Piyasası'!$AC$2:$AC$62,0))</f>
        <v>0</v>
      </c>
      <c r="W25" s="8">
        <f>INDEX('V_Para Piyasası'!V$2:V$62,MATCH(LARGE('V_Para Piyasası'!$AC$2:$AC$62,ROW()-3),'V_Para Piyasası'!$AC$2:$AC$62,0))</f>
        <v>0</v>
      </c>
      <c r="X25" s="8">
        <f>INDEX('V_Para Piyasası'!W$2:W$62,MATCH(LARGE('V_Para Piyasası'!$AC$2:$AC$62,ROW()-3),'V_Para Piyasası'!$AC$2:$AC$62,0))</f>
        <v>0</v>
      </c>
      <c r="Y25" s="8">
        <f>INDEX('V_Para Piyasası'!X$2:X$62,MATCH(LARGE('V_Para Piyasası'!$AC$2:$AC$62,ROW()-3),'V_Para Piyasası'!$AC$2:$AC$62,0))</f>
        <v>5.1000000000000004E-3</v>
      </c>
      <c r="Z25" s="8">
        <f>INDEX('V_Para Piyasası'!Y$2:Y$62,MATCH(LARGE('V_Para Piyasası'!$AC$2:$AC$62,ROW()-3),'V_Para Piyasası'!$AC$2:$AC$62,0))</f>
        <v>5.0099999999999999E-2</v>
      </c>
      <c r="AA25" s="8">
        <f>INDEX('V_Para Piyasası'!Z$2:Z$62,MATCH(LARGE('V_Para Piyasası'!$AC$2:$AC$62,ROW()-3),'V_Para Piyasası'!$AC$2:$AC$62,0))</f>
        <v>0</v>
      </c>
      <c r="AB25" s="8">
        <f>INDEX('V_Para Piyasası'!AA$2:AA$62,MATCH(LARGE('V_Para Piyasası'!$AC$2:$AC$62,ROW()-3),'V_Para Piyasası'!$AC$2:$AC$62,0))</f>
        <v>0.80290000000000006</v>
      </c>
    </row>
    <row r="26" spans="1:28" x14ac:dyDescent="0.2">
      <c r="A26">
        <v>23</v>
      </c>
      <c r="B26" s="5" t="str">
        <f>INDEX('V_Para Piyasası'!A$2:A$62,MATCH(LARGE('V_Para Piyasası'!$AC$2:$AC$62,ROW()-3),'V_Para Piyasası'!$AC$2:$AC$62,0))</f>
        <v>PRH</v>
      </c>
      <c r="C26" s="5" t="str">
        <f>INDEX('V_Para Piyasası'!B$2:B$62,MATCH(LARGE('V_Para Piyasası'!$AC$2:$AC$62,ROW()-3),'V_Para Piyasası'!$AC$2:$AC$62,0))</f>
        <v>Aura Portföy Para Piyasası (TL) Fonu</v>
      </c>
      <c r="D26" s="5" t="str">
        <f>INDEX('V_Para Piyasası'!C$2:C$62,MATCH(LARGE('V_Para Piyasası'!$AC$2:$AC$62,ROW()-3),'V_Para Piyasası'!$AC$2:$AC$62,0))</f>
        <v>Aura Portföy</v>
      </c>
      <c r="E26" s="8">
        <f>INDEX('V_Para Piyasası'!D$2:D$62,MATCH(LARGE('V_Para Piyasası'!$AC$2:$AC$62,ROW()-3),'V_Para Piyasası'!$AC$2:$AC$62,0))</f>
        <v>1.2500000000000001E-2</v>
      </c>
      <c r="F26" s="9">
        <f>INDEX('V_Para Piyasası'!E$2:E$62,MATCH(LARGE('V_Para Piyasası'!$AC$2:$AC$62,ROW()-3),'V_Para Piyasası'!$AC$2:$AC$62,0))</f>
        <v>0.1111943415175842</v>
      </c>
      <c r="G26" s="9">
        <f>INDEX('V_Para Piyasası'!F$2:F$62,MATCH(LARGE('V_Para Piyasası'!$AC$2:$AC$62,ROW()-3),'V_Para Piyasası'!$AC$2:$AC$62,0))</f>
        <v>0.78397475632925318</v>
      </c>
      <c r="H26" s="9">
        <f>INDEX('V_Para Piyasası'!G$2:G$62,MATCH(LARGE('V_Para Piyasası'!$AC$2:$AC$62,ROW()-3),'V_Para Piyasası'!$AC$2:$AC$62,0))</f>
        <v>3.4914408673293762</v>
      </c>
      <c r="I26" s="9">
        <f>INDEX('V_Para Piyasası'!H$2:H$62,MATCH(LARGE('V_Para Piyasası'!$AC$2:$AC$62,ROW()-3),'V_Para Piyasası'!$AC$2:$AC$62,0))</f>
        <v>22.281978976170191</v>
      </c>
      <c r="J26" s="9">
        <f>INDEX('V_Para Piyasası'!I$2:I$62,MATCH(LARGE('V_Para Piyasası'!$AC$2:$AC$62,ROW()-3),'V_Para Piyasası'!$AC$2:$AC$62,0))</f>
        <v>50.242165618842691</v>
      </c>
      <c r="K26" s="10">
        <f>INDEX('V_Para Piyasası'!J$2:J$62,MATCH(LARGE('V_Para Piyasası'!$AC$2:$AC$62,ROW()-3),'V_Para Piyasası'!$AC$2:$AC$62,0))</f>
        <v>336</v>
      </c>
      <c r="L26" s="10">
        <f>INDEX('V_Para Piyasası'!K$2:K$62,MATCH(LARGE('V_Para Piyasası'!$AC$2:$AC$62,ROW()-3),'V_Para Piyasası'!$AC$2:$AC$62,0))</f>
        <v>313</v>
      </c>
      <c r="M26" s="8">
        <f>INDEX('V_Para Piyasası'!L$2:L$62,MATCH(LARGE('V_Para Piyasası'!$AC$2:$AC$62,ROW()-3),'V_Para Piyasası'!$AC$2:$AC$62,0))</f>
        <v>-6.8452380952380931E-2</v>
      </c>
      <c r="N26" s="11">
        <f>INDEX('V_Para Piyasası'!M$2:M$62,MATCH(LARGE('V_Para Piyasası'!$AC$2:$AC$62,ROW()-3),'V_Para Piyasası'!$AC$2:$AC$62,0))</f>
        <v>621954607.16999996</v>
      </c>
      <c r="O26" s="11">
        <f>INDEX('V_Para Piyasası'!N$2:N$62,MATCH(LARGE('V_Para Piyasası'!$AC$2:$AC$62,ROW()-3),'V_Para Piyasası'!$AC$2:$AC$62,0))</f>
        <v>610199321.12</v>
      </c>
      <c r="P26" s="8">
        <f>INDEX('V_Para Piyasası'!O$2:O$62,MATCH(LARGE('V_Para Piyasası'!$AC$2:$AC$62,ROW()-3),'V_Para Piyasası'!$AC$2:$AC$62,0))</f>
        <v>-1.8900553054005838E-2</v>
      </c>
      <c r="Q26" s="9">
        <f>INDEX('V_Para Piyasası'!P$2:P$62,MATCH(LARGE('V_Para Piyasası'!$AC$2:$AC$62,ROW()-3),'V_Para Piyasası'!$AC$2:$AC$62,0))</f>
        <v>8.7492336651440808E-2</v>
      </c>
      <c r="R26" s="5" t="str">
        <f>INDEX('V_Para Piyasası'!Q$2:Q$62,MATCH(LARGE('V_Para Piyasası'!$AC$2:$AC$62,ROW()-3),'V_Para Piyasası'!$AC$2:$AC$62,0))</f>
        <v>Görüyor</v>
      </c>
      <c r="S26" s="8">
        <f>INDEX('V_Para Piyasası'!R$2:R$62,MATCH(LARGE('V_Para Piyasası'!$AC$2:$AC$62,ROW()-3),'V_Para Piyasası'!$AC$2:$AC$62,0))</f>
        <v>2.0000000000000001E-4</v>
      </c>
      <c r="T26" s="8">
        <f>INDEX('V_Para Piyasası'!S$2:S$62,MATCH(LARGE('V_Para Piyasası'!$AC$2:$AC$62,ROW()-3),'V_Para Piyasası'!$AC$2:$AC$62,0))</f>
        <v>0</v>
      </c>
      <c r="U26" s="8">
        <f>INDEX('V_Para Piyasası'!T$2:T$62,MATCH(LARGE('V_Para Piyasası'!$AC$2:$AC$62,ROW()-3),'V_Para Piyasası'!$AC$2:$AC$62,0))</f>
        <v>0.73299999999999998</v>
      </c>
      <c r="V26" s="8">
        <f>INDEX('V_Para Piyasası'!U$2:U$62,MATCH(LARGE('V_Para Piyasası'!$AC$2:$AC$62,ROW()-3),'V_Para Piyasası'!$AC$2:$AC$62,0))</f>
        <v>0</v>
      </c>
      <c r="W26" s="8">
        <f>INDEX('V_Para Piyasası'!V$2:V$62,MATCH(LARGE('V_Para Piyasası'!$AC$2:$AC$62,ROW()-3),'V_Para Piyasası'!$AC$2:$AC$62,0))</f>
        <v>1.1000000000000001E-3</v>
      </c>
      <c r="X26" s="8">
        <f>INDEX('V_Para Piyasası'!W$2:W$62,MATCH(LARGE('V_Para Piyasası'!$AC$2:$AC$62,ROW()-3),'V_Para Piyasası'!$AC$2:$AC$62,0))</f>
        <v>0</v>
      </c>
      <c r="Y26" s="8">
        <f>INDEX('V_Para Piyasası'!X$2:X$62,MATCH(LARGE('V_Para Piyasası'!$AC$2:$AC$62,ROW()-3),'V_Para Piyasası'!$AC$2:$AC$62,0))</f>
        <v>0</v>
      </c>
      <c r="Z26" s="8">
        <f>INDEX('V_Para Piyasası'!Y$2:Y$62,MATCH(LARGE('V_Para Piyasası'!$AC$2:$AC$62,ROW()-3),'V_Para Piyasası'!$AC$2:$AC$62,0))</f>
        <v>0.11169999999999999</v>
      </c>
      <c r="AA26" s="8">
        <f>INDEX('V_Para Piyasası'!Z$2:Z$62,MATCH(LARGE('V_Para Piyasası'!$AC$2:$AC$62,ROW()-3),'V_Para Piyasası'!$AC$2:$AC$62,0))</f>
        <v>0</v>
      </c>
      <c r="AB26" s="8">
        <f>INDEX('V_Para Piyasası'!AA$2:AA$62,MATCH(LARGE('V_Para Piyasası'!$AC$2:$AC$62,ROW()-3),'V_Para Piyasası'!$AC$2:$AC$62,0))</f>
        <v>0.84599999999999997</v>
      </c>
    </row>
    <row r="27" spans="1:28" x14ac:dyDescent="0.2">
      <c r="A27">
        <v>24</v>
      </c>
      <c r="B27" s="5" t="str">
        <f>INDEX('V_Para Piyasası'!A$2:A$62,MATCH(LARGE('V_Para Piyasası'!$AC$2:$AC$62,ROW()-3),'V_Para Piyasası'!$AC$2:$AC$62,0))</f>
        <v>DL2</v>
      </c>
      <c r="C27" s="5" t="str">
        <f>INDEX('V_Para Piyasası'!B$2:B$62,MATCH(LARGE('V_Para Piyasası'!$AC$2:$AC$62,ROW()-3),'V_Para Piyasası'!$AC$2:$AC$62,0))</f>
        <v>Deniz Portföy İkinci Para Piyasası (TL) Fonu</v>
      </c>
      <c r="D27" s="5" t="str">
        <f>INDEX('V_Para Piyasası'!C$2:C$62,MATCH(LARGE('V_Para Piyasası'!$AC$2:$AC$62,ROW()-3),'V_Para Piyasası'!$AC$2:$AC$62,0))</f>
        <v>Deniz Portföy</v>
      </c>
      <c r="E27" s="8">
        <f>INDEX('V_Para Piyasası'!D$2:D$62,MATCH(LARGE('V_Para Piyasası'!$AC$2:$AC$62,ROW()-3),'V_Para Piyasası'!$AC$2:$AC$62,0))</f>
        <v>4.8999999999999998E-3</v>
      </c>
      <c r="F27" s="9">
        <f>INDEX('V_Para Piyasası'!E$2:E$62,MATCH(LARGE('V_Para Piyasası'!$AC$2:$AC$62,ROW()-3),'V_Para Piyasası'!$AC$2:$AC$62,0))</f>
        <v>0.1109474304473945</v>
      </c>
      <c r="G27" s="9">
        <f>INDEX('V_Para Piyasası'!F$2:F$62,MATCH(LARGE('V_Para Piyasası'!$AC$2:$AC$62,ROW()-3),'V_Para Piyasası'!$AC$2:$AC$62,0))</f>
        <v>0.75912388969658906</v>
      </c>
      <c r="H27" s="9">
        <f>INDEX('V_Para Piyasası'!G$2:G$62,MATCH(LARGE('V_Para Piyasası'!$AC$2:$AC$62,ROW()-3),'V_Para Piyasası'!$AC$2:$AC$62,0))</f>
        <v>3.4420883112861622</v>
      </c>
      <c r="I27" s="9">
        <f>INDEX('V_Para Piyasası'!H$2:H$62,MATCH(LARGE('V_Para Piyasası'!$AC$2:$AC$62,ROW()-3),'V_Para Piyasası'!$AC$2:$AC$62,0))</f>
        <v>22.273172176115931</v>
      </c>
      <c r="J27" s="9">
        <f>INDEX('V_Para Piyasası'!I$2:I$62,MATCH(LARGE('V_Para Piyasası'!$AC$2:$AC$62,ROW()-3),'V_Para Piyasası'!$AC$2:$AC$62,0))</f>
        <v>47.804559159456247</v>
      </c>
      <c r="K27" s="10">
        <f>INDEX('V_Para Piyasası'!J$2:J$62,MATCH(LARGE('V_Para Piyasası'!$AC$2:$AC$62,ROW()-3),'V_Para Piyasası'!$AC$2:$AC$62,0))</f>
        <v>672</v>
      </c>
      <c r="L27" s="10">
        <f>INDEX('V_Para Piyasası'!K$2:K$62,MATCH(LARGE('V_Para Piyasası'!$AC$2:$AC$62,ROW()-3),'V_Para Piyasası'!$AC$2:$AC$62,0))</f>
        <v>644</v>
      </c>
      <c r="M27" s="8">
        <f>INDEX('V_Para Piyasası'!L$2:L$62,MATCH(LARGE('V_Para Piyasası'!$AC$2:$AC$62,ROW()-3),'V_Para Piyasası'!$AC$2:$AC$62,0))</f>
        <v>-4.166666666666663E-2</v>
      </c>
      <c r="N27" s="11">
        <f>INDEX('V_Para Piyasası'!M$2:M$62,MATCH(LARGE('V_Para Piyasası'!$AC$2:$AC$62,ROW()-3),'V_Para Piyasası'!$AC$2:$AC$62,0))</f>
        <v>8542661839.5600004</v>
      </c>
      <c r="O27" s="11">
        <f>INDEX('V_Para Piyasası'!N$2:N$62,MATCH(LARGE('V_Para Piyasası'!$AC$2:$AC$62,ROW()-3),'V_Para Piyasası'!$AC$2:$AC$62,0))</f>
        <v>8402119746.3000002</v>
      </c>
      <c r="P27" s="8">
        <f>INDEX('V_Para Piyasası'!O$2:O$62,MATCH(LARGE('V_Para Piyasası'!$AC$2:$AC$62,ROW()-3),'V_Para Piyasası'!$AC$2:$AC$62,0))</f>
        <v>-1.6451791713113059E-2</v>
      </c>
      <c r="Q27" s="9">
        <f>INDEX('V_Para Piyasası'!P$2:P$62,MATCH(LARGE('V_Para Piyasası'!$AC$2:$AC$62,ROW()-3),'V_Para Piyasası'!$AC$2:$AC$62,0))</f>
        <v>8.6578808557024114E-2</v>
      </c>
      <c r="R27" s="5" t="str">
        <f>INDEX('V_Para Piyasası'!Q$2:Q$62,MATCH(LARGE('V_Para Piyasası'!$AC$2:$AC$62,ROW()-3),'V_Para Piyasası'!$AC$2:$AC$62,0))</f>
        <v>Görüyor</v>
      </c>
      <c r="S27" s="8">
        <f>INDEX('V_Para Piyasası'!R$2:R$62,MATCH(LARGE('V_Para Piyasası'!$AC$2:$AC$62,ROW()-3),'V_Para Piyasası'!$AC$2:$AC$62,0))</f>
        <v>0.2959</v>
      </c>
      <c r="T27" s="8">
        <f>INDEX('V_Para Piyasası'!S$2:S$62,MATCH(LARGE('V_Para Piyasası'!$AC$2:$AC$62,ROW()-3),'V_Para Piyasası'!$AC$2:$AC$62,0))</f>
        <v>0</v>
      </c>
      <c r="U27" s="8">
        <f>INDEX('V_Para Piyasası'!T$2:T$62,MATCH(LARGE('V_Para Piyasası'!$AC$2:$AC$62,ROW()-3),'V_Para Piyasası'!$AC$2:$AC$62,0))</f>
        <v>0.45269999999999999</v>
      </c>
      <c r="V27" s="8">
        <f>INDEX('V_Para Piyasası'!U$2:U$62,MATCH(LARGE('V_Para Piyasası'!$AC$2:$AC$62,ROW()-3),'V_Para Piyasası'!$AC$2:$AC$62,0))</f>
        <v>0</v>
      </c>
      <c r="W27" s="8">
        <f>INDEX('V_Para Piyasası'!V$2:V$62,MATCH(LARGE('V_Para Piyasası'!$AC$2:$AC$62,ROW()-3),'V_Para Piyasası'!$AC$2:$AC$62,0))</f>
        <v>0</v>
      </c>
      <c r="X27" s="8">
        <f>INDEX('V_Para Piyasası'!W$2:W$62,MATCH(LARGE('V_Para Piyasası'!$AC$2:$AC$62,ROW()-3),'V_Para Piyasası'!$AC$2:$AC$62,0))</f>
        <v>0</v>
      </c>
      <c r="Y27" s="8">
        <f>INDEX('V_Para Piyasası'!X$2:X$62,MATCH(LARGE('V_Para Piyasası'!$AC$2:$AC$62,ROW()-3),'V_Para Piyasası'!$AC$2:$AC$62,0))</f>
        <v>1.54E-2</v>
      </c>
      <c r="Z27" s="8">
        <f>INDEX('V_Para Piyasası'!Y$2:Y$62,MATCH(LARGE('V_Para Piyasası'!$AC$2:$AC$62,ROW()-3),'V_Para Piyasası'!$AC$2:$AC$62,0))</f>
        <v>0</v>
      </c>
      <c r="AA27" s="8">
        <f>INDEX('V_Para Piyasası'!Z$2:Z$62,MATCH(LARGE('V_Para Piyasası'!$AC$2:$AC$62,ROW()-3),'V_Para Piyasası'!$AC$2:$AC$62,0))</f>
        <v>0</v>
      </c>
      <c r="AB27" s="8">
        <f>INDEX('V_Para Piyasası'!AA$2:AA$62,MATCH(LARGE('V_Para Piyasası'!$AC$2:$AC$62,ROW()-3),'V_Para Piyasası'!$AC$2:$AC$62,0))</f>
        <v>0.76400000000000001</v>
      </c>
    </row>
    <row r="28" spans="1:28" x14ac:dyDescent="0.2">
      <c r="A28">
        <v>25</v>
      </c>
      <c r="B28" s="5" t="str">
        <f>INDEX('V_Para Piyasası'!A$2:A$62,MATCH(LARGE('V_Para Piyasası'!$AC$2:$AC$62,ROW()-3),'V_Para Piyasası'!$AC$2:$AC$62,0))</f>
        <v>OYL</v>
      </c>
      <c r="C28" s="5" t="str">
        <f>INDEX('V_Para Piyasası'!B$2:B$62,MATCH(LARGE('V_Para Piyasası'!$AC$2:$AC$62,ROW()-3),'V_Para Piyasası'!$AC$2:$AC$62,0))</f>
        <v>Oyak Portföy Birinci Para Piyasası (TL) Fonu</v>
      </c>
      <c r="D28" s="5" t="str">
        <f>INDEX('V_Para Piyasası'!C$2:C$62,MATCH(LARGE('V_Para Piyasası'!$AC$2:$AC$62,ROW()-3),'V_Para Piyasası'!$AC$2:$AC$62,0))</f>
        <v>Oyak Portföy</v>
      </c>
      <c r="E28" s="8">
        <f>INDEX('V_Para Piyasası'!D$2:D$62,MATCH(LARGE('V_Para Piyasası'!$AC$2:$AC$62,ROW()-3),'V_Para Piyasası'!$AC$2:$AC$62,0))</f>
        <v>1.2999999999999999E-2</v>
      </c>
      <c r="F28" s="9">
        <f>INDEX('V_Para Piyasası'!E$2:E$62,MATCH(LARGE('V_Para Piyasası'!$AC$2:$AC$62,ROW()-3),'V_Para Piyasası'!$AC$2:$AC$62,0))</f>
        <v>0.1108154600452327</v>
      </c>
      <c r="G28" s="9">
        <f>INDEX('V_Para Piyasası'!F$2:F$62,MATCH(LARGE('V_Para Piyasası'!$AC$2:$AC$62,ROW()-3),'V_Para Piyasası'!$AC$2:$AC$62,0))</f>
        <v>0.74039016357305698</v>
      </c>
      <c r="H28" s="9">
        <f>INDEX('V_Para Piyasası'!G$2:G$62,MATCH(LARGE('V_Para Piyasası'!$AC$2:$AC$62,ROW()-3),'V_Para Piyasası'!$AC$2:$AC$62,0))</f>
        <v>3.4314051787259552</v>
      </c>
      <c r="I28" s="9">
        <f>INDEX('V_Para Piyasası'!H$2:H$62,MATCH(LARGE('V_Para Piyasası'!$AC$2:$AC$62,ROW()-3),'V_Para Piyasası'!$AC$2:$AC$62,0))</f>
        <v>21.766489824385431</v>
      </c>
      <c r="J28" s="9">
        <f>INDEX('V_Para Piyasası'!I$2:I$62,MATCH(LARGE('V_Para Piyasası'!$AC$2:$AC$62,ROW()-3),'V_Para Piyasası'!$AC$2:$AC$62,0))</f>
        <v>45.99736916283004</v>
      </c>
      <c r="K28" s="10">
        <f>INDEX('V_Para Piyasası'!J$2:J$62,MATCH(LARGE('V_Para Piyasası'!$AC$2:$AC$62,ROW()-3),'V_Para Piyasası'!$AC$2:$AC$62,0))</f>
        <v>8878</v>
      </c>
      <c r="L28" s="10">
        <f>INDEX('V_Para Piyasası'!K$2:K$62,MATCH(LARGE('V_Para Piyasası'!$AC$2:$AC$62,ROW()-3),'V_Para Piyasası'!$AC$2:$AC$62,0))</f>
        <v>8468</v>
      </c>
      <c r="M28" s="8">
        <f>INDEX('V_Para Piyasası'!L$2:L$62,MATCH(LARGE('V_Para Piyasası'!$AC$2:$AC$62,ROW()-3),'V_Para Piyasası'!$AC$2:$AC$62,0))</f>
        <v>-4.6181572426222117E-2</v>
      </c>
      <c r="N28" s="11">
        <f>INDEX('V_Para Piyasası'!M$2:M$62,MATCH(LARGE('V_Para Piyasası'!$AC$2:$AC$62,ROW()-3),'V_Para Piyasası'!$AC$2:$AC$62,0))</f>
        <v>3342750364.9200001</v>
      </c>
      <c r="O28" s="11">
        <f>INDEX('V_Para Piyasası'!N$2:N$62,MATCH(LARGE('V_Para Piyasası'!$AC$2:$AC$62,ROW()-3),'V_Para Piyasası'!$AC$2:$AC$62,0))</f>
        <v>3145665968.8299999</v>
      </c>
      <c r="P28" s="8">
        <f>INDEX('V_Para Piyasası'!O$2:O$62,MATCH(LARGE('V_Para Piyasası'!$AC$2:$AC$62,ROW()-3),'V_Para Piyasası'!$AC$2:$AC$62,0))</f>
        <v>-5.8958753892684679E-2</v>
      </c>
      <c r="Q28" s="9">
        <f>INDEX('V_Para Piyasası'!P$2:P$62,MATCH(LARGE('V_Para Piyasası'!$AC$2:$AC$62,ROW()-3),'V_Para Piyasası'!$AC$2:$AC$62,0))</f>
        <v>8.4741619972194898E-2</v>
      </c>
      <c r="R28" s="5" t="str">
        <f>INDEX('V_Para Piyasası'!Q$2:Q$62,MATCH(LARGE('V_Para Piyasası'!$AC$2:$AC$62,ROW()-3),'V_Para Piyasası'!$AC$2:$AC$62,0))</f>
        <v>Görmüyor</v>
      </c>
      <c r="S28" s="8">
        <f>INDEX('V_Para Piyasası'!R$2:R$62,MATCH(LARGE('V_Para Piyasası'!$AC$2:$AC$62,ROW()-3),'V_Para Piyasası'!$AC$2:$AC$62,0))</f>
        <v>0.28050000000000003</v>
      </c>
      <c r="T28" s="8">
        <f>INDEX('V_Para Piyasası'!S$2:S$62,MATCH(LARGE('V_Para Piyasası'!$AC$2:$AC$62,ROW()-3),'V_Para Piyasası'!$AC$2:$AC$62,0))</f>
        <v>0</v>
      </c>
      <c r="U28" s="8">
        <f>INDEX('V_Para Piyasası'!T$2:T$62,MATCH(LARGE('V_Para Piyasası'!$AC$2:$AC$62,ROW()-3),'V_Para Piyasası'!$AC$2:$AC$62,0))</f>
        <v>0.46189999999999998</v>
      </c>
      <c r="V28" s="8">
        <f>INDEX('V_Para Piyasası'!U$2:U$62,MATCH(LARGE('V_Para Piyasası'!$AC$2:$AC$62,ROW()-3),'V_Para Piyasası'!$AC$2:$AC$62,0))</f>
        <v>0</v>
      </c>
      <c r="W28" s="8">
        <f>INDEX('V_Para Piyasası'!V$2:V$62,MATCH(LARGE('V_Para Piyasası'!$AC$2:$AC$62,ROW()-3),'V_Para Piyasası'!$AC$2:$AC$62,0))</f>
        <v>0</v>
      </c>
      <c r="X28" s="8">
        <f>INDEX('V_Para Piyasası'!W$2:W$62,MATCH(LARGE('V_Para Piyasası'!$AC$2:$AC$62,ROW()-3),'V_Para Piyasası'!$AC$2:$AC$62,0))</f>
        <v>0</v>
      </c>
      <c r="Y28" s="8">
        <f>INDEX('V_Para Piyasası'!X$2:X$62,MATCH(LARGE('V_Para Piyasası'!$AC$2:$AC$62,ROW()-3),'V_Para Piyasası'!$AC$2:$AC$62,0))</f>
        <v>2.5999999999999999E-2</v>
      </c>
      <c r="Z28" s="8">
        <f>INDEX('V_Para Piyasası'!Y$2:Y$62,MATCH(LARGE('V_Para Piyasası'!$AC$2:$AC$62,ROW()-3),'V_Para Piyasası'!$AC$2:$AC$62,0))</f>
        <v>0.1144</v>
      </c>
      <c r="AA28" s="8">
        <f>INDEX('V_Para Piyasası'!Z$2:Z$62,MATCH(LARGE('V_Para Piyasası'!$AC$2:$AC$62,ROW()-3),'V_Para Piyasası'!$AC$2:$AC$62,0))</f>
        <v>0</v>
      </c>
      <c r="AB28" s="8">
        <f>INDEX('V_Para Piyasası'!AA$2:AA$62,MATCH(LARGE('V_Para Piyasası'!$AC$2:$AC$62,ROW()-3),'V_Para Piyasası'!$AC$2:$AC$62,0))</f>
        <v>0.88280000000000003</v>
      </c>
    </row>
    <row r="29" spans="1:28" x14ac:dyDescent="0.2">
      <c r="A29">
        <v>26</v>
      </c>
      <c r="B29" s="5" t="str">
        <f>INDEX('V_Para Piyasası'!A$2:A$62,MATCH(LARGE('V_Para Piyasası'!$AC$2:$AC$62,ROW()-3),'V_Para Piyasası'!$AC$2:$AC$62,0))</f>
        <v>IOP</v>
      </c>
      <c r="C29" s="5" t="str">
        <f>INDEX('V_Para Piyasası'!B$2:B$62,MATCH(LARGE('V_Para Piyasası'!$AC$2:$AC$62,ROW()-3),'V_Para Piyasası'!$AC$2:$AC$62,0))</f>
        <v>İŞ Portföy Odeabank Para Piyasası (TL) Fonu</v>
      </c>
      <c r="D29" s="5" t="str">
        <f>INDEX('V_Para Piyasası'!C$2:C$62,MATCH(LARGE('V_Para Piyasası'!$AC$2:$AC$62,ROW()-3),'V_Para Piyasası'!$AC$2:$AC$62,0))</f>
        <v>İŞ Portföy</v>
      </c>
      <c r="E29" s="8">
        <f>INDEX('V_Para Piyasası'!D$2:D$62,MATCH(LARGE('V_Para Piyasası'!$AC$2:$AC$62,ROW()-3),'V_Para Piyasası'!$AC$2:$AC$62,0))</f>
        <v>9.0000000000000011E-3</v>
      </c>
      <c r="F29" s="9">
        <f>INDEX('V_Para Piyasası'!E$2:E$62,MATCH(LARGE('V_Para Piyasası'!$AC$2:$AC$62,ROW()-3),'V_Para Piyasası'!$AC$2:$AC$62,0))</f>
        <v>0.11055264607757739</v>
      </c>
      <c r="G29" s="9">
        <f>INDEX('V_Para Piyasası'!F$2:F$62,MATCH(LARGE('V_Para Piyasası'!$AC$2:$AC$62,ROW()-3),'V_Para Piyasası'!$AC$2:$AC$62,0))</f>
        <v>0.7504856801772597</v>
      </c>
      <c r="H29" s="9">
        <f>INDEX('V_Para Piyasası'!G$2:G$62,MATCH(LARGE('V_Para Piyasası'!$AC$2:$AC$62,ROW()-3),'V_Para Piyasası'!$AC$2:$AC$62,0))</f>
        <v>3.488671387071296</v>
      </c>
      <c r="I29" s="9">
        <f>INDEX('V_Para Piyasası'!H$2:H$62,MATCH(LARGE('V_Para Piyasası'!$AC$2:$AC$62,ROW()-3),'V_Para Piyasası'!$AC$2:$AC$62,0))</f>
        <v>22.695248015987371</v>
      </c>
      <c r="J29" s="9">
        <f>INDEX('V_Para Piyasası'!I$2:I$62,MATCH(LARGE('V_Para Piyasası'!$AC$2:$AC$62,ROW()-3),'V_Para Piyasası'!$AC$2:$AC$62,0))</f>
        <v>48.287540657619552</v>
      </c>
      <c r="K29" s="10">
        <f>INDEX('V_Para Piyasası'!J$2:J$62,MATCH(LARGE('V_Para Piyasası'!$AC$2:$AC$62,ROW()-3),'V_Para Piyasası'!$AC$2:$AC$62,0))</f>
        <v>7021</v>
      </c>
      <c r="L29" s="10">
        <f>INDEX('V_Para Piyasası'!K$2:K$62,MATCH(LARGE('V_Para Piyasası'!$AC$2:$AC$62,ROW()-3),'V_Para Piyasası'!$AC$2:$AC$62,0))</f>
        <v>6718</v>
      </c>
      <c r="M29" s="8">
        <f>INDEX('V_Para Piyasası'!L$2:L$62,MATCH(LARGE('V_Para Piyasası'!$AC$2:$AC$62,ROW()-3),'V_Para Piyasası'!$AC$2:$AC$62,0))</f>
        <v>-4.3156245549067052E-2</v>
      </c>
      <c r="N29" s="11">
        <f>INDEX('V_Para Piyasası'!M$2:M$62,MATCH(LARGE('V_Para Piyasası'!$AC$2:$AC$62,ROW()-3),'V_Para Piyasası'!$AC$2:$AC$62,0))</f>
        <v>6948936074.46</v>
      </c>
      <c r="O29" s="11">
        <f>INDEX('V_Para Piyasası'!N$2:N$62,MATCH(LARGE('V_Para Piyasası'!$AC$2:$AC$62,ROW()-3),'V_Para Piyasası'!$AC$2:$AC$62,0))</f>
        <v>6954007048.5500002</v>
      </c>
      <c r="P29" s="8">
        <f>INDEX('V_Para Piyasası'!O$2:O$62,MATCH(LARGE('V_Para Piyasası'!$AC$2:$AC$62,ROW()-3),'V_Para Piyasası'!$AC$2:$AC$62,0))</f>
        <v>7.2974827162930467E-4</v>
      </c>
      <c r="Q29" s="9">
        <f>INDEX('V_Para Piyasası'!P$2:P$62,MATCH(LARGE('V_Para Piyasası'!$AC$2:$AC$62,ROW()-3),'V_Para Piyasası'!$AC$2:$AC$62,0))</f>
        <v>8.4174374807981331E-2</v>
      </c>
      <c r="R29" s="5" t="str">
        <f>INDEX('V_Para Piyasası'!Q$2:Q$62,MATCH(LARGE('V_Para Piyasası'!$AC$2:$AC$62,ROW()-3),'V_Para Piyasası'!$AC$2:$AC$62,0))</f>
        <v>Görmüyor</v>
      </c>
      <c r="S29" s="8">
        <f>INDEX('V_Para Piyasası'!R$2:R$62,MATCH(LARGE('V_Para Piyasası'!$AC$2:$AC$62,ROW()-3),'V_Para Piyasası'!$AC$2:$AC$62,0))</f>
        <v>0.40029999999999999</v>
      </c>
      <c r="T29" s="8">
        <f>INDEX('V_Para Piyasası'!S$2:S$62,MATCH(LARGE('V_Para Piyasası'!$AC$2:$AC$62,ROW()-3),'V_Para Piyasası'!$AC$2:$AC$62,0))</f>
        <v>0</v>
      </c>
      <c r="U29" s="8">
        <f>INDEX('V_Para Piyasası'!T$2:T$62,MATCH(LARGE('V_Para Piyasası'!$AC$2:$AC$62,ROW()-3),'V_Para Piyasası'!$AC$2:$AC$62,0))</f>
        <v>0.14749999999999999</v>
      </c>
      <c r="V29" s="8">
        <f>INDEX('V_Para Piyasası'!U$2:U$62,MATCH(LARGE('V_Para Piyasası'!$AC$2:$AC$62,ROW()-3),'V_Para Piyasası'!$AC$2:$AC$62,0))</f>
        <v>0</v>
      </c>
      <c r="W29" s="8">
        <f>INDEX('V_Para Piyasası'!V$2:V$62,MATCH(LARGE('V_Para Piyasası'!$AC$2:$AC$62,ROW()-3),'V_Para Piyasası'!$AC$2:$AC$62,0))</f>
        <v>5.7799999999999997E-2</v>
      </c>
      <c r="X29" s="8">
        <f>INDEX('V_Para Piyasası'!W$2:W$62,MATCH(LARGE('V_Para Piyasası'!$AC$2:$AC$62,ROW()-3),'V_Para Piyasası'!$AC$2:$AC$62,0))</f>
        <v>0</v>
      </c>
      <c r="Y29" s="8">
        <f>INDEX('V_Para Piyasası'!X$2:X$62,MATCH(LARGE('V_Para Piyasası'!$AC$2:$AC$62,ROW()-3),'V_Para Piyasası'!$AC$2:$AC$62,0))</f>
        <v>0.14810000000000001</v>
      </c>
      <c r="Z29" s="8">
        <f>INDEX('V_Para Piyasası'!Y$2:Y$62,MATCH(LARGE('V_Para Piyasası'!$AC$2:$AC$62,ROW()-3),'V_Para Piyasası'!$AC$2:$AC$62,0))</f>
        <v>5.1100000000000013E-2</v>
      </c>
      <c r="AA29" s="8">
        <f>INDEX('V_Para Piyasası'!Z$2:Z$62,MATCH(LARGE('V_Para Piyasası'!$AC$2:$AC$62,ROW()-3),'V_Para Piyasası'!$AC$2:$AC$62,0))</f>
        <v>0</v>
      </c>
      <c r="AB29" s="8">
        <f>INDEX('V_Para Piyasası'!AA$2:AA$62,MATCH(LARGE('V_Para Piyasası'!$AC$2:$AC$62,ROW()-3),'V_Para Piyasası'!$AC$2:$AC$62,0))</f>
        <v>0.80479999999999996</v>
      </c>
    </row>
    <row r="30" spans="1:28" x14ac:dyDescent="0.2">
      <c r="A30">
        <v>27</v>
      </c>
      <c r="B30" s="5" t="str">
        <f>INDEX('V_Para Piyasası'!A$2:A$62,MATCH(LARGE('V_Para Piyasası'!$AC$2:$AC$62,ROW()-3),'V_Para Piyasası'!$AC$2:$AC$62,0))</f>
        <v>IGL</v>
      </c>
      <c r="C30" s="5" t="str">
        <f>INDEX('V_Para Piyasası'!B$2:B$62,MATCH(LARGE('V_Para Piyasası'!$AC$2:$AC$62,ROW()-3),'V_Para Piyasası'!$AC$2:$AC$62,0))</f>
        <v>Teb Portföy Ing Bank Para Piyasası (TL) Fonu</v>
      </c>
      <c r="D30" s="5" t="str">
        <f>INDEX('V_Para Piyasası'!C$2:C$62,MATCH(LARGE('V_Para Piyasası'!$AC$2:$AC$62,ROW()-3),'V_Para Piyasası'!$AC$2:$AC$62,0))</f>
        <v>Teb Portföy</v>
      </c>
      <c r="E30" s="8">
        <f>INDEX('V_Para Piyasası'!D$2:D$62,MATCH(LARGE('V_Para Piyasası'!$AC$2:$AC$62,ROW()-3),'V_Para Piyasası'!$AC$2:$AC$62,0))</f>
        <v>1.0999999999999999E-2</v>
      </c>
      <c r="F30" s="9">
        <f>INDEX('V_Para Piyasası'!E$2:E$62,MATCH(LARGE('V_Para Piyasası'!$AC$2:$AC$62,ROW()-3),'V_Para Piyasası'!$AC$2:$AC$62,0))</f>
        <v>0.1104743382529749</v>
      </c>
      <c r="G30" s="9">
        <f>INDEX('V_Para Piyasası'!F$2:F$62,MATCH(LARGE('V_Para Piyasası'!$AC$2:$AC$62,ROW()-3),'V_Para Piyasası'!$AC$2:$AC$62,0))</f>
        <v>0.7424614976865751</v>
      </c>
      <c r="H30" s="9">
        <f>INDEX('V_Para Piyasası'!G$2:G$62,MATCH(LARGE('V_Para Piyasası'!$AC$2:$AC$62,ROW()-3),'V_Para Piyasası'!$AC$2:$AC$62,0))</f>
        <v>3.4291374617238191</v>
      </c>
      <c r="I30" s="9">
        <f>INDEX('V_Para Piyasası'!H$2:H$62,MATCH(LARGE('V_Para Piyasası'!$AC$2:$AC$62,ROW()-3),'V_Para Piyasası'!$AC$2:$AC$62,0))</f>
        <v>22.29989611568379</v>
      </c>
      <c r="J30" s="9">
        <f>INDEX('V_Para Piyasası'!I$2:I$62,MATCH(LARGE('V_Para Piyasası'!$AC$2:$AC$62,ROW()-3),'V_Para Piyasası'!$AC$2:$AC$62,0))</f>
        <v>47.143242765236693</v>
      </c>
      <c r="K30" s="10">
        <f>INDEX('V_Para Piyasası'!J$2:J$62,MATCH(LARGE('V_Para Piyasası'!$AC$2:$AC$62,ROW()-3),'V_Para Piyasası'!$AC$2:$AC$62,0))</f>
        <v>17228</v>
      </c>
      <c r="L30" s="10">
        <f>INDEX('V_Para Piyasası'!K$2:K$62,MATCH(LARGE('V_Para Piyasası'!$AC$2:$AC$62,ROW()-3),'V_Para Piyasası'!$AC$2:$AC$62,0))</f>
        <v>16789</v>
      </c>
      <c r="M30" s="8">
        <f>INDEX('V_Para Piyasası'!L$2:L$62,MATCH(LARGE('V_Para Piyasası'!$AC$2:$AC$62,ROW()-3),'V_Para Piyasası'!$AC$2:$AC$62,0))</f>
        <v>-2.548177385651262E-2</v>
      </c>
      <c r="N30" s="11">
        <f>INDEX('V_Para Piyasası'!M$2:M$62,MATCH(LARGE('V_Para Piyasası'!$AC$2:$AC$62,ROW()-3),'V_Para Piyasası'!$AC$2:$AC$62,0))</f>
        <v>4452857210.5799999</v>
      </c>
      <c r="O30" s="11">
        <f>INDEX('V_Para Piyasası'!N$2:N$62,MATCH(LARGE('V_Para Piyasası'!$AC$2:$AC$62,ROW()-3),'V_Para Piyasası'!$AC$2:$AC$62,0))</f>
        <v>4447911591.5200005</v>
      </c>
      <c r="P30" s="8">
        <f>INDEX('V_Para Piyasası'!O$2:O$62,MATCH(LARGE('V_Para Piyasası'!$AC$2:$AC$62,ROW()-3),'V_Para Piyasası'!$AC$2:$AC$62,0))</f>
        <v>-1.1106619471760171E-3</v>
      </c>
      <c r="Q30" s="9">
        <f>INDEX('V_Para Piyasası'!P$2:P$62,MATCH(LARGE('V_Para Piyasası'!$AC$2:$AC$62,ROW()-3),'V_Para Piyasası'!$AC$2:$AC$62,0))</f>
        <v>8.4079313730525559E-2</v>
      </c>
      <c r="R30" s="5" t="str">
        <f>INDEX('V_Para Piyasası'!Q$2:Q$62,MATCH(LARGE('V_Para Piyasası'!$AC$2:$AC$62,ROW()-3),'V_Para Piyasası'!$AC$2:$AC$62,0))</f>
        <v>Görmüyor</v>
      </c>
      <c r="S30" s="8">
        <f>INDEX('V_Para Piyasası'!R$2:R$62,MATCH(LARGE('V_Para Piyasası'!$AC$2:$AC$62,ROW()-3),'V_Para Piyasası'!$AC$2:$AC$62,0))</f>
        <v>0.34649999999999997</v>
      </c>
      <c r="T30" s="8">
        <f>INDEX('V_Para Piyasası'!S$2:S$62,MATCH(LARGE('V_Para Piyasası'!$AC$2:$AC$62,ROW()-3),'V_Para Piyasası'!$AC$2:$AC$62,0))</f>
        <v>0</v>
      </c>
      <c r="U30" s="8">
        <f>INDEX('V_Para Piyasası'!T$2:T$62,MATCH(LARGE('V_Para Piyasası'!$AC$2:$AC$62,ROW()-3),'V_Para Piyasası'!$AC$2:$AC$62,0))</f>
        <v>0.43190000000000001</v>
      </c>
      <c r="V30" s="8">
        <f>INDEX('V_Para Piyasası'!U$2:U$62,MATCH(LARGE('V_Para Piyasası'!$AC$2:$AC$62,ROW()-3),'V_Para Piyasası'!$AC$2:$AC$62,0))</f>
        <v>0</v>
      </c>
      <c r="W30" s="8">
        <f>INDEX('V_Para Piyasası'!V$2:V$62,MATCH(LARGE('V_Para Piyasası'!$AC$2:$AC$62,ROW()-3),'V_Para Piyasası'!$AC$2:$AC$62,0))</f>
        <v>0</v>
      </c>
      <c r="X30" s="8">
        <f>INDEX('V_Para Piyasası'!W$2:W$62,MATCH(LARGE('V_Para Piyasası'!$AC$2:$AC$62,ROW()-3),'V_Para Piyasası'!$AC$2:$AC$62,0))</f>
        <v>0</v>
      </c>
      <c r="Y30" s="8">
        <f>INDEX('V_Para Piyasası'!X$2:X$62,MATCH(LARGE('V_Para Piyasası'!$AC$2:$AC$62,ROW()-3),'V_Para Piyasası'!$AC$2:$AC$62,0))</f>
        <v>1.1999999999999999E-3</v>
      </c>
      <c r="Z30" s="8">
        <f>INDEX('V_Para Piyasası'!Y$2:Y$62,MATCH(LARGE('V_Para Piyasası'!$AC$2:$AC$62,ROW()-3),'V_Para Piyasası'!$AC$2:$AC$62,0))</f>
        <v>1.0699999999999999E-2</v>
      </c>
      <c r="AA30" s="8">
        <f>INDEX('V_Para Piyasası'!Z$2:Z$62,MATCH(LARGE('V_Para Piyasası'!$AC$2:$AC$62,ROW()-3),'V_Para Piyasası'!$AC$2:$AC$62,0))</f>
        <v>0</v>
      </c>
      <c r="AB30" s="8">
        <f>INDEX('V_Para Piyasası'!AA$2:AA$62,MATCH(LARGE('V_Para Piyasası'!$AC$2:$AC$62,ROW()-3),'V_Para Piyasası'!$AC$2:$AC$62,0))</f>
        <v>0.79029999999999989</v>
      </c>
    </row>
    <row r="31" spans="1:28" x14ac:dyDescent="0.2">
      <c r="A31">
        <v>28</v>
      </c>
      <c r="B31" s="5" t="str">
        <f>INDEX('V_Para Piyasası'!A$2:A$62,MATCH(LARGE('V_Para Piyasası'!$AC$2:$AC$62,ROW()-3),'V_Para Piyasası'!$AC$2:$AC$62,0))</f>
        <v>ZBJ</v>
      </c>
      <c r="C31" s="5" t="str">
        <f>INDEX('V_Para Piyasası'!B$2:B$62,MATCH(LARGE('V_Para Piyasası'!$AC$2:$AC$62,ROW()-3),'V_Para Piyasası'!$AC$2:$AC$62,0))</f>
        <v>Ziraat Portföy Başak Para Piyasası (TL) Fonu</v>
      </c>
      <c r="D31" s="5" t="str">
        <f>INDEX('V_Para Piyasası'!C$2:C$62,MATCH(LARGE('V_Para Piyasası'!$AC$2:$AC$62,ROW()-3),'V_Para Piyasası'!$AC$2:$AC$62,0))</f>
        <v>Ziraat Portföy</v>
      </c>
      <c r="E31" s="8">
        <f>INDEX('V_Para Piyasası'!D$2:D$62,MATCH(LARGE('V_Para Piyasası'!$AC$2:$AC$62,ROW()-3),'V_Para Piyasası'!$AC$2:$AC$62,0))</f>
        <v>4.8999999999999998E-3</v>
      </c>
      <c r="F31" s="9">
        <f>INDEX('V_Para Piyasası'!E$2:E$62,MATCH(LARGE('V_Para Piyasası'!$AC$2:$AC$62,ROW()-3),'V_Para Piyasası'!$AC$2:$AC$62,0))</f>
        <v>0.1097455543177972</v>
      </c>
      <c r="G31" s="9">
        <f>INDEX('V_Para Piyasası'!F$2:F$62,MATCH(LARGE('V_Para Piyasası'!$AC$2:$AC$62,ROW()-3),'V_Para Piyasası'!$AC$2:$AC$62,0))</f>
        <v>0.76834467009812002</v>
      </c>
      <c r="H31" s="9">
        <f>INDEX('V_Para Piyasası'!G$2:G$62,MATCH(LARGE('V_Para Piyasası'!$AC$2:$AC$62,ROW()-3),'V_Para Piyasası'!$AC$2:$AC$62,0))</f>
        <v>3.5275551767153019</v>
      </c>
      <c r="I31" s="9">
        <f>INDEX('V_Para Piyasası'!H$2:H$62,MATCH(LARGE('V_Para Piyasası'!$AC$2:$AC$62,ROW()-3),'V_Para Piyasası'!$AC$2:$AC$62,0))</f>
        <v>22.88917347674186</v>
      </c>
      <c r="J31" s="9">
        <f>INDEX('V_Para Piyasası'!I$2:I$62,MATCH(LARGE('V_Para Piyasası'!$AC$2:$AC$62,ROW()-3),'V_Para Piyasası'!$AC$2:$AC$62,0))</f>
        <v>48.295012627656916</v>
      </c>
      <c r="K31" s="10">
        <f>INDEX('V_Para Piyasası'!J$2:J$62,MATCH(LARGE('V_Para Piyasası'!$AC$2:$AC$62,ROW()-3),'V_Para Piyasası'!$AC$2:$AC$62,0))</f>
        <v>19650</v>
      </c>
      <c r="L31" s="10">
        <f>INDEX('V_Para Piyasası'!K$2:K$62,MATCH(LARGE('V_Para Piyasası'!$AC$2:$AC$62,ROW()-3),'V_Para Piyasası'!$AC$2:$AC$62,0))</f>
        <v>19349</v>
      </c>
      <c r="M31" s="8">
        <f>INDEX('V_Para Piyasası'!L$2:L$62,MATCH(LARGE('V_Para Piyasası'!$AC$2:$AC$62,ROW()-3),'V_Para Piyasası'!$AC$2:$AC$62,0))</f>
        <v>-1.531806615776077E-2</v>
      </c>
      <c r="N31" s="11">
        <f>INDEX('V_Para Piyasası'!M$2:M$62,MATCH(LARGE('V_Para Piyasası'!$AC$2:$AC$62,ROW()-3),'V_Para Piyasası'!$AC$2:$AC$62,0))</f>
        <v>50431139436.260002</v>
      </c>
      <c r="O31" s="11">
        <f>INDEX('V_Para Piyasası'!N$2:N$62,MATCH(LARGE('V_Para Piyasası'!$AC$2:$AC$62,ROW()-3),'V_Para Piyasası'!$AC$2:$AC$62,0))</f>
        <v>47475464314.699997</v>
      </c>
      <c r="P31" s="8">
        <f>INDEX('V_Para Piyasası'!O$2:O$62,MATCH(LARGE('V_Para Piyasası'!$AC$2:$AC$62,ROW()-3),'V_Para Piyasası'!$AC$2:$AC$62,0))</f>
        <v>-5.8608136849568671E-2</v>
      </c>
      <c r="Q31" s="9">
        <f>INDEX('V_Para Piyasası'!P$2:P$62,MATCH(LARGE('V_Para Piyasası'!$AC$2:$AC$62,ROW()-3),'V_Para Piyasası'!$AC$2:$AC$62,0))</f>
        <v>8.6289070513661234E-2</v>
      </c>
      <c r="R31" s="5" t="str">
        <f>INDEX('V_Para Piyasası'!Q$2:Q$62,MATCH(LARGE('V_Para Piyasası'!$AC$2:$AC$62,ROW()-3),'V_Para Piyasası'!$AC$2:$AC$62,0))</f>
        <v>Görüyor</v>
      </c>
      <c r="S31" s="8">
        <f>INDEX('V_Para Piyasası'!R$2:R$62,MATCH(LARGE('V_Para Piyasası'!$AC$2:$AC$62,ROW()-3),'V_Para Piyasası'!$AC$2:$AC$62,0))</f>
        <v>0.4143</v>
      </c>
      <c r="T31" s="8">
        <f>INDEX('V_Para Piyasası'!S$2:S$62,MATCH(LARGE('V_Para Piyasası'!$AC$2:$AC$62,ROW()-3),'V_Para Piyasası'!$AC$2:$AC$62,0))</f>
        <v>0</v>
      </c>
      <c r="U31" s="8">
        <f>INDEX('V_Para Piyasası'!T$2:T$62,MATCH(LARGE('V_Para Piyasası'!$AC$2:$AC$62,ROW()-3),'V_Para Piyasası'!$AC$2:$AC$62,0))</f>
        <v>0.28839999999999999</v>
      </c>
      <c r="V31" s="8">
        <f>INDEX('V_Para Piyasası'!U$2:U$62,MATCH(LARGE('V_Para Piyasası'!$AC$2:$AC$62,ROW()-3),'V_Para Piyasası'!$AC$2:$AC$62,0))</f>
        <v>0</v>
      </c>
      <c r="W31" s="8">
        <f>INDEX('V_Para Piyasası'!V$2:V$62,MATCH(LARGE('V_Para Piyasası'!$AC$2:$AC$62,ROW()-3),'V_Para Piyasası'!$AC$2:$AC$62,0))</f>
        <v>4.8099999999999997E-2</v>
      </c>
      <c r="X31" s="8">
        <f>INDEX('V_Para Piyasası'!W$2:W$62,MATCH(LARGE('V_Para Piyasası'!$AC$2:$AC$62,ROW()-3),'V_Para Piyasası'!$AC$2:$AC$62,0))</f>
        <v>0</v>
      </c>
      <c r="Y31" s="8">
        <f>INDEX('V_Para Piyasası'!X$2:X$62,MATCH(LARGE('V_Para Piyasası'!$AC$2:$AC$62,ROW()-3),'V_Para Piyasası'!$AC$2:$AC$62,0))</f>
        <v>2.1299999999999999E-2</v>
      </c>
      <c r="Z31" s="8">
        <f>INDEX('V_Para Piyasası'!Y$2:Y$62,MATCH(LARGE('V_Para Piyasası'!$AC$2:$AC$62,ROW()-3),'V_Para Piyasası'!$AC$2:$AC$62,0))</f>
        <v>2.18E-2</v>
      </c>
      <c r="AA31" s="8">
        <f>INDEX('V_Para Piyasası'!Z$2:Z$62,MATCH(LARGE('V_Para Piyasası'!$AC$2:$AC$62,ROW()-3),'V_Para Piyasası'!$AC$2:$AC$62,0))</f>
        <v>0</v>
      </c>
      <c r="AB31" s="8">
        <f>INDEX('V_Para Piyasası'!AA$2:AA$62,MATCH(LARGE('V_Para Piyasası'!$AC$2:$AC$62,ROW()-3),'V_Para Piyasası'!$AC$2:$AC$62,0))</f>
        <v>0.79389999999999994</v>
      </c>
    </row>
    <row r="32" spans="1:28" x14ac:dyDescent="0.2">
      <c r="A32">
        <v>29</v>
      </c>
      <c r="B32" s="5" t="str">
        <f>INDEX('V_Para Piyasası'!A$2:A$62,MATCH(LARGE('V_Para Piyasası'!$AC$2:$AC$62,ROW()-3),'V_Para Piyasası'!$AC$2:$AC$62,0))</f>
        <v>PPZ</v>
      </c>
      <c r="C32" s="5" t="str">
        <f>INDEX('V_Para Piyasası'!B$2:B$62,MATCH(LARGE('V_Para Piyasası'!$AC$2:$AC$62,ROW()-3),'V_Para Piyasası'!$AC$2:$AC$62,0))</f>
        <v>Azimut Portföy Para Piyasası (TL) Fonu</v>
      </c>
      <c r="D32" s="5" t="str">
        <f>INDEX('V_Para Piyasası'!C$2:C$62,MATCH(LARGE('V_Para Piyasası'!$AC$2:$AC$62,ROW()-3),'V_Para Piyasası'!$AC$2:$AC$62,0))</f>
        <v>Azimut Portföy</v>
      </c>
      <c r="E32" s="8">
        <f>INDEX('V_Para Piyasası'!D$2:D$62,MATCH(LARGE('V_Para Piyasası'!$AC$2:$AC$62,ROW()-3),'V_Para Piyasası'!$AC$2:$AC$62,0))</f>
        <v>1.2999999999999999E-2</v>
      </c>
      <c r="F32" s="9">
        <f>INDEX('V_Para Piyasası'!E$2:E$62,MATCH(LARGE('V_Para Piyasası'!$AC$2:$AC$62,ROW()-3),'V_Para Piyasası'!$AC$2:$AC$62,0))</f>
        <v>0.109436638734528</v>
      </c>
      <c r="G32" s="9">
        <f>INDEX('V_Para Piyasası'!F$2:F$62,MATCH(LARGE('V_Para Piyasası'!$AC$2:$AC$62,ROW()-3),'V_Para Piyasası'!$AC$2:$AC$62,0))</f>
        <v>0.74492362884179819</v>
      </c>
      <c r="H32" s="9">
        <f>INDEX('V_Para Piyasası'!G$2:G$62,MATCH(LARGE('V_Para Piyasası'!$AC$2:$AC$62,ROW()-3),'V_Para Piyasası'!$AC$2:$AC$62,0))</f>
        <v>3.48876194079073</v>
      </c>
      <c r="I32" s="9">
        <f>INDEX('V_Para Piyasası'!H$2:H$62,MATCH(LARGE('V_Para Piyasası'!$AC$2:$AC$62,ROW()-3),'V_Para Piyasası'!$AC$2:$AC$62,0))</f>
        <v>22.420872030656682</v>
      </c>
      <c r="J32" s="9">
        <f>INDEX('V_Para Piyasası'!I$2:I$62,MATCH(LARGE('V_Para Piyasası'!$AC$2:$AC$62,ROW()-3),'V_Para Piyasası'!$AC$2:$AC$62,0))</f>
        <v>47.50939669881771</v>
      </c>
      <c r="K32" s="10">
        <f>INDEX('V_Para Piyasası'!J$2:J$62,MATCH(LARGE('V_Para Piyasası'!$AC$2:$AC$62,ROW()-3),'V_Para Piyasası'!$AC$2:$AC$62,0))</f>
        <v>8081</v>
      </c>
      <c r="L32" s="10">
        <f>INDEX('V_Para Piyasası'!K$2:K$62,MATCH(LARGE('V_Para Piyasası'!$AC$2:$AC$62,ROW()-3),'V_Para Piyasası'!$AC$2:$AC$62,0))</f>
        <v>8139</v>
      </c>
      <c r="M32" s="8">
        <f>INDEX('V_Para Piyasası'!L$2:L$62,MATCH(LARGE('V_Para Piyasası'!$AC$2:$AC$62,ROW()-3),'V_Para Piyasası'!$AC$2:$AC$62,0))</f>
        <v>7.177329538423427E-3</v>
      </c>
      <c r="N32" s="11">
        <f>INDEX('V_Para Piyasası'!M$2:M$62,MATCH(LARGE('V_Para Piyasası'!$AC$2:$AC$62,ROW()-3),'V_Para Piyasası'!$AC$2:$AC$62,0))</f>
        <v>13131057304.75</v>
      </c>
      <c r="O32" s="11">
        <f>INDEX('V_Para Piyasası'!N$2:N$62,MATCH(LARGE('V_Para Piyasası'!$AC$2:$AC$62,ROW()-3),'V_Para Piyasası'!$AC$2:$AC$62,0))</f>
        <v>13599328928.030001</v>
      </c>
      <c r="P32" s="8">
        <f>INDEX('V_Para Piyasası'!O$2:O$62,MATCH(LARGE('V_Para Piyasası'!$AC$2:$AC$62,ROW()-3),'V_Para Piyasası'!$AC$2:$AC$62,0))</f>
        <v>3.5661379918783043E-2</v>
      </c>
      <c r="Q32" s="9">
        <f>INDEX('V_Para Piyasası'!P$2:P$62,MATCH(LARGE('V_Para Piyasası'!$AC$2:$AC$62,ROW()-3),'V_Para Piyasası'!$AC$2:$AC$62,0))</f>
        <v>8.5315881176328129E-2</v>
      </c>
      <c r="R32" s="5" t="str">
        <f>INDEX('V_Para Piyasası'!Q$2:Q$62,MATCH(LARGE('V_Para Piyasası'!$AC$2:$AC$62,ROW()-3),'V_Para Piyasası'!$AC$2:$AC$62,0))</f>
        <v>Görüyor</v>
      </c>
      <c r="S32" s="8">
        <f>INDEX('V_Para Piyasası'!R$2:R$62,MATCH(LARGE('V_Para Piyasası'!$AC$2:$AC$62,ROW()-3),'V_Para Piyasası'!$AC$2:$AC$62,0))</f>
        <v>0.36840000000000012</v>
      </c>
      <c r="T32" s="8">
        <f>INDEX('V_Para Piyasası'!S$2:S$62,MATCH(LARGE('V_Para Piyasası'!$AC$2:$AC$62,ROW()-3),'V_Para Piyasası'!$AC$2:$AC$62,0))</f>
        <v>0</v>
      </c>
      <c r="U32" s="8">
        <f>INDEX('V_Para Piyasası'!T$2:T$62,MATCH(LARGE('V_Para Piyasası'!$AC$2:$AC$62,ROW()-3),'V_Para Piyasası'!$AC$2:$AC$62,0))</f>
        <v>0</v>
      </c>
      <c r="V32" s="8">
        <f>INDEX('V_Para Piyasası'!U$2:U$62,MATCH(LARGE('V_Para Piyasası'!$AC$2:$AC$62,ROW()-3),'V_Para Piyasası'!$AC$2:$AC$62,0))</f>
        <v>0</v>
      </c>
      <c r="W32" s="8">
        <f>INDEX('V_Para Piyasası'!V$2:V$62,MATCH(LARGE('V_Para Piyasası'!$AC$2:$AC$62,ROW()-3),'V_Para Piyasası'!$AC$2:$AC$62,0))</f>
        <v>0.19159999999999999</v>
      </c>
      <c r="X32" s="8">
        <f>INDEX('V_Para Piyasası'!W$2:W$62,MATCH(LARGE('V_Para Piyasası'!$AC$2:$AC$62,ROW()-3),'V_Para Piyasası'!$AC$2:$AC$62,0))</f>
        <v>0</v>
      </c>
      <c r="Y32" s="8">
        <f>INDEX('V_Para Piyasası'!X$2:X$62,MATCH(LARGE('V_Para Piyasası'!$AC$2:$AC$62,ROW()-3),'V_Para Piyasası'!$AC$2:$AC$62,0))</f>
        <v>4.4499999999999998E-2</v>
      </c>
      <c r="Z32" s="8">
        <f>INDEX('V_Para Piyasası'!Y$2:Y$62,MATCH(LARGE('V_Para Piyasası'!$AC$2:$AC$62,ROW()-3),'V_Para Piyasası'!$AC$2:$AC$62,0))</f>
        <v>0.19409999999999999</v>
      </c>
      <c r="AA32" s="8">
        <f>INDEX('V_Para Piyasası'!Z$2:Z$62,MATCH(LARGE('V_Para Piyasası'!$AC$2:$AC$62,ROW()-3),'V_Para Piyasası'!$AC$2:$AC$62,0))</f>
        <v>0</v>
      </c>
      <c r="AB32" s="8">
        <f>INDEX('V_Para Piyasası'!AA$2:AA$62,MATCH(LARGE('V_Para Piyasası'!$AC$2:$AC$62,ROW()-3),'V_Para Piyasası'!$AC$2:$AC$62,0))</f>
        <v>0.79860000000000009</v>
      </c>
    </row>
    <row r="33" spans="1:28" x14ac:dyDescent="0.2">
      <c r="A33">
        <v>30</v>
      </c>
      <c r="B33" s="5" t="str">
        <f>INDEX('V_Para Piyasası'!A$2:A$62,MATCH(LARGE('V_Para Piyasası'!$AC$2:$AC$62,ROW()-3),'V_Para Piyasası'!$AC$2:$AC$62,0))</f>
        <v>GAL</v>
      </c>
      <c r="C33" s="5" t="str">
        <f>INDEX('V_Para Piyasası'!B$2:B$62,MATCH(LARGE('V_Para Piyasası'!$AC$2:$AC$62,ROW()-3),'V_Para Piyasası'!$AC$2:$AC$62,0))</f>
        <v>Garanti Portföy İkinci Para Piyasası (TL) Fonu</v>
      </c>
      <c r="D33" s="5" t="str">
        <f>INDEX('V_Para Piyasası'!C$2:C$62,MATCH(LARGE('V_Para Piyasası'!$AC$2:$AC$62,ROW()-3),'V_Para Piyasası'!$AC$2:$AC$62,0))</f>
        <v>Garanti Portföy</v>
      </c>
      <c r="E33" s="8">
        <f>INDEX('V_Para Piyasası'!D$2:D$62,MATCH(LARGE('V_Para Piyasası'!$AC$2:$AC$62,ROW()-3),'V_Para Piyasası'!$AC$2:$AC$62,0))</f>
        <v>1.4E-2</v>
      </c>
      <c r="F33" s="9">
        <f>INDEX('V_Para Piyasası'!E$2:E$62,MATCH(LARGE('V_Para Piyasası'!$AC$2:$AC$62,ROW()-3),'V_Para Piyasası'!$AC$2:$AC$62,0))</f>
        <v>0.10887813979767461</v>
      </c>
      <c r="G33" s="9">
        <f>INDEX('V_Para Piyasası'!F$2:F$62,MATCH(LARGE('V_Para Piyasası'!$AC$2:$AC$62,ROW()-3),'V_Para Piyasası'!$AC$2:$AC$62,0))</f>
        <v>0.71312524677695777</v>
      </c>
      <c r="H33" s="9">
        <f>INDEX('V_Para Piyasası'!G$2:G$62,MATCH(LARGE('V_Para Piyasası'!$AC$2:$AC$62,ROW()-3),'V_Para Piyasası'!$AC$2:$AC$62,0))</f>
        <v>3.297871165346145</v>
      </c>
      <c r="I33" s="9">
        <f>INDEX('V_Para Piyasası'!H$2:H$62,MATCH(LARGE('V_Para Piyasası'!$AC$2:$AC$62,ROW()-3),'V_Para Piyasası'!$AC$2:$AC$62,0))</f>
        <v>21.27290167448999</v>
      </c>
      <c r="J33" s="9">
        <f>INDEX('V_Para Piyasası'!I$2:I$62,MATCH(LARGE('V_Para Piyasası'!$AC$2:$AC$62,ROW()-3),'V_Para Piyasası'!$AC$2:$AC$62,0))</f>
        <v>45.800193008646019</v>
      </c>
      <c r="K33" s="10">
        <f>INDEX('V_Para Piyasası'!J$2:J$62,MATCH(LARGE('V_Para Piyasası'!$AC$2:$AC$62,ROW()-3),'V_Para Piyasası'!$AC$2:$AC$62,0))</f>
        <v>56994</v>
      </c>
      <c r="L33" s="10">
        <f>INDEX('V_Para Piyasası'!K$2:K$62,MATCH(LARGE('V_Para Piyasası'!$AC$2:$AC$62,ROW()-3),'V_Para Piyasası'!$AC$2:$AC$62,0))</f>
        <v>57808</v>
      </c>
      <c r="M33" s="8">
        <f>INDEX('V_Para Piyasası'!L$2:L$62,MATCH(LARGE('V_Para Piyasası'!$AC$2:$AC$62,ROW()-3),'V_Para Piyasası'!$AC$2:$AC$62,0))</f>
        <v>1.428220514440115E-2</v>
      </c>
      <c r="N33" s="11">
        <f>INDEX('V_Para Piyasası'!M$2:M$62,MATCH(LARGE('V_Para Piyasası'!$AC$2:$AC$62,ROW()-3),'V_Para Piyasası'!$AC$2:$AC$62,0))</f>
        <v>122071660846.34</v>
      </c>
      <c r="O33" s="11">
        <f>INDEX('V_Para Piyasası'!N$2:N$62,MATCH(LARGE('V_Para Piyasası'!$AC$2:$AC$62,ROW()-3),'V_Para Piyasası'!$AC$2:$AC$62,0))</f>
        <v>118338670507.48</v>
      </c>
      <c r="P33" s="8">
        <f>INDEX('V_Para Piyasası'!O$2:O$62,MATCH(LARGE('V_Para Piyasası'!$AC$2:$AC$62,ROW()-3),'V_Para Piyasası'!$AC$2:$AC$62,0))</f>
        <v>-3.0580319076341289E-2</v>
      </c>
      <c r="Q33" s="9">
        <f>INDEX('V_Para Piyasası'!P$2:P$62,MATCH(LARGE('V_Para Piyasası'!$AC$2:$AC$62,ROW()-3),'V_Para Piyasası'!$AC$2:$AC$62,0))</f>
        <v>8.3992551817183014E-2</v>
      </c>
      <c r="R33" s="5" t="str">
        <f>INDEX('V_Para Piyasası'!Q$2:Q$62,MATCH(LARGE('V_Para Piyasası'!$AC$2:$AC$62,ROW()-3),'V_Para Piyasası'!$AC$2:$AC$62,0))</f>
        <v>Görmüyor</v>
      </c>
      <c r="S33" s="8">
        <f>INDEX('V_Para Piyasası'!R$2:R$62,MATCH(LARGE('V_Para Piyasası'!$AC$2:$AC$62,ROW()-3),'V_Para Piyasası'!$AC$2:$AC$62,0))</f>
        <v>0.2112</v>
      </c>
      <c r="T33" s="8">
        <f>INDEX('V_Para Piyasası'!S$2:S$62,MATCH(LARGE('V_Para Piyasası'!$AC$2:$AC$62,ROW()-3),'V_Para Piyasası'!$AC$2:$AC$62,0))</f>
        <v>0</v>
      </c>
      <c r="U33" s="8">
        <f>INDEX('V_Para Piyasası'!T$2:T$62,MATCH(LARGE('V_Para Piyasası'!$AC$2:$AC$62,ROW()-3),'V_Para Piyasası'!$AC$2:$AC$62,0))</f>
        <v>0.4904</v>
      </c>
      <c r="V33" s="8">
        <f>INDEX('V_Para Piyasası'!U$2:U$62,MATCH(LARGE('V_Para Piyasası'!$AC$2:$AC$62,ROW()-3),'V_Para Piyasası'!$AC$2:$AC$62,0))</f>
        <v>0</v>
      </c>
      <c r="W33" s="8">
        <f>INDEX('V_Para Piyasası'!V$2:V$62,MATCH(LARGE('V_Para Piyasası'!$AC$2:$AC$62,ROW()-3),'V_Para Piyasası'!$AC$2:$AC$62,0))</f>
        <v>0</v>
      </c>
      <c r="X33" s="8">
        <f>INDEX('V_Para Piyasası'!W$2:W$62,MATCH(LARGE('V_Para Piyasası'!$AC$2:$AC$62,ROW()-3),'V_Para Piyasası'!$AC$2:$AC$62,0))</f>
        <v>0</v>
      </c>
      <c r="Y33" s="8">
        <f>INDEX('V_Para Piyasası'!X$2:X$62,MATCH(LARGE('V_Para Piyasası'!$AC$2:$AC$62,ROW()-3),'V_Para Piyasası'!$AC$2:$AC$62,0))</f>
        <v>5.9299999999999999E-2</v>
      </c>
      <c r="Z33" s="8">
        <f>INDEX('V_Para Piyasası'!Y$2:Y$62,MATCH(LARGE('V_Para Piyasası'!$AC$2:$AC$62,ROW()-3),'V_Para Piyasası'!$AC$2:$AC$62,0))</f>
        <v>1.43E-2</v>
      </c>
      <c r="AA33" s="8">
        <f>INDEX('V_Para Piyasası'!Z$2:Z$62,MATCH(LARGE('V_Para Piyasası'!$AC$2:$AC$62,ROW()-3),'V_Para Piyasası'!$AC$2:$AC$62,0))</f>
        <v>0</v>
      </c>
      <c r="AB33" s="8">
        <f>INDEX('V_Para Piyasası'!AA$2:AA$62,MATCH(LARGE('V_Para Piyasası'!$AC$2:$AC$62,ROW()-3),'V_Para Piyasası'!$AC$2:$AC$62,0))</f>
        <v>0.7752</v>
      </c>
    </row>
    <row r="34" spans="1:28" x14ac:dyDescent="0.2">
      <c r="A34">
        <v>31</v>
      </c>
      <c r="B34" s="5" t="str">
        <f>INDEX('V_Para Piyasası'!A$2:A$62,MATCH(LARGE('V_Para Piyasası'!$AC$2:$AC$62,ROW()-3),'V_Para Piyasası'!$AC$2:$AC$62,0))</f>
        <v>HLL</v>
      </c>
      <c r="C34" s="5" t="str">
        <f>INDEX('V_Para Piyasası'!B$2:B$62,MATCH(LARGE('V_Para Piyasası'!$AC$2:$AC$62,ROW()-3),'V_Para Piyasası'!$AC$2:$AC$62,0))</f>
        <v>Ziraat Portföy Halkbank Para Piyasası (TL) Fonu</v>
      </c>
      <c r="D34" s="5" t="str">
        <f>INDEX('V_Para Piyasası'!C$2:C$62,MATCH(LARGE('V_Para Piyasası'!$AC$2:$AC$62,ROW()-3),'V_Para Piyasası'!$AC$2:$AC$62,0))</f>
        <v>Ziraat Portföy</v>
      </c>
      <c r="E34" s="8">
        <f>INDEX('V_Para Piyasası'!D$2:D$62,MATCH(LARGE('V_Para Piyasası'!$AC$2:$AC$62,ROW()-3),'V_Para Piyasası'!$AC$2:$AC$62,0))</f>
        <v>1.2999999999999999E-2</v>
      </c>
      <c r="F34" s="9">
        <f>INDEX('V_Para Piyasası'!E$2:E$62,MATCH(LARGE('V_Para Piyasası'!$AC$2:$AC$62,ROW()-3),'V_Para Piyasası'!$AC$2:$AC$62,0))</f>
        <v>0.1088667759881812</v>
      </c>
      <c r="G34" s="9">
        <f>INDEX('V_Para Piyasası'!F$2:F$62,MATCH(LARGE('V_Para Piyasası'!$AC$2:$AC$62,ROW()-3),'V_Para Piyasası'!$AC$2:$AC$62,0))</f>
        <v>0.75379575293073042</v>
      </c>
      <c r="H34" s="9">
        <f>INDEX('V_Para Piyasası'!G$2:G$62,MATCH(LARGE('V_Para Piyasası'!$AC$2:$AC$62,ROW()-3),'V_Para Piyasası'!$AC$2:$AC$62,0))</f>
        <v>3.4713037200396091</v>
      </c>
      <c r="I34" s="9">
        <f>INDEX('V_Para Piyasası'!H$2:H$62,MATCH(LARGE('V_Para Piyasası'!$AC$2:$AC$62,ROW()-3),'V_Para Piyasası'!$AC$2:$AC$62,0))</f>
        <v>22.481531060866541</v>
      </c>
      <c r="J34" s="9">
        <f>INDEX('V_Para Piyasası'!I$2:I$62,MATCH(LARGE('V_Para Piyasası'!$AC$2:$AC$62,ROW()-3),'V_Para Piyasası'!$AC$2:$AC$62,0))</f>
        <v>47.27035542978706</v>
      </c>
      <c r="K34" s="10">
        <f>INDEX('V_Para Piyasası'!J$2:J$62,MATCH(LARGE('V_Para Piyasası'!$AC$2:$AC$62,ROW()-3),'V_Para Piyasası'!$AC$2:$AC$62,0))</f>
        <v>1031918</v>
      </c>
      <c r="L34" s="10">
        <f>INDEX('V_Para Piyasası'!K$2:K$62,MATCH(LARGE('V_Para Piyasası'!$AC$2:$AC$62,ROW()-3),'V_Para Piyasası'!$AC$2:$AC$62,0))</f>
        <v>1029553</v>
      </c>
      <c r="M34" s="8">
        <f>INDEX('V_Para Piyasası'!L$2:L$62,MATCH(LARGE('V_Para Piyasası'!$AC$2:$AC$62,ROW()-3),'V_Para Piyasası'!$AC$2:$AC$62,0))</f>
        <v>-2.2918487709294721E-3</v>
      </c>
      <c r="N34" s="11">
        <f>INDEX('V_Para Piyasası'!M$2:M$62,MATCH(LARGE('V_Para Piyasası'!$AC$2:$AC$62,ROW()-3),'V_Para Piyasası'!$AC$2:$AC$62,0))</f>
        <v>42680729982.849998</v>
      </c>
      <c r="O34" s="11">
        <f>INDEX('V_Para Piyasası'!N$2:N$62,MATCH(LARGE('V_Para Piyasası'!$AC$2:$AC$62,ROW()-3),'V_Para Piyasası'!$AC$2:$AC$62,0))</f>
        <v>43403749468.870003</v>
      </c>
      <c r="P34" s="8">
        <f>INDEX('V_Para Piyasası'!O$2:O$62,MATCH(LARGE('V_Para Piyasası'!$AC$2:$AC$62,ROW()-3),'V_Para Piyasası'!$AC$2:$AC$62,0))</f>
        <v>1.694018556642618E-2</v>
      </c>
      <c r="Q34" s="9">
        <f>INDEX('V_Para Piyasası'!P$2:P$62,MATCH(LARGE('V_Para Piyasası'!$AC$2:$AC$62,ROW()-3),'V_Para Piyasası'!$AC$2:$AC$62,0))</f>
        <v>8.4957131126735266E-2</v>
      </c>
      <c r="R34" s="5" t="str">
        <f>INDEX('V_Para Piyasası'!Q$2:Q$62,MATCH(LARGE('V_Para Piyasası'!$AC$2:$AC$62,ROW()-3),'V_Para Piyasası'!$AC$2:$AC$62,0))</f>
        <v>Görmüyor</v>
      </c>
      <c r="S34" s="8">
        <f>INDEX('V_Para Piyasası'!R$2:R$62,MATCH(LARGE('V_Para Piyasası'!$AC$2:$AC$62,ROW()-3),'V_Para Piyasası'!$AC$2:$AC$62,0))</f>
        <v>0.43309999999999998</v>
      </c>
      <c r="T34" s="8">
        <f>INDEX('V_Para Piyasası'!S$2:S$62,MATCH(LARGE('V_Para Piyasası'!$AC$2:$AC$62,ROW()-3),'V_Para Piyasası'!$AC$2:$AC$62,0))</f>
        <v>0</v>
      </c>
      <c r="U34" s="8">
        <f>INDEX('V_Para Piyasası'!T$2:T$62,MATCH(LARGE('V_Para Piyasası'!$AC$2:$AC$62,ROW()-3),'V_Para Piyasası'!$AC$2:$AC$62,0))</f>
        <v>0.16039999999999999</v>
      </c>
      <c r="V34" s="8">
        <f>INDEX('V_Para Piyasası'!U$2:U$62,MATCH(LARGE('V_Para Piyasası'!$AC$2:$AC$62,ROW()-3),'V_Para Piyasası'!$AC$2:$AC$62,0))</f>
        <v>0</v>
      </c>
      <c r="W34" s="8">
        <f>INDEX('V_Para Piyasası'!V$2:V$62,MATCH(LARGE('V_Para Piyasası'!$AC$2:$AC$62,ROW()-3),'V_Para Piyasası'!$AC$2:$AC$62,0))</f>
        <v>0.15129999999999999</v>
      </c>
      <c r="X34" s="8">
        <f>INDEX('V_Para Piyasası'!W$2:W$62,MATCH(LARGE('V_Para Piyasası'!$AC$2:$AC$62,ROW()-3),'V_Para Piyasası'!$AC$2:$AC$62,0))</f>
        <v>0</v>
      </c>
      <c r="Y34" s="8">
        <f>INDEX('V_Para Piyasası'!X$2:X$62,MATCH(LARGE('V_Para Piyasası'!$AC$2:$AC$62,ROW()-3),'V_Para Piyasası'!$AC$2:$AC$62,0))</f>
        <v>1.83E-2</v>
      </c>
      <c r="Z34" s="8">
        <f>INDEX('V_Para Piyasası'!Y$2:Y$62,MATCH(LARGE('V_Para Piyasası'!$AC$2:$AC$62,ROW()-3),'V_Para Piyasası'!$AC$2:$AC$62,0))</f>
        <v>2.3300000000000001E-2</v>
      </c>
      <c r="AA34" s="8">
        <f>INDEX('V_Para Piyasası'!Z$2:Z$62,MATCH(LARGE('V_Para Piyasası'!$AC$2:$AC$62,ROW()-3),'V_Para Piyasası'!$AC$2:$AC$62,0))</f>
        <v>0</v>
      </c>
      <c r="AB34" s="8">
        <f>INDEX('V_Para Piyasası'!AA$2:AA$62,MATCH(LARGE('V_Para Piyasası'!$AC$2:$AC$62,ROW()-3),'V_Para Piyasası'!$AC$2:$AC$62,0))</f>
        <v>0.7864000000000001</v>
      </c>
    </row>
    <row r="35" spans="1:28" x14ac:dyDescent="0.2">
      <c r="A35">
        <v>32</v>
      </c>
      <c r="B35" s="5" t="str">
        <f>INDEX('V_Para Piyasası'!A$2:A$62,MATCH(LARGE('V_Para Piyasası'!$AC$2:$AC$62,ROW()-3),'V_Para Piyasası'!$AC$2:$AC$62,0))</f>
        <v>BGP</v>
      </c>
      <c r="C35" s="5" t="str">
        <f>INDEX('V_Para Piyasası'!B$2:B$62,MATCH(LARGE('V_Para Piyasası'!$AC$2:$AC$62,ROW()-3),'V_Para Piyasası'!$AC$2:$AC$62,0))</f>
        <v>AK Portföy Üçüncü Para Piyasası (TL) Fonu</v>
      </c>
      <c r="D35" s="5" t="str">
        <f>INDEX('V_Para Piyasası'!C$2:C$62,MATCH(LARGE('V_Para Piyasası'!$AC$2:$AC$62,ROW()-3),'V_Para Piyasası'!$AC$2:$AC$62,0))</f>
        <v>AK Portföy</v>
      </c>
      <c r="E35" s="8">
        <f>INDEX('V_Para Piyasası'!D$2:D$62,MATCH(LARGE('V_Para Piyasası'!$AC$2:$AC$62,ROW()-3),'V_Para Piyasası'!$AC$2:$AC$62,0))</f>
        <v>4.8999999999999998E-3</v>
      </c>
      <c r="F35" s="9">
        <f>INDEX('V_Para Piyasası'!E$2:E$62,MATCH(LARGE('V_Para Piyasası'!$AC$2:$AC$62,ROW()-3),'V_Para Piyasası'!$AC$2:$AC$62,0))</f>
        <v>0.1088540189226217</v>
      </c>
      <c r="G35" s="9">
        <f>INDEX('V_Para Piyasası'!F$2:F$62,MATCH(LARGE('V_Para Piyasası'!$AC$2:$AC$62,ROW()-3),'V_Para Piyasası'!$AC$2:$AC$62,0))</f>
        <v>0.75560615422978206</v>
      </c>
      <c r="H35" s="9">
        <f>INDEX('V_Para Piyasası'!G$2:G$62,MATCH(LARGE('V_Para Piyasası'!$AC$2:$AC$62,ROW()-3),'V_Para Piyasası'!$AC$2:$AC$62,0))</f>
        <v>3.5040379661742</v>
      </c>
      <c r="I35" s="9">
        <f>INDEX('V_Para Piyasası'!H$2:H$62,MATCH(LARGE('V_Para Piyasası'!$AC$2:$AC$62,ROW()-3),'V_Para Piyasası'!$AC$2:$AC$62,0))</f>
        <v>22.48409127441484</v>
      </c>
      <c r="J35" s="9">
        <f>INDEX('V_Para Piyasası'!I$2:I$62,MATCH(LARGE('V_Para Piyasası'!$AC$2:$AC$62,ROW()-3),'V_Para Piyasası'!$AC$2:$AC$62,0))</f>
        <v>47.921955205242867</v>
      </c>
      <c r="K35" s="10">
        <f>INDEX('V_Para Piyasası'!J$2:J$62,MATCH(LARGE('V_Para Piyasası'!$AC$2:$AC$62,ROW()-3),'V_Para Piyasası'!$AC$2:$AC$62,0))</f>
        <v>30090</v>
      </c>
      <c r="L35" s="10">
        <f>INDEX('V_Para Piyasası'!K$2:K$62,MATCH(LARGE('V_Para Piyasası'!$AC$2:$AC$62,ROW()-3),'V_Para Piyasası'!$AC$2:$AC$62,0))</f>
        <v>29361</v>
      </c>
      <c r="M35" s="8">
        <f>INDEX('V_Para Piyasası'!L$2:L$62,MATCH(LARGE('V_Para Piyasası'!$AC$2:$AC$62,ROW()-3),'V_Para Piyasası'!$AC$2:$AC$62,0))</f>
        <v>-2.4227318045862419E-2</v>
      </c>
      <c r="N35" s="11">
        <f>INDEX('V_Para Piyasası'!M$2:M$62,MATCH(LARGE('V_Para Piyasası'!$AC$2:$AC$62,ROW()-3),'V_Para Piyasası'!$AC$2:$AC$62,0))</f>
        <v>56225212069.739998</v>
      </c>
      <c r="O35" s="11">
        <f>INDEX('V_Para Piyasası'!N$2:N$62,MATCH(LARGE('V_Para Piyasası'!$AC$2:$AC$62,ROW()-3),'V_Para Piyasası'!$AC$2:$AC$62,0))</f>
        <v>61161618171.489998</v>
      </c>
      <c r="P35" s="8">
        <f>INDEX('V_Para Piyasası'!O$2:O$62,MATCH(LARGE('V_Para Piyasası'!$AC$2:$AC$62,ROW()-3),'V_Para Piyasası'!$AC$2:$AC$62,0))</f>
        <v>8.7797020589749586E-2</v>
      </c>
      <c r="Q35" s="9">
        <f>INDEX('V_Para Piyasası'!P$2:P$62,MATCH(LARGE('V_Para Piyasası'!$AC$2:$AC$62,ROW()-3),'V_Para Piyasası'!$AC$2:$AC$62,0))</f>
        <v>8.2050736574631578E-2</v>
      </c>
      <c r="R35" s="5" t="str">
        <f>INDEX('V_Para Piyasası'!Q$2:Q$62,MATCH(LARGE('V_Para Piyasası'!$AC$2:$AC$62,ROW()-3),'V_Para Piyasası'!$AC$2:$AC$62,0))</f>
        <v>Görüyor</v>
      </c>
      <c r="S35" s="8">
        <f>INDEX('V_Para Piyasası'!R$2:R$62,MATCH(LARGE('V_Para Piyasası'!$AC$2:$AC$62,ROW()-3),'V_Para Piyasası'!$AC$2:$AC$62,0))</f>
        <v>0.50060000000000004</v>
      </c>
      <c r="T35" s="8">
        <f>INDEX('V_Para Piyasası'!S$2:S$62,MATCH(LARGE('V_Para Piyasası'!$AC$2:$AC$62,ROW()-3),'V_Para Piyasası'!$AC$2:$AC$62,0))</f>
        <v>0</v>
      </c>
      <c r="U35" s="8">
        <f>INDEX('V_Para Piyasası'!T$2:T$62,MATCH(LARGE('V_Para Piyasası'!$AC$2:$AC$62,ROW()-3),'V_Para Piyasası'!$AC$2:$AC$62,0))</f>
        <v>0.28070000000000001</v>
      </c>
      <c r="V35" s="8">
        <f>INDEX('V_Para Piyasası'!U$2:U$62,MATCH(LARGE('V_Para Piyasası'!$AC$2:$AC$62,ROW()-3),'V_Para Piyasası'!$AC$2:$AC$62,0))</f>
        <v>0</v>
      </c>
      <c r="W35" s="8">
        <f>INDEX('V_Para Piyasası'!V$2:V$62,MATCH(LARGE('V_Para Piyasası'!$AC$2:$AC$62,ROW()-3),'V_Para Piyasası'!$AC$2:$AC$62,0))</f>
        <v>2.98E-2</v>
      </c>
      <c r="X35" s="8">
        <f>INDEX('V_Para Piyasası'!W$2:W$62,MATCH(LARGE('V_Para Piyasası'!$AC$2:$AC$62,ROW()-3),'V_Para Piyasası'!$AC$2:$AC$62,0))</f>
        <v>0</v>
      </c>
      <c r="Y35" s="8">
        <f>INDEX('V_Para Piyasası'!X$2:X$62,MATCH(LARGE('V_Para Piyasası'!$AC$2:$AC$62,ROW()-3),'V_Para Piyasası'!$AC$2:$AC$62,0))</f>
        <v>2.5000000000000001E-3</v>
      </c>
      <c r="Z35" s="8">
        <f>INDEX('V_Para Piyasası'!Y$2:Y$62,MATCH(LARGE('V_Para Piyasası'!$AC$2:$AC$62,ROW()-3),'V_Para Piyasası'!$AC$2:$AC$62,0))</f>
        <v>1.6999999999999999E-3</v>
      </c>
      <c r="AA35" s="8">
        <f>INDEX('V_Para Piyasası'!Z$2:Z$62,MATCH(LARGE('V_Para Piyasası'!$AC$2:$AC$62,ROW()-3),'V_Para Piyasası'!$AC$2:$AC$62,0))</f>
        <v>0</v>
      </c>
      <c r="AB35" s="8">
        <f>INDEX('V_Para Piyasası'!AA$2:AA$62,MATCH(LARGE('V_Para Piyasası'!$AC$2:$AC$62,ROW()-3),'V_Para Piyasası'!$AC$2:$AC$62,0))</f>
        <v>0.81530000000000002</v>
      </c>
    </row>
    <row r="36" spans="1:28" x14ac:dyDescent="0.2">
      <c r="A36">
        <v>33</v>
      </c>
      <c r="B36" s="5" t="str">
        <f>INDEX('V_Para Piyasası'!A$2:A$62,MATCH(LARGE('V_Para Piyasası'!$AC$2:$AC$62,ROW()-3),'V_Para Piyasası'!$AC$2:$AC$62,0))</f>
        <v>KPP</v>
      </c>
      <c r="C36" s="5" t="str">
        <f>INDEX('V_Para Piyasası'!B$2:B$62,MATCH(LARGE('V_Para Piyasası'!$AC$2:$AC$62,ROW()-3),'V_Para Piyasası'!$AC$2:$AC$62,0))</f>
        <v>Kare Portföy Para Piyasası Fonu</v>
      </c>
      <c r="D36" s="5" t="str">
        <f>INDEX('V_Para Piyasası'!C$2:C$62,MATCH(LARGE('V_Para Piyasası'!$AC$2:$AC$62,ROW()-3),'V_Para Piyasası'!$AC$2:$AC$62,0))</f>
        <v>Kare Portföy</v>
      </c>
      <c r="E36" s="8">
        <f>INDEX('V_Para Piyasası'!D$2:D$62,MATCH(LARGE('V_Para Piyasası'!$AC$2:$AC$62,ROW()-3),'V_Para Piyasası'!$AC$2:$AC$62,0))</f>
        <v>1.09E-2</v>
      </c>
      <c r="F36" s="9">
        <f>INDEX('V_Para Piyasası'!E$2:E$62,MATCH(LARGE('V_Para Piyasası'!$AC$2:$AC$62,ROW()-3),'V_Para Piyasası'!$AC$2:$AC$62,0))</f>
        <v>0.10828661241237821</v>
      </c>
      <c r="G36" s="9">
        <f>INDEX('V_Para Piyasası'!F$2:F$62,MATCH(LARGE('V_Para Piyasası'!$AC$2:$AC$62,ROW()-3),'V_Para Piyasası'!$AC$2:$AC$62,0))</f>
        <v>0.7537368347365847</v>
      </c>
      <c r="H36" s="9">
        <f>INDEX('V_Para Piyasası'!G$2:G$62,MATCH(LARGE('V_Para Piyasası'!$AC$2:$AC$62,ROW()-3),'V_Para Piyasası'!$AC$2:$AC$62,0))</f>
        <v>3.507191547375577</v>
      </c>
      <c r="I36" s="9">
        <f>INDEX('V_Para Piyasası'!H$2:H$62,MATCH(LARGE('V_Para Piyasası'!$AC$2:$AC$62,ROW()-3),'V_Para Piyasası'!$AC$2:$AC$62,0))</f>
        <v>22.987407655193142</v>
      </c>
      <c r="J36" s="9">
        <f>INDEX('V_Para Piyasası'!I$2:I$62,MATCH(LARGE('V_Para Piyasası'!$AC$2:$AC$62,ROW()-3),'V_Para Piyasası'!$AC$2:$AC$62,0))</f>
        <v>48.4993594319971</v>
      </c>
      <c r="K36" s="10">
        <f>INDEX('V_Para Piyasası'!J$2:J$62,MATCH(LARGE('V_Para Piyasası'!$AC$2:$AC$62,ROW()-3),'V_Para Piyasası'!$AC$2:$AC$62,0))</f>
        <v>736</v>
      </c>
      <c r="L36" s="10">
        <f>INDEX('V_Para Piyasası'!K$2:K$62,MATCH(LARGE('V_Para Piyasası'!$AC$2:$AC$62,ROW()-3),'V_Para Piyasası'!$AC$2:$AC$62,0))</f>
        <v>712</v>
      </c>
      <c r="M36" s="8">
        <f>INDEX('V_Para Piyasası'!L$2:L$62,MATCH(LARGE('V_Para Piyasası'!$AC$2:$AC$62,ROW()-3),'V_Para Piyasası'!$AC$2:$AC$62,0))</f>
        <v>-3.2608695652173947E-2</v>
      </c>
      <c r="N36" s="11">
        <f>INDEX('V_Para Piyasası'!M$2:M$62,MATCH(LARGE('V_Para Piyasası'!$AC$2:$AC$62,ROW()-3),'V_Para Piyasası'!$AC$2:$AC$62,0))</f>
        <v>395563103.13</v>
      </c>
      <c r="O36" s="11">
        <f>INDEX('V_Para Piyasası'!N$2:N$62,MATCH(LARGE('V_Para Piyasası'!$AC$2:$AC$62,ROW()-3),'V_Para Piyasası'!$AC$2:$AC$62,0))</f>
        <v>437501676.48000002</v>
      </c>
      <c r="P36" s="8">
        <f>INDEX('V_Para Piyasası'!O$2:O$62,MATCH(LARGE('V_Para Piyasası'!$AC$2:$AC$62,ROW()-3),'V_Para Piyasası'!$AC$2:$AC$62,0))</f>
        <v>0.1060224601792981</v>
      </c>
      <c r="Q36" s="9">
        <f>INDEX('V_Para Piyasası'!P$2:P$62,MATCH(LARGE('V_Para Piyasası'!$AC$2:$AC$62,ROW()-3),'V_Para Piyasası'!$AC$2:$AC$62,0))</f>
        <v>8.2923461968257353E-2</v>
      </c>
      <c r="R36" s="5" t="str">
        <f>INDEX('V_Para Piyasası'!Q$2:Q$62,MATCH(LARGE('V_Para Piyasası'!$AC$2:$AC$62,ROW()-3),'V_Para Piyasası'!$AC$2:$AC$62,0))</f>
        <v>Görüyor</v>
      </c>
      <c r="S36" s="8">
        <f>INDEX('V_Para Piyasası'!R$2:R$62,MATCH(LARGE('V_Para Piyasası'!$AC$2:$AC$62,ROW()-3),'V_Para Piyasası'!$AC$2:$AC$62,0))</f>
        <v>2.52E-2</v>
      </c>
      <c r="T36" s="8">
        <f>INDEX('V_Para Piyasası'!S$2:S$62,MATCH(LARGE('V_Para Piyasası'!$AC$2:$AC$62,ROW()-3),'V_Para Piyasası'!$AC$2:$AC$62,0))</f>
        <v>0</v>
      </c>
      <c r="U36" s="8">
        <f>INDEX('V_Para Piyasası'!T$2:T$62,MATCH(LARGE('V_Para Piyasası'!$AC$2:$AC$62,ROW()-3),'V_Para Piyasası'!$AC$2:$AC$62,0))</f>
        <v>0.51910000000000001</v>
      </c>
      <c r="V36" s="8">
        <f>INDEX('V_Para Piyasası'!U$2:U$62,MATCH(LARGE('V_Para Piyasası'!$AC$2:$AC$62,ROW()-3),'V_Para Piyasası'!$AC$2:$AC$62,0))</f>
        <v>0</v>
      </c>
      <c r="W36" s="8">
        <f>INDEX('V_Para Piyasası'!V$2:V$62,MATCH(LARGE('V_Para Piyasası'!$AC$2:$AC$62,ROW()-3),'V_Para Piyasası'!$AC$2:$AC$62,0))</f>
        <v>0</v>
      </c>
      <c r="X36" s="8">
        <f>INDEX('V_Para Piyasası'!W$2:W$62,MATCH(LARGE('V_Para Piyasası'!$AC$2:$AC$62,ROW()-3),'V_Para Piyasası'!$AC$2:$AC$62,0))</f>
        <v>0</v>
      </c>
      <c r="Y36" s="8">
        <f>INDEX('V_Para Piyasası'!X$2:X$62,MATCH(LARGE('V_Para Piyasası'!$AC$2:$AC$62,ROW()-3),'V_Para Piyasası'!$AC$2:$AC$62,0))</f>
        <v>9.3200000000000005E-2</v>
      </c>
      <c r="Z36" s="8">
        <f>INDEX('V_Para Piyasası'!Y$2:Y$62,MATCH(LARGE('V_Para Piyasası'!$AC$2:$AC$62,ROW()-3),'V_Para Piyasası'!$AC$2:$AC$62,0))</f>
        <v>0.25309999999999999</v>
      </c>
      <c r="AA36" s="8">
        <f>INDEX('V_Para Piyasası'!Z$2:Z$62,MATCH(LARGE('V_Para Piyasası'!$AC$2:$AC$62,ROW()-3),'V_Para Piyasası'!$AC$2:$AC$62,0))</f>
        <v>0</v>
      </c>
      <c r="AB36" s="8">
        <f>INDEX('V_Para Piyasası'!AA$2:AA$62,MATCH(LARGE('V_Para Piyasası'!$AC$2:$AC$62,ROW()-3),'V_Para Piyasası'!$AC$2:$AC$62,0))</f>
        <v>0.89060000000000006</v>
      </c>
    </row>
    <row r="37" spans="1:28" x14ac:dyDescent="0.2">
      <c r="A37">
        <v>34</v>
      </c>
      <c r="B37" s="5" t="str">
        <f>INDEX('V_Para Piyasası'!A$2:A$62,MATCH(LARGE('V_Para Piyasası'!$AC$2:$AC$62,ROW()-3),'V_Para Piyasası'!$AC$2:$AC$62,0))</f>
        <v>HSL</v>
      </c>
      <c r="C37" s="5" t="str">
        <f>INDEX('V_Para Piyasası'!B$2:B$62,MATCH(LARGE('V_Para Piyasası'!$AC$2:$AC$62,ROW()-3),'V_Para Piyasası'!$AC$2:$AC$62,0))</f>
        <v>Hsbc Portföy Para Piyasası (TL) Fonu</v>
      </c>
      <c r="D37" s="5" t="str">
        <f>INDEX('V_Para Piyasası'!C$2:C$62,MATCH(LARGE('V_Para Piyasası'!$AC$2:$AC$62,ROW()-3),'V_Para Piyasası'!$AC$2:$AC$62,0))</f>
        <v>Hsbc Portföy</v>
      </c>
      <c r="E37" s="8">
        <f>INDEX('V_Para Piyasası'!D$2:D$62,MATCH(LARGE('V_Para Piyasası'!$AC$2:$AC$62,ROW()-3),'V_Para Piyasası'!$AC$2:$AC$62,0))</f>
        <v>1.2500000000000001E-2</v>
      </c>
      <c r="F37" s="9">
        <f>INDEX('V_Para Piyasası'!E$2:E$62,MATCH(LARGE('V_Para Piyasası'!$AC$2:$AC$62,ROW()-3),'V_Para Piyasası'!$AC$2:$AC$62,0))</f>
        <v>0.1081978011735707</v>
      </c>
      <c r="G37" s="9">
        <f>INDEX('V_Para Piyasası'!F$2:F$62,MATCH(LARGE('V_Para Piyasası'!$AC$2:$AC$62,ROW()-3),'V_Para Piyasası'!$AC$2:$AC$62,0))</f>
        <v>0.74559299936818313</v>
      </c>
      <c r="H37" s="9">
        <f>INDEX('V_Para Piyasası'!G$2:G$62,MATCH(LARGE('V_Para Piyasası'!$AC$2:$AC$62,ROW()-3),'V_Para Piyasası'!$AC$2:$AC$62,0))</f>
        <v>3.456826935217538</v>
      </c>
      <c r="I37" s="9">
        <f>INDEX('V_Para Piyasası'!H$2:H$62,MATCH(LARGE('V_Para Piyasası'!$AC$2:$AC$62,ROW()-3),'V_Para Piyasası'!$AC$2:$AC$62,0))</f>
        <v>22.325693757166889</v>
      </c>
      <c r="J37" s="9">
        <f>INDEX('V_Para Piyasası'!I$2:I$62,MATCH(LARGE('V_Para Piyasası'!$AC$2:$AC$62,ROW()-3),'V_Para Piyasası'!$AC$2:$AC$62,0))</f>
        <v>47.18891562972054</v>
      </c>
      <c r="K37" s="10">
        <f>INDEX('V_Para Piyasası'!J$2:J$62,MATCH(LARGE('V_Para Piyasası'!$AC$2:$AC$62,ROW()-3),'V_Para Piyasası'!$AC$2:$AC$62,0))</f>
        <v>24397</v>
      </c>
      <c r="L37" s="10">
        <f>INDEX('V_Para Piyasası'!K$2:K$62,MATCH(LARGE('V_Para Piyasası'!$AC$2:$AC$62,ROW()-3),'V_Para Piyasası'!$AC$2:$AC$62,0))</f>
        <v>24420</v>
      </c>
      <c r="M37" s="8">
        <f>INDEX('V_Para Piyasası'!L$2:L$62,MATCH(LARGE('V_Para Piyasası'!$AC$2:$AC$62,ROW()-3),'V_Para Piyasası'!$AC$2:$AC$62,0))</f>
        <v>9.4273886133544593E-4</v>
      </c>
      <c r="N37" s="11">
        <f>INDEX('V_Para Piyasası'!M$2:M$62,MATCH(LARGE('V_Para Piyasası'!$AC$2:$AC$62,ROW()-3),'V_Para Piyasası'!$AC$2:$AC$62,0))</f>
        <v>23727534968.849998</v>
      </c>
      <c r="O37" s="11">
        <f>INDEX('V_Para Piyasası'!N$2:N$62,MATCH(LARGE('V_Para Piyasası'!$AC$2:$AC$62,ROW()-3),'V_Para Piyasası'!$AC$2:$AC$62,0))</f>
        <v>24915595161.639999</v>
      </c>
      <c r="P37" s="8">
        <f>INDEX('V_Para Piyasası'!O$2:O$62,MATCH(LARGE('V_Para Piyasası'!$AC$2:$AC$62,ROW()-3),'V_Para Piyasası'!$AC$2:$AC$62,0))</f>
        <v>5.0070948977620773E-2</v>
      </c>
      <c r="Q37" s="9">
        <f>INDEX('V_Para Piyasası'!P$2:P$62,MATCH(LARGE('V_Para Piyasası'!$AC$2:$AC$62,ROW()-3),'V_Para Piyasası'!$AC$2:$AC$62,0))</f>
        <v>8.4903277649886769E-2</v>
      </c>
      <c r="R37" s="5" t="str">
        <f>INDEX('V_Para Piyasası'!Q$2:Q$62,MATCH(LARGE('V_Para Piyasası'!$AC$2:$AC$62,ROW()-3),'V_Para Piyasası'!$AC$2:$AC$62,0))</f>
        <v>Görüyor</v>
      </c>
      <c r="S37" s="8">
        <f>INDEX('V_Para Piyasası'!R$2:R$62,MATCH(LARGE('V_Para Piyasası'!$AC$2:$AC$62,ROW()-3),'V_Para Piyasası'!$AC$2:$AC$62,0))</f>
        <v>0.26469999999999999</v>
      </c>
      <c r="T37" s="8">
        <f>INDEX('V_Para Piyasası'!S$2:S$62,MATCH(LARGE('V_Para Piyasası'!$AC$2:$AC$62,ROW()-3),'V_Para Piyasası'!$AC$2:$AC$62,0))</f>
        <v>0</v>
      </c>
      <c r="U37" s="8">
        <f>INDEX('V_Para Piyasası'!T$2:T$62,MATCH(LARGE('V_Para Piyasası'!$AC$2:$AC$62,ROW()-3),'V_Para Piyasası'!$AC$2:$AC$62,0))</f>
        <v>0.53590000000000004</v>
      </c>
      <c r="V37" s="8">
        <f>INDEX('V_Para Piyasası'!U$2:U$62,MATCH(LARGE('V_Para Piyasası'!$AC$2:$AC$62,ROW()-3),'V_Para Piyasası'!$AC$2:$AC$62,0))</f>
        <v>0</v>
      </c>
      <c r="W37" s="8">
        <f>INDEX('V_Para Piyasası'!V$2:V$62,MATCH(LARGE('V_Para Piyasası'!$AC$2:$AC$62,ROW()-3),'V_Para Piyasası'!$AC$2:$AC$62,0))</f>
        <v>9.1600000000000001E-2</v>
      </c>
      <c r="X37" s="8">
        <f>INDEX('V_Para Piyasası'!W$2:W$62,MATCH(LARGE('V_Para Piyasası'!$AC$2:$AC$62,ROW()-3),'V_Para Piyasası'!$AC$2:$AC$62,0))</f>
        <v>0</v>
      </c>
      <c r="Y37" s="8">
        <f>INDEX('V_Para Piyasası'!X$2:X$62,MATCH(LARGE('V_Para Piyasası'!$AC$2:$AC$62,ROW()-3),'V_Para Piyasası'!$AC$2:$AC$62,0))</f>
        <v>0</v>
      </c>
      <c r="Z37" s="8">
        <f>INDEX('V_Para Piyasası'!Y$2:Y$62,MATCH(LARGE('V_Para Piyasası'!$AC$2:$AC$62,ROW()-3),'V_Para Piyasası'!$AC$2:$AC$62,0))</f>
        <v>0</v>
      </c>
      <c r="AA37" s="8">
        <f>INDEX('V_Para Piyasası'!Z$2:Z$62,MATCH(LARGE('V_Para Piyasası'!$AC$2:$AC$62,ROW()-3),'V_Para Piyasası'!$AC$2:$AC$62,0))</f>
        <v>0</v>
      </c>
      <c r="AB37" s="8">
        <f>INDEX('V_Para Piyasası'!AA$2:AA$62,MATCH(LARGE('V_Para Piyasası'!$AC$2:$AC$62,ROW()-3),'V_Para Piyasası'!$AC$2:$AC$62,0))</f>
        <v>0.89219999999999999</v>
      </c>
    </row>
    <row r="38" spans="1:28" x14ac:dyDescent="0.2">
      <c r="A38">
        <v>35</v>
      </c>
      <c r="B38" s="5" t="str">
        <f>INDEX('V_Para Piyasası'!A$2:A$62,MATCH(LARGE('V_Para Piyasası'!$AC$2:$AC$62,ROW()-3),'V_Para Piyasası'!$AC$2:$AC$62,0))</f>
        <v>IJV</v>
      </c>
      <c r="C38" s="5" t="str">
        <f>INDEX('V_Para Piyasası'!B$2:B$62,MATCH(LARGE('V_Para Piyasası'!$AC$2:$AC$62,ROW()-3),'V_Para Piyasası'!$AC$2:$AC$62,0))</f>
        <v>İstanbul Portföy Birinci Para Piyasası (TL) Fonu</v>
      </c>
      <c r="D38" s="5" t="str">
        <f>INDEX('V_Para Piyasası'!C$2:C$62,MATCH(LARGE('V_Para Piyasası'!$AC$2:$AC$62,ROW()-3),'V_Para Piyasası'!$AC$2:$AC$62,0))</f>
        <v>İstanbul Portföy</v>
      </c>
      <c r="E38" s="8">
        <f>INDEX('V_Para Piyasası'!D$2:D$62,MATCH(LARGE('V_Para Piyasası'!$AC$2:$AC$62,ROW()-3),'V_Para Piyasası'!$AC$2:$AC$62,0))</f>
        <v>1.0500000000000001E-2</v>
      </c>
      <c r="F38" s="9">
        <f>INDEX('V_Para Piyasası'!E$2:E$62,MATCH(LARGE('V_Para Piyasası'!$AC$2:$AC$62,ROW()-3),'V_Para Piyasası'!$AC$2:$AC$62,0))</f>
        <v>0.10814677952117881</v>
      </c>
      <c r="G38" s="9">
        <f>INDEX('V_Para Piyasası'!F$2:F$62,MATCH(LARGE('V_Para Piyasası'!$AC$2:$AC$62,ROW()-3),'V_Para Piyasası'!$AC$2:$AC$62,0))</f>
        <v>0.72857830119801292</v>
      </c>
      <c r="H38" s="9">
        <f>INDEX('V_Para Piyasası'!G$2:G$62,MATCH(LARGE('V_Para Piyasası'!$AC$2:$AC$62,ROW()-3),'V_Para Piyasası'!$AC$2:$AC$62,0))</f>
        <v>3.4429247623364518</v>
      </c>
      <c r="I38" s="9">
        <f>INDEX('V_Para Piyasası'!H$2:H$62,MATCH(LARGE('V_Para Piyasası'!$AC$2:$AC$62,ROW()-3),'V_Para Piyasası'!$AC$2:$AC$62,0))</f>
        <v>22.549144999689322</v>
      </c>
      <c r="J38" s="9">
        <f>INDEX('V_Para Piyasası'!I$2:I$62,MATCH(LARGE('V_Para Piyasası'!$AC$2:$AC$62,ROW()-3),'V_Para Piyasası'!$AC$2:$AC$62,0))</f>
        <v>48.355220805090362</v>
      </c>
      <c r="K38" s="10">
        <f>INDEX('V_Para Piyasası'!J$2:J$62,MATCH(LARGE('V_Para Piyasası'!$AC$2:$AC$62,ROW()-3),'V_Para Piyasası'!$AC$2:$AC$62,0))</f>
        <v>3001</v>
      </c>
      <c r="L38" s="10">
        <f>INDEX('V_Para Piyasası'!K$2:K$62,MATCH(LARGE('V_Para Piyasası'!$AC$2:$AC$62,ROW()-3),'V_Para Piyasası'!$AC$2:$AC$62,0))</f>
        <v>2917</v>
      </c>
      <c r="M38" s="8">
        <f>INDEX('V_Para Piyasası'!L$2:L$62,MATCH(LARGE('V_Para Piyasası'!$AC$2:$AC$62,ROW()-3),'V_Para Piyasası'!$AC$2:$AC$62,0))</f>
        <v>-2.7990669776741139E-2</v>
      </c>
      <c r="N38" s="11">
        <f>INDEX('V_Para Piyasası'!M$2:M$62,MATCH(LARGE('V_Para Piyasası'!$AC$2:$AC$62,ROW()-3),'V_Para Piyasası'!$AC$2:$AC$62,0))</f>
        <v>2788445356</v>
      </c>
      <c r="O38" s="11">
        <f>INDEX('V_Para Piyasası'!N$2:N$62,MATCH(LARGE('V_Para Piyasası'!$AC$2:$AC$62,ROW()-3),'V_Para Piyasası'!$AC$2:$AC$62,0))</f>
        <v>3180241027.23</v>
      </c>
      <c r="P38" s="8">
        <f>INDEX('V_Para Piyasası'!O$2:O$62,MATCH(LARGE('V_Para Piyasası'!$AC$2:$AC$62,ROW()-3),'V_Para Piyasası'!$AC$2:$AC$62,0))</f>
        <v>0.14050684923301751</v>
      </c>
      <c r="Q38" s="9">
        <f>INDEX('V_Para Piyasası'!P$2:P$62,MATCH(LARGE('V_Para Piyasası'!$AC$2:$AC$62,ROW()-3),'V_Para Piyasası'!$AC$2:$AC$62,0))</f>
        <v>8.3662680877020099E-2</v>
      </c>
      <c r="R38" s="5" t="str">
        <f>INDEX('V_Para Piyasası'!Q$2:Q$62,MATCH(LARGE('V_Para Piyasası'!$AC$2:$AC$62,ROW()-3),'V_Para Piyasası'!$AC$2:$AC$62,0))</f>
        <v>Görüyor</v>
      </c>
      <c r="S38" s="8">
        <f>INDEX('V_Para Piyasası'!R$2:R$62,MATCH(LARGE('V_Para Piyasası'!$AC$2:$AC$62,ROW()-3),'V_Para Piyasası'!$AC$2:$AC$62,0))</f>
        <v>1.1999999999999999E-3</v>
      </c>
      <c r="T38" s="8">
        <f>INDEX('V_Para Piyasası'!S$2:S$62,MATCH(LARGE('V_Para Piyasası'!$AC$2:$AC$62,ROW()-3),'V_Para Piyasası'!$AC$2:$AC$62,0))</f>
        <v>0</v>
      </c>
      <c r="U38" s="8">
        <f>INDEX('V_Para Piyasası'!T$2:T$62,MATCH(LARGE('V_Para Piyasası'!$AC$2:$AC$62,ROW()-3),'V_Para Piyasası'!$AC$2:$AC$62,0))</f>
        <v>0.7661</v>
      </c>
      <c r="V38" s="8">
        <f>INDEX('V_Para Piyasası'!U$2:U$62,MATCH(LARGE('V_Para Piyasası'!$AC$2:$AC$62,ROW()-3),'V_Para Piyasası'!$AC$2:$AC$62,0))</f>
        <v>0</v>
      </c>
      <c r="W38" s="8">
        <f>INDEX('V_Para Piyasası'!V$2:V$62,MATCH(LARGE('V_Para Piyasası'!$AC$2:$AC$62,ROW()-3),'V_Para Piyasası'!$AC$2:$AC$62,0))</f>
        <v>3.2899999999999999E-2</v>
      </c>
      <c r="X38" s="8">
        <f>INDEX('V_Para Piyasası'!W$2:W$62,MATCH(LARGE('V_Para Piyasası'!$AC$2:$AC$62,ROW()-3),'V_Para Piyasası'!$AC$2:$AC$62,0))</f>
        <v>0</v>
      </c>
      <c r="Y38" s="8">
        <f>INDEX('V_Para Piyasası'!X$2:X$62,MATCH(LARGE('V_Para Piyasası'!$AC$2:$AC$62,ROW()-3),'V_Para Piyasası'!$AC$2:$AC$62,0))</f>
        <v>0</v>
      </c>
      <c r="Z38" s="8">
        <f>INDEX('V_Para Piyasası'!Y$2:Y$62,MATCH(LARGE('V_Para Piyasası'!$AC$2:$AC$62,ROW()-3),'V_Para Piyasası'!$AC$2:$AC$62,0))</f>
        <v>7.7899999999999997E-2</v>
      </c>
      <c r="AA38" s="8">
        <f>INDEX('V_Para Piyasası'!Z$2:Z$62,MATCH(LARGE('V_Para Piyasası'!$AC$2:$AC$62,ROW()-3),'V_Para Piyasası'!$AC$2:$AC$62,0))</f>
        <v>0</v>
      </c>
      <c r="AB38" s="8">
        <f>INDEX('V_Para Piyasası'!AA$2:AA$62,MATCH(LARGE('V_Para Piyasası'!$AC$2:$AC$62,ROW()-3),'V_Para Piyasası'!$AC$2:$AC$62,0))</f>
        <v>0.87809999999999999</v>
      </c>
    </row>
    <row r="39" spans="1:28" x14ac:dyDescent="0.2">
      <c r="A39">
        <v>36</v>
      </c>
      <c r="B39" s="5" t="str">
        <f>INDEX('V_Para Piyasası'!A$2:A$62,MATCH(LARGE('V_Para Piyasası'!$AC$2:$AC$62,ROW()-3),'V_Para Piyasası'!$AC$2:$AC$62,0))</f>
        <v>IRY</v>
      </c>
      <c r="C39" s="5" t="str">
        <f>INDEX('V_Para Piyasası'!B$2:B$62,MATCH(LARGE('V_Para Piyasası'!$AC$2:$AC$62,ROW()-3),'V_Para Piyasası'!$AC$2:$AC$62,0))</f>
        <v>Inveo Portföy Para Piyasası (TL) Fonu</v>
      </c>
      <c r="D39" s="5" t="str">
        <f>INDEX('V_Para Piyasası'!C$2:C$62,MATCH(LARGE('V_Para Piyasası'!$AC$2:$AC$62,ROW()-3),'V_Para Piyasası'!$AC$2:$AC$62,0))</f>
        <v>Inveo Portföy</v>
      </c>
      <c r="E39" s="8">
        <f>INDEX('V_Para Piyasası'!D$2:D$62,MATCH(LARGE('V_Para Piyasası'!$AC$2:$AC$62,ROW()-3),'V_Para Piyasası'!$AC$2:$AC$62,0))</f>
        <v>8.8999999999999999E-3</v>
      </c>
      <c r="F39" s="9">
        <f>INDEX('V_Para Piyasası'!E$2:E$62,MATCH(LARGE('V_Para Piyasası'!$AC$2:$AC$62,ROW()-3),'V_Para Piyasası'!$AC$2:$AC$62,0))</f>
        <v>0.10789453094437459</v>
      </c>
      <c r="G39" s="9">
        <f>INDEX('V_Para Piyasası'!F$2:F$62,MATCH(LARGE('V_Para Piyasası'!$AC$2:$AC$62,ROW()-3),'V_Para Piyasası'!$AC$2:$AC$62,0))</f>
        <v>0.76579057487715652</v>
      </c>
      <c r="H39" s="9">
        <f>INDEX('V_Para Piyasası'!G$2:G$62,MATCH(LARGE('V_Para Piyasası'!$AC$2:$AC$62,ROW()-3),'V_Para Piyasası'!$AC$2:$AC$62,0))</f>
        <v>3.613955356593324</v>
      </c>
      <c r="I39" s="9">
        <f>INDEX('V_Para Piyasası'!H$2:H$62,MATCH(LARGE('V_Para Piyasası'!$AC$2:$AC$62,ROW()-3),'V_Para Piyasası'!$AC$2:$AC$62,0))</f>
        <v>23.354982806825841</v>
      </c>
      <c r="J39" s="9">
        <f>INDEX('V_Para Piyasası'!I$2:I$62,MATCH(LARGE('V_Para Piyasası'!$AC$2:$AC$62,ROW()-3),'V_Para Piyasası'!$AC$2:$AC$62,0))</f>
        <v>49.47673522031095</v>
      </c>
      <c r="K39" s="10">
        <f>INDEX('V_Para Piyasası'!J$2:J$62,MATCH(LARGE('V_Para Piyasası'!$AC$2:$AC$62,ROW()-3),'V_Para Piyasası'!$AC$2:$AC$62,0))</f>
        <v>2408</v>
      </c>
      <c r="L39" s="10">
        <f>INDEX('V_Para Piyasası'!K$2:K$62,MATCH(LARGE('V_Para Piyasası'!$AC$2:$AC$62,ROW()-3),'V_Para Piyasası'!$AC$2:$AC$62,0))</f>
        <v>2367</v>
      </c>
      <c r="M39" s="8">
        <f>INDEX('V_Para Piyasası'!L$2:L$62,MATCH(LARGE('V_Para Piyasası'!$AC$2:$AC$62,ROW()-3),'V_Para Piyasası'!$AC$2:$AC$62,0))</f>
        <v>-1.7026578073089719E-2</v>
      </c>
      <c r="N39" s="11">
        <f>INDEX('V_Para Piyasası'!M$2:M$62,MATCH(LARGE('V_Para Piyasası'!$AC$2:$AC$62,ROW()-3),'V_Para Piyasası'!$AC$2:$AC$62,0))</f>
        <v>2425890805.52</v>
      </c>
      <c r="O39" s="11">
        <f>INDEX('V_Para Piyasası'!N$2:N$62,MATCH(LARGE('V_Para Piyasası'!$AC$2:$AC$62,ROW()-3),'V_Para Piyasası'!$AC$2:$AC$62,0))</f>
        <v>2157676603.7800002</v>
      </c>
      <c r="P39" s="8">
        <f>INDEX('V_Para Piyasası'!O$2:O$62,MATCH(LARGE('V_Para Piyasası'!$AC$2:$AC$62,ROW()-3),'V_Para Piyasası'!$AC$2:$AC$62,0))</f>
        <v>-0.1105631799789549</v>
      </c>
      <c r="Q39" s="9">
        <f>INDEX('V_Para Piyasası'!P$2:P$62,MATCH(LARGE('V_Para Piyasası'!$AC$2:$AC$62,ROW()-3),'V_Para Piyasası'!$AC$2:$AC$62,0))</f>
        <v>8.5635127615862158E-2</v>
      </c>
      <c r="R39" s="5" t="str">
        <f>INDEX('V_Para Piyasası'!Q$2:Q$62,MATCH(LARGE('V_Para Piyasası'!$AC$2:$AC$62,ROW()-3),'V_Para Piyasası'!$AC$2:$AC$62,0))</f>
        <v>Görüyor</v>
      </c>
      <c r="S39" s="8">
        <f>INDEX('V_Para Piyasası'!R$2:R$62,MATCH(LARGE('V_Para Piyasası'!$AC$2:$AC$62,ROW()-3),'V_Para Piyasası'!$AC$2:$AC$62,0))</f>
        <v>0.24149999999999999</v>
      </c>
      <c r="T39" s="8">
        <f>INDEX('V_Para Piyasası'!S$2:S$62,MATCH(LARGE('V_Para Piyasası'!$AC$2:$AC$62,ROW()-3),'V_Para Piyasası'!$AC$2:$AC$62,0))</f>
        <v>0</v>
      </c>
      <c r="U39" s="8">
        <f>INDEX('V_Para Piyasası'!T$2:T$62,MATCH(LARGE('V_Para Piyasası'!$AC$2:$AC$62,ROW()-3),'V_Para Piyasası'!$AC$2:$AC$62,0))</f>
        <v>0.29699999999999999</v>
      </c>
      <c r="V39" s="8">
        <f>INDEX('V_Para Piyasası'!U$2:U$62,MATCH(LARGE('V_Para Piyasası'!$AC$2:$AC$62,ROW()-3),'V_Para Piyasası'!$AC$2:$AC$62,0))</f>
        <v>0</v>
      </c>
      <c r="W39" s="8">
        <f>INDEX('V_Para Piyasası'!V$2:V$62,MATCH(LARGE('V_Para Piyasası'!$AC$2:$AC$62,ROW()-3),'V_Para Piyasası'!$AC$2:$AC$62,0))</f>
        <v>0</v>
      </c>
      <c r="X39" s="8">
        <f>INDEX('V_Para Piyasası'!W$2:W$62,MATCH(LARGE('V_Para Piyasası'!$AC$2:$AC$62,ROW()-3),'V_Para Piyasası'!$AC$2:$AC$62,0))</f>
        <v>0</v>
      </c>
      <c r="Y39" s="8">
        <f>INDEX('V_Para Piyasası'!X$2:X$62,MATCH(LARGE('V_Para Piyasası'!$AC$2:$AC$62,ROW()-3),'V_Para Piyasası'!$AC$2:$AC$62,0))</f>
        <v>7.17E-2</v>
      </c>
      <c r="Z39" s="8">
        <f>INDEX('V_Para Piyasası'!Y$2:Y$62,MATCH(LARGE('V_Para Piyasası'!$AC$2:$AC$62,ROW()-3),'V_Para Piyasası'!$AC$2:$AC$62,0))</f>
        <v>0.1668</v>
      </c>
      <c r="AA39" s="8">
        <f>INDEX('V_Para Piyasası'!Z$2:Z$62,MATCH(LARGE('V_Para Piyasası'!$AC$2:$AC$62,ROW()-3),'V_Para Piyasası'!$AC$2:$AC$62,0))</f>
        <v>9.3999999999999986E-3</v>
      </c>
      <c r="AB39" s="8">
        <f>INDEX('V_Para Piyasası'!AA$2:AA$62,MATCH(LARGE('V_Para Piyasası'!$AC$2:$AC$62,ROW()-3),'V_Para Piyasası'!$AC$2:$AC$62,0))</f>
        <v>0.78639999999999999</v>
      </c>
    </row>
    <row r="40" spans="1:28" x14ac:dyDescent="0.2">
      <c r="A40">
        <v>37</v>
      </c>
      <c r="B40" s="5" t="str">
        <f>INDEX('V_Para Piyasası'!A$2:A$62,MATCH(LARGE('V_Para Piyasası'!$AC$2:$AC$62,ROW()-3),'V_Para Piyasası'!$AC$2:$AC$62,0))</f>
        <v>NRG</v>
      </c>
      <c r="C40" s="5" t="str">
        <f>INDEX('V_Para Piyasası'!B$2:B$62,MATCH(LARGE('V_Para Piyasası'!$AC$2:$AC$62,ROW()-3),'V_Para Piyasası'!$AC$2:$AC$62,0))</f>
        <v>Neo Portföy Birinci Para Piyasası Fonu</v>
      </c>
      <c r="D40" s="5" t="str">
        <f>INDEX('V_Para Piyasası'!C$2:C$62,MATCH(LARGE('V_Para Piyasası'!$AC$2:$AC$62,ROW()-3),'V_Para Piyasası'!$AC$2:$AC$62,0))</f>
        <v>Neo Portföy</v>
      </c>
      <c r="E40" s="8">
        <f>INDEX('V_Para Piyasası'!D$2:D$62,MATCH(LARGE('V_Para Piyasası'!$AC$2:$AC$62,ROW()-3),'V_Para Piyasası'!$AC$2:$AC$62,0))</f>
        <v>9.0000000000000011E-3</v>
      </c>
      <c r="F40" s="9">
        <f>INDEX('V_Para Piyasası'!E$2:E$62,MATCH(LARGE('V_Para Piyasası'!$AC$2:$AC$62,ROW()-3),'V_Para Piyasası'!$AC$2:$AC$62,0))</f>
        <v>0.1077519482805656</v>
      </c>
      <c r="G40" s="9">
        <f>INDEX('V_Para Piyasası'!F$2:F$62,MATCH(LARGE('V_Para Piyasası'!$AC$2:$AC$62,ROW()-3),'V_Para Piyasası'!$AC$2:$AC$62,0))</f>
        <v>0.75004725566938379</v>
      </c>
      <c r="H40" s="9">
        <f>INDEX('V_Para Piyasası'!G$2:G$62,MATCH(LARGE('V_Para Piyasası'!$AC$2:$AC$62,ROW()-3),'V_Para Piyasası'!$AC$2:$AC$62,0))</f>
        <v>3.4462554607079592</v>
      </c>
      <c r="I40" s="9">
        <f>INDEX('V_Para Piyasası'!H$2:H$62,MATCH(LARGE('V_Para Piyasası'!$AC$2:$AC$62,ROW()-3),'V_Para Piyasası'!$AC$2:$AC$62,0))</f>
        <v>22.817585726515151</v>
      </c>
      <c r="J40" s="9">
        <f>INDEX('V_Para Piyasası'!I$2:I$62,MATCH(LARGE('V_Para Piyasası'!$AC$2:$AC$62,ROW()-3),'V_Para Piyasası'!$AC$2:$AC$62,0))</f>
        <v>48.948000683593598</v>
      </c>
      <c r="K40" s="10">
        <f>INDEX('V_Para Piyasası'!J$2:J$62,MATCH(LARGE('V_Para Piyasası'!$AC$2:$AC$62,ROW()-3),'V_Para Piyasası'!$AC$2:$AC$62,0))</f>
        <v>3621</v>
      </c>
      <c r="L40" s="10">
        <f>INDEX('V_Para Piyasası'!K$2:K$62,MATCH(LARGE('V_Para Piyasası'!$AC$2:$AC$62,ROW()-3),'V_Para Piyasası'!$AC$2:$AC$62,0))</f>
        <v>3471</v>
      </c>
      <c r="M40" s="8">
        <f>INDEX('V_Para Piyasası'!L$2:L$62,MATCH(LARGE('V_Para Piyasası'!$AC$2:$AC$62,ROW()-3),'V_Para Piyasası'!$AC$2:$AC$62,0))</f>
        <v>-4.1425020712510308E-2</v>
      </c>
      <c r="N40" s="11">
        <f>INDEX('V_Para Piyasası'!M$2:M$62,MATCH(LARGE('V_Para Piyasası'!$AC$2:$AC$62,ROW()-3),'V_Para Piyasası'!$AC$2:$AC$62,0))</f>
        <v>7436647923.6499996</v>
      </c>
      <c r="O40" s="11">
        <f>INDEX('V_Para Piyasası'!N$2:N$62,MATCH(LARGE('V_Para Piyasası'!$AC$2:$AC$62,ROW()-3),'V_Para Piyasası'!$AC$2:$AC$62,0))</f>
        <v>6543476838.3999996</v>
      </c>
      <c r="P40" s="8">
        <f>INDEX('V_Para Piyasası'!O$2:O$62,MATCH(LARGE('V_Para Piyasası'!$AC$2:$AC$62,ROW()-3),'V_Para Piyasası'!$AC$2:$AC$62,0))</f>
        <v>-0.1201039896496298</v>
      </c>
      <c r="Q40" s="9">
        <f>INDEX('V_Para Piyasası'!P$2:P$62,MATCH(LARGE('V_Para Piyasası'!$AC$2:$AC$62,ROW()-3),'V_Para Piyasası'!$AC$2:$AC$62,0))</f>
        <v>8.5710264204913358E-2</v>
      </c>
      <c r="R40" s="5" t="str">
        <f>INDEX('V_Para Piyasası'!Q$2:Q$62,MATCH(LARGE('V_Para Piyasası'!$AC$2:$AC$62,ROW()-3),'V_Para Piyasası'!$AC$2:$AC$62,0))</f>
        <v>Görüyor</v>
      </c>
      <c r="S40" s="8">
        <f>INDEX('V_Para Piyasası'!R$2:R$62,MATCH(LARGE('V_Para Piyasası'!$AC$2:$AC$62,ROW()-3),'V_Para Piyasası'!$AC$2:$AC$62,0))</f>
        <v>0.27860000000000001</v>
      </c>
      <c r="T40" s="8">
        <f>INDEX('V_Para Piyasası'!S$2:S$62,MATCH(LARGE('V_Para Piyasası'!$AC$2:$AC$62,ROW()-3),'V_Para Piyasası'!$AC$2:$AC$62,0))</f>
        <v>0</v>
      </c>
      <c r="U40" s="8">
        <f>INDEX('V_Para Piyasası'!T$2:T$62,MATCH(LARGE('V_Para Piyasası'!$AC$2:$AC$62,ROW()-3),'V_Para Piyasası'!$AC$2:$AC$62,0))</f>
        <v>0.46520000000000011</v>
      </c>
      <c r="V40" s="8">
        <f>INDEX('V_Para Piyasası'!U$2:U$62,MATCH(LARGE('V_Para Piyasası'!$AC$2:$AC$62,ROW()-3),'V_Para Piyasası'!$AC$2:$AC$62,0))</f>
        <v>0</v>
      </c>
      <c r="W40" s="8">
        <f>INDEX('V_Para Piyasası'!V$2:V$62,MATCH(LARGE('V_Para Piyasası'!$AC$2:$AC$62,ROW()-3),'V_Para Piyasası'!$AC$2:$AC$62,0))</f>
        <v>3.3599999999999998E-2</v>
      </c>
      <c r="X40" s="8">
        <f>INDEX('V_Para Piyasası'!W$2:W$62,MATCH(LARGE('V_Para Piyasası'!$AC$2:$AC$62,ROW()-3),'V_Para Piyasası'!$AC$2:$AC$62,0))</f>
        <v>0</v>
      </c>
      <c r="Y40" s="8">
        <f>INDEX('V_Para Piyasası'!X$2:X$62,MATCH(LARGE('V_Para Piyasası'!$AC$2:$AC$62,ROW()-3),'V_Para Piyasası'!$AC$2:$AC$62,0))</f>
        <v>1.6999999999999999E-3</v>
      </c>
      <c r="Z40" s="8">
        <f>INDEX('V_Para Piyasası'!Y$2:Y$62,MATCH(LARGE('V_Para Piyasası'!$AC$2:$AC$62,ROW()-3),'V_Para Piyasası'!$AC$2:$AC$62,0))</f>
        <v>9.5700000000000007E-2</v>
      </c>
      <c r="AA40" s="8">
        <f>INDEX('V_Para Piyasası'!Z$2:Z$62,MATCH(LARGE('V_Para Piyasası'!$AC$2:$AC$62,ROW()-3),'V_Para Piyasası'!$AC$2:$AC$62,0))</f>
        <v>0</v>
      </c>
      <c r="AB40" s="8">
        <f>INDEX('V_Para Piyasası'!AA$2:AA$62,MATCH(LARGE('V_Para Piyasası'!$AC$2:$AC$62,ROW()-3),'V_Para Piyasası'!$AC$2:$AC$62,0))</f>
        <v>0.87480000000000002</v>
      </c>
    </row>
    <row r="41" spans="1:28" x14ac:dyDescent="0.2">
      <c r="A41">
        <v>38</v>
      </c>
      <c r="B41" s="5" t="str">
        <f>INDEX('V_Para Piyasası'!A$2:A$62,MATCH(LARGE('V_Para Piyasası'!$AC$2:$AC$62,ROW()-3),'V_Para Piyasası'!$AC$2:$AC$62,0))</f>
        <v>TI1</v>
      </c>
      <c r="C41" s="5" t="str">
        <f>INDEX('V_Para Piyasası'!B$2:B$62,MATCH(LARGE('V_Para Piyasası'!$AC$2:$AC$62,ROW()-3),'V_Para Piyasası'!$AC$2:$AC$62,0))</f>
        <v>İŞ Portföy Para Piyasası (TL) Fonu</v>
      </c>
      <c r="D41" s="5" t="str">
        <f>INDEX('V_Para Piyasası'!C$2:C$62,MATCH(LARGE('V_Para Piyasası'!$AC$2:$AC$62,ROW()-3),'V_Para Piyasası'!$AC$2:$AC$62,0))</f>
        <v>İŞ Portföy</v>
      </c>
      <c r="E41" s="8">
        <f>INDEX('V_Para Piyasası'!D$2:D$62,MATCH(LARGE('V_Para Piyasası'!$AC$2:$AC$62,ROW()-3),'V_Para Piyasası'!$AC$2:$AC$62,0))</f>
        <v>1.4200000000000001E-2</v>
      </c>
      <c r="F41" s="9">
        <f>INDEX('V_Para Piyasası'!E$2:E$62,MATCH(LARGE('V_Para Piyasası'!$AC$2:$AC$62,ROW()-3),'V_Para Piyasası'!$AC$2:$AC$62,0))</f>
        <v>0.1076859714961742</v>
      </c>
      <c r="G41" s="9">
        <f>INDEX('V_Para Piyasası'!F$2:F$62,MATCH(LARGE('V_Para Piyasası'!$AC$2:$AC$62,ROW()-3),'V_Para Piyasası'!$AC$2:$AC$62,0))</f>
        <v>0.73633767674912143</v>
      </c>
      <c r="H41" s="9">
        <f>INDEX('V_Para Piyasası'!G$2:G$62,MATCH(LARGE('V_Para Piyasası'!$AC$2:$AC$62,ROW()-3),'V_Para Piyasası'!$AC$2:$AC$62,0))</f>
        <v>3.4216621847843021</v>
      </c>
      <c r="I41" s="9">
        <f>INDEX('V_Para Piyasası'!H$2:H$62,MATCH(LARGE('V_Para Piyasası'!$AC$2:$AC$62,ROW()-3),'V_Para Piyasası'!$AC$2:$AC$62,0))</f>
        <v>22.029599100016579</v>
      </c>
      <c r="J41" s="9">
        <f>INDEX('V_Para Piyasası'!I$2:I$62,MATCH(LARGE('V_Para Piyasası'!$AC$2:$AC$62,ROW()-3),'V_Para Piyasası'!$AC$2:$AC$62,0))</f>
        <v>46.876679199745809</v>
      </c>
      <c r="K41" s="10">
        <f>INDEX('V_Para Piyasası'!J$2:J$62,MATCH(LARGE('V_Para Piyasası'!$AC$2:$AC$62,ROW()-3),'V_Para Piyasası'!$AC$2:$AC$62,0))</f>
        <v>229307</v>
      </c>
      <c r="L41" s="10">
        <f>INDEX('V_Para Piyasası'!K$2:K$62,MATCH(LARGE('V_Para Piyasası'!$AC$2:$AC$62,ROW()-3),'V_Para Piyasası'!$AC$2:$AC$62,0))</f>
        <v>230478</v>
      </c>
      <c r="M41" s="8">
        <f>INDEX('V_Para Piyasası'!L$2:L$62,MATCH(LARGE('V_Para Piyasası'!$AC$2:$AC$62,ROW()-3),'V_Para Piyasası'!$AC$2:$AC$62,0))</f>
        <v>5.1066910299293333E-3</v>
      </c>
      <c r="N41" s="11">
        <f>INDEX('V_Para Piyasası'!M$2:M$62,MATCH(LARGE('V_Para Piyasası'!$AC$2:$AC$62,ROW()-3),'V_Para Piyasası'!$AC$2:$AC$62,0))</f>
        <v>185181374422.31</v>
      </c>
      <c r="O41" s="11">
        <f>INDEX('V_Para Piyasası'!N$2:N$62,MATCH(LARGE('V_Para Piyasası'!$AC$2:$AC$62,ROW()-3),'V_Para Piyasası'!$AC$2:$AC$62,0))</f>
        <v>196765775312.57999</v>
      </c>
      <c r="P41" s="8">
        <f>INDEX('V_Para Piyasası'!O$2:O$62,MATCH(LARGE('V_Para Piyasası'!$AC$2:$AC$62,ROW()-3),'V_Para Piyasası'!$AC$2:$AC$62,0))</f>
        <v>6.2557052113953571E-2</v>
      </c>
      <c r="Q41" s="9">
        <f>INDEX('V_Para Piyasası'!P$2:P$62,MATCH(LARGE('V_Para Piyasası'!$AC$2:$AC$62,ROW()-3),'V_Para Piyasası'!$AC$2:$AC$62,0))</f>
        <v>8.3364629147924876E-2</v>
      </c>
      <c r="R41" s="5" t="str">
        <f>INDEX('V_Para Piyasası'!Q$2:Q$62,MATCH(LARGE('V_Para Piyasası'!$AC$2:$AC$62,ROW()-3),'V_Para Piyasası'!$AC$2:$AC$62,0))</f>
        <v>Görmüyor</v>
      </c>
      <c r="S41" s="8">
        <f>INDEX('V_Para Piyasası'!R$2:R$62,MATCH(LARGE('V_Para Piyasası'!$AC$2:$AC$62,ROW()-3),'V_Para Piyasası'!$AC$2:$AC$62,0))</f>
        <v>0.41460000000000002</v>
      </c>
      <c r="T41" s="8">
        <f>INDEX('V_Para Piyasası'!S$2:S$62,MATCH(LARGE('V_Para Piyasası'!$AC$2:$AC$62,ROW()-3),'V_Para Piyasası'!$AC$2:$AC$62,0))</f>
        <v>0</v>
      </c>
      <c r="U41" s="8">
        <f>INDEX('V_Para Piyasası'!T$2:T$62,MATCH(LARGE('V_Para Piyasası'!$AC$2:$AC$62,ROW()-3),'V_Para Piyasası'!$AC$2:$AC$62,0))</f>
        <v>0.33950000000000002</v>
      </c>
      <c r="V41" s="8">
        <f>INDEX('V_Para Piyasası'!U$2:U$62,MATCH(LARGE('V_Para Piyasası'!$AC$2:$AC$62,ROW()-3),'V_Para Piyasası'!$AC$2:$AC$62,0))</f>
        <v>0</v>
      </c>
      <c r="W41" s="8">
        <f>INDEX('V_Para Piyasası'!V$2:V$62,MATCH(LARGE('V_Para Piyasası'!$AC$2:$AC$62,ROW()-3),'V_Para Piyasası'!$AC$2:$AC$62,0))</f>
        <v>8.6999999999999994E-3</v>
      </c>
      <c r="X41" s="8">
        <f>INDEX('V_Para Piyasası'!W$2:W$62,MATCH(LARGE('V_Para Piyasası'!$AC$2:$AC$62,ROW()-3),'V_Para Piyasası'!$AC$2:$AC$62,0))</f>
        <v>0</v>
      </c>
      <c r="Y41" s="8">
        <f>INDEX('V_Para Piyasası'!X$2:X$62,MATCH(LARGE('V_Para Piyasası'!$AC$2:$AC$62,ROW()-3),'V_Para Piyasası'!$AC$2:$AC$62,0))</f>
        <v>7.6E-3</v>
      </c>
      <c r="Z41" s="8">
        <f>INDEX('V_Para Piyasası'!Y$2:Y$62,MATCH(LARGE('V_Para Piyasası'!$AC$2:$AC$62,ROW()-3),'V_Para Piyasası'!$AC$2:$AC$62,0))</f>
        <v>1.9199999999999998E-2</v>
      </c>
      <c r="AA41" s="8">
        <f>INDEX('V_Para Piyasası'!Z$2:Z$62,MATCH(LARGE('V_Para Piyasası'!$AC$2:$AC$62,ROW()-3),'V_Para Piyasası'!$AC$2:$AC$62,0))</f>
        <v>0</v>
      </c>
      <c r="AB41" s="8">
        <f>INDEX('V_Para Piyasası'!AA$2:AA$62,MATCH(LARGE('V_Para Piyasası'!$AC$2:$AC$62,ROW()-3),'V_Para Piyasası'!$AC$2:$AC$62,0))</f>
        <v>0.78960000000000008</v>
      </c>
    </row>
    <row r="42" spans="1:28" x14ac:dyDescent="0.2">
      <c r="A42">
        <v>39</v>
      </c>
      <c r="B42" s="5" t="str">
        <f>INDEX('V_Para Piyasası'!A$2:A$62,MATCH(LARGE('V_Para Piyasası'!$AC$2:$AC$62,ROW()-3),'V_Para Piyasası'!$AC$2:$AC$62,0))</f>
        <v>FI5</v>
      </c>
      <c r="C42" s="5" t="str">
        <f>INDEX('V_Para Piyasası'!B$2:B$62,MATCH(LARGE('V_Para Piyasası'!$AC$2:$AC$62,ROW()-3),'V_Para Piyasası'!$AC$2:$AC$62,0))</f>
        <v>Qnb Portföy Para Piyasası (TL) Fonu</v>
      </c>
      <c r="D42" s="5" t="str">
        <f>INDEX('V_Para Piyasası'!C$2:C$62,MATCH(LARGE('V_Para Piyasası'!$AC$2:$AC$62,ROW()-3),'V_Para Piyasası'!$AC$2:$AC$62,0))</f>
        <v>Qnb Portföy</v>
      </c>
      <c r="E42" s="8">
        <f>INDEX('V_Para Piyasası'!D$2:D$62,MATCH(LARGE('V_Para Piyasası'!$AC$2:$AC$62,ROW()-3),'V_Para Piyasası'!$AC$2:$AC$62,0))</f>
        <v>1.2999999999999999E-2</v>
      </c>
      <c r="F42" s="9">
        <f>INDEX('V_Para Piyasası'!E$2:E$62,MATCH(LARGE('V_Para Piyasası'!$AC$2:$AC$62,ROW()-3),'V_Para Piyasası'!$AC$2:$AC$62,0))</f>
        <v>0.10750675264281639</v>
      </c>
      <c r="G42" s="9">
        <f>INDEX('V_Para Piyasası'!F$2:F$62,MATCH(LARGE('V_Para Piyasası'!$AC$2:$AC$62,ROW()-3),'V_Para Piyasası'!$AC$2:$AC$62,0))</f>
        <v>0.74516415242338319</v>
      </c>
      <c r="H42" s="9">
        <f>INDEX('V_Para Piyasası'!G$2:G$62,MATCH(LARGE('V_Para Piyasası'!$AC$2:$AC$62,ROW()-3),'V_Para Piyasası'!$AC$2:$AC$62,0))</f>
        <v>3.4463822827497159</v>
      </c>
      <c r="I42" s="9">
        <f>INDEX('V_Para Piyasası'!H$2:H$62,MATCH(LARGE('V_Para Piyasası'!$AC$2:$AC$62,ROW()-3),'V_Para Piyasası'!$AC$2:$AC$62,0))</f>
        <v>22.221918666287841</v>
      </c>
      <c r="J42" s="9">
        <f>INDEX('V_Para Piyasası'!I$2:I$62,MATCH(LARGE('V_Para Piyasası'!$AC$2:$AC$62,ROW()-3),'V_Para Piyasası'!$AC$2:$AC$62,0))</f>
        <v>47.312759020405522</v>
      </c>
      <c r="K42" s="10">
        <f>INDEX('V_Para Piyasası'!J$2:J$62,MATCH(LARGE('V_Para Piyasası'!$AC$2:$AC$62,ROW()-3),'V_Para Piyasası'!$AC$2:$AC$62,0))</f>
        <v>51877</v>
      </c>
      <c r="L42" s="10">
        <f>INDEX('V_Para Piyasası'!K$2:K$62,MATCH(LARGE('V_Para Piyasası'!$AC$2:$AC$62,ROW()-3),'V_Para Piyasası'!$AC$2:$AC$62,0))</f>
        <v>51614</v>
      </c>
      <c r="M42" s="8">
        <f>INDEX('V_Para Piyasası'!L$2:L$62,MATCH(LARGE('V_Para Piyasası'!$AC$2:$AC$62,ROW()-3),'V_Para Piyasası'!$AC$2:$AC$62,0))</f>
        <v>-5.0696840603735582E-3</v>
      </c>
      <c r="N42" s="11">
        <f>INDEX('V_Para Piyasası'!M$2:M$62,MATCH(LARGE('V_Para Piyasası'!$AC$2:$AC$62,ROW()-3),'V_Para Piyasası'!$AC$2:$AC$62,0))</f>
        <v>95830436954.979996</v>
      </c>
      <c r="O42" s="11">
        <f>INDEX('V_Para Piyasası'!N$2:N$62,MATCH(LARGE('V_Para Piyasası'!$AC$2:$AC$62,ROW()-3),'V_Para Piyasası'!$AC$2:$AC$62,0))</f>
        <v>100444049546.67999</v>
      </c>
      <c r="P42" s="8">
        <f>INDEX('V_Para Piyasası'!O$2:O$62,MATCH(LARGE('V_Para Piyasası'!$AC$2:$AC$62,ROW()-3),'V_Para Piyasası'!$AC$2:$AC$62,0))</f>
        <v>4.8143499479893048E-2</v>
      </c>
      <c r="Q42" s="9">
        <f>INDEX('V_Para Piyasası'!P$2:P$62,MATCH(LARGE('V_Para Piyasası'!$AC$2:$AC$62,ROW()-3),'V_Para Piyasası'!$AC$2:$AC$62,0))</f>
        <v>8.4256167507498633E-2</v>
      </c>
      <c r="R42" s="5" t="str">
        <f>INDEX('V_Para Piyasası'!Q$2:Q$62,MATCH(LARGE('V_Para Piyasası'!$AC$2:$AC$62,ROW()-3),'V_Para Piyasası'!$AC$2:$AC$62,0))</f>
        <v>Görmüyor</v>
      </c>
      <c r="S42" s="8">
        <f>INDEX('V_Para Piyasası'!R$2:R$62,MATCH(LARGE('V_Para Piyasası'!$AC$2:$AC$62,ROW()-3),'V_Para Piyasası'!$AC$2:$AC$62,0))</f>
        <v>0.42870000000000003</v>
      </c>
      <c r="T42" s="8">
        <f>INDEX('V_Para Piyasası'!S$2:S$62,MATCH(LARGE('V_Para Piyasası'!$AC$2:$AC$62,ROW()-3),'V_Para Piyasası'!$AC$2:$AC$62,0))</f>
        <v>0</v>
      </c>
      <c r="U42" s="8">
        <f>INDEX('V_Para Piyasası'!T$2:T$62,MATCH(LARGE('V_Para Piyasası'!$AC$2:$AC$62,ROW()-3),'V_Para Piyasası'!$AC$2:$AC$62,0))</f>
        <v>0.32600000000000001</v>
      </c>
      <c r="V42" s="8">
        <f>INDEX('V_Para Piyasası'!U$2:U$62,MATCH(LARGE('V_Para Piyasası'!$AC$2:$AC$62,ROW()-3),'V_Para Piyasası'!$AC$2:$AC$62,0))</f>
        <v>0</v>
      </c>
      <c r="W42" s="8">
        <f>INDEX('V_Para Piyasası'!V$2:V$62,MATCH(LARGE('V_Para Piyasası'!$AC$2:$AC$62,ROW()-3),'V_Para Piyasası'!$AC$2:$AC$62,0))</f>
        <v>4.0000000000000001E-3</v>
      </c>
      <c r="X42" s="8">
        <f>INDEX('V_Para Piyasası'!W$2:W$62,MATCH(LARGE('V_Para Piyasası'!$AC$2:$AC$62,ROW()-3),'V_Para Piyasası'!$AC$2:$AC$62,0))</f>
        <v>0</v>
      </c>
      <c r="Y42" s="8">
        <f>INDEX('V_Para Piyasası'!X$2:X$62,MATCH(LARGE('V_Para Piyasası'!$AC$2:$AC$62,ROW()-3),'V_Para Piyasası'!$AC$2:$AC$62,0))</f>
        <v>3.3700000000000001E-2</v>
      </c>
      <c r="Z42" s="8">
        <f>INDEX('V_Para Piyasası'!Y$2:Y$62,MATCH(LARGE('V_Para Piyasası'!$AC$2:$AC$62,ROW()-3),'V_Para Piyasası'!$AC$2:$AC$62,0))</f>
        <v>4.7600000000000003E-2</v>
      </c>
      <c r="AA42" s="8">
        <f>INDEX('V_Para Piyasası'!Z$2:Z$62,MATCH(LARGE('V_Para Piyasası'!$AC$2:$AC$62,ROW()-3),'V_Para Piyasası'!$AC$2:$AC$62,0))</f>
        <v>2.3E-3</v>
      </c>
      <c r="AB42" s="8">
        <f>INDEX('V_Para Piyasası'!AA$2:AA$62,MATCH(LARGE('V_Para Piyasası'!$AC$2:$AC$62,ROW()-3),'V_Para Piyasası'!$AC$2:$AC$62,0))</f>
        <v>0.84229999999999994</v>
      </c>
    </row>
    <row r="43" spans="1:28" x14ac:dyDescent="0.2">
      <c r="A43">
        <v>40</v>
      </c>
      <c r="B43" s="5" t="str">
        <f>INDEX('V_Para Piyasası'!A$2:A$62,MATCH(LARGE('V_Para Piyasası'!$AC$2:$AC$62,ROW()-3),'V_Para Piyasası'!$AC$2:$AC$62,0))</f>
        <v>TCB</v>
      </c>
      <c r="C43" s="5" t="str">
        <f>INDEX('V_Para Piyasası'!B$2:B$62,MATCH(LARGE('V_Para Piyasası'!$AC$2:$AC$62,ROW()-3),'V_Para Piyasası'!$AC$2:$AC$62,0))</f>
        <v>Tacirler Portföy Para Piyasası Fonu</v>
      </c>
      <c r="D43" s="5" t="str">
        <f>INDEX('V_Para Piyasası'!C$2:C$62,MATCH(LARGE('V_Para Piyasası'!$AC$2:$AC$62,ROW()-3),'V_Para Piyasası'!$AC$2:$AC$62,0))</f>
        <v>Tacirler Portföy</v>
      </c>
      <c r="E43" s="8">
        <f>INDEX('V_Para Piyasası'!D$2:D$62,MATCH(LARGE('V_Para Piyasası'!$AC$2:$AC$62,ROW()-3),'V_Para Piyasası'!$AC$2:$AC$62,0))</f>
        <v>1.2500000000000001E-2</v>
      </c>
      <c r="F43" s="9">
        <f>INDEX('V_Para Piyasası'!E$2:E$62,MATCH(LARGE('V_Para Piyasası'!$AC$2:$AC$62,ROW()-3),'V_Para Piyasası'!$AC$2:$AC$62,0))</f>
        <v>0.10749631314299619</v>
      </c>
      <c r="G43" s="9">
        <f>INDEX('V_Para Piyasası'!F$2:F$62,MATCH(LARGE('V_Para Piyasası'!$AC$2:$AC$62,ROW()-3),'V_Para Piyasası'!$AC$2:$AC$62,0))</f>
        <v>0.74744964102748668</v>
      </c>
      <c r="H43" s="9">
        <f>INDEX('V_Para Piyasası'!G$2:G$62,MATCH(LARGE('V_Para Piyasası'!$AC$2:$AC$62,ROW()-3),'V_Para Piyasası'!$AC$2:$AC$62,0))</f>
        <v>3.4572038469483868</v>
      </c>
      <c r="I43" s="9">
        <f>INDEX('V_Para Piyasası'!H$2:H$62,MATCH(LARGE('V_Para Piyasası'!$AC$2:$AC$62,ROW()-3),'V_Para Piyasası'!$AC$2:$AC$62,0))</f>
        <v>22.370457248041191</v>
      </c>
      <c r="J43" s="9">
        <f>INDEX('V_Para Piyasası'!I$2:I$62,MATCH(LARGE('V_Para Piyasası'!$AC$2:$AC$62,ROW()-3),'V_Para Piyasası'!$AC$2:$AC$62,0))</f>
        <v>47.644472979081662</v>
      </c>
      <c r="K43" s="10">
        <f>INDEX('V_Para Piyasası'!J$2:J$62,MATCH(LARGE('V_Para Piyasası'!$AC$2:$AC$62,ROW()-3),'V_Para Piyasası'!$AC$2:$AC$62,0))</f>
        <v>4824</v>
      </c>
      <c r="L43" s="10">
        <f>INDEX('V_Para Piyasası'!K$2:K$62,MATCH(LARGE('V_Para Piyasası'!$AC$2:$AC$62,ROW()-3),'V_Para Piyasası'!$AC$2:$AC$62,0))</f>
        <v>4744</v>
      </c>
      <c r="M43" s="8">
        <f>INDEX('V_Para Piyasası'!L$2:L$62,MATCH(LARGE('V_Para Piyasası'!$AC$2:$AC$62,ROW()-3),'V_Para Piyasası'!$AC$2:$AC$62,0))</f>
        <v>-1.6583747927031541E-2</v>
      </c>
      <c r="N43" s="11">
        <f>INDEX('V_Para Piyasası'!M$2:M$62,MATCH(LARGE('V_Para Piyasası'!$AC$2:$AC$62,ROW()-3),'V_Para Piyasası'!$AC$2:$AC$62,0))</f>
        <v>3267072795.7600002</v>
      </c>
      <c r="O43" s="11">
        <f>INDEX('V_Para Piyasası'!N$2:N$62,MATCH(LARGE('V_Para Piyasası'!$AC$2:$AC$62,ROW()-3),'V_Para Piyasası'!$AC$2:$AC$62,0))</f>
        <v>3246711042.02</v>
      </c>
      <c r="P43" s="8">
        <f>INDEX('V_Para Piyasası'!O$2:O$62,MATCH(LARGE('V_Para Piyasası'!$AC$2:$AC$62,ROW()-3),'V_Para Piyasası'!$AC$2:$AC$62,0))</f>
        <v>-6.2324150739542228E-3</v>
      </c>
      <c r="Q43" s="9">
        <f>INDEX('V_Para Piyasası'!P$2:P$62,MATCH(LARGE('V_Para Piyasası'!$AC$2:$AC$62,ROW()-3),'V_Para Piyasası'!$AC$2:$AC$62,0))</f>
        <v>8.473804504174709E-2</v>
      </c>
      <c r="R43" s="5" t="str">
        <f>INDEX('V_Para Piyasası'!Q$2:Q$62,MATCH(LARGE('V_Para Piyasası'!$AC$2:$AC$62,ROW()-3),'V_Para Piyasası'!$AC$2:$AC$62,0))</f>
        <v>Görüyor</v>
      </c>
      <c r="S43" s="8">
        <f>INDEX('V_Para Piyasası'!R$2:R$62,MATCH(LARGE('V_Para Piyasası'!$AC$2:$AC$62,ROW()-3),'V_Para Piyasası'!$AC$2:$AC$62,0))</f>
        <v>0.45329999999999998</v>
      </c>
      <c r="T43" s="8">
        <f>INDEX('V_Para Piyasası'!S$2:S$62,MATCH(LARGE('V_Para Piyasası'!$AC$2:$AC$62,ROW()-3),'V_Para Piyasası'!$AC$2:$AC$62,0))</f>
        <v>0</v>
      </c>
      <c r="U43" s="8">
        <f>INDEX('V_Para Piyasası'!T$2:T$62,MATCH(LARGE('V_Para Piyasası'!$AC$2:$AC$62,ROW()-3),'V_Para Piyasası'!$AC$2:$AC$62,0))</f>
        <v>0</v>
      </c>
      <c r="V43" s="8">
        <f>INDEX('V_Para Piyasası'!U$2:U$62,MATCH(LARGE('V_Para Piyasası'!$AC$2:$AC$62,ROW()-3),'V_Para Piyasası'!$AC$2:$AC$62,0))</f>
        <v>0</v>
      </c>
      <c r="W43" s="8">
        <f>INDEX('V_Para Piyasası'!V$2:V$62,MATCH(LARGE('V_Para Piyasası'!$AC$2:$AC$62,ROW()-3),'V_Para Piyasası'!$AC$2:$AC$62,0))</f>
        <v>0.13020000000000001</v>
      </c>
      <c r="X43" s="8">
        <f>INDEX('V_Para Piyasası'!W$2:W$62,MATCH(LARGE('V_Para Piyasası'!$AC$2:$AC$62,ROW()-3),'V_Para Piyasası'!$AC$2:$AC$62,0))</f>
        <v>0</v>
      </c>
      <c r="Y43" s="8">
        <f>INDEX('V_Para Piyasası'!X$2:X$62,MATCH(LARGE('V_Para Piyasası'!$AC$2:$AC$62,ROW()-3),'V_Para Piyasası'!$AC$2:$AC$62,0))</f>
        <v>4.8999999999999998E-3</v>
      </c>
      <c r="Z43" s="8">
        <f>INDEX('V_Para Piyasası'!Y$2:Y$62,MATCH(LARGE('V_Para Piyasası'!$AC$2:$AC$62,ROW()-3),'V_Para Piyasası'!$AC$2:$AC$62,0))</f>
        <v>0.21129999999999999</v>
      </c>
      <c r="AA43" s="8">
        <f>INDEX('V_Para Piyasası'!Z$2:Z$62,MATCH(LARGE('V_Para Piyasası'!$AC$2:$AC$62,ROW()-3),'V_Para Piyasası'!$AC$2:$AC$62,0))</f>
        <v>0</v>
      </c>
      <c r="AB43" s="8">
        <f>INDEX('V_Para Piyasası'!AA$2:AA$62,MATCH(LARGE('V_Para Piyasası'!$AC$2:$AC$62,ROW()-3),'V_Para Piyasası'!$AC$2:$AC$62,0))</f>
        <v>0.79969999999999997</v>
      </c>
    </row>
    <row r="44" spans="1:28" x14ac:dyDescent="0.2">
      <c r="A44">
        <v>41</v>
      </c>
      <c r="B44" s="5" t="str">
        <f>INDEX('V_Para Piyasası'!A$2:A$62,MATCH(LARGE('V_Para Piyasası'!$AC$2:$AC$62,ROW()-3),'V_Para Piyasası'!$AC$2:$AC$62,0))</f>
        <v>TZL</v>
      </c>
      <c r="C44" s="5" t="str">
        <f>INDEX('V_Para Piyasası'!B$2:B$62,MATCH(LARGE('V_Para Piyasası'!$AC$2:$AC$62,ROW()-3),'V_Para Piyasası'!$AC$2:$AC$62,0))</f>
        <v>Ziraat Portföy Para Piyasası (TL) Fonu</v>
      </c>
      <c r="D44" s="5" t="str">
        <f>INDEX('V_Para Piyasası'!C$2:C$62,MATCH(LARGE('V_Para Piyasası'!$AC$2:$AC$62,ROW()-3),'V_Para Piyasası'!$AC$2:$AC$62,0))</f>
        <v>Ziraat Portföy</v>
      </c>
      <c r="E44" s="8">
        <f>INDEX('V_Para Piyasası'!D$2:D$62,MATCH(LARGE('V_Para Piyasası'!$AC$2:$AC$62,ROW()-3),'V_Para Piyasası'!$AC$2:$AC$62,0))</f>
        <v>1.2999999999999999E-2</v>
      </c>
      <c r="F44" s="9">
        <f>INDEX('V_Para Piyasası'!E$2:E$62,MATCH(LARGE('V_Para Piyasası'!$AC$2:$AC$62,ROW()-3),'V_Para Piyasası'!$AC$2:$AC$62,0))</f>
        <v>0.10716334108129549</v>
      </c>
      <c r="G44" s="9">
        <f>INDEX('V_Para Piyasası'!F$2:F$62,MATCH(LARGE('V_Para Piyasası'!$AC$2:$AC$62,ROW()-3),'V_Para Piyasası'!$AC$2:$AC$62,0))</f>
        <v>0.75117156940931462</v>
      </c>
      <c r="H44" s="9">
        <f>INDEX('V_Para Piyasası'!G$2:G$62,MATCH(LARGE('V_Para Piyasası'!$AC$2:$AC$62,ROW()-3),'V_Para Piyasası'!$AC$2:$AC$62,0))</f>
        <v>3.4759817152128609</v>
      </c>
      <c r="I44" s="9">
        <f>INDEX('V_Para Piyasası'!H$2:H$62,MATCH(LARGE('V_Para Piyasası'!$AC$2:$AC$62,ROW()-3),'V_Para Piyasası'!$AC$2:$AC$62,0))</f>
        <v>22.425059066745408</v>
      </c>
      <c r="J44" s="9">
        <f>INDEX('V_Para Piyasası'!I$2:I$62,MATCH(LARGE('V_Para Piyasası'!$AC$2:$AC$62,ROW()-3),'V_Para Piyasası'!$AC$2:$AC$62,0))</f>
        <v>47.148546263325429</v>
      </c>
      <c r="K44" s="10">
        <f>INDEX('V_Para Piyasası'!J$2:J$62,MATCH(LARGE('V_Para Piyasası'!$AC$2:$AC$62,ROW()-3),'V_Para Piyasası'!$AC$2:$AC$62,0))</f>
        <v>174956</v>
      </c>
      <c r="L44" s="10">
        <f>INDEX('V_Para Piyasası'!K$2:K$62,MATCH(LARGE('V_Para Piyasası'!$AC$2:$AC$62,ROW()-3),'V_Para Piyasası'!$AC$2:$AC$62,0))</f>
        <v>177586</v>
      </c>
      <c r="M44" s="8">
        <f>INDEX('V_Para Piyasası'!L$2:L$62,MATCH(LARGE('V_Para Piyasası'!$AC$2:$AC$62,ROW()-3),'V_Para Piyasası'!$AC$2:$AC$62,0))</f>
        <v>1.5032350991106339E-2</v>
      </c>
      <c r="N44" s="11">
        <f>INDEX('V_Para Piyasası'!M$2:M$62,MATCH(LARGE('V_Para Piyasası'!$AC$2:$AC$62,ROW()-3),'V_Para Piyasası'!$AC$2:$AC$62,0))</f>
        <v>73550068170.300003</v>
      </c>
      <c r="O44" s="11">
        <f>INDEX('V_Para Piyasası'!N$2:N$62,MATCH(LARGE('V_Para Piyasası'!$AC$2:$AC$62,ROW()-3),'V_Para Piyasası'!$AC$2:$AC$62,0))</f>
        <v>81585909149.25</v>
      </c>
      <c r="P44" s="8">
        <f>INDEX('V_Para Piyasası'!O$2:O$62,MATCH(LARGE('V_Para Piyasası'!$AC$2:$AC$62,ROW()-3),'V_Para Piyasası'!$AC$2:$AC$62,0))</f>
        <v>0.1092567441316787</v>
      </c>
      <c r="Q44" s="9">
        <f>INDEX('V_Para Piyasası'!P$2:P$62,MATCH(LARGE('V_Para Piyasası'!$AC$2:$AC$62,ROW()-3),'V_Para Piyasası'!$AC$2:$AC$62,0))</f>
        <v>8.5220609005413742E-2</v>
      </c>
      <c r="R44" s="5" t="str">
        <f>INDEX('V_Para Piyasası'!Q$2:Q$62,MATCH(LARGE('V_Para Piyasası'!$AC$2:$AC$62,ROW()-3),'V_Para Piyasası'!$AC$2:$AC$62,0))</f>
        <v>Görmüyor</v>
      </c>
      <c r="S44" s="8">
        <f>INDEX('V_Para Piyasası'!R$2:R$62,MATCH(LARGE('V_Para Piyasası'!$AC$2:$AC$62,ROW()-3),'V_Para Piyasası'!$AC$2:$AC$62,0))</f>
        <v>0.41139999999999999</v>
      </c>
      <c r="T44" s="8">
        <f>INDEX('V_Para Piyasası'!S$2:S$62,MATCH(LARGE('V_Para Piyasası'!$AC$2:$AC$62,ROW()-3),'V_Para Piyasası'!$AC$2:$AC$62,0))</f>
        <v>0</v>
      </c>
      <c r="U44" s="8">
        <f>INDEX('V_Para Piyasası'!T$2:T$62,MATCH(LARGE('V_Para Piyasası'!$AC$2:$AC$62,ROW()-3),'V_Para Piyasası'!$AC$2:$AC$62,0))</f>
        <v>0.2379</v>
      </c>
      <c r="V44" s="8">
        <f>INDEX('V_Para Piyasası'!U$2:U$62,MATCH(LARGE('V_Para Piyasası'!$AC$2:$AC$62,ROW()-3),'V_Para Piyasası'!$AC$2:$AC$62,0))</f>
        <v>0</v>
      </c>
      <c r="W44" s="8">
        <f>INDEX('V_Para Piyasası'!V$2:V$62,MATCH(LARGE('V_Para Piyasası'!$AC$2:$AC$62,ROW()-3),'V_Para Piyasası'!$AC$2:$AC$62,0))</f>
        <v>0.1118</v>
      </c>
      <c r="X44" s="8">
        <f>INDEX('V_Para Piyasası'!W$2:W$62,MATCH(LARGE('V_Para Piyasası'!$AC$2:$AC$62,ROW()-3),'V_Para Piyasası'!$AC$2:$AC$62,0))</f>
        <v>0</v>
      </c>
      <c r="Y44" s="8">
        <f>INDEX('V_Para Piyasası'!X$2:X$62,MATCH(LARGE('V_Para Piyasası'!$AC$2:$AC$62,ROW()-3),'V_Para Piyasası'!$AC$2:$AC$62,0))</f>
        <v>1.4999999999999999E-2</v>
      </c>
      <c r="Z44" s="8">
        <f>INDEX('V_Para Piyasası'!Y$2:Y$62,MATCH(LARGE('V_Para Piyasası'!$AC$2:$AC$62,ROW()-3),'V_Para Piyasası'!$AC$2:$AC$62,0))</f>
        <v>2.5499999999999998E-2</v>
      </c>
      <c r="AA44" s="8">
        <f>INDEX('V_Para Piyasası'!Z$2:Z$62,MATCH(LARGE('V_Para Piyasası'!$AC$2:$AC$62,ROW()-3),'V_Para Piyasası'!$AC$2:$AC$62,0))</f>
        <v>0</v>
      </c>
      <c r="AB44" s="8">
        <f>INDEX('V_Para Piyasası'!AA$2:AA$62,MATCH(LARGE('V_Para Piyasası'!$AC$2:$AC$62,ROW()-3),'V_Para Piyasası'!$AC$2:$AC$62,0))</f>
        <v>0.80159999999999998</v>
      </c>
    </row>
    <row r="45" spans="1:28" x14ac:dyDescent="0.2">
      <c r="A45">
        <v>42</v>
      </c>
      <c r="B45" s="5" t="str">
        <f>INDEX('V_Para Piyasası'!A$2:A$62,MATCH(LARGE('V_Para Piyasası'!$AC$2:$AC$62,ROW()-3),'V_Para Piyasası'!$AC$2:$AC$62,0))</f>
        <v>CFO</v>
      </c>
      <c r="C45" s="5" t="str">
        <f>INDEX('V_Para Piyasası'!B$2:B$62,MATCH(LARGE('V_Para Piyasası'!$AC$2:$AC$62,ROW()-3),'V_Para Piyasası'!$AC$2:$AC$62,0))</f>
        <v>Rota Portföy İkinci Para Piyasası Fonu</v>
      </c>
      <c r="D45" s="5" t="str">
        <f>INDEX('V_Para Piyasası'!C$2:C$62,MATCH(LARGE('V_Para Piyasası'!$AC$2:$AC$62,ROW()-3),'V_Para Piyasası'!$AC$2:$AC$62,0))</f>
        <v>Rota Portföy</v>
      </c>
      <c r="E45" s="8">
        <f>INDEX('V_Para Piyasası'!D$2:D$62,MATCH(LARGE('V_Para Piyasası'!$AC$2:$AC$62,ROW()-3),'V_Para Piyasası'!$AC$2:$AC$62,0))</f>
        <v>3.0000000000000001E-3</v>
      </c>
      <c r="F45" s="9">
        <f>INDEX('V_Para Piyasası'!E$2:E$62,MATCH(LARGE('V_Para Piyasası'!$AC$2:$AC$62,ROW()-3),'V_Para Piyasası'!$AC$2:$AC$62,0))</f>
        <v>0.1070434064327275</v>
      </c>
      <c r="G45" s="9">
        <f>INDEX('V_Para Piyasası'!F$2:F$62,MATCH(LARGE('V_Para Piyasası'!$AC$2:$AC$62,ROW()-3),'V_Para Piyasası'!$AC$2:$AC$62,0))</f>
        <v>0.74734265197828886</v>
      </c>
      <c r="H45" s="9">
        <f>INDEX('V_Para Piyasası'!G$2:G$62,MATCH(LARGE('V_Para Piyasası'!$AC$2:$AC$62,ROW()-3),'V_Para Piyasası'!$AC$2:$AC$62,0))</f>
        <v>3.5032647825370189</v>
      </c>
      <c r="I45" s="9">
        <f>INDEX('V_Para Piyasası'!H$2:H$62,MATCH(LARGE('V_Para Piyasası'!$AC$2:$AC$62,ROW()-3),'V_Para Piyasası'!$AC$2:$AC$62,0))</f>
        <v>22.80144197396357</v>
      </c>
      <c r="J45" s="9">
        <f>INDEX('V_Para Piyasası'!I$2:I$62,MATCH(LARGE('V_Para Piyasası'!$AC$2:$AC$62,ROW()-3),'V_Para Piyasası'!$AC$2:$AC$62,0))</f>
        <v>48.171824913116311</v>
      </c>
      <c r="K45" s="10">
        <f>INDEX('V_Para Piyasası'!J$2:J$62,MATCH(LARGE('V_Para Piyasası'!$AC$2:$AC$62,ROW()-3),'V_Para Piyasası'!$AC$2:$AC$62,0))</f>
        <v>484</v>
      </c>
      <c r="L45" s="10">
        <f>INDEX('V_Para Piyasası'!K$2:K$62,MATCH(LARGE('V_Para Piyasası'!$AC$2:$AC$62,ROW()-3),'V_Para Piyasası'!$AC$2:$AC$62,0))</f>
        <v>487</v>
      </c>
      <c r="M45" s="8">
        <f>INDEX('V_Para Piyasası'!L$2:L$62,MATCH(LARGE('V_Para Piyasası'!$AC$2:$AC$62,ROW()-3),'V_Para Piyasası'!$AC$2:$AC$62,0))</f>
        <v>6.1983471074380514E-3</v>
      </c>
      <c r="N45" s="11">
        <f>INDEX('V_Para Piyasası'!M$2:M$62,MATCH(LARGE('V_Para Piyasası'!$AC$2:$AC$62,ROW()-3),'V_Para Piyasası'!$AC$2:$AC$62,0))</f>
        <v>3006632049</v>
      </c>
      <c r="O45" s="11">
        <f>INDEX('V_Para Piyasası'!N$2:N$62,MATCH(LARGE('V_Para Piyasası'!$AC$2:$AC$62,ROW()-3),'V_Para Piyasası'!$AC$2:$AC$62,0))</f>
        <v>3260884202.5</v>
      </c>
      <c r="P45" s="8">
        <f>INDEX('V_Para Piyasası'!O$2:O$62,MATCH(LARGE('V_Para Piyasası'!$AC$2:$AC$62,ROW()-3),'V_Para Piyasası'!$AC$2:$AC$62,0))</f>
        <v>8.4563774135436365E-2</v>
      </c>
      <c r="Q45" s="9">
        <f>INDEX('V_Para Piyasası'!P$2:P$62,MATCH(LARGE('V_Para Piyasası'!$AC$2:$AC$62,ROW()-3),'V_Para Piyasası'!$AC$2:$AC$62,0))</f>
        <v>8.4021760323839303E-2</v>
      </c>
      <c r="R45" s="5" t="str">
        <f>INDEX('V_Para Piyasası'!Q$2:Q$62,MATCH(LARGE('V_Para Piyasası'!$AC$2:$AC$62,ROW()-3),'V_Para Piyasası'!$AC$2:$AC$62,0))</f>
        <v>Görüyor</v>
      </c>
      <c r="S45" s="8">
        <f>INDEX('V_Para Piyasası'!R$2:R$62,MATCH(LARGE('V_Para Piyasası'!$AC$2:$AC$62,ROW()-3),'V_Para Piyasası'!$AC$2:$AC$62,0))</f>
        <v>0.1565</v>
      </c>
      <c r="T45" s="8">
        <f>INDEX('V_Para Piyasası'!S$2:S$62,MATCH(LARGE('V_Para Piyasası'!$AC$2:$AC$62,ROW()-3),'V_Para Piyasası'!$AC$2:$AC$62,0))</f>
        <v>0</v>
      </c>
      <c r="U45" s="8">
        <f>INDEX('V_Para Piyasası'!T$2:T$62,MATCH(LARGE('V_Para Piyasası'!$AC$2:$AC$62,ROW()-3),'V_Para Piyasası'!$AC$2:$AC$62,0))</f>
        <v>0.71849999999999992</v>
      </c>
      <c r="V45" s="8">
        <f>INDEX('V_Para Piyasası'!U$2:U$62,MATCH(LARGE('V_Para Piyasası'!$AC$2:$AC$62,ROW()-3),'V_Para Piyasası'!$AC$2:$AC$62,0))</f>
        <v>0</v>
      </c>
      <c r="W45" s="8">
        <f>INDEX('V_Para Piyasası'!V$2:V$62,MATCH(LARGE('V_Para Piyasası'!$AC$2:$AC$62,ROW()-3),'V_Para Piyasası'!$AC$2:$AC$62,0))</f>
        <v>0</v>
      </c>
      <c r="X45" s="8">
        <f>INDEX('V_Para Piyasası'!W$2:W$62,MATCH(LARGE('V_Para Piyasası'!$AC$2:$AC$62,ROW()-3),'V_Para Piyasası'!$AC$2:$AC$62,0))</f>
        <v>0</v>
      </c>
      <c r="Y45" s="8">
        <f>INDEX('V_Para Piyasası'!X$2:X$62,MATCH(LARGE('V_Para Piyasası'!$AC$2:$AC$62,ROW()-3),'V_Para Piyasası'!$AC$2:$AC$62,0))</f>
        <v>0</v>
      </c>
      <c r="Z45" s="8">
        <f>INDEX('V_Para Piyasası'!Y$2:Y$62,MATCH(LARGE('V_Para Piyasası'!$AC$2:$AC$62,ROW()-3),'V_Para Piyasası'!$AC$2:$AC$62,0))</f>
        <v>0</v>
      </c>
      <c r="AA45" s="8">
        <f>INDEX('V_Para Piyasası'!Z$2:Z$62,MATCH(LARGE('V_Para Piyasası'!$AC$2:$AC$62,ROW()-3),'V_Para Piyasası'!$AC$2:$AC$62,0))</f>
        <v>0</v>
      </c>
      <c r="AB45" s="8">
        <f>INDEX('V_Para Piyasası'!AA$2:AA$62,MATCH(LARGE('V_Para Piyasası'!$AC$2:$AC$62,ROW()-3),'V_Para Piyasası'!$AC$2:$AC$62,0))</f>
        <v>0.87499999999999989</v>
      </c>
    </row>
    <row r="46" spans="1:28" x14ac:dyDescent="0.2">
      <c r="A46">
        <v>43</v>
      </c>
      <c r="B46" s="5" t="str">
        <f>INDEX('V_Para Piyasası'!A$2:A$62,MATCH(LARGE('V_Para Piyasası'!$AC$2:$AC$62,ROW()-3),'V_Para Piyasası'!$AC$2:$AC$62,0))</f>
        <v>NVB</v>
      </c>
      <c r="C46" s="5" t="str">
        <f>INDEX('V_Para Piyasası'!B$2:B$62,MATCH(LARGE('V_Para Piyasası'!$AC$2:$AC$62,ROW()-3),'V_Para Piyasası'!$AC$2:$AC$62,0))</f>
        <v>Neo Portföy İkinci Para Piyasası (TL) Fon</v>
      </c>
      <c r="D46" s="5" t="str">
        <f>INDEX('V_Para Piyasası'!C$2:C$62,MATCH(LARGE('V_Para Piyasası'!$AC$2:$AC$62,ROW()-3),'V_Para Piyasası'!$AC$2:$AC$62,0))</f>
        <v>Neo Portföy</v>
      </c>
      <c r="E46" s="8">
        <f>INDEX('V_Para Piyasası'!D$2:D$62,MATCH(LARGE('V_Para Piyasası'!$AC$2:$AC$62,ROW()-3),'V_Para Piyasası'!$AC$2:$AC$62,0))</f>
        <v>1.2999999999999999E-2</v>
      </c>
      <c r="F46" s="9">
        <f>INDEX('V_Para Piyasası'!E$2:E$62,MATCH(LARGE('V_Para Piyasası'!$AC$2:$AC$62,ROW()-3),'V_Para Piyasası'!$AC$2:$AC$62,0))</f>
        <v>0.1069818225977404</v>
      </c>
      <c r="G46" s="9">
        <f>INDEX('V_Para Piyasası'!F$2:F$62,MATCH(LARGE('V_Para Piyasası'!$AC$2:$AC$62,ROW()-3),'V_Para Piyasası'!$AC$2:$AC$62,0))</f>
        <v>0.74602036214150846</v>
      </c>
      <c r="H46" s="9">
        <f>INDEX('V_Para Piyasası'!G$2:G$62,MATCH(LARGE('V_Para Piyasası'!$AC$2:$AC$62,ROW()-3),'V_Para Piyasası'!$AC$2:$AC$62,0))</f>
        <v>3.4361270461881639</v>
      </c>
      <c r="I46" s="9">
        <f>INDEX('V_Para Piyasası'!H$2:H$62,MATCH(LARGE('V_Para Piyasası'!$AC$2:$AC$62,ROW()-3),'V_Para Piyasası'!$AC$2:$AC$62,0))</f>
        <v>22.527707213991871</v>
      </c>
      <c r="J46" s="9">
        <f>INDEX('V_Para Piyasası'!I$2:I$62,MATCH(LARGE('V_Para Piyasası'!$AC$2:$AC$62,ROW()-3),'V_Para Piyasası'!$AC$2:$AC$62,0))</f>
        <v>48.449113007545748</v>
      </c>
      <c r="K46" s="10">
        <f>INDEX('V_Para Piyasası'!J$2:J$62,MATCH(LARGE('V_Para Piyasası'!$AC$2:$AC$62,ROW()-3),'V_Para Piyasası'!$AC$2:$AC$62,0))</f>
        <v>5029</v>
      </c>
      <c r="L46" s="10">
        <f>INDEX('V_Para Piyasası'!K$2:K$62,MATCH(LARGE('V_Para Piyasası'!$AC$2:$AC$62,ROW()-3),'V_Para Piyasası'!$AC$2:$AC$62,0))</f>
        <v>4869</v>
      </c>
      <c r="M46" s="8">
        <f>INDEX('V_Para Piyasası'!L$2:L$62,MATCH(LARGE('V_Para Piyasası'!$AC$2:$AC$62,ROW()-3),'V_Para Piyasası'!$AC$2:$AC$62,0))</f>
        <v>-3.1815470272419932E-2</v>
      </c>
      <c r="N46" s="11">
        <f>INDEX('V_Para Piyasası'!M$2:M$62,MATCH(LARGE('V_Para Piyasası'!$AC$2:$AC$62,ROW()-3),'V_Para Piyasası'!$AC$2:$AC$62,0))</f>
        <v>5727971695.6000004</v>
      </c>
      <c r="O46" s="11">
        <f>INDEX('V_Para Piyasası'!N$2:N$62,MATCH(LARGE('V_Para Piyasası'!$AC$2:$AC$62,ROW()-3),'V_Para Piyasası'!$AC$2:$AC$62,0))</f>
        <v>6076340538.6999998</v>
      </c>
      <c r="P46" s="8">
        <f>INDEX('V_Para Piyasası'!O$2:O$62,MATCH(LARGE('V_Para Piyasası'!$AC$2:$AC$62,ROW()-3),'V_Para Piyasası'!$AC$2:$AC$62,0))</f>
        <v>6.0818883474512031E-2</v>
      </c>
      <c r="Q46" s="9">
        <f>INDEX('V_Para Piyasası'!P$2:P$62,MATCH(LARGE('V_Para Piyasası'!$AC$2:$AC$62,ROW()-3),'V_Para Piyasası'!$AC$2:$AC$62,0))</f>
        <v>8.5258815620813902E-2</v>
      </c>
      <c r="R46" s="5" t="str">
        <f>INDEX('V_Para Piyasası'!Q$2:Q$62,MATCH(LARGE('V_Para Piyasası'!$AC$2:$AC$62,ROW()-3),'V_Para Piyasası'!$AC$2:$AC$62,0))</f>
        <v>Görüyor</v>
      </c>
      <c r="S46" s="8">
        <f>INDEX('V_Para Piyasası'!R$2:R$62,MATCH(LARGE('V_Para Piyasası'!$AC$2:$AC$62,ROW()-3),'V_Para Piyasası'!$AC$2:$AC$62,0))</f>
        <v>0.31940000000000002</v>
      </c>
      <c r="T46" s="8">
        <f>INDEX('V_Para Piyasası'!S$2:S$62,MATCH(LARGE('V_Para Piyasası'!$AC$2:$AC$62,ROW()-3),'V_Para Piyasası'!$AC$2:$AC$62,0))</f>
        <v>0</v>
      </c>
      <c r="U46" s="8">
        <f>INDEX('V_Para Piyasası'!T$2:T$62,MATCH(LARGE('V_Para Piyasası'!$AC$2:$AC$62,ROW()-3),'V_Para Piyasası'!$AC$2:$AC$62,0))</f>
        <v>0.39939999999999998</v>
      </c>
      <c r="V46" s="8">
        <f>INDEX('V_Para Piyasası'!U$2:U$62,MATCH(LARGE('V_Para Piyasası'!$AC$2:$AC$62,ROW()-3),'V_Para Piyasası'!$AC$2:$AC$62,0))</f>
        <v>0</v>
      </c>
      <c r="W46" s="8">
        <f>INDEX('V_Para Piyasası'!V$2:V$62,MATCH(LARGE('V_Para Piyasası'!$AC$2:$AC$62,ROW()-3),'V_Para Piyasası'!$AC$2:$AC$62,0))</f>
        <v>5.1900000000000002E-2</v>
      </c>
      <c r="X46" s="8">
        <f>INDEX('V_Para Piyasası'!W$2:W$62,MATCH(LARGE('V_Para Piyasası'!$AC$2:$AC$62,ROW()-3),'V_Para Piyasası'!$AC$2:$AC$62,0))</f>
        <v>0</v>
      </c>
      <c r="Y46" s="8">
        <f>INDEX('V_Para Piyasası'!X$2:X$62,MATCH(LARGE('V_Para Piyasası'!$AC$2:$AC$62,ROW()-3),'V_Para Piyasası'!$AC$2:$AC$62,0))</f>
        <v>1.8E-3</v>
      </c>
      <c r="Z46" s="8">
        <f>INDEX('V_Para Piyasası'!Y$2:Y$62,MATCH(LARGE('V_Para Piyasası'!$AC$2:$AC$62,ROW()-3),'V_Para Piyasası'!$AC$2:$AC$62,0))</f>
        <v>9.7599999999999992E-2</v>
      </c>
      <c r="AA46" s="8">
        <f>INDEX('V_Para Piyasası'!Z$2:Z$62,MATCH(LARGE('V_Para Piyasası'!$AC$2:$AC$62,ROW()-3),'V_Para Piyasası'!$AC$2:$AC$62,0))</f>
        <v>0</v>
      </c>
      <c r="AB46" s="8">
        <f>INDEX('V_Para Piyasası'!AA$2:AA$62,MATCH(LARGE('V_Para Piyasası'!$AC$2:$AC$62,ROW()-3),'V_Para Piyasası'!$AC$2:$AC$62,0))</f>
        <v>0.87009999999999998</v>
      </c>
    </row>
    <row r="47" spans="1:28" x14ac:dyDescent="0.2">
      <c r="A47">
        <v>44</v>
      </c>
      <c r="B47" s="5" t="str">
        <f>INDEX('V_Para Piyasası'!A$2:A$62,MATCH(LARGE('V_Para Piyasası'!$AC$2:$AC$62,ROW()-3),'V_Para Piyasası'!$AC$2:$AC$62,0))</f>
        <v>FSK</v>
      </c>
      <c r="C47" s="5" t="str">
        <f>INDEX('V_Para Piyasası'!B$2:B$62,MATCH(LARGE('V_Para Piyasası'!$AC$2:$AC$62,ROW()-3),'V_Para Piyasası'!$AC$2:$AC$62,0))</f>
        <v>Qnb Portföy İkinci Para Piyasası (TL) Fonu</v>
      </c>
      <c r="D47" s="5" t="str">
        <f>INDEX('V_Para Piyasası'!C$2:C$62,MATCH(LARGE('V_Para Piyasası'!$AC$2:$AC$62,ROW()-3),'V_Para Piyasası'!$AC$2:$AC$62,0))</f>
        <v>Qnb Portföy</v>
      </c>
      <c r="E47" s="8">
        <f>INDEX('V_Para Piyasası'!D$2:D$62,MATCH(LARGE('V_Para Piyasası'!$AC$2:$AC$62,ROW()-3),'V_Para Piyasası'!$AC$2:$AC$62,0))</f>
        <v>1.2999999999999999E-2</v>
      </c>
      <c r="F47" s="9">
        <f>INDEX('V_Para Piyasası'!E$2:E$62,MATCH(LARGE('V_Para Piyasası'!$AC$2:$AC$62,ROW()-3),'V_Para Piyasası'!$AC$2:$AC$62,0))</f>
        <v>0.10696322215744131</v>
      </c>
      <c r="G47" s="9">
        <f>INDEX('V_Para Piyasası'!F$2:F$62,MATCH(LARGE('V_Para Piyasası'!$AC$2:$AC$62,ROW()-3),'V_Para Piyasası'!$AC$2:$AC$62,0))</f>
        <v>0.73330516472711604</v>
      </c>
      <c r="H47" s="9">
        <f>INDEX('V_Para Piyasası'!G$2:G$62,MATCH(LARGE('V_Para Piyasası'!$AC$2:$AC$62,ROW()-3),'V_Para Piyasası'!$AC$2:$AC$62,0))</f>
        <v>3.391817028851118</v>
      </c>
      <c r="I47" s="9">
        <f>INDEX('V_Para Piyasası'!H$2:H$62,MATCH(LARGE('V_Para Piyasası'!$AC$2:$AC$62,ROW()-3),'V_Para Piyasası'!$AC$2:$AC$62,0))</f>
        <v>21.960037208528881</v>
      </c>
      <c r="J47" s="9">
        <f>INDEX('V_Para Piyasası'!I$2:I$62,MATCH(LARGE('V_Para Piyasası'!$AC$2:$AC$62,ROW()-3),'V_Para Piyasası'!$AC$2:$AC$62,0))</f>
        <v>47.381729239582008</v>
      </c>
      <c r="K47" s="10">
        <f>INDEX('V_Para Piyasası'!J$2:J$62,MATCH(LARGE('V_Para Piyasası'!$AC$2:$AC$62,ROW()-3),'V_Para Piyasası'!$AC$2:$AC$62,0))</f>
        <v>2487</v>
      </c>
      <c r="L47" s="10">
        <f>INDEX('V_Para Piyasası'!K$2:K$62,MATCH(LARGE('V_Para Piyasası'!$AC$2:$AC$62,ROW()-3),'V_Para Piyasası'!$AC$2:$AC$62,0))</f>
        <v>2412</v>
      </c>
      <c r="M47" s="8">
        <f>INDEX('V_Para Piyasası'!L$2:L$62,MATCH(LARGE('V_Para Piyasası'!$AC$2:$AC$62,ROW()-3),'V_Para Piyasası'!$AC$2:$AC$62,0))</f>
        <v>-3.0156815440289478E-2</v>
      </c>
      <c r="N47" s="11">
        <f>INDEX('V_Para Piyasası'!M$2:M$62,MATCH(LARGE('V_Para Piyasası'!$AC$2:$AC$62,ROW()-3),'V_Para Piyasası'!$AC$2:$AC$62,0))</f>
        <v>6146421092.3100004</v>
      </c>
      <c r="O47" s="11">
        <f>INDEX('V_Para Piyasası'!N$2:N$62,MATCH(LARGE('V_Para Piyasası'!$AC$2:$AC$62,ROW()-3),'V_Para Piyasası'!$AC$2:$AC$62,0))</f>
        <v>5282547190.0600004</v>
      </c>
      <c r="P47" s="8">
        <f>INDEX('V_Para Piyasası'!O$2:O$62,MATCH(LARGE('V_Para Piyasası'!$AC$2:$AC$62,ROW()-3),'V_Para Piyasası'!$AC$2:$AC$62,0))</f>
        <v>-0.14054909178461961</v>
      </c>
      <c r="Q47" s="9">
        <f>INDEX('V_Para Piyasası'!P$2:P$62,MATCH(LARGE('V_Para Piyasası'!$AC$2:$AC$62,ROW()-3),'V_Para Piyasası'!$AC$2:$AC$62,0))</f>
        <v>8.2400603366677275E-2</v>
      </c>
      <c r="R47" s="5" t="str">
        <f>INDEX('V_Para Piyasası'!Q$2:Q$62,MATCH(LARGE('V_Para Piyasası'!$AC$2:$AC$62,ROW()-3),'V_Para Piyasası'!$AC$2:$AC$62,0))</f>
        <v>Görüyor</v>
      </c>
      <c r="S47" s="8">
        <f>INDEX('V_Para Piyasası'!R$2:R$62,MATCH(LARGE('V_Para Piyasası'!$AC$2:$AC$62,ROW()-3),'V_Para Piyasası'!$AC$2:$AC$62,0))</f>
        <v>0.39629999999999999</v>
      </c>
      <c r="T47" s="8">
        <f>INDEX('V_Para Piyasası'!S$2:S$62,MATCH(LARGE('V_Para Piyasası'!$AC$2:$AC$62,ROW()-3),'V_Para Piyasası'!$AC$2:$AC$62,0))</f>
        <v>0</v>
      </c>
      <c r="U47" s="8">
        <f>INDEX('V_Para Piyasası'!T$2:T$62,MATCH(LARGE('V_Para Piyasası'!$AC$2:$AC$62,ROW()-3),'V_Para Piyasası'!$AC$2:$AC$62,0))</f>
        <v>4.5499999999999999E-2</v>
      </c>
      <c r="V47" s="8">
        <f>INDEX('V_Para Piyasası'!U$2:U$62,MATCH(LARGE('V_Para Piyasası'!$AC$2:$AC$62,ROW()-3),'V_Para Piyasası'!$AC$2:$AC$62,0))</f>
        <v>0</v>
      </c>
      <c r="W47" s="8">
        <f>INDEX('V_Para Piyasası'!V$2:V$62,MATCH(LARGE('V_Para Piyasası'!$AC$2:$AC$62,ROW()-3),'V_Para Piyasası'!$AC$2:$AC$62,0))</f>
        <v>3.32E-2</v>
      </c>
      <c r="X47" s="8">
        <f>INDEX('V_Para Piyasası'!W$2:W$62,MATCH(LARGE('V_Para Piyasası'!$AC$2:$AC$62,ROW()-3),'V_Para Piyasası'!$AC$2:$AC$62,0))</f>
        <v>0</v>
      </c>
      <c r="Y47" s="8">
        <f>INDEX('V_Para Piyasası'!X$2:X$62,MATCH(LARGE('V_Para Piyasası'!$AC$2:$AC$62,ROW()-3),'V_Para Piyasası'!$AC$2:$AC$62,0))</f>
        <v>0.1031</v>
      </c>
      <c r="Z47" s="8">
        <f>INDEX('V_Para Piyasası'!Y$2:Y$62,MATCH(LARGE('V_Para Piyasası'!$AC$2:$AC$62,ROW()-3),'V_Para Piyasası'!$AC$2:$AC$62,0))</f>
        <v>7.6299999999999993E-2</v>
      </c>
      <c r="AA47" s="8">
        <f>INDEX('V_Para Piyasası'!Z$2:Z$62,MATCH(LARGE('V_Para Piyasası'!$AC$2:$AC$62,ROW()-3),'V_Para Piyasası'!$AC$2:$AC$62,0))</f>
        <v>6.7000000000000002E-3</v>
      </c>
      <c r="AB47" s="8">
        <f>INDEX('V_Para Piyasası'!AA$2:AA$62,MATCH(LARGE('V_Para Piyasası'!$AC$2:$AC$62,ROW()-3),'V_Para Piyasası'!$AC$2:$AC$62,0))</f>
        <v>0.66110000000000002</v>
      </c>
    </row>
    <row r="48" spans="1:28" x14ac:dyDescent="0.2">
      <c r="A48">
        <v>45</v>
      </c>
      <c r="B48" s="5" t="str">
        <f>INDEX('V_Para Piyasası'!A$2:A$62,MATCH(LARGE('V_Para Piyasası'!$AC$2:$AC$62,ROW()-3),'V_Para Piyasası'!$AC$2:$AC$62,0))</f>
        <v>ALE</v>
      </c>
      <c r="C48" s="5" t="str">
        <f>INDEX('V_Para Piyasası'!B$2:B$62,MATCH(LARGE('V_Para Piyasası'!$AC$2:$AC$62,ROW()-3),'V_Para Piyasası'!$AC$2:$AC$62,0))</f>
        <v>AK Portföy Para Piyasası (TL) Fonu</v>
      </c>
      <c r="D48" s="5" t="str">
        <f>INDEX('V_Para Piyasası'!C$2:C$62,MATCH(LARGE('V_Para Piyasası'!$AC$2:$AC$62,ROW()-3),'V_Para Piyasası'!$AC$2:$AC$62,0))</f>
        <v>AK Portföy</v>
      </c>
      <c r="E48" s="8">
        <f>INDEX('V_Para Piyasası'!D$2:D$62,MATCH(LARGE('V_Para Piyasası'!$AC$2:$AC$62,ROW()-3),'V_Para Piyasası'!$AC$2:$AC$62,0))</f>
        <v>1.5299999999999999E-2</v>
      </c>
      <c r="F48" s="9">
        <f>INDEX('V_Para Piyasası'!E$2:E$62,MATCH(LARGE('V_Para Piyasası'!$AC$2:$AC$62,ROW()-3),'V_Para Piyasası'!$AC$2:$AC$62,0))</f>
        <v>0.1068572331043738</v>
      </c>
      <c r="G48" s="9">
        <f>INDEX('V_Para Piyasası'!F$2:F$62,MATCH(LARGE('V_Para Piyasası'!$AC$2:$AC$62,ROW()-3),'V_Para Piyasası'!$AC$2:$AC$62,0))</f>
        <v>0.73696363869140136</v>
      </c>
      <c r="H48" s="9">
        <f>INDEX('V_Para Piyasası'!G$2:G$62,MATCH(LARGE('V_Para Piyasası'!$AC$2:$AC$62,ROW()-3),'V_Para Piyasası'!$AC$2:$AC$62,0))</f>
        <v>3.4507230349848821</v>
      </c>
      <c r="I48" s="9">
        <f>INDEX('V_Para Piyasası'!H$2:H$62,MATCH(LARGE('V_Para Piyasası'!$AC$2:$AC$62,ROW()-3),'V_Para Piyasası'!$AC$2:$AC$62,0))</f>
        <v>22.126790748081191</v>
      </c>
      <c r="J48" s="9">
        <f>INDEX('V_Para Piyasası'!I$2:I$62,MATCH(LARGE('V_Para Piyasası'!$AC$2:$AC$62,ROW()-3),'V_Para Piyasası'!$AC$2:$AC$62,0))</f>
        <v>46.762006227652847</v>
      </c>
      <c r="K48" s="10">
        <f>INDEX('V_Para Piyasası'!J$2:J$62,MATCH(LARGE('V_Para Piyasası'!$AC$2:$AC$62,ROW()-3),'V_Para Piyasası'!$AC$2:$AC$62,0))</f>
        <v>139040</v>
      </c>
      <c r="L48" s="10">
        <f>INDEX('V_Para Piyasası'!K$2:K$62,MATCH(LARGE('V_Para Piyasası'!$AC$2:$AC$62,ROW()-3),'V_Para Piyasası'!$AC$2:$AC$62,0))</f>
        <v>145744</v>
      </c>
      <c r="M48" s="8">
        <f>INDEX('V_Para Piyasası'!L$2:L$62,MATCH(LARGE('V_Para Piyasası'!$AC$2:$AC$62,ROW()-3),'V_Para Piyasası'!$AC$2:$AC$62,0))</f>
        <v>4.8216340621404008E-2</v>
      </c>
      <c r="N48" s="11">
        <f>INDEX('V_Para Piyasası'!M$2:M$62,MATCH(LARGE('V_Para Piyasası'!$AC$2:$AC$62,ROW()-3),'V_Para Piyasası'!$AC$2:$AC$62,0))</f>
        <v>75467696582.699997</v>
      </c>
      <c r="O48" s="11">
        <f>INDEX('V_Para Piyasası'!N$2:N$62,MATCH(LARGE('V_Para Piyasası'!$AC$2:$AC$62,ROW()-3),'V_Para Piyasası'!$AC$2:$AC$62,0))</f>
        <v>77856043687.229996</v>
      </c>
      <c r="P48" s="8">
        <f>INDEX('V_Para Piyasası'!O$2:O$62,MATCH(LARGE('V_Para Piyasası'!$AC$2:$AC$62,ROW()-3),'V_Para Piyasası'!$AC$2:$AC$62,0))</f>
        <v>3.1647277082490037E-2</v>
      </c>
      <c r="Q48" s="9">
        <f>INDEX('V_Para Piyasası'!P$2:P$62,MATCH(LARGE('V_Para Piyasası'!$AC$2:$AC$62,ROW()-3),'V_Para Piyasası'!$AC$2:$AC$62,0))</f>
        <v>8.1106342614121613E-2</v>
      </c>
      <c r="R48" s="5" t="str">
        <f>INDEX('V_Para Piyasası'!Q$2:Q$62,MATCH(LARGE('V_Para Piyasası'!$AC$2:$AC$62,ROW()-3),'V_Para Piyasası'!$AC$2:$AC$62,0))</f>
        <v>Görmüyor</v>
      </c>
      <c r="S48" s="8">
        <f>INDEX('V_Para Piyasası'!R$2:R$62,MATCH(LARGE('V_Para Piyasası'!$AC$2:$AC$62,ROW()-3),'V_Para Piyasası'!$AC$2:$AC$62,0))</f>
        <v>0.48680000000000001</v>
      </c>
      <c r="T48" s="8">
        <f>INDEX('V_Para Piyasası'!S$2:S$62,MATCH(LARGE('V_Para Piyasası'!$AC$2:$AC$62,ROW()-3),'V_Para Piyasası'!$AC$2:$AC$62,0))</f>
        <v>0</v>
      </c>
      <c r="U48" s="8">
        <f>INDEX('V_Para Piyasası'!T$2:T$62,MATCH(LARGE('V_Para Piyasası'!$AC$2:$AC$62,ROW()-3),'V_Para Piyasası'!$AC$2:$AC$62,0))</f>
        <v>0.28420000000000001</v>
      </c>
      <c r="V48" s="8">
        <f>INDEX('V_Para Piyasası'!U$2:U$62,MATCH(LARGE('V_Para Piyasası'!$AC$2:$AC$62,ROW()-3),'V_Para Piyasası'!$AC$2:$AC$62,0))</f>
        <v>0</v>
      </c>
      <c r="W48" s="8">
        <f>INDEX('V_Para Piyasası'!V$2:V$62,MATCH(LARGE('V_Para Piyasası'!$AC$2:$AC$62,ROW()-3),'V_Para Piyasası'!$AC$2:$AC$62,0))</f>
        <v>1.3100000000000001E-2</v>
      </c>
      <c r="X48" s="8">
        <f>INDEX('V_Para Piyasası'!W$2:W$62,MATCH(LARGE('V_Para Piyasası'!$AC$2:$AC$62,ROW()-3),'V_Para Piyasası'!$AC$2:$AC$62,0))</f>
        <v>0</v>
      </c>
      <c r="Y48" s="8">
        <f>INDEX('V_Para Piyasası'!X$2:X$62,MATCH(LARGE('V_Para Piyasası'!$AC$2:$AC$62,ROW()-3),'V_Para Piyasası'!$AC$2:$AC$62,0))</f>
        <v>3.5000000000000001E-3</v>
      </c>
      <c r="Z48" s="8">
        <f>INDEX('V_Para Piyasası'!Y$2:Y$62,MATCH(LARGE('V_Para Piyasası'!$AC$2:$AC$62,ROW()-3),'V_Para Piyasası'!$AC$2:$AC$62,0))</f>
        <v>9.4999999999999998E-3</v>
      </c>
      <c r="AA48" s="8">
        <f>INDEX('V_Para Piyasası'!Z$2:Z$62,MATCH(LARGE('V_Para Piyasası'!$AC$2:$AC$62,ROW()-3),'V_Para Piyasası'!$AC$2:$AC$62,0))</f>
        <v>0</v>
      </c>
      <c r="AB48" s="8">
        <f>INDEX('V_Para Piyasası'!AA$2:AA$62,MATCH(LARGE('V_Para Piyasası'!$AC$2:$AC$62,ROW()-3),'V_Para Piyasası'!$AC$2:$AC$62,0))</f>
        <v>0.79710000000000003</v>
      </c>
    </row>
    <row r="49" spans="1:28" x14ac:dyDescent="0.2">
      <c r="A49">
        <v>46</v>
      </c>
      <c r="B49" s="5" t="str">
        <f>INDEX('V_Para Piyasası'!A$2:A$62,MATCH(LARGE('V_Para Piyasası'!$AC$2:$AC$62,ROW()-3),'V_Para Piyasası'!$AC$2:$AC$62,0))</f>
        <v>HIP</v>
      </c>
      <c r="C49" s="5" t="str">
        <f>INDEX('V_Para Piyasası'!B$2:B$62,MATCH(LARGE('V_Para Piyasası'!$AC$2:$AC$62,ROW()-3),'V_Para Piyasası'!$AC$2:$AC$62,0))</f>
        <v>Hsbc Portföy İkinci Para Piyasası (TL) Fonu</v>
      </c>
      <c r="D49" s="5" t="str">
        <f>INDEX('V_Para Piyasası'!C$2:C$62,MATCH(LARGE('V_Para Piyasası'!$AC$2:$AC$62,ROW()-3),'V_Para Piyasası'!$AC$2:$AC$62,0))</f>
        <v>Hsbc Portföy</v>
      </c>
      <c r="E49" s="8">
        <f>INDEX('V_Para Piyasası'!D$2:D$62,MATCH(LARGE('V_Para Piyasası'!$AC$2:$AC$62,ROW()-3),'V_Para Piyasası'!$AC$2:$AC$62,0))</f>
        <v>1.2E-2</v>
      </c>
      <c r="F49" s="9">
        <f>INDEX('V_Para Piyasası'!E$2:E$62,MATCH(LARGE('V_Para Piyasası'!$AC$2:$AC$62,ROW()-3),'V_Para Piyasası'!$AC$2:$AC$62,0))</f>
        <v>0.106321181333624</v>
      </c>
      <c r="G49" s="9">
        <f>INDEX('V_Para Piyasası'!F$2:F$62,MATCH(LARGE('V_Para Piyasası'!$AC$2:$AC$62,ROW()-3),'V_Para Piyasası'!$AC$2:$AC$62,0))</f>
        <v>0.75448777206135187</v>
      </c>
      <c r="H49" s="9">
        <f>INDEX('V_Para Piyasası'!G$2:G$62,MATCH(LARGE('V_Para Piyasası'!$AC$2:$AC$62,ROW()-3),'V_Para Piyasası'!$AC$2:$AC$62,0))</f>
        <v>3.503054240487002</v>
      </c>
      <c r="I49" s="9">
        <f>INDEX('V_Para Piyasası'!H$2:H$62,MATCH(LARGE('V_Para Piyasası'!$AC$2:$AC$62,ROW()-3),'V_Para Piyasası'!$AC$2:$AC$62,0))</f>
        <v>22.848152845042911</v>
      </c>
      <c r="J49" s="9">
        <f>INDEX('V_Para Piyasası'!I$2:I$62,MATCH(LARGE('V_Para Piyasası'!$AC$2:$AC$62,ROW()-3),'V_Para Piyasası'!$AC$2:$AC$62,0))</f>
        <v>47.741081104481758</v>
      </c>
      <c r="K49" s="10">
        <f>INDEX('V_Para Piyasası'!J$2:J$62,MATCH(LARGE('V_Para Piyasası'!$AC$2:$AC$62,ROW()-3),'V_Para Piyasası'!$AC$2:$AC$62,0))</f>
        <v>1065</v>
      </c>
      <c r="L49" s="10">
        <f>INDEX('V_Para Piyasası'!K$2:K$62,MATCH(LARGE('V_Para Piyasası'!$AC$2:$AC$62,ROW()-3),'V_Para Piyasası'!$AC$2:$AC$62,0))</f>
        <v>1118</v>
      </c>
      <c r="M49" s="8">
        <f>INDEX('V_Para Piyasası'!L$2:L$62,MATCH(LARGE('V_Para Piyasası'!$AC$2:$AC$62,ROW()-3),'V_Para Piyasası'!$AC$2:$AC$62,0))</f>
        <v>4.9765258215962449E-2</v>
      </c>
      <c r="N49" s="11">
        <f>INDEX('V_Para Piyasası'!M$2:M$62,MATCH(LARGE('V_Para Piyasası'!$AC$2:$AC$62,ROW()-3),'V_Para Piyasası'!$AC$2:$AC$62,0))</f>
        <v>1753355095.6600001</v>
      </c>
      <c r="O49" s="11">
        <f>INDEX('V_Para Piyasası'!N$2:N$62,MATCH(LARGE('V_Para Piyasası'!$AC$2:$AC$62,ROW()-3),'V_Para Piyasası'!$AC$2:$AC$62,0))</f>
        <v>1897117385.46</v>
      </c>
      <c r="P49" s="8">
        <f>INDEX('V_Para Piyasası'!O$2:O$62,MATCH(LARGE('V_Para Piyasası'!$AC$2:$AC$62,ROW()-3),'V_Para Piyasası'!$AC$2:$AC$62,0))</f>
        <v>8.1992683715836012E-2</v>
      </c>
      <c r="Q49" s="9">
        <f>INDEX('V_Para Piyasası'!P$2:P$62,MATCH(LARGE('V_Para Piyasası'!$AC$2:$AC$62,ROW()-3),'V_Para Piyasası'!$AC$2:$AC$62,0))</f>
        <v>8.426729365023744E-2</v>
      </c>
      <c r="R49" s="5" t="str">
        <f>INDEX('V_Para Piyasası'!Q$2:Q$62,MATCH(LARGE('V_Para Piyasası'!$AC$2:$AC$62,ROW()-3),'V_Para Piyasası'!$AC$2:$AC$62,0))</f>
        <v>Görmüyor</v>
      </c>
      <c r="S49" s="8">
        <f>INDEX('V_Para Piyasası'!R$2:R$62,MATCH(LARGE('V_Para Piyasası'!$AC$2:$AC$62,ROW()-3),'V_Para Piyasası'!$AC$2:$AC$62,0))</f>
        <v>0</v>
      </c>
      <c r="T49" s="8">
        <f>INDEX('V_Para Piyasası'!S$2:S$62,MATCH(LARGE('V_Para Piyasası'!$AC$2:$AC$62,ROW()-3),'V_Para Piyasası'!$AC$2:$AC$62,0))</f>
        <v>0</v>
      </c>
      <c r="U49" s="8">
        <f>INDEX('V_Para Piyasası'!T$2:T$62,MATCH(LARGE('V_Para Piyasası'!$AC$2:$AC$62,ROW()-3),'V_Para Piyasası'!$AC$2:$AC$62,0))</f>
        <v>0.79069999999999996</v>
      </c>
      <c r="V49" s="8">
        <f>INDEX('V_Para Piyasası'!U$2:U$62,MATCH(LARGE('V_Para Piyasası'!$AC$2:$AC$62,ROW()-3),'V_Para Piyasası'!$AC$2:$AC$62,0))</f>
        <v>0</v>
      </c>
      <c r="W49" s="8">
        <f>INDEX('V_Para Piyasası'!V$2:V$62,MATCH(LARGE('V_Para Piyasası'!$AC$2:$AC$62,ROW()-3),'V_Para Piyasası'!$AC$2:$AC$62,0))</f>
        <v>9.0299999999999991E-2</v>
      </c>
      <c r="X49" s="8">
        <f>INDEX('V_Para Piyasası'!W$2:W$62,MATCH(LARGE('V_Para Piyasası'!$AC$2:$AC$62,ROW()-3),'V_Para Piyasası'!$AC$2:$AC$62,0))</f>
        <v>0</v>
      </c>
      <c r="Y49" s="8">
        <f>INDEX('V_Para Piyasası'!X$2:X$62,MATCH(LARGE('V_Para Piyasası'!$AC$2:$AC$62,ROW()-3),'V_Para Piyasası'!$AC$2:$AC$62,0))</f>
        <v>0</v>
      </c>
      <c r="Z49" s="8">
        <f>INDEX('V_Para Piyasası'!Y$2:Y$62,MATCH(LARGE('V_Para Piyasası'!$AC$2:$AC$62,ROW()-3),'V_Para Piyasası'!$AC$2:$AC$62,0))</f>
        <v>0</v>
      </c>
      <c r="AA49" s="8">
        <f>INDEX('V_Para Piyasası'!Z$2:Z$62,MATCH(LARGE('V_Para Piyasası'!$AC$2:$AC$62,ROW()-3),'V_Para Piyasası'!$AC$2:$AC$62,0))</f>
        <v>0</v>
      </c>
      <c r="AB49" s="8">
        <f>INDEX('V_Para Piyasası'!AA$2:AA$62,MATCH(LARGE('V_Para Piyasası'!$AC$2:$AC$62,ROW()-3),'V_Para Piyasası'!$AC$2:$AC$62,0))</f>
        <v>0.88100000000000001</v>
      </c>
    </row>
    <row r="50" spans="1:28" x14ac:dyDescent="0.2">
      <c r="A50">
        <v>47</v>
      </c>
      <c r="B50" s="5" t="str">
        <f>INDEX('V_Para Piyasası'!A$2:A$62,MATCH(LARGE('V_Para Piyasası'!$AC$2:$AC$62,ROW()-3),'V_Para Piyasası'!$AC$2:$AC$62,0))</f>
        <v>UPP</v>
      </c>
      <c r="C50" s="5" t="str">
        <f>INDEX('V_Para Piyasası'!B$2:B$62,MATCH(LARGE('V_Para Piyasası'!$AC$2:$AC$62,ROW()-3),'V_Para Piyasası'!$AC$2:$AC$62,0))</f>
        <v>Ünlü Portföy Para Piyasası (TL) Fonu</v>
      </c>
      <c r="D50" s="5" t="str">
        <f>INDEX('V_Para Piyasası'!C$2:C$62,MATCH(LARGE('V_Para Piyasası'!$AC$2:$AC$62,ROW()-3),'V_Para Piyasası'!$AC$2:$AC$62,0))</f>
        <v>Ünlü Portföy</v>
      </c>
      <c r="E50" s="8">
        <f>INDEX('V_Para Piyasası'!D$2:D$62,MATCH(LARGE('V_Para Piyasası'!$AC$2:$AC$62,ROW()-3),'V_Para Piyasası'!$AC$2:$AC$62,0))</f>
        <v>0.01</v>
      </c>
      <c r="F50" s="9">
        <f>INDEX('V_Para Piyasası'!E$2:E$62,MATCH(LARGE('V_Para Piyasası'!$AC$2:$AC$62,ROW()-3),'V_Para Piyasası'!$AC$2:$AC$62,0))</f>
        <v>0.1061581195694217</v>
      </c>
      <c r="G50" s="9">
        <f>INDEX('V_Para Piyasası'!F$2:F$62,MATCH(LARGE('V_Para Piyasası'!$AC$2:$AC$62,ROW()-3),'V_Para Piyasası'!$AC$2:$AC$62,0))</f>
        <v>0.73681026397371951</v>
      </c>
      <c r="H50" s="9">
        <f>INDEX('V_Para Piyasası'!G$2:G$62,MATCH(LARGE('V_Para Piyasası'!$AC$2:$AC$62,ROW()-3),'V_Para Piyasası'!$AC$2:$AC$62,0))</f>
        <v>3.398427919358515</v>
      </c>
      <c r="I50" s="9">
        <f>INDEX('V_Para Piyasası'!H$2:H$62,MATCH(LARGE('V_Para Piyasası'!$AC$2:$AC$62,ROW()-3),'V_Para Piyasası'!$AC$2:$AC$62,0))</f>
        <v>22.34021027721225</v>
      </c>
      <c r="J50" s="9">
        <f>INDEX('V_Para Piyasası'!I$2:I$62,MATCH(LARGE('V_Para Piyasası'!$AC$2:$AC$62,ROW()-3),'V_Para Piyasası'!$AC$2:$AC$62,0))</f>
        <v>47.303821976545059</v>
      </c>
      <c r="K50" s="10">
        <f>INDEX('V_Para Piyasası'!J$2:J$62,MATCH(LARGE('V_Para Piyasası'!$AC$2:$AC$62,ROW()-3),'V_Para Piyasası'!$AC$2:$AC$62,0))</f>
        <v>953</v>
      </c>
      <c r="L50" s="10">
        <f>INDEX('V_Para Piyasası'!K$2:K$62,MATCH(LARGE('V_Para Piyasası'!$AC$2:$AC$62,ROW()-3),'V_Para Piyasası'!$AC$2:$AC$62,0))</f>
        <v>938</v>
      </c>
      <c r="M50" s="8">
        <f>INDEX('V_Para Piyasası'!L$2:L$62,MATCH(LARGE('V_Para Piyasası'!$AC$2:$AC$62,ROW()-3),'V_Para Piyasası'!$AC$2:$AC$62,0))</f>
        <v>-1.5739769150052488E-2</v>
      </c>
      <c r="N50" s="11">
        <f>INDEX('V_Para Piyasası'!M$2:M$62,MATCH(LARGE('V_Para Piyasası'!$AC$2:$AC$62,ROW()-3),'V_Para Piyasası'!$AC$2:$AC$62,0))</f>
        <v>2618919407.1500001</v>
      </c>
      <c r="O50" s="11">
        <f>INDEX('V_Para Piyasası'!N$2:N$62,MATCH(LARGE('V_Para Piyasası'!$AC$2:$AC$62,ROW()-3),'V_Para Piyasası'!$AC$2:$AC$62,0))</f>
        <v>2618835107.2399998</v>
      </c>
      <c r="P50" s="8">
        <f>INDEX('V_Para Piyasası'!O$2:O$62,MATCH(LARGE('V_Para Piyasası'!$AC$2:$AC$62,ROW()-3),'V_Para Piyasası'!$AC$2:$AC$62,0))</f>
        <v>-3.2188814123146343E-5</v>
      </c>
      <c r="Q50" s="9">
        <f>INDEX('V_Para Piyasası'!P$2:P$62,MATCH(LARGE('V_Para Piyasası'!$AC$2:$AC$62,ROW()-3),'V_Para Piyasası'!$AC$2:$AC$62,0))</f>
        <v>8.3603292664749057E-2</v>
      </c>
      <c r="R50" s="5" t="str">
        <f>INDEX('V_Para Piyasası'!Q$2:Q$62,MATCH(LARGE('V_Para Piyasası'!$AC$2:$AC$62,ROW()-3),'V_Para Piyasası'!$AC$2:$AC$62,0))</f>
        <v>Görüyor</v>
      </c>
      <c r="S50" s="8">
        <f>INDEX('V_Para Piyasası'!R$2:R$62,MATCH(LARGE('V_Para Piyasası'!$AC$2:$AC$62,ROW()-3),'V_Para Piyasası'!$AC$2:$AC$62,0))</f>
        <v>0.16400000000000001</v>
      </c>
      <c r="T50" s="8">
        <f>INDEX('V_Para Piyasası'!S$2:S$62,MATCH(LARGE('V_Para Piyasası'!$AC$2:$AC$62,ROW()-3),'V_Para Piyasası'!$AC$2:$AC$62,0))</f>
        <v>0</v>
      </c>
      <c r="U50" s="8">
        <f>INDEX('V_Para Piyasası'!T$2:T$62,MATCH(LARGE('V_Para Piyasası'!$AC$2:$AC$62,ROW()-3),'V_Para Piyasası'!$AC$2:$AC$62,0))</f>
        <v>0.6522</v>
      </c>
      <c r="V50" s="8">
        <f>INDEX('V_Para Piyasası'!U$2:U$62,MATCH(LARGE('V_Para Piyasası'!$AC$2:$AC$62,ROW()-3),'V_Para Piyasası'!$AC$2:$AC$62,0))</f>
        <v>0</v>
      </c>
      <c r="W50" s="8">
        <f>INDEX('V_Para Piyasası'!V$2:V$62,MATCH(LARGE('V_Para Piyasası'!$AC$2:$AC$62,ROW()-3),'V_Para Piyasası'!$AC$2:$AC$62,0))</f>
        <v>2.0000000000000001E-4</v>
      </c>
      <c r="X50" s="8">
        <f>INDEX('V_Para Piyasası'!W$2:W$62,MATCH(LARGE('V_Para Piyasası'!$AC$2:$AC$62,ROW()-3),'V_Para Piyasası'!$AC$2:$AC$62,0))</f>
        <v>0</v>
      </c>
      <c r="Y50" s="8">
        <f>INDEX('V_Para Piyasası'!X$2:X$62,MATCH(LARGE('V_Para Piyasası'!$AC$2:$AC$62,ROW()-3),'V_Para Piyasası'!$AC$2:$AC$62,0))</f>
        <v>1.0699999999999999E-2</v>
      </c>
      <c r="Z50" s="8">
        <f>INDEX('V_Para Piyasası'!Y$2:Y$62,MATCH(LARGE('V_Para Piyasası'!$AC$2:$AC$62,ROW()-3),'V_Para Piyasası'!$AC$2:$AC$62,0))</f>
        <v>4.5499999999999999E-2</v>
      </c>
      <c r="AA50" s="8">
        <f>INDEX('V_Para Piyasası'!Z$2:Z$62,MATCH(LARGE('V_Para Piyasası'!$AC$2:$AC$62,ROW()-3),'V_Para Piyasası'!$AC$2:$AC$62,0))</f>
        <v>0</v>
      </c>
      <c r="AB50" s="8">
        <f>INDEX('V_Para Piyasası'!AA$2:AA$62,MATCH(LARGE('V_Para Piyasası'!$AC$2:$AC$62,ROW()-3),'V_Para Piyasası'!$AC$2:$AC$62,0))</f>
        <v>0.87259999999999993</v>
      </c>
    </row>
    <row r="51" spans="1:28" x14ac:dyDescent="0.2">
      <c r="A51">
        <v>48</v>
      </c>
      <c r="B51" s="5" t="str">
        <f>INDEX('V_Para Piyasası'!A$2:A$62,MATCH(LARGE('V_Para Piyasası'!$AC$2:$AC$62,ROW()-3),'V_Para Piyasası'!$AC$2:$AC$62,0))</f>
        <v>PPP</v>
      </c>
      <c r="C51" s="5" t="str">
        <f>INDEX('V_Para Piyasası'!B$2:B$62,MATCH(LARGE('V_Para Piyasası'!$AC$2:$AC$62,ROW()-3),'V_Para Piyasası'!$AC$2:$AC$62,0))</f>
        <v>Perform Portföy Para Piyasası (TL) Fonu</v>
      </c>
      <c r="D51" s="5" t="str">
        <f>INDEX('V_Para Piyasası'!C$2:C$62,MATCH(LARGE('V_Para Piyasası'!$AC$2:$AC$62,ROW()-3),'V_Para Piyasası'!$AC$2:$AC$62,0))</f>
        <v>Perform Portföy</v>
      </c>
      <c r="E51" s="8">
        <f>INDEX('V_Para Piyasası'!D$2:D$62,MATCH(LARGE('V_Para Piyasası'!$AC$2:$AC$62,ROW()-3),'V_Para Piyasası'!$AC$2:$AC$62,0))</f>
        <v>0.01</v>
      </c>
      <c r="F51" s="9">
        <f>INDEX('V_Para Piyasası'!E$2:E$62,MATCH(LARGE('V_Para Piyasası'!$AC$2:$AC$62,ROW()-3),'V_Para Piyasası'!$AC$2:$AC$62,0))</f>
        <v>0.1060531026372491</v>
      </c>
      <c r="G51" s="9">
        <f>INDEX('V_Para Piyasası'!F$2:F$62,MATCH(LARGE('V_Para Piyasası'!$AC$2:$AC$62,ROW()-3),'V_Para Piyasası'!$AC$2:$AC$62,0))</f>
        <v>0.7399870036319145</v>
      </c>
      <c r="H51" s="9">
        <f>INDEX('V_Para Piyasası'!G$2:G$62,MATCH(LARGE('V_Para Piyasası'!$AC$2:$AC$62,ROW()-3),'V_Para Piyasası'!$AC$2:$AC$62,0))</f>
        <v>3.4454219954846321</v>
      </c>
      <c r="I51" s="9">
        <f>INDEX('V_Para Piyasası'!H$2:H$62,MATCH(LARGE('V_Para Piyasası'!$AC$2:$AC$62,ROW()-3),'V_Para Piyasası'!$AC$2:$AC$62,0))</f>
        <v>22.54459607903372</v>
      </c>
      <c r="J51" s="9">
        <f>INDEX('V_Para Piyasası'!I$2:I$62,MATCH(LARGE('V_Para Piyasası'!$AC$2:$AC$62,ROW()-3),'V_Para Piyasası'!$AC$2:$AC$62,0))</f>
        <v>47.67222740752117</v>
      </c>
      <c r="K51" s="10">
        <f>INDEX('V_Para Piyasası'!J$2:J$62,MATCH(LARGE('V_Para Piyasası'!$AC$2:$AC$62,ROW()-3),'V_Para Piyasası'!$AC$2:$AC$62,0))</f>
        <v>378</v>
      </c>
      <c r="L51" s="10">
        <f>INDEX('V_Para Piyasası'!K$2:K$62,MATCH(LARGE('V_Para Piyasası'!$AC$2:$AC$62,ROW()-3),'V_Para Piyasası'!$AC$2:$AC$62,0))</f>
        <v>377</v>
      </c>
      <c r="M51" s="8">
        <f>INDEX('V_Para Piyasası'!L$2:L$62,MATCH(LARGE('V_Para Piyasası'!$AC$2:$AC$62,ROW()-3),'V_Para Piyasası'!$AC$2:$AC$62,0))</f>
        <v>-2.6455026455026731E-3</v>
      </c>
      <c r="N51" s="11">
        <f>INDEX('V_Para Piyasası'!M$2:M$62,MATCH(LARGE('V_Para Piyasası'!$AC$2:$AC$62,ROW()-3),'V_Para Piyasası'!$AC$2:$AC$62,0))</f>
        <v>6605043202.3800001</v>
      </c>
      <c r="O51" s="11">
        <f>INDEX('V_Para Piyasası'!N$2:N$62,MATCH(LARGE('V_Para Piyasası'!$AC$2:$AC$62,ROW()-3),'V_Para Piyasası'!$AC$2:$AC$62,0))</f>
        <v>8211032126.8000002</v>
      </c>
      <c r="P51" s="8">
        <f>INDEX('V_Para Piyasası'!O$2:O$62,MATCH(LARGE('V_Para Piyasası'!$AC$2:$AC$62,ROW()-3),'V_Para Piyasası'!$AC$2:$AC$62,0))</f>
        <v>0.2431458622165126</v>
      </c>
      <c r="Q51" s="9">
        <f>INDEX('V_Para Piyasası'!P$2:P$62,MATCH(LARGE('V_Para Piyasası'!$AC$2:$AC$62,ROW()-3),'V_Para Piyasası'!$AC$2:$AC$62,0))</f>
        <v>8.2047453119471411E-2</v>
      </c>
      <c r="R51" s="5" t="str">
        <f>INDEX('V_Para Piyasası'!Q$2:Q$62,MATCH(LARGE('V_Para Piyasası'!$AC$2:$AC$62,ROW()-3),'V_Para Piyasası'!$AC$2:$AC$62,0))</f>
        <v>Görüyor</v>
      </c>
      <c r="S51" s="8">
        <f>INDEX('V_Para Piyasası'!R$2:R$62,MATCH(LARGE('V_Para Piyasası'!$AC$2:$AC$62,ROW()-3),'V_Para Piyasası'!$AC$2:$AC$62,0))</f>
        <v>3.85E-2</v>
      </c>
      <c r="T51" s="8">
        <f>INDEX('V_Para Piyasası'!S$2:S$62,MATCH(LARGE('V_Para Piyasası'!$AC$2:$AC$62,ROW()-3),'V_Para Piyasası'!$AC$2:$AC$62,0))</f>
        <v>0</v>
      </c>
      <c r="U51" s="8">
        <f>INDEX('V_Para Piyasası'!T$2:T$62,MATCH(LARGE('V_Para Piyasası'!$AC$2:$AC$62,ROW()-3),'V_Para Piyasası'!$AC$2:$AC$62,0))</f>
        <v>0.64639999999999997</v>
      </c>
      <c r="V51" s="8">
        <f>INDEX('V_Para Piyasası'!U$2:U$62,MATCH(LARGE('V_Para Piyasası'!$AC$2:$AC$62,ROW()-3),'V_Para Piyasası'!$AC$2:$AC$62,0))</f>
        <v>0</v>
      </c>
      <c r="W51" s="8">
        <f>INDEX('V_Para Piyasası'!V$2:V$62,MATCH(LARGE('V_Para Piyasası'!$AC$2:$AC$62,ROW()-3),'V_Para Piyasası'!$AC$2:$AC$62,0))</f>
        <v>0.1905</v>
      </c>
      <c r="X51" s="8">
        <f>INDEX('V_Para Piyasası'!W$2:W$62,MATCH(LARGE('V_Para Piyasası'!$AC$2:$AC$62,ROW()-3),'V_Para Piyasası'!$AC$2:$AC$62,0))</f>
        <v>0</v>
      </c>
      <c r="Y51" s="8">
        <f>INDEX('V_Para Piyasası'!X$2:X$62,MATCH(LARGE('V_Para Piyasası'!$AC$2:$AC$62,ROW()-3),'V_Para Piyasası'!$AC$2:$AC$62,0))</f>
        <v>2.1100000000000001E-2</v>
      </c>
      <c r="Z51" s="8">
        <f>INDEX('V_Para Piyasası'!Y$2:Y$62,MATCH(LARGE('V_Para Piyasası'!$AC$2:$AC$62,ROW()-3),'V_Para Piyasası'!$AC$2:$AC$62,0))</f>
        <v>0</v>
      </c>
      <c r="AA51" s="8">
        <f>INDEX('V_Para Piyasası'!Z$2:Z$62,MATCH(LARGE('V_Para Piyasası'!$AC$2:$AC$62,ROW()-3),'V_Para Piyasası'!$AC$2:$AC$62,0))</f>
        <v>0</v>
      </c>
      <c r="AB51" s="8">
        <f>INDEX('V_Para Piyasası'!AA$2:AA$62,MATCH(LARGE('V_Para Piyasası'!$AC$2:$AC$62,ROW()-3),'V_Para Piyasası'!$AC$2:$AC$62,0))</f>
        <v>0.89649999999999996</v>
      </c>
    </row>
    <row r="52" spans="1:28" x14ac:dyDescent="0.2">
      <c r="A52">
        <v>49</v>
      </c>
      <c r="B52" s="5" t="str">
        <f>INDEX('V_Para Piyasası'!A$2:A$62,MATCH(LARGE('V_Para Piyasası'!$AC$2:$AC$62,ROW()-3),'V_Para Piyasası'!$AC$2:$AC$62,0))</f>
        <v>GPZ</v>
      </c>
      <c r="C52" s="5" t="str">
        <f>INDEX('V_Para Piyasası'!B$2:B$62,MATCH(LARGE('V_Para Piyasası'!$AC$2:$AC$62,ROW()-3),'V_Para Piyasası'!$AC$2:$AC$62,0))</f>
        <v>Garanti Portföy Üçüncü Para Piyasası Fonu</v>
      </c>
      <c r="D52" s="5" t="str">
        <f>INDEX('V_Para Piyasası'!C$2:C$62,MATCH(LARGE('V_Para Piyasası'!$AC$2:$AC$62,ROW()-3),'V_Para Piyasası'!$AC$2:$AC$62,0))</f>
        <v>Garanti Portföy</v>
      </c>
      <c r="E52" s="8">
        <f>INDEX('V_Para Piyasası'!D$2:D$62,MATCH(LARGE('V_Para Piyasası'!$AC$2:$AC$62,ROW()-3),'V_Para Piyasası'!$AC$2:$AC$62,0))</f>
        <v>9.4999999999999998E-3</v>
      </c>
      <c r="F52" s="9">
        <f>INDEX('V_Para Piyasası'!E$2:E$62,MATCH(LARGE('V_Para Piyasası'!$AC$2:$AC$62,ROW()-3),'V_Para Piyasası'!$AC$2:$AC$62,0))</f>
        <v>0.1059298362476868</v>
      </c>
      <c r="G52" s="9">
        <f>INDEX('V_Para Piyasası'!F$2:F$62,MATCH(LARGE('V_Para Piyasası'!$AC$2:$AC$62,ROW()-3),'V_Para Piyasası'!$AC$2:$AC$62,0))</f>
        <v>0.76281547673557881</v>
      </c>
      <c r="H52" s="9">
        <f>INDEX('V_Para Piyasası'!G$2:G$62,MATCH(LARGE('V_Para Piyasası'!$AC$2:$AC$62,ROW()-3),'V_Para Piyasası'!$AC$2:$AC$62,0))</f>
        <v>3.5415294348774218</v>
      </c>
      <c r="I52" s="9">
        <f>INDEX('V_Para Piyasası'!H$2:H$62,MATCH(LARGE('V_Para Piyasası'!$AC$2:$AC$62,ROW()-3),'V_Para Piyasası'!$AC$2:$AC$62,0))</f>
        <v>22.284607195639829</v>
      </c>
      <c r="J52" s="9">
        <f>INDEX('V_Para Piyasası'!I$2:I$62,MATCH(LARGE('V_Para Piyasası'!$AC$2:$AC$62,ROW()-3),'V_Para Piyasası'!$AC$2:$AC$62,0))</f>
        <v>47.764956637355091</v>
      </c>
      <c r="K52" s="10">
        <f>INDEX('V_Para Piyasası'!J$2:J$62,MATCH(LARGE('V_Para Piyasası'!$AC$2:$AC$62,ROW()-3),'V_Para Piyasası'!$AC$2:$AC$62,0))</f>
        <v>155</v>
      </c>
      <c r="L52" s="10">
        <f>INDEX('V_Para Piyasası'!K$2:K$62,MATCH(LARGE('V_Para Piyasası'!$AC$2:$AC$62,ROW()-3),'V_Para Piyasası'!$AC$2:$AC$62,0))</f>
        <v>155</v>
      </c>
      <c r="M52" s="8">
        <f>INDEX('V_Para Piyasası'!L$2:L$62,MATCH(LARGE('V_Para Piyasası'!$AC$2:$AC$62,ROW()-3),'V_Para Piyasası'!$AC$2:$AC$62,0))</f>
        <v>0</v>
      </c>
      <c r="N52" s="11">
        <f>INDEX('V_Para Piyasası'!M$2:M$62,MATCH(LARGE('V_Para Piyasası'!$AC$2:$AC$62,ROW()-3),'V_Para Piyasası'!$AC$2:$AC$62,0))</f>
        <v>2153771033.5700002</v>
      </c>
      <c r="O52" s="11">
        <f>INDEX('V_Para Piyasası'!N$2:N$62,MATCH(LARGE('V_Para Piyasası'!$AC$2:$AC$62,ROW()-3),'V_Para Piyasası'!$AC$2:$AC$62,0))</f>
        <v>2861031858.4899998</v>
      </c>
      <c r="P52" s="8">
        <f>INDEX('V_Para Piyasası'!O$2:O$62,MATCH(LARGE('V_Para Piyasası'!$AC$2:$AC$62,ROW()-3),'V_Para Piyasası'!$AC$2:$AC$62,0))</f>
        <v>0.32838255037150987</v>
      </c>
      <c r="Q52" s="9">
        <f>INDEX('V_Para Piyasası'!P$2:P$62,MATCH(LARGE('V_Para Piyasası'!$AC$2:$AC$62,ROW()-3),'V_Para Piyasası'!$AC$2:$AC$62,0))</f>
        <v>8.5495902521546013E-2</v>
      </c>
      <c r="R52" s="5" t="str">
        <f>INDEX('V_Para Piyasası'!Q$2:Q$62,MATCH(LARGE('V_Para Piyasası'!$AC$2:$AC$62,ROW()-3),'V_Para Piyasası'!$AC$2:$AC$62,0))</f>
        <v>Görüyor</v>
      </c>
      <c r="S52" s="8">
        <f>INDEX('V_Para Piyasası'!R$2:R$62,MATCH(LARGE('V_Para Piyasası'!$AC$2:$AC$62,ROW()-3),'V_Para Piyasası'!$AC$2:$AC$62,0))</f>
        <v>0.1729</v>
      </c>
      <c r="T52" s="8">
        <f>INDEX('V_Para Piyasası'!S$2:S$62,MATCH(LARGE('V_Para Piyasası'!$AC$2:$AC$62,ROW()-3),'V_Para Piyasası'!$AC$2:$AC$62,0))</f>
        <v>0</v>
      </c>
      <c r="U52" s="8">
        <f>INDEX('V_Para Piyasası'!T$2:T$62,MATCH(LARGE('V_Para Piyasası'!$AC$2:$AC$62,ROW()-3),'V_Para Piyasası'!$AC$2:$AC$62,0))</f>
        <v>0.24479999999999999</v>
      </c>
      <c r="V52" s="8">
        <f>INDEX('V_Para Piyasası'!U$2:U$62,MATCH(LARGE('V_Para Piyasası'!$AC$2:$AC$62,ROW()-3),'V_Para Piyasası'!$AC$2:$AC$62,0))</f>
        <v>0</v>
      </c>
      <c r="W52" s="8">
        <f>INDEX('V_Para Piyasası'!V$2:V$62,MATCH(LARGE('V_Para Piyasası'!$AC$2:$AC$62,ROW()-3),'V_Para Piyasası'!$AC$2:$AC$62,0))</f>
        <v>0</v>
      </c>
      <c r="X52" s="8">
        <f>INDEX('V_Para Piyasası'!W$2:W$62,MATCH(LARGE('V_Para Piyasası'!$AC$2:$AC$62,ROW()-3),'V_Para Piyasası'!$AC$2:$AC$62,0))</f>
        <v>0</v>
      </c>
      <c r="Y52" s="8">
        <f>INDEX('V_Para Piyasası'!X$2:X$62,MATCH(LARGE('V_Para Piyasası'!$AC$2:$AC$62,ROW()-3),'V_Para Piyasası'!$AC$2:$AC$62,0))</f>
        <v>0.26860000000000001</v>
      </c>
      <c r="Z52" s="8">
        <f>INDEX('V_Para Piyasası'!Y$2:Y$62,MATCH(LARGE('V_Para Piyasası'!$AC$2:$AC$62,ROW()-3),'V_Para Piyasası'!$AC$2:$AC$62,0))</f>
        <v>0.1011</v>
      </c>
      <c r="AA52" s="8">
        <f>INDEX('V_Para Piyasası'!Z$2:Z$62,MATCH(LARGE('V_Para Piyasası'!$AC$2:$AC$62,ROW()-3),'V_Para Piyasası'!$AC$2:$AC$62,0))</f>
        <v>0</v>
      </c>
      <c r="AB52" s="8">
        <f>INDEX('V_Para Piyasası'!AA$2:AA$62,MATCH(LARGE('V_Para Piyasası'!$AC$2:$AC$62,ROW()-3),'V_Para Piyasası'!$AC$2:$AC$62,0))</f>
        <v>0.78739999999999999</v>
      </c>
    </row>
    <row r="53" spans="1:28" x14ac:dyDescent="0.2">
      <c r="A53">
        <v>50</v>
      </c>
      <c r="B53" s="5" t="str">
        <f>INDEX('V_Para Piyasası'!A$2:A$62,MATCH(LARGE('V_Para Piyasası'!$AC$2:$AC$62,ROW()-3),'V_Para Piyasası'!$AC$2:$AC$62,0))</f>
        <v>ECB</v>
      </c>
      <c r="C53" s="5" t="str">
        <f>INDEX('V_Para Piyasası'!B$2:B$62,MATCH(LARGE('V_Para Piyasası'!$AC$2:$AC$62,ROW()-3),'V_Para Piyasası'!$AC$2:$AC$62,0))</f>
        <v>Global MD Portföy Para Piyasası (TL) Fonu</v>
      </c>
      <c r="D53" s="5" t="str">
        <f>INDEX('V_Para Piyasası'!C$2:C$62,MATCH(LARGE('V_Para Piyasası'!$AC$2:$AC$62,ROW()-3),'V_Para Piyasası'!$AC$2:$AC$62,0))</f>
        <v>Global MD Portföy</v>
      </c>
      <c r="E53" s="8">
        <f>INDEX('V_Para Piyasası'!D$2:D$62,MATCH(LARGE('V_Para Piyasası'!$AC$2:$AC$62,ROW()-3),'V_Para Piyasası'!$AC$2:$AC$62,0))</f>
        <v>1.2999999999999999E-2</v>
      </c>
      <c r="F53" s="9">
        <f>INDEX('V_Para Piyasası'!E$2:E$62,MATCH(LARGE('V_Para Piyasası'!$AC$2:$AC$62,ROW()-3),'V_Para Piyasası'!$AC$2:$AC$62,0))</f>
        <v>0.1057018647097951</v>
      </c>
      <c r="G53" s="9">
        <f>INDEX('V_Para Piyasası'!F$2:F$62,MATCH(LARGE('V_Para Piyasası'!$AC$2:$AC$62,ROW()-3),'V_Para Piyasası'!$AC$2:$AC$62,0))</f>
        <v>0.74077139116104362</v>
      </c>
      <c r="H53" s="9">
        <f>INDEX('V_Para Piyasası'!G$2:G$62,MATCH(LARGE('V_Para Piyasası'!$AC$2:$AC$62,ROW()-3),'V_Para Piyasası'!$AC$2:$AC$62,0))</f>
        <v>3.3981232489494362</v>
      </c>
      <c r="I53" s="9">
        <f>INDEX('V_Para Piyasası'!H$2:H$62,MATCH(LARGE('V_Para Piyasası'!$AC$2:$AC$62,ROW()-3),'V_Para Piyasası'!$AC$2:$AC$62,0))</f>
        <v>21.978127051910288</v>
      </c>
      <c r="J53" s="9">
        <f>INDEX('V_Para Piyasası'!I$2:I$62,MATCH(LARGE('V_Para Piyasası'!$AC$2:$AC$62,ROW()-3),'V_Para Piyasası'!$AC$2:$AC$62,0))</f>
        <v>46.601600932830607</v>
      </c>
      <c r="K53" s="10">
        <f>INDEX('V_Para Piyasası'!J$2:J$62,MATCH(LARGE('V_Para Piyasası'!$AC$2:$AC$62,ROW()-3),'V_Para Piyasası'!$AC$2:$AC$62,0))</f>
        <v>3166</v>
      </c>
      <c r="L53" s="10">
        <f>INDEX('V_Para Piyasası'!K$2:K$62,MATCH(LARGE('V_Para Piyasası'!$AC$2:$AC$62,ROW()-3),'V_Para Piyasası'!$AC$2:$AC$62,0))</f>
        <v>3163</v>
      </c>
      <c r="M53" s="8">
        <f>INDEX('V_Para Piyasası'!L$2:L$62,MATCH(LARGE('V_Para Piyasası'!$AC$2:$AC$62,ROW()-3),'V_Para Piyasası'!$AC$2:$AC$62,0))</f>
        <v>-9.4756790903349764E-4</v>
      </c>
      <c r="N53" s="11">
        <f>INDEX('V_Para Piyasası'!M$2:M$62,MATCH(LARGE('V_Para Piyasası'!$AC$2:$AC$62,ROW()-3),'V_Para Piyasası'!$AC$2:$AC$62,0))</f>
        <v>643946953.48000002</v>
      </c>
      <c r="O53" s="11">
        <f>INDEX('V_Para Piyasası'!N$2:N$62,MATCH(LARGE('V_Para Piyasası'!$AC$2:$AC$62,ROW()-3),'V_Para Piyasası'!$AC$2:$AC$62,0))</f>
        <v>659423982.12</v>
      </c>
      <c r="P53" s="8">
        <f>INDEX('V_Para Piyasası'!O$2:O$62,MATCH(LARGE('V_Para Piyasası'!$AC$2:$AC$62,ROW()-3),'V_Para Piyasası'!$AC$2:$AC$62,0))</f>
        <v>2.4034632909371689E-2</v>
      </c>
      <c r="Q53" s="9">
        <f>INDEX('V_Para Piyasası'!P$2:P$62,MATCH(LARGE('V_Para Piyasası'!$AC$2:$AC$62,ROW()-3),'V_Para Piyasası'!$AC$2:$AC$62,0))</f>
        <v>8.2230175450233131E-2</v>
      </c>
      <c r="R53" s="5" t="str">
        <f>INDEX('V_Para Piyasası'!Q$2:Q$62,MATCH(LARGE('V_Para Piyasası'!$AC$2:$AC$62,ROW()-3),'V_Para Piyasası'!$AC$2:$AC$62,0))</f>
        <v>Görmüyor</v>
      </c>
      <c r="S53" s="8">
        <f>INDEX('V_Para Piyasası'!R$2:R$62,MATCH(LARGE('V_Para Piyasası'!$AC$2:$AC$62,ROW()-3),'V_Para Piyasası'!$AC$2:$AC$62,0))</f>
        <v>0</v>
      </c>
      <c r="T53" s="8">
        <f>INDEX('V_Para Piyasası'!S$2:S$62,MATCH(LARGE('V_Para Piyasası'!$AC$2:$AC$62,ROW()-3),'V_Para Piyasası'!$AC$2:$AC$62,0))</f>
        <v>0</v>
      </c>
      <c r="U53" s="8">
        <f>INDEX('V_Para Piyasası'!T$2:T$62,MATCH(LARGE('V_Para Piyasası'!$AC$2:$AC$62,ROW()-3),'V_Para Piyasası'!$AC$2:$AC$62,0))</f>
        <v>0.47020000000000001</v>
      </c>
      <c r="V53" s="8">
        <f>INDEX('V_Para Piyasası'!U$2:U$62,MATCH(LARGE('V_Para Piyasası'!$AC$2:$AC$62,ROW()-3),'V_Para Piyasası'!$AC$2:$AC$62,0))</f>
        <v>0</v>
      </c>
      <c r="W53" s="8">
        <f>INDEX('V_Para Piyasası'!V$2:V$62,MATCH(LARGE('V_Para Piyasası'!$AC$2:$AC$62,ROW()-3),'V_Para Piyasası'!$AC$2:$AC$62,0))</f>
        <v>0.1908</v>
      </c>
      <c r="X53" s="8">
        <f>INDEX('V_Para Piyasası'!W$2:W$62,MATCH(LARGE('V_Para Piyasası'!$AC$2:$AC$62,ROW()-3),'V_Para Piyasası'!$AC$2:$AC$62,0))</f>
        <v>0</v>
      </c>
      <c r="Y53" s="8">
        <f>INDEX('V_Para Piyasası'!X$2:X$62,MATCH(LARGE('V_Para Piyasası'!$AC$2:$AC$62,ROW()-3),'V_Para Piyasası'!$AC$2:$AC$62,0))</f>
        <v>0</v>
      </c>
      <c r="Z53" s="8">
        <f>INDEX('V_Para Piyasası'!Y$2:Y$62,MATCH(LARGE('V_Para Piyasası'!$AC$2:$AC$62,ROW()-3),'V_Para Piyasası'!$AC$2:$AC$62,0))</f>
        <v>0.2203</v>
      </c>
      <c r="AA53" s="8">
        <f>INDEX('V_Para Piyasası'!Z$2:Z$62,MATCH(LARGE('V_Para Piyasası'!$AC$2:$AC$62,ROW()-3),'V_Para Piyasası'!$AC$2:$AC$62,0))</f>
        <v>0</v>
      </c>
      <c r="AB53" s="8">
        <f>INDEX('V_Para Piyasası'!AA$2:AA$62,MATCH(LARGE('V_Para Piyasası'!$AC$2:$AC$62,ROW()-3),'V_Para Piyasası'!$AC$2:$AC$62,0))</f>
        <v>0.88129999999999997</v>
      </c>
    </row>
    <row r="54" spans="1:28" x14ac:dyDescent="0.2">
      <c r="A54">
        <v>51</v>
      </c>
      <c r="B54" s="5" t="str">
        <f>INDEX('V_Para Piyasası'!A$2:A$62,MATCH(LARGE('V_Para Piyasası'!$AC$2:$AC$62,ROW()-3),'V_Para Piyasası'!$AC$2:$AC$62,0))</f>
        <v>RPP</v>
      </c>
      <c r="C54" s="5" t="str">
        <f>INDEX('V_Para Piyasası'!B$2:B$62,MATCH(LARGE('V_Para Piyasası'!$AC$2:$AC$62,ROW()-3),'V_Para Piyasası'!$AC$2:$AC$62,0))</f>
        <v>Rota Portföy Para Piyasası (TL) Fonu</v>
      </c>
      <c r="D54" s="5" t="str">
        <f>INDEX('V_Para Piyasası'!C$2:C$62,MATCH(LARGE('V_Para Piyasası'!$AC$2:$AC$62,ROW()-3),'V_Para Piyasası'!$AC$2:$AC$62,0))</f>
        <v>Rota Portföy</v>
      </c>
      <c r="E54" s="8">
        <f>INDEX('V_Para Piyasası'!D$2:D$62,MATCH(LARGE('V_Para Piyasası'!$AC$2:$AC$62,ROW()-3),'V_Para Piyasası'!$AC$2:$AC$62,0))</f>
        <v>9.0000000000000011E-3</v>
      </c>
      <c r="F54" s="9">
        <f>INDEX('V_Para Piyasası'!E$2:E$62,MATCH(LARGE('V_Para Piyasası'!$AC$2:$AC$62,ROW()-3),'V_Para Piyasası'!$AC$2:$AC$62,0))</f>
        <v>0.10568118870639689</v>
      </c>
      <c r="G54" s="9">
        <f>INDEX('V_Para Piyasası'!F$2:F$62,MATCH(LARGE('V_Para Piyasası'!$AC$2:$AC$62,ROW()-3),'V_Para Piyasası'!$AC$2:$AC$62,0))</f>
        <v>0.74587393275502567</v>
      </c>
      <c r="H54" s="9">
        <f>INDEX('V_Para Piyasası'!G$2:G$62,MATCH(LARGE('V_Para Piyasası'!$AC$2:$AC$62,ROW()-3),'V_Para Piyasası'!$AC$2:$AC$62,0))</f>
        <v>3.4870115537820818</v>
      </c>
      <c r="I54" s="9">
        <f>INDEX('V_Para Piyasası'!H$2:H$62,MATCH(LARGE('V_Para Piyasası'!$AC$2:$AC$62,ROW()-3),'V_Para Piyasası'!$AC$2:$AC$62,0))</f>
        <v>22.747159220477581</v>
      </c>
      <c r="J54" s="9">
        <f>INDEX('V_Para Piyasası'!I$2:I$62,MATCH(LARGE('V_Para Piyasası'!$AC$2:$AC$62,ROW()-3),'V_Para Piyasası'!$AC$2:$AC$62,0))</f>
        <v>48.037179584790678</v>
      </c>
      <c r="K54" s="10">
        <f>INDEX('V_Para Piyasası'!J$2:J$62,MATCH(LARGE('V_Para Piyasası'!$AC$2:$AC$62,ROW()-3),'V_Para Piyasası'!$AC$2:$AC$62,0))</f>
        <v>8232</v>
      </c>
      <c r="L54" s="10">
        <f>INDEX('V_Para Piyasası'!K$2:K$62,MATCH(LARGE('V_Para Piyasası'!$AC$2:$AC$62,ROW()-3),'V_Para Piyasası'!$AC$2:$AC$62,0))</f>
        <v>7957</v>
      </c>
      <c r="M54" s="8">
        <f>INDEX('V_Para Piyasası'!L$2:L$62,MATCH(LARGE('V_Para Piyasası'!$AC$2:$AC$62,ROW()-3),'V_Para Piyasası'!$AC$2:$AC$62,0))</f>
        <v>-3.3406219630709437E-2</v>
      </c>
      <c r="N54" s="11">
        <f>INDEX('V_Para Piyasası'!M$2:M$62,MATCH(LARGE('V_Para Piyasası'!$AC$2:$AC$62,ROW()-3),'V_Para Piyasası'!$AC$2:$AC$62,0))</f>
        <v>6165809386.0600004</v>
      </c>
      <c r="O54" s="11">
        <f>INDEX('V_Para Piyasası'!N$2:N$62,MATCH(LARGE('V_Para Piyasası'!$AC$2:$AC$62,ROW()-3),'V_Para Piyasası'!$AC$2:$AC$62,0))</f>
        <v>6323438116.4300003</v>
      </c>
      <c r="P54" s="8">
        <f>INDEX('V_Para Piyasası'!O$2:O$62,MATCH(LARGE('V_Para Piyasası'!$AC$2:$AC$62,ROW()-3),'V_Para Piyasası'!$AC$2:$AC$62,0))</f>
        <v>2.5564969738827159E-2</v>
      </c>
      <c r="Q54" s="9">
        <f>INDEX('V_Para Piyasası'!P$2:P$62,MATCH(LARGE('V_Para Piyasası'!$AC$2:$AC$62,ROW()-3),'V_Para Piyasası'!$AC$2:$AC$62,0))</f>
        <v>8.6007452318614605E-2</v>
      </c>
      <c r="R54" s="5" t="str">
        <f>INDEX('V_Para Piyasası'!Q$2:Q$62,MATCH(LARGE('V_Para Piyasası'!$AC$2:$AC$62,ROW()-3),'V_Para Piyasası'!$AC$2:$AC$62,0))</f>
        <v>Görüyor</v>
      </c>
      <c r="S54" s="8">
        <f>INDEX('V_Para Piyasası'!R$2:R$62,MATCH(LARGE('V_Para Piyasası'!$AC$2:$AC$62,ROW()-3),'V_Para Piyasası'!$AC$2:$AC$62,0))</f>
        <v>0.1462</v>
      </c>
      <c r="T54" s="8">
        <f>INDEX('V_Para Piyasası'!S$2:S$62,MATCH(LARGE('V_Para Piyasası'!$AC$2:$AC$62,ROW()-3),'V_Para Piyasası'!$AC$2:$AC$62,0))</f>
        <v>0</v>
      </c>
      <c r="U54" s="8">
        <f>INDEX('V_Para Piyasası'!T$2:T$62,MATCH(LARGE('V_Para Piyasası'!$AC$2:$AC$62,ROW()-3),'V_Para Piyasası'!$AC$2:$AC$62,0))</f>
        <v>0.54969999999999997</v>
      </c>
      <c r="V54" s="8">
        <f>INDEX('V_Para Piyasası'!U$2:U$62,MATCH(LARGE('V_Para Piyasası'!$AC$2:$AC$62,ROW()-3),'V_Para Piyasası'!$AC$2:$AC$62,0))</f>
        <v>0</v>
      </c>
      <c r="W54" s="8">
        <f>INDEX('V_Para Piyasası'!V$2:V$62,MATCH(LARGE('V_Para Piyasası'!$AC$2:$AC$62,ROW()-3),'V_Para Piyasası'!$AC$2:$AC$62,0))</f>
        <v>0</v>
      </c>
      <c r="X54" s="8">
        <f>INDEX('V_Para Piyasası'!W$2:W$62,MATCH(LARGE('V_Para Piyasası'!$AC$2:$AC$62,ROW()-3),'V_Para Piyasası'!$AC$2:$AC$62,0))</f>
        <v>0</v>
      </c>
      <c r="Y54" s="8">
        <f>INDEX('V_Para Piyasası'!X$2:X$62,MATCH(LARGE('V_Para Piyasası'!$AC$2:$AC$62,ROW()-3),'V_Para Piyasası'!$AC$2:$AC$62,0))</f>
        <v>2.76E-2</v>
      </c>
      <c r="Z54" s="8">
        <f>INDEX('V_Para Piyasası'!Y$2:Y$62,MATCH(LARGE('V_Para Piyasası'!$AC$2:$AC$62,ROW()-3),'V_Para Piyasası'!$AC$2:$AC$62,0))</f>
        <v>0.1149</v>
      </c>
      <c r="AA54" s="8">
        <f>INDEX('V_Para Piyasası'!Z$2:Z$62,MATCH(LARGE('V_Para Piyasası'!$AC$2:$AC$62,ROW()-3),'V_Para Piyasası'!$AC$2:$AC$62,0))</f>
        <v>0</v>
      </c>
      <c r="AB54" s="8">
        <f>INDEX('V_Para Piyasası'!AA$2:AA$62,MATCH(LARGE('V_Para Piyasası'!$AC$2:$AC$62,ROW()-3),'V_Para Piyasası'!$AC$2:$AC$62,0))</f>
        <v>0.83839999999999992</v>
      </c>
    </row>
    <row r="55" spans="1:28" x14ac:dyDescent="0.2">
      <c r="A55">
        <v>52</v>
      </c>
      <c r="B55" s="5" t="str">
        <f>INDEX('V_Para Piyasası'!A$2:A$62,MATCH(LARGE('V_Para Piyasası'!$AC$2:$AC$62,ROW()-3),'V_Para Piyasası'!$AC$2:$AC$62,0))</f>
        <v>TKM</v>
      </c>
      <c r="C55" s="5" t="str">
        <f>INDEX('V_Para Piyasası'!B$2:B$62,MATCH(LARGE('V_Para Piyasası'!$AC$2:$AC$62,ROW()-3),'V_Para Piyasası'!$AC$2:$AC$62,0))</f>
        <v>Teb Portföy Para Piyasası (TL) Fonu</v>
      </c>
      <c r="D55" s="5" t="str">
        <f>INDEX('V_Para Piyasası'!C$2:C$62,MATCH(LARGE('V_Para Piyasası'!$AC$2:$AC$62,ROW()-3),'V_Para Piyasası'!$AC$2:$AC$62,0))</f>
        <v>Teb Portföy</v>
      </c>
      <c r="E55" s="8">
        <f>INDEX('V_Para Piyasası'!D$2:D$62,MATCH(LARGE('V_Para Piyasası'!$AC$2:$AC$62,ROW()-3),'V_Para Piyasası'!$AC$2:$AC$62,0))</f>
        <v>0.01</v>
      </c>
      <c r="F55" s="9">
        <f>INDEX('V_Para Piyasası'!E$2:E$62,MATCH(LARGE('V_Para Piyasası'!$AC$2:$AC$62,ROW()-3),'V_Para Piyasası'!$AC$2:$AC$62,0))</f>
        <v>0.1055327224053659</v>
      </c>
      <c r="G55" s="9">
        <f>INDEX('V_Para Piyasası'!F$2:F$62,MATCH(LARGE('V_Para Piyasası'!$AC$2:$AC$62,ROW()-3),'V_Para Piyasası'!$AC$2:$AC$62,0))</f>
        <v>0.74539971450704456</v>
      </c>
      <c r="H55" s="9">
        <f>INDEX('V_Para Piyasası'!G$2:G$62,MATCH(LARGE('V_Para Piyasası'!$AC$2:$AC$62,ROW()-3),'V_Para Piyasası'!$AC$2:$AC$62,0))</f>
        <v>3.4219068053034101</v>
      </c>
      <c r="I55" s="9">
        <f>INDEX('V_Para Piyasası'!H$2:H$62,MATCH(LARGE('V_Para Piyasası'!$AC$2:$AC$62,ROW()-3),'V_Para Piyasası'!$AC$2:$AC$62,0))</f>
        <v>22.364699338438051</v>
      </c>
      <c r="J55" s="9">
        <f>INDEX('V_Para Piyasası'!I$2:I$62,MATCH(LARGE('V_Para Piyasası'!$AC$2:$AC$62,ROW()-3),'V_Para Piyasası'!$AC$2:$AC$62,0))</f>
        <v>47.061459029684102</v>
      </c>
      <c r="K55" s="10">
        <f>INDEX('V_Para Piyasası'!J$2:J$62,MATCH(LARGE('V_Para Piyasası'!$AC$2:$AC$62,ROW()-3),'V_Para Piyasası'!$AC$2:$AC$62,0))</f>
        <v>495194</v>
      </c>
      <c r="L55" s="10">
        <f>INDEX('V_Para Piyasası'!K$2:K$62,MATCH(LARGE('V_Para Piyasası'!$AC$2:$AC$62,ROW()-3),'V_Para Piyasası'!$AC$2:$AC$62,0))</f>
        <v>498673</v>
      </c>
      <c r="M55" s="8">
        <f>INDEX('V_Para Piyasası'!L$2:L$62,MATCH(LARGE('V_Para Piyasası'!$AC$2:$AC$62,ROW()-3),'V_Para Piyasası'!$AC$2:$AC$62,0))</f>
        <v>7.0255293884819991E-3</v>
      </c>
      <c r="N55" s="11">
        <f>INDEX('V_Para Piyasası'!M$2:M$62,MATCH(LARGE('V_Para Piyasası'!$AC$2:$AC$62,ROW()-3),'V_Para Piyasası'!$AC$2:$AC$62,0))</f>
        <v>64423402691.860001</v>
      </c>
      <c r="O55" s="11">
        <f>INDEX('V_Para Piyasası'!N$2:N$62,MATCH(LARGE('V_Para Piyasası'!$AC$2:$AC$62,ROW()-3),'V_Para Piyasası'!$AC$2:$AC$62,0))</f>
        <v>65501189051.129997</v>
      </c>
      <c r="P55" s="8">
        <f>INDEX('V_Para Piyasası'!O$2:O$62,MATCH(LARGE('V_Para Piyasası'!$AC$2:$AC$62,ROW()-3),'V_Para Piyasası'!$AC$2:$AC$62,0))</f>
        <v>1.672973351663987E-2</v>
      </c>
      <c r="Q55" s="9">
        <f>INDEX('V_Para Piyasası'!P$2:P$62,MATCH(LARGE('V_Para Piyasası'!$AC$2:$AC$62,ROW()-3),'V_Para Piyasası'!$AC$2:$AC$62,0))</f>
        <v>8.3806193260238776E-2</v>
      </c>
      <c r="R55" s="5" t="str">
        <f>INDEX('V_Para Piyasası'!Q$2:Q$62,MATCH(LARGE('V_Para Piyasası'!$AC$2:$AC$62,ROW()-3),'V_Para Piyasası'!$AC$2:$AC$62,0))</f>
        <v>Görmüyor</v>
      </c>
      <c r="S55" s="8">
        <f>INDEX('V_Para Piyasası'!R$2:R$62,MATCH(LARGE('V_Para Piyasası'!$AC$2:$AC$62,ROW()-3),'V_Para Piyasası'!$AC$2:$AC$62,0))</f>
        <v>0.11940000000000001</v>
      </c>
      <c r="T55" s="8">
        <f>INDEX('V_Para Piyasası'!S$2:S$62,MATCH(LARGE('V_Para Piyasası'!$AC$2:$AC$62,ROW()-3),'V_Para Piyasası'!$AC$2:$AC$62,0))</f>
        <v>0</v>
      </c>
      <c r="U55" s="8">
        <f>INDEX('V_Para Piyasası'!T$2:T$62,MATCH(LARGE('V_Para Piyasası'!$AC$2:$AC$62,ROW()-3),'V_Para Piyasası'!$AC$2:$AC$62,0))</f>
        <v>0.74730000000000008</v>
      </c>
      <c r="V55" s="8">
        <f>INDEX('V_Para Piyasası'!U$2:U$62,MATCH(LARGE('V_Para Piyasası'!$AC$2:$AC$62,ROW()-3),'V_Para Piyasası'!$AC$2:$AC$62,0))</f>
        <v>0</v>
      </c>
      <c r="W55" s="8">
        <f>INDEX('V_Para Piyasası'!V$2:V$62,MATCH(LARGE('V_Para Piyasası'!$AC$2:$AC$62,ROW()-3),'V_Para Piyasası'!$AC$2:$AC$62,0))</f>
        <v>0</v>
      </c>
      <c r="X55" s="8">
        <f>INDEX('V_Para Piyasası'!W$2:W$62,MATCH(LARGE('V_Para Piyasası'!$AC$2:$AC$62,ROW()-3),'V_Para Piyasası'!$AC$2:$AC$62,0))</f>
        <v>0</v>
      </c>
      <c r="Y55" s="8">
        <f>INDEX('V_Para Piyasası'!X$2:X$62,MATCH(LARGE('V_Para Piyasası'!$AC$2:$AC$62,ROW()-3),'V_Para Piyasası'!$AC$2:$AC$62,0))</f>
        <v>2.5000000000000001E-3</v>
      </c>
      <c r="Z55" s="8">
        <f>INDEX('V_Para Piyasası'!Y$2:Y$62,MATCH(LARGE('V_Para Piyasası'!$AC$2:$AC$62,ROW()-3),'V_Para Piyasası'!$AC$2:$AC$62,0))</f>
        <v>0</v>
      </c>
      <c r="AA55" s="8">
        <f>INDEX('V_Para Piyasası'!Z$2:Z$62,MATCH(LARGE('V_Para Piyasası'!$AC$2:$AC$62,ROW()-3),'V_Para Piyasası'!$AC$2:$AC$62,0))</f>
        <v>1.6999999999999999E-3</v>
      </c>
      <c r="AB55" s="8">
        <f>INDEX('V_Para Piyasası'!AA$2:AA$62,MATCH(LARGE('V_Para Piyasası'!$AC$2:$AC$62,ROW()-3),'V_Para Piyasası'!$AC$2:$AC$62,0))</f>
        <v>0.87090000000000012</v>
      </c>
    </row>
    <row r="56" spans="1:28" x14ac:dyDescent="0.2">
      <c r="A56">
        <v>53</v>
      </c>
      <c r="B56" s="5" t="str">
        <f>INDEX('V_Para Piyasası'!A$2:A$62,MATCH(LARGE('V_Para Piyasası'!$AC$2:$AC$62,ROW()-3),'V_Para Piyasası'!$AC$2:$AC$62,0))</f>
        <v>SLF</v>
      </c>
      <c r="C56" s="5" t="str">
        <f>INDEX('V_Para Piyasası'!B$2:B$62,MATCH(LARGE('V_Para Piyasası'!$AC$2:$AC$62,ROW()-3),'V_Para Piyasası'!$AC$2:$AC$62,0))</f>
        <v>Rota Portföy Şekerbank Para Piyasası (TL) Fonu</v>
      </c>
      <c r="D56" s="5" t="str">
        <f>INDEX('V_Para Piyasası'!C$2:C$62,MATCH(LARGE('V_Para Piyasası'!$AC$2:$AC$62,ROW()-3),'V_Para Piyasası'!$AC$2:$AC$62,0))</f>
        <v>Rota Portföy</v>
      </c>
      <c r="E56" s="8">
        <f>INDEX('V_Para Piyasası'!D$2:D$62,MATCH(LARGE('V_Para Piyasası'!$AC$2:$AC$62,ROW()-3),'V_Para Piyasası'!$AC$2:$AC$62,0))</f>
        <v>1.022E-2</v>
      </c>
      <c r="F56" s="9">
        <f>INDEX('V_Para Piyasası'!E$2:E$62,MATCH(LARGE('V_Para Piyasası'!$AC$2:$AC$62,ROW()-3),'V_Para Piyasası'!$AC$2:$AC$62,0))</f>
        <v>0.10545863865198959</v>
      </c>
      <c r="G56" s="9">
        <f>INDEX('V_Para Piyasası'!F$2:F$62,MATCH(LARGE('V_Para Piyasası'!$AC$2:$AC$62,ROW()-3),'V_Para Piyasası'!$AC$2:$AC$62,0))</f>
        <v>0.7369794653672157</v>
      </c>
      <c r="H56" s="9">
        <f>INDEX('V_Para Piyasası'!G$2:G$62,MATCH(LARGE('V_Para Piyasası'!$AC$2:$AC$62,ROW()-3),'V_Para Piyasası'!$AC$2:$AC$62,0))</f>
        <v>3.4299208760283362</v>
      </c>
      <c r="I56" s="9">
        <f>INDEX('V_Para Piyasası'!H$2:H$62,MATCH(LARGE('V_Para Piyasası'!$AC$2:$AC$62,ROW()-3),'V_Para Piyasası'!$AC$2:$AC$62,0))</f>
        <v>22.324496705391741</v>
      </c>
      <c r="J56" s="9">
        <f>INDEX('V_Para Piyasası'!I$2:I$62,MATCH(LARGE('V_Para Piyasası'!$AC$2:$AC$62,ROW()-3),'V_Para Piyasası'!$AC$2:$AC$62,0))</f>
        <v>47.576108246340887</v>
      </c>
      <c r="K56" s="10">
        <f>INDEX('V_Para Piyasası'!J$2:J$62,MATCH(LARGE('V_Para Piyasası'!$AC$2:$AC$62,ROW()-3),'V_Para Piyasası'!$AC$2:$AC$62,0))</f>
        <v>6943</v>
      </c>
      <c r="L56" s="10">
        <f>INDEX('V_Para Piyasası'!K$2:K$62,MATCH(LARGE('V_Para Piyasası'!$AC$2:$AC$62,ROW()-3),'V_Para Piyasası'!$AC$2:$AC$62,0))</f>
        <v>6918</v>
      </c>
      <c r="M56" s="8">
        <f>INDEX('V_Para Piyasası'!L$2:L$62,MATCH(LARGE('V_Para Piyasası'!$AC$2:$AC$62,ROW()-3),'V_Para Piyasası'!$AC$2:$AC$62,0))</f>
        <v>-3.6007489557827732E-3</v>
      </c>
      <c r="N56" s="11">
        <f>INDEX('V_Para Piyasası'!M$2:M$62,MATCH(LARGE('V_Para Piyasası'!$AC$2:$AC$62,ROW()-3),'V_Para Piyasası'!$AC$2:$AC$62,0))</f>
        <v>1181267451.77</v>
      </c>
      <c r="O56" s="11">
        <f>INDEX('V_Para Piyasası'!N$2:N$62,MATCH(LARGE('V_Para Piyasası'!$AC$2:$AC$62,ROW()-3),'V_Para Piyasası'!$AC$2:$AC$62,0))</f>
        <v>1150187060.24</v>
      </c>
      <c r="P56" s="8">
        <f>INDEX('V_Para Piyasası'!O$2:O$62,MATCH(LARGE('V_Para Piyasası'!$AC$2:$AC$62,ROW()-3),'V_Para Piyasası'!$AC$2:$AC$62,0))</f>
        <v>-2.6311053845959661E-2</v>
      </c>
      <c r="Q56" s="9">
        <f>INDEX('V_Para Piyasası'!P$2:P$62,MATCH(LARGE('V_Para Piyasası'!$AC$2:$AC$62,ROW()-3),'V_Para Piyasası'!$AC$2:$AC$62,0))</f>
        <v>8.2680681461221997E-2</v>
      </c>
      <c r="R56" s="5" t="str">
        <f>INDEX('V_Para Piyasası'!Q$2:Q$62,MATCH(LARGE('V_Para Piyasası'!$AC$2:$AC$62,ROW()-3),'V_Para Piyasası'!$AC$2:$AC$62,0))</f>
        <v>Görmüyor</v>
      </c>
      <c r="S56" s="8">
        <f>INDEX('V_Para Piyasası'!R$2:R$62,MATCH(LARGE('V_Para Piyasası'!$AC$2:$AC$62,ROW()-3),'V_Para Piyasası'!$AC$2:$AC$62,0))</f>
        <v>5.2200000000000003E-2</v>
      </c>
      <c r="T56" s="8">
        <f>INDEX('V_Para Piyasası'!S$2:S$62,MATCH(LARGE('V_Para Piyasası'!$AC$2:$AC$62,ROW()-3),'V_Para Piyasası'!$AC$2:$AC$62,0))</f>
        <v>0</v>
      </c>
      <c r="U56" s="8">
        <f>INDEX('V_Para Piyasası'!T$2:T$62,MATCH(LARGE('V_Para Piyasası'!$AC$2:$AC$62,ROW()-3),'V_Para Piyasası'!$AC$2:$AC$62,0))</f>
        <v>0.45219999999999999</v>
      </c>
      <c r="V56" s="8">
        <f>INDEX('V_Para Piyasası'!U$2:U$62,MATCH(LARGE('V_Para Piyasası'!$AC$2:$AC$62,ROW()-3),'V_Para Piyasası'!$AC$2:$AC$62,0))</f>
        <v>0</v>
      </c>
      <c r="W56" s="8">
        <f>INDEX('V_Para Piyasası'!V$2:V$62,MATCH(LARGE('V_Para Piyasası'!$AC$2:$AC$62,ROW()-3),'V_Para Piyasası'!$AC$2:$AC$62,0))</f>
        <v>7.3700000000000002E-2</v>
      </c>
      <c r="X56" s="8">
        <f>INDEX('V_Para Piyasası'!W$2:W$62,MATCH(LARGE('V_Para Piyasası'!$AC$2:$AC$62,ROW()-3),'V_Para Piyasası'!$AC$2:$AC$62,0))</f>
        <v>0</v>
      </c>
      <c r="Y56" s="8">
        <f>INDEX('V_Para Piyasası'!X$2:X$62,MATCH(LARGE('V_Para Piyasası'!$AC$2:$AC$62,ROW()-3),'V_Para Piyasası'!$AC$2:$AC$62,0))</f>
        <v>1.4999999999999999E-2</v>
      </c>
      <c r="Z56" s="8">
        <f>INDEX('V_Para Piyasası'!Y$2:Y$62,MATCH(LARGE('V_Para Piyasası'!$AC$2:$AC$62,ROW()-3),'V_Para Piyasası'!$AC$2:$AC$62,0))</f>
        <v>0.20019999999999999</v>
      </c>
      <c r="AA56" s="8">
        <f>INDEX('V_Para Piyasası'!Z$2:Z$62,MATCH(LARGE('V_Para Piyasası'!$AC$2:$AC$62,ROW()-3),'V_Para Piyasası'!$AC$2:$AC$62,0))</f>
        <v>0</v>
      </c>
      <c r="AB56" s="8">
        <f>INDEX('V_Para Piyasası'!AA$2:AA$62,MATCH(LARGE('V_Para Piyasası'!$AC$2:$AC$62,ROW()-3),'V_Para Piyasası'!$AC$2:$AC$62,0))</f>
        <v>0.79330000000000001</v>
      </c>
    </row>
    <row r="57" spans="1:28" x14ac:dyDescent="0.2">
      <c r="A57">
        <v>54</v>
      </c>
      <c r="B57" s="5" t="str">
        <f>INDEX('V_Para Piyasası'!A$2:A$62,MATCH(LARGE('V_Para Piyasası'!$AC$2:$AC$62,ROW()-3),'V_Para Piyasası'!$AC$2:$AC$62,0))</f>
        <v>FIL</v>
      </c>
      <c r="C57" s="5" t="str">
        <f>INDEX('V_Para Piyasası'!B$2:B$62,MATCH(LARGE('V_Para Piyasası'!$AC$2:$AC$62,ROW()-3),'V_Para Piyasası'!$AC$2:$AC$62,0))</f>
        <v>Fiba Portföy Para Piyasası (TL) Fonu</v>
      </c>
      <c r="D57" s="5" t="str">
        <f>INDEX('V_Para Piyasası'!C$2:C$62,MATCH(LARGE('V_Para Piyasası'!$AC$2:$AC$62,ROW()-3),'V_Para Piyasası'!$AC$2:$AC$62,0))</f>
        <v>Fiba Portföy</v>
      </c>
      <c r="E57" s="8">
        <f>INDEX('V_Para Piyasası'!D$2:D$62,MATCH(LARGE('V_Para Piyasası'!$AC$2:$AC$62,ROW()-3),'V_Para Piyasası'!$AC$2:$AC$62,0))</f>
        <v>1.2E-2</v>
      </c>
      <c r="F57" s="9">
        <f>INDEX('V_Para Piyasası'!E$2:E$62,MATCH(LARGE('V_Para Piyasası'!$AC$2:$AC$62,ROW()-3),'V_Para Piyasası'!$AC$2:$AC$62,0))</f>
        <v>0.1051754747620981</v>
      </c>
      <c r="G57" s="9">
        <f>INDEX('V_Para Piyasası'!F$2:F$62,MATCH(LARGE('V_Para Piyasası'!$AC$2:$AC$62,ROW()-3),'V_Para Piyasası'!$AC$2:$AC$62,0))</f>
        <v>0.75341634368657484</v>
      </c>
      <c r="H57" s="9">
        <f>INDEX('V_Para Piyasası'!G$2:G$62,MATCH(LARGE('V_Para Piyasası'!$AC$2:$AC$62,ROW()-3),'V_Para Piyasası'!$AC$2:$AC$62,0))</f>
        <v>3.4412603463865881</v>
      </c>
      <c r="I57" s="9">
        <f>INDEX('V_Para Piyasası'!H$2:H$62,MATCH(LARGE('V_Para Piyasası'!$AC$2:$AC$62,ROW()-3),'V_Para Piyasası'!$AC$2:$AC$62,0))</f>
        <v>22.376054309812819</v>
      </c>
      <c r="J57" s="9">
        <f>INDEX('V_Para Piyasası'!I$2:I$62,MATCH(LARGE('V_Para Piyasası'!$AC$2:$AC$62,ROW()-3),'V_Para Piyasası'!$AC$2:$AC$62,0))</f>
        <v>47.65866432788215</v>
      </c>
      <c r="K57" s="10">
        <f>INDEX('V_Para Piyasası'!J$2:J$62,MATCH(LARGE('V_Para Piyasası'!$AC$2:$AC$62,ROW()-3),'V_Para Piyasası'!$AC$2:$AC$62,0))</f>
        <v>19014</v>
      </c>
      <c r="L57" s="10">
        <f>INDEX('V_Para Piyasası'!K$2:K$62,MATCH(LARGE('V_Para Piyasası'!$AC$2:$AC$62,ROW()-3),'V_Para Piyasası'!$AC$2:$AC$62,0))</f>
        <v>19258</v>
      </c>
      <c r="M57" s="8">
        <f>INDEX('V_Para Piyasası'!L$2:L$62,MATCH(LARGE('V_Para Piyasası'!$AC$2:$AC$62,ROW()-3),'V_Para Piyasası'!$AC$2:$AC$62,0))</f>
        <v>1.283264962659092E-2</v>
      </c>
      <c r="N57" s="11">
        <f>INDEX('V_Para Piyasası'!M$2:M$62,MATCH(LARGE('V_Para Piyasası'!$AC$2:$AC$62,ROW()-3),'V_Para Piyasası'!$AC$2:$AC$62,0))</f>
        <v>12966292786.190001</v>
      </c>
      <c r="O57" s="11">
        <f>INDEX('V_Para Piyasası'!N$2:N$62,MATCH(LARGE('V_Para Piyasası'!$AC$2:$AC$62,ROW()-3),'V_Para Piyasası'!$AC$2:$AC$62,0))</f>
        <v>12953428296.23</v>
      </c>
      <c r="P57" s="8">
        <f>INDEX('V_Para Piyasası'!O$2:O$62,MATCH(LARGE('V_Para Piyasası'!$AC$2:$AC$62,ROW()-3),'V_Para Piyasası'!$AC$2:$AC$62,0))</f>
        <v>-9.9214865591368273E-4</v>
      </c>
      <c r="Q57" s="9">
        <f>INDEX('V_Para Piyasası'!P$2:P$62,MATCH(LARGE('V_Para Piyasası'!$AC$2:$AC$62,ROW()-3),'V_Para Piyasası'!$AC$2:$AC$62,0))</f>
        <v>8.4555696312752102E-2</v>
      </c>
      <c r="R57" s="5" t="str">
        <f>INDEX('V_Para Piyasası'!Q$2:Q$62,MATCH(LARGE('V_Para Piyasası'!$AC$2:$AC$62,ROW()-3),'V_Para Piyasası'!$AC$2:$AC$62,0))</f>
        <v>Görüyor</v>
      </c>
      <c r="S57" s="8">
        <f>INDEX('V_Para Piyasası'!R$2:R$62,MATCH(LARGE('V_Para Piyasası'!$AC$2:$AC$62,ROW()-3),'V_Para Piyasası'!$AC$2:$AC$62,0))</f>
        <v>0.33310000000000001</v>
      </c>
      <c r="T57" s="8">
        <f>INDEX('V_Para Piyasası'!S$2:S$62,MATCH(LARGE('V_Para Piyasası'!$AC$2:$AC$62,ROW()-3),'V_Para Piyasası'!$AC$2:$AC$62,0))</f>
        <v>0</v>
      </c>
      <c r="U57" s="8">
        <f>INDEX('V_Para Piyasası'!T$2:T$62,MATCH(LARGE('V_Para Piyasası'!$AC$2:$AC$62,ROW()-3),'V_Para Piyasası'!$AC$2:$AC$62,0))</f>
        <v>0.14660000000000001</v>
      </c>
      <c r="V57" s="8">
        <f>INDEX('V_Para Piyasası'!U$2:U$62,MATCH(LARGE('V_Para Piyasası'!$AC$2:$AC$62,ROW()-3),'V_Para Piyasası'!$AC$2:$AC$62,0))</f>
        <v>0</v>
      </c>
      <c r="W57" s="8">
        <f>INDEX('V_Para Piyasası'!V$2:V$62,MATCH(LARGE('V_Para Piyasası'!$AC$2:$AC$62,ROW()-3),'V_Para Piyasası'!$AC$2:$AC$62,0))</f>
        <v>0.14580000000000001</v>
      </c>
      <c r="X57" s="8">
        <f>INDEX('V_Para Piyasası'!W$2:W$62,MATCH(LARGE('V_Para Piyasası'!$AC$2:$AC$62,ROW()-3),'V_Para Piyasası'!$AC$2:$AC$62,0))</f>
        <v>0</v>
      </c>
      <c r="Y57" s="8">
        <f>INDEX('V_Para Piyasası'!X$2:X$62,MATCH(LARGE('V_Para Piyasası'!$AC$2:$AC$62,ROW()-3),'V_Para Piyasası'!$AC$2:$AC$62,0))</f>
        <v>3.6799999999999999E-2</v>
      </c>
      <c r="Z57" s="8">
        <f>INDEX('V_Para Piyasası'!Y$2:Y$62,MATCH(LARGE('V_Para Piyasası'!$AC$2:$AC$62,ROW()-3),'V_Para Piyasası'!$AC$2:$AC$62,0))</f>
        <v>9.1199999999999989E-2</v>
      </c>
      <c r="AA57" s="8">
        <f>INDEX('V_Para Piyasası'!Z$2:Z$62,MATCH(LARGE('V_Para Piyasası'!$AC$2:$AC$62,ROW()-3),'V_Para Piyasası'!$AC$2:$AC$62,0))</f>
        <v>2.5000000000000001E-3</v>
      </c>
      <c r="AB57" s="8">
        <f>INDEX('V_Para Piyasası'!AA$2:AA$62,MATCH(LARGE('V_Para Piyasası'!$AC$2:$AC$62,ROW()-3),'V_Para Piyasası'!$AC$2:$AC$62,0))</f>
        <v>0.75600000000000001</v>
      </c>
    </row>
    <row r="58" spans="1:28" x14ac:dyDescent="0.2">
      <c r="A58">
        <v>55</v>
      </c>
      <c r="B58" s="5" t="str">
        <f>INDEX('V_Para Piyasası'!A$2:A$62,MATCH(LARGE('V_Para Piyasası'!$AC$2:$AC$62,ROW()-3),'V_Para Piyasası'!$AC$2:$AC$62,0))</f>
        <v>PJL</v>
      </c>
      <c r="C58" s="5" t="str">
        <f>INDEX('V_Para Piyasası'!B$2:B$62,MATCH(LARGE('V_Para Piyasası'!$AC$2:$AC$62,ROW()-3),'V_Para Piyasası'!$AC$2:$AC$62,0))</f>
        <v>Phillip Portföy Para Piyasası Fonu</v>
      </c>
      <c r="D58" s="5" t="str">
        <f>INDEX('V_Para Piyasası'!C$2:C$62,MATCH(LARGE('V_Para Piyasası'!$AC$2:$AC$62,ROW()-3),'V_Para Piyasası'!$AC$2:$AC$62,0))</f>
        <v>Phillip Portföy</v>
      </c>
      <c r="E58" s="8">
        <f>INDEX('V_Para Piyasası'!D$2:D$62,MATCH(LARGE('V_Para Piyasası'!$AC$2:$AC$62,ROW()-3),'V_Para Piyasası'!$AC$2:$AC$62,0))</f>
        <v>1.2500000000000001E-2</v>
      </c>
      <c r="F58" s="9">
        <f>INDEX('V_Para Piyasası'!E$2:E$62,MATCH(LARGE('V_Para Piyasası'!$AC$2:$AC$62,ROW()-3),'V_Para Piyasası'!$AC$2:$AC$62,0))</f>
        <v>0.1050116041729776</v>
      </c>
      <c r="G58" s="9">
        <f>INDEX('V_Para Piyasası'!F$2:F$62,MATCH(LARGE('V_Para Piyasası'!$AC$2:$AC$62,ROW()-3),'V_Para Piyasası'!$AC$2:$AC$62,0))</f>
        <v>0.73628906841498587</v>
      </c>
      <c r="H58" s="9">
        <f>INDEX('V_Para Piyasası'!G$2:G$62,MATCH(LARGE('V_Para Piyasası'!$AC$2:$AC$62,ROW()-3),'V_Para Piyasası'!$AC$2:$AC$62,0))</f>
        <v>3.4000126246032769</v>
      </c>
      <c r="I58" s="9">
        <f>INDEX('V_Para Piyasası'!H$2:H$62,MATCH(LARGE('V_Para Piyasası'!$AC$2:$AC$62,ROW()-3),'V_Para Piyasası'!$AC$2:$AC$62,0))</f>
        <v>22.19412019498748</v>
      </c>
      <c r="J58" s="9">
        <f>INDEX('V_Para Piyasası'!I$2:I$62,MATCH(LARGE('V_Para Piyasası'!$AC$2:$AC$62,ROW()-3),'V_Para Piyasası'!$AC$2:$AC$62,0))</f>
        <v>47.19496508474117</v>
      </c>
      <c r="K58" s="10">
        <f>INDEX('V_Para Piyasası'!J$2:J$62,MATCH(LARGE('V_Para Piyasası'!$AC$2:$AC$62,ROW()-3),'V_Para Piyasası'!$AC$2:$AC$62,0))</f>
        <v>3444</v>
      </c>
      <c r="L58" s="10">
        <f>INDEX('V_Para Piyasası'!K$2:K$62,MATCH(LARGE('V_Para Piyasası'!$AC$2:$AC$62,ROW()-3),'V_Para Piyasası'!$AC$2:$AC$62,0))</f>
        <v>3351</v>
      </c>
      <c r="M58" s="8">
        <f>INDEX('V_Para Piyasası'!L$2:L$62,MATCH(LARGE('V_Para Piyasası'!$AC$2:$AC$62,ROW()-3),'V_Para Piyasası'!$AC$2:$AC$62,0))</f>
        <v>-2.7003484320557439E-2</v>
      </c>
      <c r="N58" s="11">
        <f>INDEX('V_Para Piyasası'!M$2:M$62,MATCH(LARGE('V_Para Piyasası'!$AC$2:$AC$62,ROW()-3),'V_Para Piyasası'!$AC$2:$AC$62,0))</f>
        <v>2729067503.0599999</v>
      </c>
      <c r="O58" s="11">
        <f>INDEX('V_Para Piyasası'!N$2:N$62,MATCH(LARGE('V_Para Piyasası'!$AC$2:$AC$62,ROW()-3),'V_Para Piyasası'!$AC$2:$AC$62,0))</f>
        <v>1375001633.8399999</v>
      </c>
      <c r="P58" s="8">
        <f>INDEX('V_Para Piyasası'!O$2:O$62,MATCH(LARGE('V_Para Piyasası'!$AC$2:$AC$62,ROW()-3),'V_Para Piyasası'!$AC$2:$AC$62,0))</f>
        <v>-0.49616430070041773</v>
      </c>
      <c r="Q58" s="9">
        <f>INDEX('V_Para Piyasası'!P$2:P$62,MATCH(LARGE('V_Para Piyasası'!$AC$2:$AC$62,ROW()-3),'V_Para Piyasası'!$AC$2:$AC$62,0))</f>
        <v>8.4029654830736267E-2</v>
      </c>
      <c r="R58" s="5" t="str">
        <f>INDEX('V_Para Piyasası'!Q$2:Q$62,MATCH(LARGE('V_Para Piyasası'!$AC$2:$AC$62,ROW()-3),'V_Para Piyasası'!$AC$2:$AC$62,0))</f>
        <v>Görüyor</v>
      </c>
      <c r="S58" s="8">
        <f>INDEX('V_Para Piyasası'!R$2:R$62,MATCH(LARGE('V_Para Piyasası'!$AC$2:$AC$62,ROW()-3),'V_Para Piyasası'!$AC$2:$AC$62,0))</f>
        <v>0.30299999999999999</v>
      </c>
      <c r="T58" s="8">
        <f>INDEX('V_Para Piyasası'!S$2:S$62,MATCH(LARGE('V_Para Piyasası'!$AC$2:$AC$62,ROW()-3),'V_Para Piyasası'!$AC$2:$AC$62,0))</f>
        <v>0</v>
      </c>
      <c r="U58" s="8">
        <f>INDEX('V_Para Piyasası'!T$2:T$62,MATCH(LARGE('V_Para Piyasası'!$AC$2:$AC$62,ROW()-3),'V_Para Piyasası'!$AC$2:$AC$62,0))</f>
        <v>0.29830000000000001</v>
      </c>
      <c r="V58" s="8">
        <f>INDEX('V_Para Piyasası'!U$2:U$62,MATCH(LARGE('V_Para Piyasası'!$AC$2:$AC$62,ROW()-3),'V_Para Piyasası'!$AC$2:$AC$62,0))</f>
        <v>0</v>
      </c>
      <c r="W58" s="8">
        <f>INDEX('V_Para Piyasası'!V$2:V$62,MATCH(LARGE('V_Para Piyasası'!$AC$2:$AC$62,ROW()-3),'V_Para Piyasası'!$AC$2:$AC$62,0))</f>
        <v>0.19239999999999999</v>
      </c>
      <c r="X58" s="8">
        <f>INDEX('V_Para Piyasası'!W$2:W$62,MATCH(LARGE('V_Para Piyasası'!$AC$2:$AC$62,ROW()-3),'V_Para Piyasası'!$AC$2:$AC$62,0))</f>
        <v>0</v>
      </c>
      <c r="Y58" s="8">
        <f>INDEX('V_Para Piyasası'!X$2:X$62,MATCH(LARGE('V_Para Piyasası'!$AC$2:$AC$62,ROW()-3),'V_Para Piyasası'!$AC$2:$AC$62,0))</f>
        <v>0</v>
      </c>
      <c r="Z58" s="8">
        <f>INDEX('V_Para Piyasası'!Y$2:Y$62,MATCH(LARGE('V_Para Piyasası'!$AC$2:$AC$62,ROW()-3),'V_Para Piyasası'!$AC$2:$AC$62,0))</f>
        <v>1.2200000000000001E-2</v>
      </c>
      <c r="AA58" s="8">
        <f>INDEX('V_Para Piyasası'!Z$2:Z$62,MATCH(LARGE('V_Para Piyasası'!$AC$2:$AC$62,ROW()-3),'V_Para Piyasası'!$AC$2:$AC$62,0))</f>
        <v>0</v>
      </c>
      <c r="AB58" s="8">
        <f>INDEX('V_Para Piyasası'!AA$2:AA$62,MATCH(LARGE('V_Para Piyasası'!$AC$2:$AC$62,ROW()-3),'V_Para Piyasası'!$AC$2:$AC$62,0))</f>
        <v>0.80590000000000006</v>
      </c>
    </row>
    <row r="59" spans="1:28" x14ac:dyDescent="0.2">
      <c r="A59">
        <v>56</v>
      </c>
      <c r="B59" s="5" t="str">
        <f>INDEX('V_Para Piyasası'!A$2:A$62,MATCH(LARGE('V_Para Piyasası'!$AC$2:$AC$62,ROW()-3),'V_Para Piyasası'!$AC$2:$AC$62,0))</f>
        <v>PPI</v>
      </c>
      <c r="C59" s="5" t="str">
        <f>INDEX('V_Para Piyasası'!B$2:B$62,MATCH(LARGE('V_Para Piyasası'!$AC$2:$AC$62,ROW()-3),'V_Para Piyasası'!$AC$2:$AC$62,0))</f>
        <v>Yapı Kredi Portföy Üçüncü Para Piyasası (TL) Fonu</v>
      </c>
      <c r="D59" s="5" t="str">
        <f>INDEX('V_Para Piyasası'!C$2:C$62,MATCH(LARGE('V_Para Piyasası'!$AC$2:$AC$62,ROW()-3),'V_Para Piyasası'!$AC$2:$AC$62,0))</f>
        <v>Yapı Kredi Portföy</v>
      </c>
      <c r="E59" s="8">
        <f>INDEX('V_Para Piyasası'!D$2:D$62,MATCH(LARGE('V_Para Piyasası'!$AC$2:$AC$62,ROW()-3),'V_Para Piyasası'!$AC$2:$AC$62,0))</f>
        <v>6.9999999999999993E-3</v>
      </c>
      <c r="F59" s="9">
        <f>INDEX('V_Para Piyasası'!E$2:E$62,MATCH(LARGE('V_Para Piyasası'!$AC$2:$AC$62,ROW()-3),'V_Para Piyasası'!$AC$2:$AC$62,0))</f>
        <v>0.1048084529660764</v>
      </c>
      <c r="G59" s="9">
        <f>INDEX('V_Para Piyasası'!F$2:F$62,MATCH(LARGE('V_Para Piyasası'!$AC$2:$AC$62,ROW()-3),'V_Para Piyasası'!$AC$2:$AC$62,0))</f>
        <v>0.73635842050889799</v>
      </c>
      <c r="H59" s="9">
        <f>INDEX('V_Para Piyasası'!G$2:G$62,MATCH(LARGE('V_Para Piyasası'!$AC$2:$AC$62,ROW()-3),'V_Para Piyasası'!$AC$2:$AC$62,0))</f>
        <v>3.3257569118355201</v>
      </c>
      <c r="I59" s="9">
        <f>INDEX('V_Para Piyasası'!H$2:H$62,MATCH(LARGE('V_Para Piyasası'!$AC$2:$AC$62,ROW()-3),'V_Para Piyasası'!$AC$2:$AC$62,0))</f>
        <v>21.945752310367482</v>
      </c>
      <c r="J59" s="9">
        <f>INDEX('V_Para Piyasası'!I$2:I$62,MATCH(LARGE('V_Para Piyasası'!$AC$2:$AC$62,ROW()-3),'V_Para Piyasası'!$AC$2:$AC$62,0))</f>
        <v>47.461304972894339</v>
      </c>
      <c r="K59" s="10">
        <f>INDEX('V_Para Piyasası'!J$2:J$62,MATCH(LARGE('V_Para Piyasası'!$AC$2:$AC$62,ROW()-3),'V_Para Piyasası'!$AC$2:$AC$62,0))</f>
        <v>2939</v>
      </c>
      <c r="L59" s="10">
        <f>INDEX('V_Para Piyasası'!K$2:K$62,MATCH(LARGE('V_Para Piyasası'!$AC$2:$AC$62,ROW()-3),'V_Para Piyasası'!$AC$2:$AC$62,0))</f>
        <v>2784</v>
      </c>
      <c r="M59" s="8">
        <f>INDEX('V_Para Piyasası'!L$2:L$62,MATCH(LARGE('V_Para Piyasası'!$AC$2:$AC$62,ROW()-3),'V_Para Piyasası'!$AC$2:$AC$62,0))</f>
        <v>-5.2739026879891071E-2</v>
      </c>
      <c r="N59" s="11">
        <f>INDEX('V_Para Piyasası'!M$2:M$62,MATCH(LARGE('V_Para Piyasası'!$AC$2:$AC$62,ROW()-3),'V_Para Piyasası'!$AC$2:$AC$62,0))</f>
        <v>4393143568.9399996</v>
      </c>
      <c r="O59" s="11">
        <f>INDEX('V_Para Piyasası'!N$2:N$62,MATCH(LARGE('V_Para Piyasası'!$AC$2:$AC$62,ROW()-3),'V_Para Piyasası'!$AC$2:$AC$62,0))</f>
        <v>4115053447.23</v>
      </c>
      <c r="P59" s="8">
        <f>INDEX('V_Para Piyasası'!O$2:O$62,MATCH(LARGE('V_Para Piyasası'!$AC$2:$AC$62,ROW()-3),'V_Para Piyasası'!$AC$2:$AC$62,0))</f>
        <v>-6.3300940965400398E-2</v>
      </c>
      <c r="Q59" s="9">
        <f>INDEX('V_Para Piyasası'!P$2:P$62,MATCH(LARGE('V_Para Piyasası'!$AC$2:$AC$62,ROW()-3),'V_Para Piyasası'!$AC$2:$AC$62,0))</f>
        <v>8.5100627102235052E-2</v>
      </c>
      <c r="R59" s="5" t="str">
        <f>INDEX('V_Para Piyasası'!Q$2:Q$62,MATCH(LARGE('V_Para Piyasası'!$AC$2:$AC$62,ROW()-3),'V_Para Piyasası'!$AC$2:$AC$62,0))</f>
        <v>Görüyor</v>
      </c>
      <c r="S59" s="8">
        <f>INDEX('V_Para Piyasası'!R$2:R$62,MATCH(LARGE('V_Para Piyasası'!$AC$2:$AC$62,ROW()-3),'V_Para Piyasası'!$AC$2:$AC$62,0))</f>
        <v>0</v>
      </c>
      <c r="T59" s="8">
        <f>INDEX('V_Para Piyasası'!S$2:S$62,MATCH(LARGE('V_Para Piyasası'!$AC$2:$AC$62,ROW()-3),'V_Para Piyasası'!$AC$2:$AC$62,0))</f>
        <v>0</v>
      </c>
      <c r="U59" s="8">
        <f>INDEX('V_Para Piyasası'!T$2:T$62,MATCH(LARGE('V_Para Piyasası'!$AC$2:$AC$62,ROW()-3),'V_Para Piyasası'!$AC$2:$AC$62,0))</f>
        <v>0.58409999999999995</v>
      </c>
      <c r="V59" s="8">
        <f>INDEX('V_Para Piyasası'!U$2:U$62,MATCH(LARGE('V_Para Piyasası'!$AC$2:$AC$62,ROW()-3),'V_Para Piyasası'!$AC$2:$AC$62,0))</f>
        <v>0</v>
      </c>
      <c r="W59" s="8">
        <f>INDEX('V_Para Piyasası'!V$2:V$62,MATCH(LARGE('V_Para Piyasası'!$AC$2:$AC$62,ROW()-3),'V_Para Piyasası'!$AC$2:$AC$62,0))</f>
        <v>2.0000000000000001E-4</v>
      </c>
      <c r="X59" s="8">
        <f>INDEX('V_Para Piyasası'!W$2:W$62,MATCH(LARGE('V_Para Piyasası'!$AC$2:$AC$62,ROW()-3),'V_Para Piyasası'!$AC$2:$AC$62,0))</f>
        <v>0</v>
      </c>
      <c r="Y59" s="8">
        <f>INDEX('V_Para Piyasası'!X$2:X$62,MATCH(LARGE('V_Para Piyasası'!$AC$2:$AC$62,ROW()-3),'V_Para Piyasası'!$AC$2:$AC$62,0))</f>
        <v>3.0499999999999999E-2</v>
      </c>
      <c r="Z59" s="8">
        <f>INDEX('V_Para Piyasası'!Y$2:Y$62,MATCH(LARGE('V_Para Piyasası'!$AC$2:$AC$62,ROW()-3),'V_Para Piyasası'!$AC$2:$AC$62,0))</f>
        <v>0</v>
      </c>
      <c r="AA59" s="8">
        <f>INDEX('V_Para Piyasası'!Z$2:Z$62,MATCH(LARGE('V_Para Piyasası'!$AC$2:$AC$62,ROW()-3),'V_Para Piyasası'!$AC$2:$AC$62,0))</f>
        <v>0</v>
      </c>
      <c r="AB59" s="8">
        <f>INDEX('V_Para Piyasası'!AA$2:AA$62,MATCH(LARGE('V_Para Piyasası'!$AC$2:$AC$62,ROW()-3),'V_Para Piyasası'!$AC$2:$AC$62,0))</f>
        <v>0.6147999999999999</v>
      </c>
    </row>
    <row r="60" spans="1:28" x14ac:dyDescent="0.2">
      <c r="A60">
        <v>57</v>
      </c>
      <c r="B60" s="5" t="str">
        <f>INDEX('V_Para Piyasası'!A$2:A$62,MATCH(LARGE('V_Para Piyasası'!$AC$2:$AC$62,ROW()-3),'V_Para Piyasası'!$AC$2:$AC$62,0))</f>
        <v>HYV</v>
      </c>
      <c r="C60" s="5" t="str">
        <f>INDEX('V_Para Piyasası'!B$2:B$62,MATCH(LARGE('V_Para Piyasası'!$AC$2:$AC$62,ROW()-3),'V_Para Piyasası'!$AC$2:$AC$62,0))</f>
        <v>Hedef Portföy Para Piyasası (TL) Fonu</v>
      </c>
      <c r="D60" s="5" t="str">
        <f>INDEX('V_Para Piyasası'!C$2:C$62,MATCH(LARGE('V_Para Piyasası'!$AC$2:$AC$62,ROW()-3),'V_Para Piyasası'!$AC$2:$AC$62,0))</f>
        <v>Hedef Portföy</v>
      </c>
      <c r="E60" s="8">
        <f>INDEX('V_Para Piyasası'!D$2:D$62,MATCH(LARGE('V_Para Piyasası'!$AC$2:$AC$62,ROW()-3),'V_Para Piyasası'!$AC$2:$AC$62,0))</f>
        <v>1.2500000000000001E-2</v>
      </c>
      <c r="F60" s="9">
        <f>INDEX('V_Para Piyasası'!E$2:E$62,MATCH(LARGE('V_Para Piyasası'!$AC$2:$AC$62,ROW()-3),'V_Para Piyasası'!$AC$2:$AC$62,0))</f>
        <v>0.1042512704029885</v>
      </c>
      <c r="G60" s="9">
        <f>INDEX('V_Para Piyasası'!F$2:F$62,MATCH(LARGE('V_Para Piyasası'!$AC$2:$AC$62,ROW()-3),'V_Para Piyasası'!$AC$2:$AC$62,0))</f>
        <v>0.74167376089424586</v>
      </c>
      <c r="H60" s="9">
        <f>INDEX('V_Para Piyasası'!G$2:G$62,MATCH(LARGE('V_Para Piyasası'!$AC$2:$AC$62,ROW()-3),'V_Para Piyasası'!$AC$2:$AC$62,0))</f>
        <v>3.4002387837729131</v>
      </c>
      <c r="I60" s="9">
        <f>INDEX('V_Para Piyasası'!H$2:H$62,MATCH(LARGE('V_Para Piyasası'!$AC$2:$AC$62,ROW()-3),'V_Para Piyasası'!$AC$2:$AC$62,0))</f>
        <v>22.31371135634927</v>
      </c>
      <c r="J60" s="9">
        <f>INDEX('V_Para Piyasası'!I$2:I$62,MATCH(LARGE('V_Para Piyasası'!$AC$2:$AC$62,ROW()-3),'V_Para Piyasası'!$AC$2:$AC$62,0))</f>
        <v>48.651976352176682</v>
      </c>
      <c r="K60" s="10">
        <f>INDEX('V_Para Piyasası'!J$2:J$62,MATCH(LARGE('V_Para Piyasası'!$AC$2:$AC$62,ROW()-3),'V_Para Piyasası'!$AC$2:$AC$62,0))</f>
        <v>7228</v>
      </c>
      <c r="L60" s="10">
        <f>INDEX('V_Para Piyasası'!K$2:K$62,MATCH(LARGE('V_Para Piyasası'!$AC$2:$AC$62,ROW()-3),'V_Para Piyasası'!$AC$2:$AC$62,0))</f>
        <v>6957</v>
      </c>
      <c r="M60" s="8">
        <f>INDEX('V_Para Piyasası'!L$2:L$62,MATCH(LARGE('V_Para Piyasası'!$AC$2:$AC$62,ROW()-3),'V_Para Piyasası'!$AC$2:$AC$62,0))</f>
        <v>-3.7493082457111249E-2</v>
      </c>
      <c r="N60" s="11">
        <f>INDEX('V_Para Piyasası'!M$2:M$62,MATCH(LARGE('V_Para Piyasası'!$AC$2:$AC$62,ROW()-3),'V_Para Piyasası'!$AC$2:$AC$62,0))</f>
        <v>6370128982.4799995</v>
      </c>
      <c r="O60" s="11">
        <f>INDEX('V_Para Piyasası'!N$2:N$62,MATCH(LARGE('V_Para Piyasası'!$AC$2:$AC$62,ROW()-3),'V_Para Piyasası'!$AC$2:$AC$62,0))</f>
        <v>6210845752.6000004</v>
      </c>
      <c r="P60" s="8">
        <f>INDEX('V_Para Piyasası'!O$2:O$62,MATCH(LARGE('V_Para Piyasası'!$AC$2:$AC$62,ROW()-3),'V_Para Piyasası'!$AC$2:$AC$62,0))</f>
        <v>-2.5004710315612359E-2</v>
      </c>
      <c r="Q60" s="9">
        <f>INDEX('V_Para Piyasası'!P$2:P$62,MATCH(LARGE('V_Para Piyasası'!$AC$2:$AC$62,ROW()-3),'V_Para Piyasası'!$AC$2:$AC$62,0))</f>
        <v>8.2804539032129448E-2</v>
      </c>
      <c r="R60" s="5" t="str">
        <f>INDEX('V_Para Piyasası'!Q$2:Q$62,MATCH(LARGE('V_Para Piyasası'!$AC$2:$AC$62,ROW()-3),'V_Para Piyasası'!$AC$2:$AC$62,0))</f>
        <v>Görüyor</v>
      </c>
      <c r="S60" s="8">
        <f>INDEX('V_Para Piyasası'!R$2:R$62,MATCH(LARGE('V_Para Piyasası'!$AC$2:$AC$62,ROW()-3),'V_Para Piyasası'!$AC$2:$AC$62,0))</f>
        <v>0.30680000000000002</v>
      </c>
      <c r="T60" s="8">
        <f>INDEX('V_Para Piyasası'!S$2:S$62,MATCH(LARGE('V_Para Piyasası'!$AC$2:$AC$62,ROW()-3),'V_Para Piyasası'!$AC$2:$AC$62,0))</f>
        <v>0</v>
      </c>
      <c r="U60" s="8">
        <f>INDEX('V_Para Piyasası'!T$2:T$62,MATCH(LARGE('V_Para Piyasası'!$AC$2:$AC$62,ROW()-3),'V_Para Piyasası'!$AC$2:$AC$62,0))</f>
        <v>0.49080000000000001</v>
      </c>
      <c r="V60" s="8">
        <f>INDEX('V_Para Piyasası'!U$2:U$62,MATCH(LARGE('V_Para Piyasası'!$AC$2:$AC$62,ROW()-3),'V_Para Piyasası'!$AC$2:$AC$62,0))</f>
        <v>0</v>
      </c>
      <c r="W60" s="8">
        <f>INDEX('V_Para Piyasası'!V$2:V$62,MATCH(LARGE('V_Para Piyasası'!$AC$2:$AC$62,ROW()-3),'V_Para Piyasası'!$AC$2:$AC$62,0))</f>
        <v>6.1400000000000003E-2</v>
      </c>
      <c r="X60" s="8">
        <f>INDEX('V_Para Piyasası'!W$2:W$62,MATCH(LARGE('V_Para Piyasası'!$AC$2:$AC$62,ROW()-3),'V_Para Piyasası'!$AC$2:$AC$62,0))</f>
        <v>0</v>
      </c>
      <c r="Y60" s="8">
        <f>INDEX('V_Para Piyasası'!X$2:X$62,MATCH(LARGE('V_Para Piyasası'!$AC$2:$AC$62,ROW()-3),'V_Para Piyasası'!$AC$2:$AC$62,0))</f>
        <v>0</v>
      </c>
      <c r="Z60" s="8">
        <f>INDEX('V_Para Piyasası'!Y$2:Y$62,MATCH(LARGE('V_Para Piyasası'!$AC$2:$AC$62,ROW()-3),'V_Para Piyasası'!$AC$2:$AC$62,0))</f>
        <v>1.6999999999999999E-3</v>
      </c>
      <c r="AA60" s="8">
        <f>INDEX('V_Para Piyasası'!Z$2:Z$62,MATCH(LARGE('V_Para Piyasası'!$AC$2:$AC$62,ROW()-3),'V_Para Piyasası'!$AC$2:$AC$62,0))</f>
        <v>0</v>
      </c>
      <c r="AB60" s="8">
        <f>INDEX('V_Para Piyasası'!AA$2:AA$62,MATCH(LARGE('V_Para Piyasası'!$AC$2:$AC$62,ROW()-3),'V_Para Piyasası'!$AC$2:$AC$62,0))</f>
        <v>0.86070000000000002</v>
      </c>
    </row>
    <row r="61" spans="1:28" x14ac:dyDescent="0.2">
      <c r="A61">
        <v>58</v>
      </c>
      <c r="B61" s="5" t="str">
        <f>INDEX('V_Para Piyasası'!A$2:A$62,MATCH(LARGE('V_Para Piyasası'!$AC$2:$AC$62,ROW()-3),'V_Para Piyasası'!$AC$2:$AC$62,0))</f>
        <v>FFD</v>
      </c>
      <c r="C61" s="5" t="str">
        <f>INDEX('V_Para Piyasası'!B$2:B$62,MATCH(LARGE('V_Para Piyasası'!$AC$2:$AC$62,ROW()-3),'V_Para Piyasası'!$AC$2:$AC$62,0))</f>
        <v>Fiba Portföy Üçüncü Para Piyasası (TL) Fonu</v>
      </c>
      <c r="D61" s="5" t="str">
        <f>INDEX('V_Para Piyasası'!C$2:C$62,MATCH(LARGE('V_Para Piyasası'!$AC$2:$AC$62,ROW()-3),'V_Para Piyasası'!$AC$2:$AC$62,0))</f>
        <v>Fiba Portföy</v>
      </c>
      <c r="E61" s="8">
        <f>INDEX('V_Para Piyasası'!D$2:D$62,MATCH(LARGE('V_Para Piyasası'!$AC$2:$AC$62,ROW()-3),'V_Para Piyasası'!$AC$2:$AC$62,0))</f>
        <v>1.4999999999999999E-2</v>
      </c>
      <c r="F61" s="9">
        <f>INDEX('V_Para Piyasası'!E$2:E$62,MATCH(LARGE('V_Para Piyasası'!$AC$2:$AC$62,ROW()-3),'V_Para Piyasası'!$AC$2:$AC$62,0))</f>
        <v>0.1041390153758037</v>
      </c>
      <c r="G61" s="9">
        <f>INDEX('V_Para Piyasası'!F$2:F$62,MATCH(LARGE('V_Para Piyasası'!$AC$2:$AC$62,ROW()-3),'V_Para Piyasası'!$AC$2:$AC$62,0))</f>
        <v>0.71700051361067718</v>
      </c>
      <c r="H61" s="9">
        <f>INDEX('V_Para Piyasası'!G$2:G$62,MATCH(LARGE('V_Para Piyasası'!$AC$2:$AC$62,ROW()-3),'V_Para Piyasası'!$AC$2:$AC$62,0))</f>
        <v>3.3563838758643878</v>
      </c>
      <c r="I61" s="9">
        <f>INDEX('V_Para Piyasası'!H$2:H$62,MATCH(LARGE('V_Para Piyasası'!$AC$2:$AC$62,ROW()-3),'V_Para Piyasası'!$AC$2:$AC$62,0))</f>
        <v>22.187328647624739</v>
      </c>
      <c r="J61" s="9">
        <f>INDEX('V_Para Piyasası'!I$2:I$62,MATCH(LARGE('V_Para Piyasası'!$AC$2:$AC$62,ROW()-3),'V_Para Piyasası'!$AC$2:$AC$62,0))</f>
        <v>47.334254973853461</v>
      </c>
      <c r="K61" s="10">
        <f>INDEX('V_Para Piyasası'!J$2:J$62,MATCH(LARGE('V_Para Piyasası'!$AC$2:$AC$62,ROW()-3),'V_Para Piyasası'!$AC$2:$AC$62,0))</f>
        <v>385</v>
      </c>
      <c r="L61" s="10">
        <f>INDEX('V_Para Piyasası'!K$2:K$62,MATCH(LARGE('V_Para Piyasası'!$AC$2:$AC$62,ROW()-3),'V_Para Piyasası'!$AC$2:$AC$62,0))</f>
        <v>417</v>
      </c>
      <c r="M61" s="8">
        <f>INDEX('V_Para Piyasası'!L$2:L$62,MATCH(LARGE('V_Para Piyasası'!$AC$2:$AC$62,ROW()-3),'V_Para Piyasası'!$AC$2:$AC$62,0))</f>
        <v>8.3116883116883145E-2</v>
      </c>
      <c r="N61" s="11">
        <f>INDEX('V_Para Piyasası'!M$2:M$62,MATCH(LARGE('V_Para Piyasası'!$AC$2:$AC$62,ROW()-3),'V_Para Piyasası'!$AC$2:$AC$62,0))</f>
        <v>249996368.31999999</v>
      </c>
      <c r="O61" s="11">
        <f>INDEX('V_Para Piyasası'!N$2:N$62,MATCH(LARGE('V_Para Piyasası'!$AC$2:$AC$62,ROW()-3),'V_Para Piyasası'!$AC$2:$AC$62,0))</f>
        <v>252534816.56</v>
      </c>
      <c r="P61" s="8">
        <f>INDEX('V_Para Piyasası'!O$2:O$62,MATCH(LARGE('V_Para Piyasası'!$AC$2:$AC$62,ROW()-3),'V_Para Piyasası'!$AC$2:$AC$62,0))</f>
        <v>1.0153940463450081E-2</v>
      </c>
      <c r="Q61" s="9">
        <f>INDEX('V_Para Piyasası'!P$2:P$62,MATCH(LARGE('V_Para Piyasası'!$AC$2:$AC$62,ROW()-3),'V_Para Piyasası'!$AC$2:$AC$62,0))</f>
        <v>8.1335797007360933E-2</v>
      </c>
      <c r="R61" s="5" t="str">
        <f>INDEX('V_Para Piyasası'!Q$2:Q$62,MATCH(LARGE('V_Para Piyasası'!$AC$2:$AC$62,ROW()-3),'V_Para Piyasası'!$AC$2:$AC$62,0))</f>
        <v>Görmüyor</v>
      </c>
      <c r="S61" s="8">
        <f>INDEX('V_Para Piyasası'!R$2:R$62,MATCH(LARGE('V_Para Piyasası'!$AC$2:$AC$62,ROW()-3),'V_Para Piyasası'!$AC$2:$AC$62,0))</f>
        <v>0.1323</v>
      </c>
      <c r="T61" s="8">
        <f>INDEX('V_Para Piyasası'!S$2:S$62,MATCH(LARGE('V_Para Piyasası'!$AC$2:$AC$62,ROW()-3),'V_Para Piyasası'!$AC$2:$AC$62,0))</f>
        <v>0</v>
      </c>
      <c r="U61" s="8">
        <f>INDEX('V_Para Piyasası'!T$2:T$62,MATCH(LARGE('V_Para Piyasası'!$AC$2:$AC$62,ROW()-3),'V_Para Piyasası'!$AC$2:$AC$62,0))</f>
        <v>0.6734</v>
      </c>
      <c r="V61" s="8">
        <f>INDEX('V_Para Piyasası'!U$2:U$62,MATCH(LARGE('V_Para Piyasası'!$AC$2:$AC$62,ROW()-3),'V_Para Piyasası'!$AC$2:$AC$62,0))</f>
        <v>0</v>
      </c>
      <c r="W61" s="8">
        <f>INDEX('V_Para Piyasası'!V$2:V$62,MATCH(LARGE('V_Para Piyasası'!$AC$2:$AC$62,ROW()-3),'V_Para Piyasası'!$AC$2:$AC$62,0))</f>
        <v>1.2999999999999999E-3</v>
      </c>
      <c r="X61" s="8">
        <f>INDEX('V_Para Piyasası'!W$2:W$62,MATCH(LARGE('V_Para Piyasası'!$AC$2:$AC$62,ROW()-3),'V_Para Piyasası'!$AC$2:$AC$62,0))</f>
        <v>0</v>
      </c>
      <c r="Y61" s="8">
        <f>INDEX('V_Para Piyasası'!X$2:X$62,MATCH(LARGE('V_Para Piyasası'!$AC$2:$AC$62,ROW()-3),'V_Para Piyasası'!$AC$2:$AC$62,0))</f>
        <v>0</v>
      </c>
      <c r="Z61" s="8">
        <f>INDEX('V_Para Piyasası'!Y$2:Y$62,MATCH(LARGE('V_Para Piyasası'!$AC$2:$AC$62,ROW()-3),'V_Para Piyasası'!$AC$2:$AC$62,0))</f>
        <v>0</v>
      </c>
      <c r="AA61" s="8">
        <f>INDEX('V_Para Piyasası'!Z$2:Z$62,MATCH(LARGE('V_Para Piyasası'!$AC$2:$AC$62,ROW()-3),'V_Para Piyasası'!$AC$2:$AC$62,0))</f>
        <v>0</v>
      </c>
      <c r="AB61" s="8">
        <f>INDEX('V_Para Piyasası'!AA$2:AA$62,MATCH(LARGE('V_Para Piyasası'!$AC$2:$AC$62,ROW()-3),'V_Para Piyasası'!$AC$2:$AC$62,0))</f>
        <v>0.80700000000000005</v>
      </c>
    </row>
    <row r="62" spans="1:28" x14ac:dyDescent="0.2">
      <c r="A62">
        <v>59</v>
      </c>
      <c r="B62" s="5" t="str">
        <f>INDEX('V_Para Piyasası'!A$2:A$62,MATCH(LARGE('V_Para Piyasası'!$AC$2:$AC$62,ROW()-3),'V_Para Piyasası'!$AC$2:$AC$62,0))</f>
        <v>ICE</v>
      </c>
      <c r="C62" s="5" t="str">
        <f>INDEX('V_Para Piyasası'!B$2:B$62,MATCH(LARGE('V_Para Piyasası'!$AC$2:$AC$62,ROW()-3),'V_Para Piyasası'!$AC$2:$AC$62,0))</f>
        <v>Icbc Turkey Portföy Para Piyasası (TL) Fonu</v>
      </c>
      <c r="D62" s="5" t="str">
        <f>INDEX('V_Para Piyasası'!C$2:C$62,MATCH(LARGE('V_Para Piyasası'!$AC$2:$AC$62,ROW()-3),'V_Para Piyasası'!$AC$2:$AC$62,0))</f>
        <v>Icbc Turkey Portföy</v>
      </c>
      <c r="E62" s="8">
        <f>INDEX('V_Para Piyasası'!D$2:D$62,MATCH(LARGE('V_Para Piyasası'!$AC$2:$AC$62,ROW()-3),'V_Para Piyasası'!$AC$2:$AC$62,0))</f>
        <v>1.24E-2</v>
      </c>
      <c r="F62" s="9">
        <f>INDEX('V_Para Piyasası'!E$2:E$62,MATCH(LARGE('V_Para Piyasası'!$AC$2:$AC$62,ROW()-3),'V_Para Piyasası'!$AC$2:$AC$62,0))</f>
        <v>0.1038391871278854</v>
      </c>
      <c r="G62" s="9">
        <f>INDEX('V_Para Piyasası'!F$2:F$62,MATCH(LARGE('V_Para Piyasası'!$AC$2:$AC$62,ROW()-3),'V_Para Piyasası'!$AC$2:$AC$62,0))</f>
        <v>0.72996230008703922</v>
      </c>
      <c r="H62" s="9">
        <f>INDEX('V_Para Piyasası'!G$2:G$62,MATCH(LARGE('V_Para Piyasası'!$AC$2:$AC$62,ROW()-3),'V_Para Piyasası'!$AC$2:$AC$62,0))</f>
        <v>3.3661637140738998</v>
      </c>
      <c r="I62" s="9">
        <f>INDEX('V_Para Piyasası'!H$2:H$62,MATCH(LARGE('V_Para Piyasası'!$AC$2:$AC$62,ROW()-3),'V_Para Piyasası'!$AC$2:$AC$62,0))</f>
        <v>21.964177659999251</v>
      </c>
      <c r="J62" s="9">
        <f>INDEX('V_Para Piyasası'!I$2:I$62,MATCH(LARGE('V_Para Piyasası'!$AC$2:$AC$62,ROW()-3),'V_Para Piyasası'!$AC$2:$AC$62,0))</f>
        <v>46.844903343893797</v>
      </c>
      <c r="K62" s="10">
        <f>INDEX('V_Para Piyasası'!J$2:J$62,MATCH(LARGE('V_Para Piyasası'!$AC$2:$AC$62,ROW()-3),'V_Para Piyasası'!$AC$2:$AC$62,0))</f>
        <v>5410</v>
      </c>
      <c r="L62" s="10">
        <f>INDEX('V_Para Piyasası'!K$2:K$62,MATCH(LARGE('V_Para Piyasası'!$AC$2:$AC$62,ROW()-3),'V_Para Piyasası'!$AC$2:$AC$62,0))</f>
        <v>4445</v>
      </c>
      <c r="M62" s="8">
        <f>INDEX('V_Para Piyasası'!L$2:L$62,MATCH(LARGE('V_Para Piyasası'!$AC$2:$AC$62,ROW()-3),'V_Para Piyasası'!$AC$2:$AC$62,0))</f>
        <v>-0.17837338262476901</v>
      </c>
      <c r="N62" s="11">
        <f>INDEX('V_Para Piyasası'!M$2:M$62,MATCH(LARGE('V_Para Piyasası'!$AC$2:$AC$62,ROW()-3),'V_Para Piyasası'!$AC$2:$AC$62,0))</f>
        <v>1890371809.1400001</v>
      </c>
      <c r="O62" s="11">
        <f>INDEX('V_Para Piyasası'!N$2:N$62,MATCH(LARGE('V_Para Piyasası'!$AC$2:$AC$62,ROW()-3),'V_Para Piyasası'!$AC$2:$AC$62,0))</f>
        <v>1450388920.9100001</v>
      </c>
      <c r="P62" s="8">
        <f>INDEX('V_Para Piyasası'!O$2:O$62,MATCH(LARGE('V_Para Piyasası'!$AC$2:$AC$62,ROW()-3),'V_Para Piyasası'!$AC$2:$AC$62,0))</f>
        <v>-0.232749391470329</v>
      </c>
      <c r="Q62" s="9">
        <f>INDEX('V_Para Piyasası'!P$2:P$62,MATCH(LARGE('V_Para Piyasası'!$AC$2:$AC$62,ROW()-3),'V_Para Piyasası'!$AC$2:$AC$62,0))</f>
        <v>8.2810377825099757E-2</v>
      </c>
      <c r="R62" s="5" t="str">
        <f>INDEX('V_Para Piyasası'!Q$2:Q$62,MATCH(LARGE('V_Para Piyasası'!$AC$2:$AC$62,ROW()-3),'V_Para Piyasası'!$AC$2:$AC$62,0))</f>
        <v>Görüyor</v>
      </c>
      <c r="S62" s="8">
        <f>INDEX('V_Para Piyasası'!R$2:R$62,MATCH(LARGE('V_Para Piyasası'!$AC$2:$AC$62,ROW()-3),'V_Para Piyasası'!$AC$2:$AC$62,0))</f>
        <v>0.1767</v>
      </c>
      <c r="T62" s="8">
        <f>INDEX('V_Para Piyasası'!S$2:S$62,MATCH(LARGE('V_Para Piyasası'!$AC$2:$AC$62,ROW()-3),'V_Para Piyasası'!$AC$2:$AC$62,0))</f>
        <v>0</v>
      </c>
      <c r="U62" s="8">
        <f>INDEX('V_Para Piyasası'!T$2:T$62,MATCH(LARGE('V_Para Piyasası'!$AC$2:$AC$62,ROW()-3),'V_Para Piyasası'!$AC$2:$AC$62,0))</f>
        <v>0.53859999999999997</v>
      </c>
      <c r="V62" s="8">
        <f>INDEX('V_Para Piyasası'!U$2:U$62,MATCH(LARGE('V_Para Piyasası'!$AC$2:$AC$62,ROW()-3),'V_Para Piyasası'!$AC$2:$AC$62,0))</f>
        <v>0</v>
      </c>
      <c r="W62" s="8">
        <f>INDEX('V_Para Piyasası'!V$2:V$62,MATCH(LARGE('V_Para Piyasası'!$AC$2:$AC$62,ROW()-3),'V_Para Piyasası'!$AC$2:$AC$62,0))</f>
        <v>2.0999999999999999E-3</v>
      </c>
      <c r="X62" s="8">
        <f>INDEX('V_Para Piyasası'!W$2:W$62,MATCH(LARGE('V_Para Piyasası'!$AC$2:$AC$62,ROW()-3),'V_Para Piyasası'!$AC$2:$AC$62,0))</f>
        <v>0</v>
      </c>
      <c r="Y62" s="8">
        <f>INDEX('V_Para Piyasası'!X$2:X$62,MATCH(LARGE('V_Para Piyasası'!$AC$2:$AC$62,ROW()-3),'V_Para Piyasası'!$AC$2:$AC$62,0))</f>
        <v>0</v>
      </c>
      <c r="Z62" s="8">
        <f>INDEX('V_Para Piyasası'!Y$2:Y$62,MATCH(LARGE('V_Para Piyasası'!$AC$2:$AC$62,ROW()-3),'V_Para Piyasası'!$AC$2:$AC$62,0))</f>
        <v>0.1178</v>
      </c>
      <c r="AA62" s="8">
        <f>INDEX('V_Para Piyasası'!Z$2:Z$62,MATCH(LARGE('V_Para Piyasası'!$AC$2:$AC$62,ROW()-3),'V_Para Piyasası'!$AC$2:$AC$62,0))</f>
        <v>2.86E-2</v>
      </c>
      <c r="AB62" s="8">
        <f>INDEX('V_Para Piyasası'!AA$2:AA$62,MATCH(LARGE('V_Para Piyasası'!$AC$2:$AC$62,ROW()-3),'V_Para Piyasası'!$AC$2:$AC$62,0))</f>
        <v>0.86380000000000001</v>
      </c>
    </row>
    <row r="63" spans="1:28" x14ac:dyDescent="0.2">
      <c r="A63">
        <v>60</v>
      </c>
      <c r="B63" s="5" t="str">
        <f>INDEX('V_Para Piyasası'!A$2:A$62,MATCH(LARGE('V_Para Piyasası'!$AC$2:$AC$62,ROW()-3),'V_Para Piyasası'!$AC$2:$AC$62,0))</f>
        <v>FPI</v>
      </c>
      <c r="C63" s="5" t="str">
        <f>INDEX('V_Para Piyasası'!B$2:B$62,MATCH(LARGE('V_Para Piyasası'!$AC$2:$AC$62,ROW()-3),'V_Para Piyasası'!$AC$2:$AC$62,0))</f>
        <v>Fonmap Portföy Birinci Para Piyasası (TL) Fonu</v>
      </c>
      <c r="D63" s="5" t="str">
        <f>INDEX('V_Para Piyasası'!C$2:C$62,MATCH(LARGE('V_Para Piyasası'!$AC$2:$AC$62,ROW()-3),'V_Para Piyasası'!$AC$2:$AC$62,0))</f>
        <v>Fonmap Portföy</v>
      </c>
      <c r="E63" s="8">
        <f>INDEX('V_Para Piyasası'!D$2:D$62,MATCH(LARGE('V_Para Piyasası'!$AC$2:$AC$62,ROW()-3),'V_Para Piyasası'!$AC$2:$AC$62,0))</f>
        <v>0.01</v>
      </c>
      <c r="F63" s="9">
        <f>INDEX('V_Para Piyasası'!E$2:E$62,MATCH(LARGE('V_Para Piyasası'!$AC$2:$AC$62,ROW()-3),'V_Para Piyasası'!$AC$2:$AC$62,0))</f>
        <v>0.1034056343633516</v>
      </c>
      <c r="G63" s="9">
        <f>INDEX('V_Para Piyasası'!F$2:F$62,MATCH(LARGE('V_Para Piyasası'!$AC$2:$AC$62,ROW()-3),'V_Para Piyasası'!$AC$2:$AC$62,0))</f>
        <v>0.66960518944021441</v>
      </c>
      <c r="H63" s="9">
        <f>INDEX('V_Para Piyasası'!G$2:G$62,MATCH(LARGE('V_Para Piyasası'!$AC$2:$AC$62,ROW()-3),'V_Para Piyasası'!$AC$2:$AC$62,0))</f>
        <v>3.2853481684446568</v>
      </c>
      <c r="I63" s="9">
        <f>INDEX('V_Para Piyasası'!H$2:H$62,MATCH(LARGE('V_Para Piyasası'!$AC$2:$AC$62,ROW()-3),'V_Para Piyasası'!$AC$2:$AC$62,0))</f>
        <v>21.925922933651481</v>
      </c>
      <c r="J63" s="9">
        <f>INDEX('V_Para Piyasası'!I$2:I$62,MATCH(LARGE('V_Para Piyasası'!$AC$2:$AC$62,ROW()-3),'V_Para Piyasası'!$AC$2:$AC$62,0))</f>
        <v>45.926891597886517</v>
      </c>
      <c r="K63" s="10">
        <f>INDEX('V_Para Piyasası'!J$2:J$62,MATCH(LARGE('V_Para Piyasası'!$AC$2:$AC$62,ROW()-3),'V_Para Piyasası'!$AC$2:$AC$62,0))</f>
        <v>156</v>
      </c>
      <c r="L63" s="10">
        <f>INDEX('V_Para Piyasası'!K$2:K$62,MATCH(LARGE('V_Para Piyasası'!$AC$2:$AC$62,ROW()-3),'V_Para Piyasası'!$AC$2:$AC$62,0))</f>
        <v>157</v>
      </c>
      <c r="M63" s="8">
        <f>INDEX('V_Para Piyasası'!L$2:L$62,MATCH(LARGE('V_Para Piyasası'!$AC$2:$AC$62,ROW()-3),'V_Para Piyasası'!$AC$2:$AC$62,0))</f>
        <v>6.4102564102563866E-3</v>
      </c>
      <c r="N63" s="11">
        <f>INDEX('V_Para Piyasası'!M$2:M$62,MATCH(LARGE('V_Para Piyasası'!$AC$2:$AC$62,ROW()-3),'V_Para Piyasası'!$AC$2:$AC$62,0))</f>
        <v>103818161.23</v>
      </c>
      <c r="O63" s="11">
        <f>INDEX('V_Para Piyasası'!N$2:N$62,MATCH(LARGE('V_Para Piyasası'!$AC$2:$AC$62,ROW()-3),'V_Para Piyasası'!$AC$2:$AC$62,0))</f>
        <v>87898901.980000004</v>
      </c>
      <c r="P63" s="8">
        <f>INDEX('V_Para Piyasası'!O$2:O$62,MATCH(LARGE('V_Para Piyasası'!$AC$2:$AC$62,ROW()-3),'V_Para Piyasası'!$AC$2:$AC$62,0))</f>
        <v>-0.15333790409495199</v>
      </c>
      <c r="Q63" s="9">
        <f>INDEX('V_Para Piyasası'!P$2:P$62,MATCH(LARGE('V_Para Piyasası'!$AC$2:$AC$62,ROW()-3),'V_Para Piyasası'!$AC$2:$AC$62,0))</f>
        <v>7.6423358220251078E-2</v>
      </c>
      <c r="R63" s="5" t="str">
        <f>INDEX('V_Para Piyasası'!Q$2:Q$62,MATCH(LARGE('V_Para Piyasası'!$AC$2:$AC$62,ROW()-3),'V_Para Piyasası'!$AC$2:$AC$62,0))</f>
        <v>Görüyor</v>
      </c>
      <c r="S63" s="8">
        <f>INDEX('V_Para Piyasası'!R$2:R$62,MATCH(LARGE('V_Para Piyasası'!$AC$2:$AC$62,ROW()-3),'V_Para Piyasası'!$AC$2:$AC$62,0))</f>
        <v>0</v>
      </c>
      <c r="T63" s="8">
        <f>INDEX('V_Para Piyasası'!S$2:S$62,MATCH(LARGE('V_Para Piyasası'!$AC$2:$AC$62,ROW()-3),'V_Para Piyasası'!$AC$2:$AC$62,0))</f>
        <v>0</v>
      </c>
      <c r="U63" s="8">
        <f>INDEX('V_Para Piyasası'!T$2:T$62,MATCH(LARGE('V_Para Piyasası'!$AC$2:$AC$62,ROW()-3),'V_Para Piyasası'!$AC$2:$AC$62,0))</f>
        <v>0.52439999999999998</v>
      </c>
      <c r="V63" s="8">
        <f>INDEX('V_Para Piyasası'!U$2:U$62,MATCH(LARGE('V_Para Piyasası'!$AC$2:$AC$62,ROW()-3),'V_Para Piyasası'!$AC$2:$AC$62,0))</f>
        <v>0</v>
      </c>
      <c r="W63" s="8">
        <f>INDEX('V_Para Piyasası'!V$2:V$62,MATCH(LARGE('V_Para Piyasası'!$AC$2:$AC$62,ROW()-3),'V_Para Piyasası'!$AC$2:$AC$62,0))</f>
        <v>0.18579999999999999</v>
      </c>
      <c r="X63" s="8">
        <f>INDEX('V_Para Piyasası'!W$2:W$62,MATCH(LARGE('V_Para Piyasası'!$AC$2:$AC$62,ROW()-3),'V_Para Piyasası'!$AC$2:$AC$62,0))</f>
        <v>0</v>
      </c>
      <c r="Y63" s="8">
        <f>INDEX('V_Para Piyasası'!X$2:X$62,MATCH(LARGE('V_Para Piyasası'!$AC$2:$AC$62,ROW()-3),'V_Para Piyasası'!$AC$2:$AC$62,0))</f>
        <v>0</v>
      </c>
      <c r="Z63" s="8">
        <f>INDEX('V_Para Piyasası'!Y$2:Y$62,MATCH(LARGE('V_Para Piyasası'!$AC$2:$AC$62,ROW()-3),'V_Para Piyasası'!$AC$2:$AC$62,0))</f>
        <v>0</v>
      </c>
      <c r="AA63" s="8">
        <f>INDEX('V_Para Piyasası'!Z$2:Z$62,MATCH(LARGE('V_Para Piyasası'!$AC$2:$AC$62,ROW()-3),'V_Para Piyasası'!$AC$2:$AC$62,0))</f>
        <v>2.46E-2</v>
      </c>
      <c r="AB63" s="8">
        <f>INDEX('V_Para Piyasası'!AA$2:AA$62,MATCH(LARGE('V_Para Piyasası'!$AC$2:$AC$62,ROW()-3),'V_Para Piyasası'!$AC$2:$AC$62,0))</f>
        <v>0.73480000000000001</v>
      </c>
    </row>
    <row r="64" spans="1:28" x14ac:dyDescent="0.2">
      <c r="A64">
        <v>61</v>
      </c>
      <c r="B64" s="5" t="str">
        <f>INDEX('V_Para Piyasası'!A$2:A$62,MATCH(LARGE('V_Para Piyasası'!$AC$2:$AC$62,ROW()-3),'V_Para Piyasası'!$AC$2:$AC$62,0))</f>
        <v>AAL</v>
      </c>
      <c r="C64" s="5" t="str">
        <f>INDEX('V_Para Piyasası'!B$2:B$62,MATCH(LARGE('V_Para Piyasası'!$AC$2:$AC$62,ROW()-3),'V_Para Piyasası'!$AC$2:$AC$62,0))</f>
        <v>Ata Portföy Para Piyasası (TL) Fonu</v>
      </c>
      <c r="D64" s="5" t="str">
        <f>INDEX('V_Para Piyasası'!C$2:C$62,MATCH(LARGE('V_Para Piyasası'!$AC$2:$AC$62,ROW()-3),'V_Para Piyasası'!$AC$2:$AC$62,0))</f>
        <v>Ata Portföy</v>
      </c>
      <c r="E64" s="8">
        <f>INDEX('V_Para Piyasası'!D$2:D$62,MATCH(LARGE('V_Para Piyasası'!$AC$2:$AC$62,ROW()-3),'V_Para Piyasası'!$AC$2:$AC$62,0))</f>
        <v>0.01</v>
      </c>
      <c r="F64" s="9">
        <f>INDEX('V_Para Piyasası'!E$2:E$62,MATCH(LARGE('V_Para Piyasası'!$AC$2:$AC$62,ROW()-3),'V_Para Piyasası'!$AC$2:$AC$62,0))</f>
        <v>9.2497230683608045E-2</v>
      </c>
      <c r="G64" s="9">
        <f>INDEX('V_Para Piyasası'!F$2:F$62,MATCH(LARGE('V_Para Piyasası'!$AC$2:$AC$62,ROW()-3),'V_Para Piyasası'!$AC$2:$AC$62,0))</f>
        <v>0.64244296673736656</v>
      </c>
      <c r="H64" s="9">
        <f>INDEX('V_Para Piyasası'!G$2:G$62,MATCH(LARGE('V_Para Piyasası'!$AC$2:$AC$62,ROW()-3),'V_Para Piyasası'!$AC$2:$AC$62,0))</f>
        <v>3.2749157312682802</v>
      </c>
      <c r="I64" s="9">
        <f>INDEX('V_Para Piyasası'!H$2:H$62,MATCH(LARGE('V_Para Piyasası'!$AC$2:$AC$62,ROW()-3),'V_Para Piyasası'!$AC$2:$AC$62,0))</f>
        <v>20.582545233475471</v>
      </c>
      <c r="J64" s="9">
        <f>INDEX('V_Para Piyasası'!I$2:I$62,MATCH(LARGE('V_Para Piyasası'!$AC$2:$AC$62,ROW()-3),'V_Para Piyasası'!$AC$2:$AC$62,0))</f>
        <v>46.00538242615071</v>
      </c>
      <c r="K64" s="10">
        <f>INDEX('V_Para Piyasası'!J$2:J$62,MATCH(LARGE('V_Para Piyasası'!$AC$2:$AC$62,ROW()-3),'V_Para Piyasası'!$AC$2:$AC$62,0))</f>
        <v>4689</v>
      </c>
      <c r="L64" s="10">
        <f>INDEX('V_Para Piyasası'!K$2:K$62,MATCH(LARGE('V_Para Piyasası'!$AC$2:$AC$62,ROW()-3),'V_Para Piyasası'!$AC$2:$AC$62,0))</f>
        <v>4505</v>
      </c>
      <c r="M64" s="8">
        <f>INDEX('V_Para Piyasası'!L$2:L$62,MATCH(LARGE('V_Para Piyasası'!$AC$2:$AC$62,ROW()-3),'V_Para Piyasası'!$AC$2:$AC$62,0))</f>
        <v>-3.9240776284922167E-2</v>
      </c>
      <c r="N64" s="11">
        <f>INDEX('V_Para Piyasası'!M$2:M$62,MATCH(LARGE('V_Para Piyasası'!$AC$2:$AC$62,ROW()-3),'V_Para Piyasası'!$AC$2:$AC$62,0))</f>
        <v>2741365602.2600002</v>
      </c>
      <c r="O64" s="11">
        <f>INDEX('V_Para Piyasası'!N$2:N$62,MATCH(LARGE('V_Para Piyasası'!$AC$2:$AC$62,ROW()-3),'V_Para Piyasası'!$AC$2:$AC$62,0))</f>
        <v>2353293132.52</v>
      </c>
      <c r="P64" s="8">
        <f>INDEX('V_Para Piyasası'!O$2:O$62,MATCH(LARGE('V_Para Piyasası'!$AC$2:$AC$62,ROW()-3),'V_Para Piyasası'!$AC$2:$AC$62,0))</f>
        <v>-0.1415617345676442</v>
      </c>
      <c r="Q64" s="9">
        <f>INDEX('V_Para Piyasası'!P$2:P$62,MATCH(LARGE('V_Para Piyasası'!$AC$2:$AC$62,ROW()-3),'V_Para Piyasası'!$AC$2:$AC$62,0))</f>
        <v>7.98985434780006E-2</v>
      </c>
      <c r="R64" s="5" t="str">
        <f>INDEX('V_Para Piyasası'!Q$2:Q$62,MATCH(LARGE('V_Para Piyasası'!$AC$2:$AC$62,ROW()-3),'V_Para Piyasası'!$AC$2:$AC$62,0))</f>
        <v>Görüyor</v>
      </c>
      <c r="S64" s="8">
        <f>INDEX('V_Para Piyasası'!R$2:R$62,MATCH(LARGE('V_Para Piyasası'!$AC$2:$AC$62,ROW()-3),'V_Para Piyasası'!$AC$2:$AC$62,0))</f>
        <v>0.1731</v>
      </c>
      <c r="T64" s="8">
        <f>INDEX('V_Para Piyasası'!S$2:S$62,MATCH(LARGE('V_Para Piyasası'!$AC$2:$AC$62,ROW()-3),'V_Para Piyasası'!$AC$2:$AC$62,0))</f>
        <v>0</v>
      </c>
      <c r="U64" s="8">
        <f>INDEX('V_Para Piyasası'!T$2:T$62,MATCH(LARGE('V_Para Piyasası'!$AC$2:$AC$62,ROW()-3),'V_Para Piyasası'!$AC$2:$AC$62,0))</f>
        <v>0.38159999999999988</v>
      </c>
      <c r="V64" s="8">
        <f>INDEX('V_Para Piyasası'!U$2:U$62,MATCH(LARGE('V_Para Piyasası'!$AC$2:$AC$62,ROW()-3),'V_Para Piyasası'!$AC$2:$AC$62,0))</f>
        <v>0</v>
      </c>
      <c r="W64" s="8">
        <f>INDEX('V_Para Piyasası'!V$2:V$62,MATCH(LARGE('V_Para Piyasası'!$AC$2:$AC$62,ROW()-3),'V_Para Piyasası'!$AC$2:$AC$62,0))</f>
        <v>0</v>
      </c>
      <c r="X64" s="8">
        <f>INDEX('V_Para Piyasası'!W$2:W$62,MATCH(LARGE('V_Para Piyasası'!$AC$2:$AC$62,ROW()-3),'V_Para Piyasası'!$AC$2:$AC$62,0))</f>
        <v>0</v>
      </c>
      <c r="Y64" s="8">
        <f>INDEX('V_Para Piyasası'!X$2:X$62,MATCH(LARGE('V_Para Piyasası'!$AC$2:$AC$62,ROW()-3),'V_Para Piyasası'!$AC$2:$AC$62,0))</f>
        <v>4.1599999999999998E-2</v>
      </c>
      <c r="Z64" s="8">
        <f>INDEX('V_Para Piyasası'!Y$2:Y$62,MATCH(LARGE('V_Para Piyasası'!$AC$2:$AC$62,ROW()-3),'V_Para Piyasası'!$AC$2:$AC$62,0))</f>
        <v>0.1353</v>
      </c>
      <c r="AA64" s="8">
        <f>INDEX('V_Para Piyasası'!Z$2:Z$62,MATCH(LARGE('V_Para Piyasası'!$AC$2:$AC$62,ROW()-3),'V_Para Piyasası'!$AC$2:$AC$62,0))</f>
        <v>0</v>
      </c>
      <c r="AB64" s="8">
        <f>INDEX('V_Para Piyasası'!AA$2:AA$62,MATCH(LARGE('V_Para Piyasası'!$AC$2:$AC$62,ROW()-3),'V_Para Piyasası'!$AC$2:$AC$62,0))</f>
        <v>0.73159999999999992</v>
      </c>
    </row>
  </sheetData>
  <conditionalFormatting sqref="B4:AB64">
    <cfRule type="expression" dxfId="8" priority="1">
      <formula>OR($B4="BAI",$B4="BHI",$B4="BIS",$B4="BSD",$B4="BTE",$B4="BTK",$B4="BV1",$B4="BVD",$B4="BVF",$B4="BVV",$B4="BVZ",$B4="MTD",$B4="RUT",$B4="SPR")</formula>
    </cfRule>
  </conditionalFormatting>
  <dataValidations count="1">
    <dataValidation type="list" sqref="E2" xr:uid="{00000000-0002-0000-0600-000000000000}">
      <formula1>"Günlük%,Haftalık,Aylık,Yılbaşına Göre,Yıllık"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42"/>
  <sheetViews>
    <sheetView workbookViewId="0"/>
  </sheetViews>
  <sheetFormatPr baseColWidth="10" defaultColWidth="8.83203125" defaultRowHeight="15" x14ac:dyDescent="0.2"/>
  <sheetData>
    <row r="1" spans="1:29" x14ac:dyDescent="0.2">
      <c r="A1" t="s">
        <v>3</v>
      </c>
      <c r="B1" t="s">
        <v>281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</row>
    <row r="2" spans="1:29" x14ac:dyDescent="0.2">
      <c r="A2" t="s">
        <v>282</v>
      </c>
      <c r="B2" t="s">
        <v>283</v>
      </c>
      <c r="C2" t="s">
        <v>142</v>
      </c>
      <c r="D2">
        <v>2.5000000000000001E-2</v>
      </c>
      <c r="E2">
        <v>0.1225582818338289</v>
      </c>
      <c r="F2">
        <v>3.1021785455839219</v>
      </c>
      <c r="G2">
        <v>16.17610267650527</v>
      </c>
      <c r="H2">
        <v>168.3179470176166</v>
      </c>
      <c r="I2">
        <v>219.23135961654631</v>
      </c>
      <c r="J2">
        <v>94000</v>
      </c>
      <c r="K2">
        <v>147938</v>
      </c>
      <c r="L2">
        <v>0.57380851063829796</v>
      </c>
      <c r="M2">
        <v>45691005356.239998</v>
      </c>
      <c r="N2">
        <v>72342028929.449997</v>
      </c>
      <c r="O2">
        <v>0.5832881847405067</v>
      </c>
      <c r="P2">
        <v>0.7205246068795037</v>
      </c>
      <c r="Q2" t="s">
        <v>41</v>
      </c>
      <c r="R2">
        <v>0</v>
      </c>
      <c r="S2">
        <v>9.7999999999999997E-3</v>
      </c>
      <c r="T2">
        <v>0</v>
      </c>
      <c r="U2">
        <v>0.80030000000000001</v>
      </c>
      <c r="V2">
        <v>1.49E-2</v>
      </c>
      <c r="W2">
        <v>0.17499999999999999</v>
      </c>
      <c r="X2">
        <v>0</v>
      </c>
      <c r="Y2">
        <v>0</v>
      </c>
      <c r="Z2">
        <v>0</v>
      </c>
      <c r="AA2">
        <v>1</v>
      </c>
      <c r="AC2">
        <f>IF(ISNUMBER(INDEX($A$2:$AA$42,1,MATCH(Hisse!$E$2,$A$1:$AA$1,0))),INDEX($A$2:$AA$42,1,MATCH(Hisse!$E$2,$A$1:$AA$1,0)),-1000000000)-ROW()/10000000</f>
        <v>3.1021783455839218</v>
      </c>
    </row>
    <row r="3" spans="1:29" x14ac:dyDescent="0.2">
      <c r="A3" t="s">
        <v>284</v>
      </c>
      <c r="B3" t="s">
        <v>285</v>
      </c>
      <c r="C3" t="s">
        <v>103</v>
      </c>
      <c r="D3">
        <v>2.7E-2</v>
      </c>
      <c r="E3">
        <v>0.1095349119596634</v>
      </c>
      <c r="F3">
        <v>-0.49356793424004669</v>
      </c>
      <c r="G3">
        <v>4.1824613890024454</v>
      </c>
      <c r="H3">
        <v>14.27641762686036</v>
      </c>
      <c r="I3">
        <v>16.057098228144469</v>
      </c>
      <c r="J3">
        <v>20970</v>
      </c>
      <c r="K3">
        <v>20039</v>
      </c>
      <c r="L3">
        <v>-4.4396757272293752E-2</v>
      </c>
      <c r="M3">
        <v>2799684238.3600001</v>
      </c>
      <c r="N3">
        <v>2716350134.5799999</v>
      </c>
      <c r="O3">
        <v>-2.976553664095194E-2</v>
      </c>
      <c r="P3">
        <v>1.1465689235376939</v>
      </c>
      <c r="Q3" t="s">
        <v>41</v>
      </c>
      <c r="R3">
        <v>0</v>
      </c>
      <c r="S3">
        <v>0</v>
      </c>
      <c r="T3">
        <v>0</v>
      </c>
      <c r="U3">
        <v>0.98530000000000006</v>
      </c>
      <c r="V3">
        <v>0</v>
      </c>
      <c r="W3">
        <v>1.47E-2</v>
      </c>
      <c r="X3">
        <v>0</v>
      </c>
      <c r="Y3">
        <v>0</v>
      </c>
      <c r="Z3">
        <v>0</v>
      </c>
      <c r="AA3">
        <v>1</v>
      </c>
      <c r="AC3">
        <f>IF(ISNUMBER(INDEX($A$2:$AA$42,2,MATCH(Hisse!$E$2,$A$1:$AA$1,0))),INDEX($A$2:$AA$42,2,MATCH(Hisse!$E$2,$A$1:$AA$1,0)),-1000000000)-ROW()/10000000</f>
        <v>-0.4935682342400467</v>
      </c>
    </row>
    <row r="4" spans="1:29" x14ac:dyDescent="0.2">
      <c r="A4" t="s">
        <v>286</v>
      </c>
      <c r="B4" t="s">
        <v>287</v>
      </c>
      <c r="C4" t="s">
        <v>65</v>
      </c>
      <c r="D4">
        <v>0.02</v>
      </c>
      <c r="E4">
        <v>-7.8076558962125731E-2</v>
      </c>
      <c r="F4">
        <v>1.741520555333431</v>
      </c>
      <c r="G4">
        <v>5.2315655551056661</v>
      </c>
      <c r="H4">
        <v>27.107944703394239</v>
      </c>
      <c r="I4">
        <v>91.672427896541663</v>
      </c>
      <c r="J4">
        <v>499</v>
      </c>
      <c r="K4">
        <v>544</v>
      </c>
      <c r="L4">
        <v>9.0180360721442865E-2</v>
      </c>
      <c r="M4">
        <v>762826610.69000006</v>
      </c>
      <c r="N4">
        <v>803044509.15999997</v>
      </c>
      <c r="O4">
        <v>5.2722201751223219E-2</v>
      </c>
      <c r="P4">
        <v>0.39143251143470448</v>
      </c>
      <c r="Q4" t="s">
        <v>41</v>
      </c>
      <c r="R4">
        <v>5.9999999999999995E-4</v>
      </c>
      <c r="S4">
        <v>6.9699999999999998E-2</v>
      </c>
      <c r="T4">
        <v>0</v>
      </c>
      <c r="U4">
        <v>0.83109999999999995</v>
      </c>
      <c r="V4">
        <v>0</v>
      </c>
      <c r="W4">
        <v>9.8599999999999993E-2</v>
      </c>
      <c r="X4">
        <v>0</v>
      </c>
      <c r="Y4">
        <v>0</v>
      </c>
      <c r="Z4">
        <v>0</v>
      </c>
      <c r="AA4">
        <v>0.99999999999999989</v>
      </c>
      <c r="AC4">
        <f>IF(ISNUMBER(INDEX($A$2:$AA$42,3,MATCH(Hisse!$E$2,$A$1:$AA$1,0))),INDEX($A$2:$AA$42,3,MATCH(Hisse!$E$2,$A$1:$AA$1,0)),-1000000000)-ROW()/10000000</f>
        <v>1.741520155333431</v>
      </c>
    </row>
    <row r="5" spans="1:29" x14ac:dyDescent="0.2">
      <c r="A5" t="s">
        <v>288</v>
      </c>
      <c r="B5" t="s">
        <v>289</v>
      </c>
      <c r="C5" t="s">
        <v>135</v>
      </c>
      <c r="D5">
        <v>0.03</v>
      </c>
      <c r="E5">
        <v>-0.13050304697044271</v>
      </c>
      <c r="F5">
        <v>2.4613878317029552</v>
      </c>
      <c r="G5">
        <v>9.6539476047571746</v>
      </c>
      <c r="H5">
        <v>44.805572419762953</v>
      </c>
      <c r="I5">
        <v>72.972768195391538</v>
      </c>
      <c r="J5">
        <v>1875</v>
      </c>
      <c r="K5">
        <v>1718</v>
      </c>
      <c r="L5">
        <v>-8.3733333333333326E-2</v>
      </c>
      <c r="M5">
        <v>424001481.87</v>
      </c>
      <c r="N5">
        <v>466179692.58999997</v>
      </c>
      <c r="O5">
        <v>9.9476564407225077E-2</v>
      </c>
      <c r="P5">
        <v>1.318228363726367</v>
      </c>
      <c r="Q5" t="s">
        <v>41</v>
      </c>
      <c r="R5">
        <v>0</v>
      </c>
      <c r="S5">
        <v>0</v>
      </c>
      <c r="T5">
        <v>0</v>
      </c>
      <c r="U5">
        <v>0.97109999999999996</v>
      </c>
      <c r="V5">
        <v>2.8899999999999999E-2</v>
      </c>
      <c r="W5">
        <v>0</v>
      </c>
      <c r="X5">
        <v>0</v>
      </c>
      <c r="Y5">
        <v>0</v>
      </c>
      <c r="Z5">
        <v>0</v>
      </c>
      <c r="AA5">
        <v>1</v>
      </c>
      <c r="AC5">
        <f>IF(ISNUMBER(INDEX($A$2:$AA$42,4,MATCH(Hisse!$E$2,$A$1:$AA$1,0))),INDEX($A$2:$AA$42,4,MATCH(Hisse!$E$2,$A$1:$AA$1,0)),-1000000000)-ROW()/10000000</f>
        <v>2.4613873317029551</v>
      </c>
    </row>
    <row r="6" spans="1:29" x14ac:dyDescent="0.2">
      <c r="A6" t="s">
        <v>290</v>
      </c>
      <c r="B6" t="s">
        <v>291</v>
      </c>
      <c r="C6" t="s">
        <v>127</v>
      </c>
      <c r="D6">
        <v>2.7300000000000001E-2</v>
      </c>
      <c r="E6">
        <v>-0.44334956849314539</v>
      </c>
      <c r="F6">
        <v>0.26276606720789802</v>
      </c>
      <c r="G6">
        <v>6.8623806192138037</v>
      </c>
      <c r="H6">
        <v>32.45130747068945</v>
      </c>
      <c r="I6">
        <v>76.638998094745773</v>
      </c>
      <c r="J6">
        <v>3838</v>
      </c>
      <c r="K6">
        <v>3523</v>
      </c>
      <c r="L6">
        <v>-8.207399687337158E-2</v>
      </c>
      <c r="M6">
        <v>424575508.25999999</v>
      </c>
      <c r="N6">
        <v>357469952.50999999</v>
      </c>
      <c r="O6">
        <v>-0.15805328956682571</v>
      </c>
      <c r="P6">
        <v>1.3050816453546941</v>
      </c>
      <c r="Q6" t="s">
        <v>41</v>
      </c>
      <c r="R6">
        <v>1.6999999999999999E-3</v>
      </c>
      <c r="S6">
        <v>0</v>
      </c>
      <c r="T6">
        <v>4.1700000000000001E-2</v>
      </c>
      <c r="U6">
        <v>0.84680000000000011</v>
      </c>
      <c r="V6">
        <v>0</v>
      </c>
      <c r="W6">
        <v>0.1086</v>
      </c>
      <c r="X6">
        <v>0</v>
      </c>
      <c r="Y6">
        <v>0</v>
      </c>
      <c r="Z6">
        <v>0</v>
      </c>
      <c r="AA6">
        <v>0.99880000000000013</v>
      </c>
      <c r="AC6">
        <f>IF(ISNUMBER(INDEX($A$2:$AA$42,5,MATCH(Hisse!$E$2,$A$1:$AA$1,0))),INDEX($A$2:$AA$42,5,MATCH(Hisse!$E$2,$A$1:$AA$1,0)),-1000000000)-ROW()/10000000</f>
        <v>0.26276546720789801</v>
      </c>
    </row>
    <row r="7" spans="1:29" x14ac:dyDescent="0.2">
      <c r="A7" t="s">
        <v>292</v>
      </c>
      <c r="B7" t="s">
        <v>293</v>
      </c>
      <c r="C7" t="s">
        <v>190</v>
      </c>
      <c r="D7">
        <v>2.5000000000000001E-2</v>
      </c>
      <c r="E7">
        <v>-0.48826720336290208</v>
      </c>
      <c r="F7">
        <v>-1.4537913854634099</v>
      </c>
      <c r="G7">
        <v>0.61234007101567123</v>
      </c>
      <c r="H7">
        <v>21.54129769741397</v>
      </c>
      <c r="I7">
        <v>26.19009689317808</v>
      </c>
      <c r="J7">
        <v>215</v>
      </c>
      <c r="K7">
        <v>206</v>
      </c>
      <c r="L7">
        <v>-4.1860465116279062E-2</v>
      </c>
      <c r="M7">
        <v>8962955.4299999997</v>
      </c>
      <c r="N7">
        <v>8648840.1799999997</v>
      </c>
      <c r="O7">
        <v>-3.5045945776838512E-2</v>
      </c>
      <c r="P7">
        <v>1.1753965003952891</v>
      </c>
      <c r="Q7" t="s">
        <v>41</v>
      </c>
      <c r="R7">
        <v>0</v>
      </c>
      <c r="S7">
        <v>4.2299999999999997E-2</v>
      </c>
      <c r="T7">
        <v>0</v>
      </c>
      <c r="U7">
        <v>0.91739999999999999</v>
      </c>
      <c r="V7">
        <v>4.0199999999999993E-2</v>
      </c>
      <c r="W7">
        <v>1E-4</v>
      </c>
      <c r="X7">
        <v>0</v>
      </c>
      <c r="Y7">
        <v>0</v>
      </c>
      <c r="Z7">
        <v>0</v>
      </c>
      <c r="AA7">
        <v>1</v>
      </c>
      <c r="AC7">
        <f>IF(ISNUMBER(INDEX($A$2:$AA$42,6,MATCH(Hisse!$E$2,$A$1:$AA$1,0))),INDEX($A$2:$AA$42,6,MATCH(Hisse!$E$2,$A$1:$AA$1,0)),-1000000000)-ROW()/10000000</f>
        <v>-1.4537920854634099</v>
      </c>
    </row>
    <row r="8" spans="1:29" x14ac:dyDescent="0.2">
      <c r="A8" t="s">
        <v>294</v>
      </c>
      <c r="B8" t="s">
        <v>295</v>
      </c>
      <c r="C8" t="s">
        <v>59</v>
      </c>
      <c r="D8">
        <v>2.9000000000000001E-2</v>
      </c>
      <c r="E8">
        <v>-0.49833832680717949</v>
      </c>
      <c r="F8">
        <v>-2.5096077862067019</v>
      </c>
      <c r="G8">
        <v>3.9853804799687031</v>
      </c>
      <c r="H8">
        <v>32.100862206239107</v>
      </c>
      <c r="I8">
        <v>50.720805172169349</v>
      </c>
      <c r="J8">
        <v>2274</v>
      </c>
      <c r="K8">
        <v>2205</v>
      </c>
      <c r="L8">
        <v>-3.0343007915567322E-2</v>
      </c>
      <c r="M8">
        <v>169443807.37</v>
      </c>
      <c r="N8">
        <v>188818762.86000001</v>
      </c>
      <c r="O8">
        <v>0.1143444295234264</v>
      </c>
      <c r="P8">
        <v>1.164217970706781</v>
      </c>
      <c r="Q8" t="s">
        <v>41</v>
      </c>
      <c r="R8">
        <v>0</v>
      </c>
      <c r="S8">
        <v>0</v>
      </c>
      <c r="T8">
        <v>0</v>
      </c>
      <c r="U8">
        <v>1.0310999999999999</v>
      </c>
      <c r="V8">
        <v>-3.1099999999999999E-2</v>
      </c>
      <c r="W8">
        <v>0</v>
      </c>
      <c r="X8">
        <v>0</v>
      </c>
      <c r="Y8">
        <v>0</v>
      </c>
      <c r="Z8">
        <v>0</v>
      </c>
      <c r="AA8">
        <v>0.99999999999999989</v>
      </c>
      <c r="AC8">
        <f>IF(ISNUMBER(INDEX($A$2:$AA$42,7,MATCH(Hisse!$E$2,$A$1:$AA$1,0))),INDEX($A$2:$AA$42,7,MATCH(Hisse!$E$2,$A$1:$AA$1,0)),-1000000000)-ROW()/10000000</f>
        <v>-2.5096085862067019</v>
      </c>
    </row>
    <row r="9" spans="1:29" x14ac:dyDescent="0.2">
      <c r="A9" t="s">
        <v>296</v>
      </c>
      <c r="B9" t="s">
        <v>297</v>
      </c>
      <c r="C9" t="s">
        <v>195</v>
      </c>
      <c r="D9">
        <v>2.75E-2</v>
      </c>
      <c r="E9">
        <v>-0.54188226856239918</v>
      </c>
      <c r="F9">
        <v>-2.7118532898900982</v>
      </c>
      <c r="G9">
        <v>0.41568782008869493</v>
      </c>
      <c r="H9">
        <v>17.792072569464221</v>
      </c>
      <c r="I9">
        <v>39.257342222873433</v>
      </c>
      <c r="J9">
        <v>410</v>
      </c>
      <c r="K9">
        <v>378</v>
      </c>
      <c r="L9">
        <v>-7.8048780487804836E-2</v>
      </c>
      <c r="M9">
        <v>129826936.11</v>
      </c>
      <c r="N9">
        <v>140834248.91999999</v>
      </c>
      <c r="O9">
        <v>8.4784507281860932E-2</v>
      </c>
      <c r="P9">
        <v>1.3560169676023051</v>
      </c>
      <c r="Q9" t="s">
        <v>41</v>
      </c>
      <c r="R9">
        <v>0</v>
      </c>
      <c r="S9">
        <v>3.3700000000000001E-2</v>
      </c>
      <c r="T9">
        <v>0</v>
      </c>
      <c r="U9">
        <v>0.84030000000000005</v>
      </c>
      <c r="V9">
        <v>0</v>
      </c>
      <c r="W9">
        <v>0.10340000000000001</v>
      </c>
      <c r="X9">
        <v>0</v>
      </c>
      <c r="Y9">
        <v>0</v>
      </c>
      <c r="Z9">
        <v>0</v>
      </c>
      <c r="AA9">
        <v>0.97740000000000005</v>
      </c>
      <c r="AC9">
        <f>IF(ISNUMBER(INDEX($A$2:$AA$42,8,MATCH(Hisse!$E$2,$A$1:$AA$1,0))),INDEX($A$2:$AA$42,8,MATCH(Hisse!$E$2,$A$1:$AA$1,0)),-1000000000)-ROW()/10000000</f>
        <v>-2.7118541898900981</v>
      </c>
    </row>
    <row r="10" spans="1:29" x14ac:dyDescent="0.2">
      <c r="A10" t="s">
        <v>298</v>
      </c>
      <c r="B10" t="s">
        <v>299</v>
      </c>
      <c r="C10" t="s">
        <v>53</v>
      </c>
      <c r="D10">
        <v>2.9929999999999998E-2</v>
      </c>
      <c r="E10">
        <v>-0.58292447327690233</v>
      </c>
      <c r="F10">
        <v>-2.5286491889325968</v>
      </c>
      <c r="G10">
        <v>-3.0270543081887591</v>
      </c>
      <c r="H10">
        <v>13.132315648514581</v>
      </c>
      <c r="I10">
        <v>12.355261948190661</v>
      </c>
      <c r="J10">
        <v>2853</v>
      </c>
      <c r="K10">
        <v>2643</v>
      </c>
      <c r="L10">
        <v>-7.3606729758149303E-2</v>
      </c>
      <c r="M10">
        <v>669056362.96000004</v>
      </c>
      <c r="N10">
        <v>639865916.11000001</v>
      </c>
      <c r="O10">
        <v>-4.362927918487669E-2</v>
      </c>
      <c r="P10">
        <v>1.112431564220695</v>
      </c>
      <c r="Q10" t="s">
        <v>41</v>
      </c>
      <c r="R10">
        <v>0</v>
      </c>
      <c r="S10">
        <v>5.2300000000000013E-2</v>
      </c>
      <c r="T10">
        <v>7.6499999999999999E-2</v>
      </c>
      <c r="U10">
        <v>0.87120000000000009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C10">
        <f>IF(ISNUMBER(INDEX($A$2:$AA$42,9,MATCH(Hisse!$E$2,$A$1:$AA$1,0))),INDEX($A$2:$AA$42,9,MATCH(Hisse!$E$2,$A$1:$AA$1,0)),-1000000000)-ROW()/10000000</f>
        <v>-2.528650188932597</v>
      </c>
    </row>
    <row r="11" spans="1:29" x14ac:dyDescent="0.2">
      <c r="A11" t="s">
        <v>300</v>
      </c>
      <c r="B11" t="s">
        <v>301</v>
      </c>
      <c r="C11" t="s">
        <v>253</v>
      </c>
      <c r="D11">
        <v>2.7400000000000001E-2</v>
      </c>
      <c r="E11">
        <v>-0.70346150091471493</v>
      </c>
      <c r="F11">
        <v>-0.93925876296636623</v>
      </c>
      <c r="G11">
        <v>1.2315927385064819E-2</v>
      </c>
      <c r="H11">
        <v>3.476374404644389</v>
      </c>
      <c r="I11">
        <v>2.3817115424112472</v>
      </c>
      <c r="J11">
        <v>2319</v>
      </c>
      <c r="K11">
        <v>2144</v>
      </c>
      <c r="L11">
        <v>-7.5463561880120711E-2</v>
      </c>
      <c r="M11">
        <v>79666031.840000004</v>
      </c>
      <c r="N11">
        <v>72317982.069999993</v>
      </c>
      <c r="O11">
        <v>-9.2235669334675974E-2</v>
      </c>
      <c r="P11">
        <v>1.411211994015086</v>
      </c>
      <c r="Q11" t="s">
        <v>41</v>
      </c>
      <c r="R11">
        <v>0</v>
      </c>
      <c r="S11">
        <v>2.2000000000000001E-3</v>
      </c>
      <c r="T11">
        <v>0</v>
      </c>
      <c r="U11">
        <v>0.90450000000000008</v>
      </c>
      <c r="V11">
        <v>0</v>
      </c>
      <c r="W11">
        <v>9.3299999999999994E-2</v>
      </c>
      <c r="X11">
        <v>0</v>
      </c>
      <c r="Y11">
        <v>0</v>
      </c>
      <c r="Z11">
        <v>0</v>
      </c>
      <c r="AA11">
        <v>1</v>
      </c>
      <c r="AC11">
        <f>IF(ISNUMBER(INDEX($A$2:$AA$42,10,MATCH(Hisse!$E$2,$A$1:$AA$1,0))),INDEX($A$2:$AA$42,10,MATCH(Hisse!$E$2,$A$1:$AA$1,0)),-1000000000)-ROW()/10000000</f>
        <v>-0.93925986296636621</v>
      </c>
    </row>
    <row r="12" spans="1:29" x14ac:dyDescent="0.2">
      <c r="A12" t="s">
        <v>302</v>
      </c>
      <c r="B12" t="s">
        <v>303</v>
      </c>
      <c r="C12" t="s">
        <v>274</v>
      </c>
      <c r="D12">
        <v>0.02</v>
      </c>
      <c r="E12">
        <v>-0.71860248453846642</v>
      </c>
      <c r="F12">
        <v>-1.643988754021908</v>
      </c>
      <c r="G12">
        <v>-0.50419200032172373</v>
      </c>
      <c r="H12">
        <v>21.928269978005339</v>
      </c>
      <c r="I12">
        <v>28.161547047450689</v>
      </c>
      <c r="J12">
        <v>543</v>
      </c>
      <c r="K12">
        <v>514</v>
      </c>
      <c r="L12">
        <v>-5.3406998158379348E-2</v>
      </c>
      <c r="M12">
        <v>20030010.550000001</v>
      </c>
      <c r="N12">
        <v>19603166.32</v>
      </c>
      <c r="O12">
        <v>-2.1310234906491421E-2</v>
      </c>
      <c r="P12">
        <v>1.1330096709745909</v>
      </c>
      <c r="Q12" t="s">
        <v>41</v>
      </c>
      <c r="R12">
        <v>0</v>
      </c>
      <c r="S12">
        <v>8.09E-2</v>
      </c>
      <c r="T12">
        <v>0</v>
      </c>
      <c r="U12">
        <v>0.89300000000000002</v>
      </c>
      <c r="V12">
        <v>2.6100000000000002E-2</v>
      </c>
      <c r="W12">
        <v>0</v>
      </c>
      <c r="X12">
        <v>0</v>
      </c>
      <c r="Y12">
        <v>0</v>
      </c>
      <c r="Z12">
        <v>0</v>
      </c>
      <c r="AA12">
        <v>1</v>
      </c>
      <c r="AC12">
        <f>IF(ISNUMBER(INDEX($A$2:$AA$42,11,MATCH(Hisse!$E$2,$A$1:$AA$1,0))),INDEX($A$2:$AA$42,11,MATCH(Hisse!$E$2,$A$1:$AA$1,0)),-1000000000)-ROW()/10000000</f>
        <v>-1.6439899540219081</v>
      </c>
    </row>
    <row r="13" spans="1:29" x14ac:dyDescent="0.2">
      <c r="A13" t="s">
        <v>304</v>
      </c>
      <c r="B13" t="s">
        <v>305</v>
      </c>
      <c r="C13" t="s">
        <v>306</v>
      </c>
      <c r="D13">
        <v>2.75E-2</v>
      </c>
      <c r="E13">
        <v>-0.74278373425389344</v>
      </c>
      <c r="F13">
        <v>1.0697985262372309</v>
      </c>
      <c r="G13">
        <v>5.6726440685656474</v>
      </c>
      <c r="H13">
        <v>34.69609991308171</v>
      </c>
      <c r="I13">
        <v>47.167096359526539</v>
      </c>
      <c r="J13">
        <v>752</v>
      </c>
      <c r="K13">
        <v>708</v>
      </c>
      <c r="L13">
        <v>-5.8510638297872293E-2</v>
      </c>
      <c r="M13">
        <v>70231295.019999996</v>
      </c>
      <c r="N13">
        <v>86585097.079999998</v>
      </c>
      <c r="O13">
        <v>0.23285633641445561</v>
      </c>
      <c r="P13">
        <v>1.409357897336512</v>
      </c>
      <c r="Q13" t="s">
        <v>41</v>
      </c>
      <c r="R13">
        <v>0</v>
      </c>
      <c r="S13">
        <v>3.9E-2</v>
      </c>
      <c r="T13">
        <v>0</v>
      </c>
      <c r="U13">
        <v>0.83050000000000002</v>
      </c>
      <c r="V13">
        <v>9.2699999999999991E-2</v>
      </c>
      <c r="W13">
        <v>3.78E-2</v>
      </c>
      <c r="X13">
        <v>0</v>
      </c>
      <c r="Y13">
        <v>0</v>
      </c>
      <c r="Z13">
        <v>0</v>
      </c>
      <c r="AA13">
        <v>1</v>
      </c>
      <c r="AC13">
        <f>IF(ISNUMBER(INDEX($A$2:$AA$42,12,MATCH(Hisse!$E$2,$A$1:$AA$1,0))),INDEX($A$2:$AA$42,12,MATCH(Hisse!$E$2,$A$1:$AA$1,0)),-1000000000)-ROW()/10000000</f>
        <v>1.0697972262372308</v>
      </c>
    </row>
    <row r="14" spans="1:29" x14ac:dyDescent="0.2">
      <c r="A14" t="s">
        <v>307</v>
      </c>
      <c r="B14" t="s">
        <v>308</v>
      </c>
      <c r="C14" t="s">
        <v>187</v>
      </c>
      <c r="D14">
        <v>2.7E-2</v>
      </c>
      <c r="E14">
        <v>-0.78651833097937995</v>
      </c>
      <c r="F14">
        <v>-0.79647822608998053</v>
      </c>
      <c r="G14">
        <v>0.35101136217190471</v>
      </c>
      <c r="H14">
        <v>12.628150506698359</v>
      </c>
      <c r="I14">
        <v>18.807130198165819</v>
      </c>
      <c r="J14">
        <v>1983</v>
      </c>
      <c r="K14">
        <v>1897</v>
      </c>
      <c r="L14">
        <v>-4.3368633383761963E-2</v>
      </c>
      <c r="M14">
        <v>100592624.84999999</v>
      </c>
      <c r="N14">
        <v>99425434.260000005</v>
      </c>
      <c r="O14">
        <v>-1.1603142792430909E-2</v>
      </c>
      <c r="P14">
        <v>1.130885458507455</v>
      </c>
      <c r="Q14" t="s">
        <v>41</v>
      </c>
      <c r="R14">
        <v>0</v>
      </c>
      <c r="S14">
        <v>0</v>
      </c>
      <c r="T14">
        <v>0</v>
      </c>
      <c r="U14">
        <v>0.91110000000000002</v>
      </c>
      <c r="V14">
        <v>0</v>
      </c>
      <c r="W14">
        <v>8.8900000000000007E-2</v>
      </c>
      <c r="X14">
        <v>0</v>
      </c>
      <c r="Y14">
        <v>0</v>
      </c>
      <c r="Z14">
        <v>0</v>
      </c>
      <c r="AA14">
        <v>1</v>
      </c>
      <c r="AC14">
        <f>IF(ISNUMBER(INDEX($A$2:$AA$42,13,MATCH(Hisse!$E$2,$A$1:$AA$1,0))),INDEX($A$2:$AA$42,13,MATCH(Hisse!$E$2,$A$1:$AA$1,0)),-1000000000)-ROW()/10000000</f>
        <v>-0.79647962608998057</v>
      </c>
    </row>
    <row r="15" spans="1:29" x14ac:dyDescent="0.2">
      <c r="A15" t="s">
        <v>309</v>
      </c>
      <c r="B15" t="s">
        <v>310</v>
      </c>
      <c r="C15" t="s">
        <v>158</v>
      </c>
      <c r="D15">
        <v>0.03</v>
      </c>
      <c r="E15">
        <v>-0.79477223958711596</v>
      </c>
      <c r="F15">
        <v>-2.4683854716584301</v>
      </c>
      <c r="G15">
        <v>1.9123823965559561</v>
      </c>
      <c r="H15">
        <v>19.301922170005149</v>
      </c>
      <c r="I15">
        <v>29.83626565431474</v>
      </c>
      <c r="J15">
        <v>2073</v>
      </c>
      <c r="K15">
        <v>1982</v>
      </c>
      <c r="L15">
        <v>-4.3897732754462182E-2</v>
      </c>
      <c r="M15">
        <v>95774476.760000005</v>
      </c>
      <c r="N15">
        <v>93624689.459999993</v>
      </c>
      <c r="O15">
        <v>-2.2446348680005172E-2</v>
      </c>
      <c r="P15">
        <v>1.414510060946427</v>
      </c>
      <c r="Q15" t="s">
        <v>41</v>
      </c>
      <c r="R15">
        <v>0</v>
      </c>
      <c r="S15">
        <v>0</v>
      </c>
      <c r="T15">
        <v>0</v>
      </c>
      <c r="U15">
        <v>0.84750000000000003</v>
      </c>
      <c r="V15">
        <v>0.1158</v>
      </c>
      <c r="W15">
        <v>1.35E-2</v>
      </c>
      <c r="X15">
        <v>0</v>
      </c>
      <c r="Y15">
        <v>0</v>
      </c>
      <c r="Z15">
        <v>2.3199999999999998E-2</v>
      </c>
      <c r="AA15">
        <v>1</v>
      </c>
      <c r="AC15">
        <f>IF(ISNUMBER(INDEX($A$2:$AA$42,14,MATCH(Hisse!$E$2,$A$1:$AA$1,0))),INDEX($A$2:$AA$42,14,MATCH(Hisse!$E$2,$A$1:$AA$1,0)),-1000000000)-ROW()/10000000</f>
        <v>-2.4683869716584304</v>
      </c>
    </row>
    <row r="16" spans="1:29" x14ac:dyDescent="0.2">
      <c r="A16" t="s">
        <v>311</v>
      </c>
      <c r="B16" t="s">
        <v>312</v>
      </c>
      <c r="C16" t="s">
        <v>168</v>
      </c>
      <c r="D16">
        <v>0.02</v>
      </c>
      <c r="E16">
        <v>-0.79608982560521735</v>
      </c>
      <c r="F16">
        <v>-2.6371493326867279</v>
      </c>
      <c r="G16">
        <v>1.891598663367811</v>
      </c>
      <c r="H16">
        <v>35.613461755514777</v>
      </c>
      <c r="I16">
        <v>38.064637799385117</v>
      </c>
      <c r="J16">
        <v>503</v>
      </c>
      <c r="K16">
        <v>452</v>
      </c>
      <c r="L16">
        <v>-0.1013916500994035</v>
      </c>
      <c r="M16">
        <v>60949735.789999999</v>
      </c>
      <c r="N16">
        <v>43018795.189999998</v>
      </c>
      <c r="O16">
        <v>-0.29419226133777482</v>
      </c>
      <c r="P16">
        <v>1.3057426479191481</v>
      </c>
      <c r="Q16" t="s">
        <v>41</v>
      </c>
      <c r="R16">
        <v>0</v>
      </c>
      <c r="S16">
        <v>0</v>
      </c>
      <c r="T16">
        <v>0</v>
      </c>
      <c r="U16">
        <v>0.93790000000000007</v>
      </c>
      <c r="V16">
        <v>6.0199999999999997E-2</v>
      </c>
      <c r="W16">
        <v>1.9E-3</v>
      </c>
      <c r="X16">
        <v>0</v>
      </c>
      <c r="Y16">
        <v>0</v>
      </c>
      <c r="Z16">
        <v>0</v>
      </c>
      <c r="AA16">
        <v>1</v>
      </c>
      <c r="AC16">
        <f>IF(ISNUMBER(INDEX($A$2:$AA$42,15,MATCH(Hisse!$E$2,$A$1:$AA$1,0))),INDEX($A$2:$AA$42,15,MATCH(Hisse!$E$2,$A$1:$AA$1,0)),-1000000000)-ROW()/10000000</f>
        <v>-2.637150932686728</v>
      </c>
    </row>
    <row r="17" spans="1:29" x14ac:dyDescent="0.2">
      <c r="A17" t="s">
        <v>313</v>
      </c>
      <c r="B17" t="s">
        <v>314</v>
      </c>
      <c r="C17" t="s">
        <v>79</v>
      </c>
      <c r="D17">
        <v>2.75E-2</v>
      </c>
      <c r="E17">
        <v>-0.80632113176110076</v>
      </c>
      <c r="F17">
        <v>-1.9920356382585269</v>
      </c>
      <c r="G17">
        <v>0.54766752238837313</v>
      </c>
      <c r="H17">
        <v>17.00366582870689</v>
      </c>
      <c r="I17">
        <v>25.216292361957748</v>
      </c>
      <c r="J17">
        <v>8045</v>
      </c>
      <c r="K17">
        <v>7952</v>
      </c>
      <c r="L17">
        <v>-1.155997513983842E-2</v>
      </c>
      <c r="M17">
        <v>909764511.38</v>
      </c>
      <c r="N17">
        <v>626089051.42999995</v>
      </c>
      <c r="O17">
        <v>-0.31181196496629621</v>
      </c>
      <c r="P17">
        <v>1.4381317204210551</v>
      </c>
      <c r="Q17" t="s">
        <v>41</v>
      </c>
      <c r="R17">
        <v>0</v>
      </c>
      <c r="S17">
        <v>0</v>
      </c>
      <c r="T17">
        <v>1.21E-2</v>
      </c>
      <c r="U17">
        <v>0.92120000000000002</v>
      </c>
      <c r="V17">
        <v>0</v>
      </c>
      <c r="W17">
        <v>1.6000000000000001E-3</v>
      </c>
      <c r="X17">
        <v>0</v>
      </c>
      <c r="Y17">
        <v>0</v>
      </c>
      <c r="Z17">
        <v>0</v>
      </c>
      <c r="AA17">
        <v>0.93490000000000006</v>
      </c>
      <c r="AC17">
        <f>IF(ISNUMBER(INDEX($A$2:$AA$42,16,MATCH(Hisse!$E$2,$A$1:$AA$1,0))),INDEX($A$2:$AA$42,16,MATCH(Hisse!$E$2,$A$1:$AA$1,0)),-1000000000)-ROW()/10000000</f>
        <v>-1.992037338258527</v>
      </c>
    </row>
    <row r="18" spans="1:29" x14ac:dyDescent="0.2">
      <c r="A18" t="s">
        <v>315</v>
      </c>
      <c r="B18" t="s">
        <v>316</v>
      </c>
      <c r="C18" t="s">
        <v>116</v>
      </c>
      <c r="D18">
        <v>2.92E-2</v>
      </c>
      <c r="E18">
        <v>-0.82182138727699972</v>
      </c>
      <c r="F18">
        <v>-1.039659106438118</v>
      </c>
      <c r="G18">
        <v>2.771097601673445</v>
      </c>
      <c r="H18">
        <v>10.950964224163551</v>
      </c>
      <c r="I18">
        <v>19.12382532336634</v>
      </c>
      <c r="J18">
        <v>1806</v>
      </c>
      <c r="K18">
        <v>1677</v>
      </c>
      <c r="L18">
        <v>-7.1428571428571397E-2</v>
      </c>
      <c r="M18">
        <v>68807286.780000001</v>
      </c>
      <c r="N18">
        <v>66897773.390000001</v>
      </c>
      <c r="O18">
        <v>-2.7751615844196161E-2</v>
      </c>
      <c r="P18">
        <v>1.1694263479319431</v>
      </c>
      <c r="Q18" t="s">
        <v>41</v>
      </c>
      <c r="R18">
        <v>0</v>
      </c>
      <c r="S18">
        <v>4.07E-2</v>
      </c>
      <c r="T18">
        <v>0</v>
      </c>
      <c r="U18">
        <v>0.85739999999999994</v>
      </c>
      <c r="V18">
        <v>0</v>
      </c>
      <c r="W18">
        <v>0.1019</v>
      </c>
      <c r="X18">
        <v>0</v>
      </c>
      <c r="Y18">
        <v>0</v>
      </c>
      <c r="Z18">
        <v>0</v>
      </c>
      <c r="AA18">
        <v>0.99999999999999989</v>
      </c>
      <c r="AC18">
        <f>IF(ISNUMBER(INDEX($A$2:$AA$42,17,MATCH(Hisse!$E$2,$A$1:$AA$1,0))),INDEX($A$2:$AA$42,17,MATCH(Hisse!$E$2,$A$1:$AA$1,0)),-1000000000)-ROW()/10000000</f>
        <v>-1.0396609064381179</v>
      </c>
    </row>
    <row r="19" spans="1:29" x14ac:dyDescent="0.2">
      <c r="A19" t="s">
        <v>317</v>
      </c>
      <c r="B19" t="s">
        <v>318</v>
      </c>
      <c r="C19" t="s">
        <v>90</v>
      </c>
      <c r="D19">
        <v>2.5000000000000001E-2</v>
      </c>
      <c r="E19">
        <v>-0.8430808992268779</v>
      </c>
      <c r="F19">
        <v>-2.7463587504869991</v>
      </c>
      <c r="G19">
        <v>1.5905180678730479</v>
      </c>
      <c r="H19">
        <v>26.484650451237581</v>
      </c>
      <c r="I19">
        <v>29.20042534272935</v>
      </c>
      <c r="J19">
        <v>10615</v>
      </c>
      <c r="K19">
        <v>10195</v>
      </c>
      <c r="L19">
        <v>-3.9566650965614743E-2</v>
      </c>
      <c r="M19">
        <v>2841944098.0900002</v>
      </c>
      <c r="N19">
        <v>2820941063.3400002</v>
      </c>
      <c r="O19">
        <v>-7.3903757516257107E-3</v>
      </c>
      <c r="P19">
        <v>1.264144812537662</v>
      </c>
      <c r="Q19" t="s">
        <v>41</v>
      </c>
      <c r="R19">
        <v>0</v>
      </c>
      <c r="S19">
        <v>3.4099999999999998E-2</v>
      </c>
      <c r="T19">
        <v>0</v>
      </c>
      <c r="U19">
        <v>0.91639999999999999</v>
      </c>
      <c r="V19">
        <v>4.9500000000000002E-2</v>
      </c>
      <c r="W19">
        <v>0</v>
      </c>
      <c r="X19">
        <v>0</v>
      </c>
      <c r="Y19">
        <v>0</v>
      </c>
      <c r="Z19">
        <v>0</v>
      </c>
      <c r="AA19">
        <v>1</v>
      </c>
      <c r="AC19">
        <f>IF(ISNUMBER(INDEX($A$2:$AA$42,18,MATCH(Hisse!$E$2,$A$1:$AA$1,0))),INDEX($A$2:$AA$42,18,MATCH(Hisse!$E$2,$A$1:$AA$1,0)),-1000000000)-ROW()/10000000</f>
        <v>-2.7463606504869991</v>
      </c>
    </row>
    <row r="20" spans="1:29" x14ac:dyDescent="0.2">
      <c r="A20" t="s">
        <v>319</v>
      </c>
      <c r="B20" t="s">
        <v>320</v>
      </c>
      <c r="C20" t="s">
        <v>124</v>
      </c>
      <c r="D20">
        <v>3.4000000000000002E-2</v>
      </c>
      <c r="E20">
        <v>-0.90202298075449105</v>
      </c>
      <c r="F20">
        <v>-2.005899059556226</v>
      </c>
      <c r="G20">
        <v>-0.23758246209245601</v>
      </c>
      <c r="H20">
        <v>24.64965340318825</v>
      </c>
      <c r="I20">
        <v>38.065851018208988</v>
      </c>
      <c r="J20">
        <v>21754</v>
      </c>
      <c r="K20">
        <v>20861</v>
      </c>
      <c r="L20">
        <v>-4.1049921853452243E-2</v>
      </c>
      <c r="M20">
        <v>8191519958.9799995</v>
      </c>
      <c r="N20">
        <v>7103063677.1800003</v>
      </c>
      <c r="O20">
        <v>-0.13287598482950319</v>
      </c>
      <c r="P20">
        <v>1.4146711457484691</v>
      </c>
      <c r="Q20" t="s">
        <v>41</v>
      </c>
      <c r="R20">
        <v>0</v>
      </c>
      <c r="S20">
        <v>4.7600000000000003E-2</v>
      </c>
      <c r="T20">
        <v>7.980000000000001E-2</v>
      </c>
      <c r="U20">
        <v>0.84730000000000005</v>
      </c>
      <c r="V20">
        <v>1E-4</v>
      </c>
      <c r="W20">
        <v>2.12E-2</v>
      </c>
      <c r="X20">
        <v>0</v>
      </c>
      <c r="Y20">
        <v>0</v>
      </c>
      <c r="Z20">
        <v>0</v>
      </c>
      <c r="AA20">
        <v>0.99600000000000011</v>
      </c>
      <c r="AC20">
        <f>IF(ISNUMBER(INDEX($A$2:$AA$42,19,MATCH(Hisse!$E$2,$A$1:$AA$1,0))),INDEX($A$2:$AA$42,19,MATCH(Hisse!$E$2,$A$1:$AA$1,0)),-1000000000)-ROW()/10000000</f>
        <v>-2.0059010595562259</v>
      </c>
    </row>
    <row r="21" spans="1:29" x14ac:dyDescent="0.2">
      <c r="A21" t="s">
        <v>321</v>
      </c>
      <c r="B21" t="s">
        <v>322</v>
      </c>
      <c r="C21" t="s">
        <v>323</v>
      </c>
      <c r="D21">
        <v>2.5999999999999999E-2</v>
      </c>
      <c r="E21">
        <v>-0.91096220331146061</v>
      </c>
      <c r="F21">
        <v>-0.54672867226880362</v>
      </c>
      <c r="G21">
        <v>0.36583600355362123</v>
      </c>
      <c r="H21">
        <v>23.271453891234732</v>
      </c>
      <c r="I21">
        <v>33.3780671114583</v>
      </c>
      <c r="J21">
        <v>2667</v>
      </c>
      <c r="K21">
        <v>2578</v>
      </c>
      <c r="L21">
        <v>-3.3370828646419159E-2</v>
      </c>
      <c r="M21">
        <v>909744765.47000003</v>
      </c>
      <c r="N21">
        <v>918237118.5</v>
      </c>
      <c r="O21">
        <v>9.3348742991805622E-3</v>
      </c>
      <c r="P21">
        <v>1.089914394070111</v>
      </c>
      <c r="Q21" t="s">
        <v>41</v>
      </c>
      <c r="R21">
        <v>0</v>
      </c>
      <c r="S21">
        <v>1E-4</v>
      </c>
      <c r="T21">
        <v>0</v>
      </c>
      <c r="U21">
        <v>0.99309999999999998</v>
      </c>
      <c r="V21">
        <v>6.4000000000000003E-3</v>
      </c>
      <c r="W21">
        <v>0</v>
      </c>
      <c r="X21">
        <v>0</v>
      </c>
      <c r="Y21">
        <v>0</v>
      </c>
      <c r="Z21">
        <v>0</v>
      </c>
      <c r="AA21">
        <v>0.99959999999999993</v>
      </c>
      <c r="AC21">
        <f>IF(ISNUMBER(INDEX($A$2:$AA$42,20,MATCH(Hisse!$E$2,$A$1:$AA$1,0))),INDEX($A$2:$AA$42,20,MATCH(Hisse!$E$2,$A$1:$AA$1,0)),-1000000000)-ROW()/10000000</f>
        <v>-0.54673077226880362</v>
      </c>
    </row>
    <row r="22" spans="1:29" x14ac:dyDescent="0.2">
      <c r="A22" t="s">
        <v>324</v>
      </c>
      <c r="B22" t="s">
        <v>325</v>
      </c>
      <c r="C22" t="s">
        <v>130</v>
      </c>
      <c r="D22">
        <v>2.75E-2</v>
      </c>
      <c r="E22">
        <v>-0.92677085444905494</v>
      </c>
      <c r="F22">
        <v>-4.953621925965324</v>
      </c>
      <c r="G22">
        <v>-6.0158630689079011</v>
      </c>
      <c r="H22">
        <v>0.98132213783792555</v>
      </c>
      <c r="I22">
        <v>15.31154433818547</v>
      </c>
      <c r="J22">
        <v>968</v>
      </c>
      <c r="K22">
        <v>834</v>
      </c>
      <c r="L22">
        <v>-0.13842975206611571</v>
      </c>
      <c r="M22">
        <v>283623962.39999998</v>
      </c>
      <c r="N22">
        <v>260065385.74000001</v>
      </c>
      <c r="O22">
        <v>-8.3062716071834908E-2</v>
      </c>
      <c r="P22">
        <v>1.5678221910768491</v>
      </c>
      <c r="Q22" t="s">
        <v>41</v>
      </c>
      <c r="R22">
        <v>0</v>
      </c>
      <c r="S22">
        <v>5.1100000000000013E-2</v>
      </c>
      <c r="T22">
        <v>0</v>
      </c>
      <c r="U22">
        <v>0.96889999999999998</v>
      </c>
      <c r="V22">
        <v>0</v>
      </c>
      <c r="W22">
        <v>1.6000000000000001E-3</v>
      </c>
      <c r="X22">
        <v>0</v>
      </c>
      <c r="Y22">
        <v>0</v>
      </c>
      <c r="Z22">
        <v>0</v>
      </c>
      <c r="AA22">
        <v>1.0216000000000001</v>
      </c>
      <c r="AC22">
        <f>IF(ISNUMBER(INDEX($A$2:$AA$42,21,MATCH(Hisse!$E$2,$A$1:$AA$1,0))),INDEX($A$2:$AA$42,21,MATCH(Hisse!$E$2,$A$1:$AA$1,0)),-1000000000)-ROW()/10000000</f>
        <v>-4.953624125965324</v>
      </c>
    </row>
    <row r="23" spans="1:29" x14ac:dyDescent="0.2">
      <c r="A23" t="s">
        <v>326</v>
      </c>
      <c r="B23" t="s">
        <v>327</v>
      </c>
      <c r="C23" t="s">
        <v>71</v>
      </c>
      <c r="D23">
        <v>2.92E-2</v>
      </c>
      <c r="E23">
        <v>-0.95412499707673293</v>
      </c>
      <c r="F23">
        <v>-1.6692644516833279</v>
      </c>
      <c r="G23">
        <v>-0.65029747132920868</v>
      </c>
      <c r="H23">
        <v>16.46648581921448</v>
      </c>
      <c r="I23">
        <v>27.06598915681781</v>
      </c>
      <c r="J23">
        <v>2782</v>
      </c>
      <c r="K23">
        <v>2695</v>
      </c>
      <c r="L23">
        <v>-3.1272465851905129E-2</v>
      </c>
      <c r="M23">
        <v>667459672.83000004</v>
      </c>
      <c r="N23">
        <v>625512870.80999994</v>
      </c>
      <c r="O23">
        <v>-6.2845447788849151E-2</v>
      </c>
      <c r="P23">
        <v>1.3481720192944719</v>
      </c>
      <c r="Q23" t="s">
        <v>41</v>
      </c>
      <c r="R23">
        <v>1.1000000000000001E-3</v>
      </c>
      <c r="S23">
        <v>4.9299999999999997E-2</v>
      </c>
      <c r="T23">
        <v>0</v>
      </c>
      <c r="U23">
        <v>0.85620000000000007</v>
      </c>
      <c r="V23">
        <v>9.3399999999999997E-2</v>
      </c>
      <c r="W23">
        <v>0</v>
      </c>
      <c r="X23">
        <v>0</v>
      </c>
      <c r="Y23">
        <v>0</v>
      </c>
      <c r="Z23">
        <v>0</v>
      </c>
      <c r="AA23">
        <v>1</v>
      </c>
      <c r="AC23">
        <f>IF(ISNUMBER(INDEX($A$2:$AA$42,22,MATCH(Hisse!$E$2,$A$1:$AA$1,0))),INDEX($A$2:$AA$42,22,MATCH(Hisse!$E$2,$A$1:$AA$1,0)),-1000000000)-ROW()/10000000</f>
        <v>-1.6692667516833279</v>
      </c>
    </row>
    <row r="24" spans="1:29" x14ac:dyDescent="0.2">
      <c r="A24" t="s">
        <v>328</v>
      </c>
      <c r="B24" t="s">
        <v>329</v>
      </c>
      <c r="C24" t="s">
        <v>50</v>
      </c>
      <c r="D24">
        <v>0.02</v>
      </c>
      <c r="E24">
        <v>-0.9602731961110833</v>
      </c>
      <c r="F24">
        <v>-0.7874180419812582</v>
      </c>
      <c r="G24">
        <v>2.3061269301045462</v>
      </c>
      <c r="H24">
        <v>19.801692280967309</v>
      </c>
      <c r="I24">
        <v>48.255893237975833</v>
      </c>
      <c r="J24">
        <v>634</v>
      </c>
      <c r="K24">
        <v>526</v>
      </c>
      <c r="L24">
        <v>-0.17034700315457421</v>
      </c>
      <c r="M24">
        <v>128697461.83</v>
      </c>
      <c r="N24">
        <v>77787566.060000002</v>
      </c>
      <c r="O24">
        <v>-0.39557808713623488</v>
      </c>
      <c r="P24">
        <v>1.442158694028014</v>
      </c>
      <c r="Q24" t="s">
        <v>41</v>
      </c>
      <c r="R24">
        <v>0</v>
      </c>
      <c r="S24">
        <v>2.9100000000000001E-2</v>
      </c>
      <c r="T24">
        <v>0</v>
      </c>
      <c r="U24">
        <v>0.97089999999999999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C24">
        <f>IF(ISNUMBER(INDEX($A$2:$AA$42,23,MATCH(Hisse!$E$2,$A$1:$AA$1,0))),INDEX($A$2:$AA$42,23,MATCH(Hisse!$E$2,$A$1:$AA$1,0)),-1000000000)-ROW()/10000000</f>
        <v>-0.78742044198125816</v>
      </c>
    </row>
    <row r="25" spans="1:29" x14ac:dyDescent="0.2">
      <c r="A25" t="s">
        <v>330</v>
      </c>
      <c r="B25" t="s">
        <v>331</v>
      </c>
      <c r="C25" t="s">
        <v>235</v>
      </c>
      <c r="D25">
        <v>2.5000000000000001E-2</v>
      </c>
      <c r="E25">
        <v>-0.99356364701693733</v>
      </c>
      <c r="F25">
        <v>-0.9707702730061496</v>
      </c>
      <c r="G25">
        <v>2.0995993662457302</v>
      </c>
      <c r="H25">
        <v>24.372574674587622</v>
      </c>
      <c r="I25">
        <v>44.483793655516578</v>
      </c>
      <c r="J25">
        <v>1721</v>
      </c>
      <c r="K25">
        <v>1633</v>
      </c>
      <c r="L25">
        <v>-5.1133062173155157E-2</v>
      </c>
      <c r="M25">
        <v>621691205.66999996</v>
      </c>
      <c r="N25">
        <v>832223747.92999995</v>
      </c>
      <c r="O25">
        <v>0.33864487761751111</v>
      </c>
      <c r="P25">
        <v>1.265510833590674</v>
      </c>
      <c r="Q25" t="s">
        <v>41</v>
      </c>
      <c r="R25">
        <v>0</v>
      </c>
      <c r="S25">
        <v>4.1599999999999998E-2</v>
      </c>
      <c r="T25">
        <v>6.7299999999999999E-2</v>
      </c>
      <c r="U25">
        <v>0.86060000000000003</v>
      </c>
      <c r="V25">
        <v>1.1000000000000001E-3</v>
      </c>
      <c r="W25">
        <v>2.7000000000000001E-3</v>
      </c>
      <c r="X25">
        <v>0</v>
      </c>
      <c r="Y25">
        <v>0</v>
      </c>
      <c r="Z25">
        <v>0</v>
      </c>
      <c r="AA25">
        <v>0.97330000000000005</v>
      </c>
      <c r="AC25">
        <f>IF(ISNUMBER(INDEX($A$2:$AA$42,24,MATCH(Hisse!$E$2,$A$1:$AA$1,0))),INDEX($A$2:$AA$42,24,MATCH(Hisse!$E$2,$A$1:$AA$1,0)),-1000000000)-ROW()/10000000</f>
        <v>-0.97077277300614961</v>
      </c>
    </row>
    <row r="26" spans="1:29" x14ac:dyDescent="0.2">
      <c r="A26" t="s">
        <v>332</v>
      </c>
      <c r="B26" t="s">
        <v>333</v>
      </c>
      <c r="C26" t="s">
        <v>68</v>
      </c>
      <c r="D26">
        <v>2.0001999999999999E-2</v>
      </c>
      <c r="E26">
        <v>-0.99606237085068106</v>
      </c>
      <c r="F26">
        <v>-1.8840558442211659</v>
      </c>
      <c r="G26">
        <v>1.3373803926881369</v>
      </c>
      <c r="H26">
        <v>18.668236404176142</v>
      </c>
      <c r="I26">
        <v>25.389616550030979</v>
      </c>
      <c r="J26">
        <v>1110</v>
      </c>
      <c r="K26">
        <v>1073</v>
      </c>
      <c r="L26">
        <v>-3.3333333333333333E-2</v>
      </c>
      <c r="M26">
        <v>1381842627.26</v>
      </c>
      <c r="N26">
        <v>1347533274.4200001</v>
      </c>
      <c r="O26">
        <v>-2.482869768464924E-2</v>
      </c>
      <c r="P26">
        <v>1.239817006725088</v>
      </c>
      <c r="Q26" t="s">
        <v>41</v>
      </c>
      <c r="R26">
        <v>0</v>
      </c>
      <c r="S26">
        <v>1.4999999999999999E-2</v>
      </c>
      <c r="T26">
        <v>4.7800000000000002E-2</v>
      </c>
      <c r="U26">
        <v>0.91790000000000005</v>
      </c>
      <c r="V26">
        <v>2.9999999999999997E-4</v>
      </c>
      <c r="W26">
        <v>0</v>
      </c>
      <c r="X26">
        <v>0</v>
      </c>
      <c r="Y26">
        <v>0</v>
      </c>
      <c r="Z26">
        <v>0</v>
      </c>
      <c r="AA26">
        <v>0.98100000000000009</v>
      </c>
      <c r="AC26">
        <f>IF(ISNUMBER(INDEX($A$2:$AA$42,25,MATCH(Hisse!$E$2,$A$1:$AA$1,0))),INDEX($A$2:$AA$42,25,MATCH(Hisse!$E$2,$A$1:$AA$1,0)),-1000000000)-ROW()/10000000</f>
        <v>-1.8840584442211659</v>
      </c>
    </row>
    <row r="27" spans="1:29" x14ac:dyDescent="0.2">
      <c r="A27" t="s">
        <v>334</v>
      </c>
      <c r="B27" t="s">
        <v>335</v>
      </c>
      <c r="C27" t="s">
        <v>138</v>
      </c>
      <c r="D27">
        <v>3.2000000000000001E-2</v>
      </c>
      <c r="E27">
        <v>-1.0049261083743819</v>
      </c>
      <c r="F27">
        <v>-1.84509342690351</v>
      </c>
      <c r="G27">
        <v>1.035138987315332E-2</v>
      </c>
      <c r="H27">
        <v>14.48885647873843</v>
      </c>
      <c r="I27">
        <v>19.402985074626859</v>
      </c>
      <c r="J27">
        <v>21959</v>
      </c>
      <c r="K27">
        <v>21188</v>
      </c>
      <c r="L27">
        <v>-3.5110888473974262E-2</v>
      </c>
      <c r="M27">
        <v>3729291288.75</v>
      </c>
      <c r="N27">
        <v>3535183452.1500001</v>
      </c>
      <c r="O27">
        <v>-5.2049524043765949E-2</v>
      </c>
      <c r="P27">
        <v>1.3369706372846339</v>
      </c>
      <c r="Q27" t="s">
        <v>41</v>
      </c>
      <c r="R27">
        <v>0</v>
      </c>
      <c r="S27">
        <v>2.1100000000000001E-2</v>
      </c>
      <c r="T27">
        <v>2.4400000000000002E-2</v>
      </c>
      <c r="U27">
        <v>0.93799999999999994</v>
      </c>
      <c r="V27">
        <v>0</v>
      </c>
      <c r="W27">
        <v>1.6500000000000001E-2</v>
      </c>
      <c r="X27">
        <v>0</v>
      </c>
      <c r="Y27">
        <v>0</v>
      </c>
      <c r="Z27">
        <v>0</v>
      </c>
      <c r="AA27">
        <v>0.99999999999999989</v>
      </c>
      <c r="AC27">
        <f>IF(ISNUMBER(INDEX($A$2:$AA$42,26,MATCH(Hisse!$E$2,$A$1:$AA$1,0))),INDEX($A$2:$AA$42,26,MATCH(Hisse!$E$2,$A$1:$AA$1,0)),-1000000000)-ROW()/10000000</f>
        <v>-1.84509612690351</v>
      </c>
    </row>
    <row r="28" spans="1:29" x14ac:dyDescent="0.2">
      <c r="A28" t="s">
        <v>336</v>
      </c>
      <c r="B28" t="s">
        <v>337</v>
      </c>
      <c r="C28" t="s">
        <v>262</v>
      </c>
      <c r="D28">
        <v>3.1029999999999999E-2</v>
      </c>
      <c r="E28">
        <v>-1.018770251658252</v>
      </c>
      <c r="F28">
        <v>-2.9591347272973079</v>
      </c>
      <c r="G28">
        <v>1.732788888581815</v>
      </c>
      <c r="H28">
        <v>16.752100220283019</v>
      </c>
      <c r="I28">
        <v>23.043308882086279</v>
      </c>
      <c r="J28">
        <v>4755</v>
      </c>
      <c r="K28">
        <v>4638</v>
      </c>
      <c r="L28">
        <v>-2.460567823343851E-2</v>
      </c>
      <c r="M28">
        <v>1433585536.8199999</v>
      </c>
      <c r="N28">
        <v>1282178445.97</v>
      </c>
      <c r="O28">
        <v>-0.1056142706251441</v>
      </c>
      <c r="P28">
        <v>1.3364918168898301</v>
      </c>
      <c r="Q28" t="s">
        <v>41</v>
      </c>
      <c r="R28">
        <v>7.4999999999999997E-3</v>
      </c>
      <c r="S28">
        <v>1.5299999999999999E-2</v>
      </c>
      <c r="T28">
        <v>3.3500000000000002E-2</v>
      </c>
      <c r="U28">
        <v>0.91859999999999997</v>
      </c>
      <c r="V28">
        <v>2.9999999999999997E-4</v>
      </c>
      <c r="W28">
        <v>1E-4</v>
      </c>
      <c r="X28">
        <v>0</v>
      </c>
      <c r="Y28">
        <v>0</v>
      </c>
      <c r="Z28">
        <v>0</v>
      </c>
      <c r="AA28">
        <v>0.97529999999999994</v>
      </c>
      <c r="AC28">
        <f>IF(ISNUMBER(INDEX($A$2:$AA$42,27,MATCH(Hisse!$E$2,$A$1:$AA$1,0))),INDEX($A$2:$AA$42,27,MATCH(Hisse!$E$2,$A$1:$AA$1,0)),-1000000000)-ROW()/10000000</f>
        <v>-2.9591375272973077</v>
      </c>
    </row>
    <row r="29" spans="1:29" x14ac:dyDescent="0.2">
      <c r="A29" t="s">
        <v>338</v>
      </c>
      <c r="B29" t="s">
        <v>339</v>
      </c>
      <c r="C29" t="s">
        <v>100</v>
      </c>
      <c r="D29">
        <v>3.4499799999999997E-2</v>
      </c>
      <c r="E29">
        <v>-1.0330832249555</v>
      </c>
      <c r="F29">
        <v>-1.854744425092447</v>
      </c>
      <c r="G29">
        <v>1.5593444525377591</v>
      </c>
      <c r="H29">
        <v>18.89854295984701</v>
      </c>
      <c r="I29">
        <v>23.434936488636389</v>
      </c>
      <c r="J29">
        <v>8628</v>
      </c>
      <c r="K29">
        <v>8493</v>
      </c>
      <c r="L29">
        <v>-1.5646731571627211E-2</v>
      </c>
      <c r="M29">
        <v>3571203530.0599999</v>
      </c>
      <c r="N29">
        <v>2986149499.9000001</v>
      </c>
      <c r="O29">
        <v>-0.16382545134585769</v>
      </c>
      <c r="P29">
        <v>1.325485937379475</v>
      </c>
      <c r="Q29" t="s">
        <v>41</v>
      </c>
      <c r="R29">
        <v>0</v>
      </c>
      <c r="S29">
        <v>2.5600000000000001E-2</v>
      </c>
      <c r="T29">
        <v>0</v>
      </c>
      <c r="U29">
        <v>0.89800000000000002</v>
      </c>
      <c r="V29">
        <v>3.5700000000000003E-2</v>
      </c>
      <c r="W29">
        <v>4.07E-2</v>
      </c>
      <c r="X29">
        <v>0</v>
      </c>
      <c r="Y29">
        <v>0</v>
      </c>
      <c r="Z29">
        <v>0</v>
      </c>
      <c r="AA29">
        <v>1</v>
      </c>
      <c r="AC29">
        <f>IF(ISNUMBER(INDEX($A$2:$AA$42,28,MATCH(Hisse!$E$2,$A$1:$AA$1,0))),INDEX($A$2:$AA$42,28,MATCH(Hisse!$E$2,$A$1:$AA$1,0)),-1000000000)-ROW()/10000000</f>
        <v>-1.8547473250924469</v>
      </c>
    </row>
    <row r="30" spans="1:29" x14ac:dyDescent="0.2">
      <c r="A30" t="s">
        <v>340</v>
      </c>
      <c r="B30" t="s">
        <v>341</v>
      </c>
      <c r="C30" t="s">
        <v>147</v>
      </c>
      <c r="D30">
        <v>2.75E-2</v>
      </c>
      <c r="E30">
        <v>-1.08701425848583</v>
      </c>
      <c r="F30">
        <v>-2.0201207347253498</v>
      </c>
      <c r="G30">
        <v>3.2074746346837602</v>
      </c>
      <c r="H30">
        <v>27.848509814532861</v>
      </c>
      <c r="I30">
        <v>30.094876647344758</v>
      </c>
      <c r="J30">
        <v>826</v>
      </c>
      <c r="K30">
        <v>792</v>
      </c>
      <c r="L30">
        <v>-4.1162227602905548E-2</v>
      </c>
      <c r="M30">
        <v>66423400.020000003</v>
      </c>
      <c r="N30">
        <v>61085386.07</v>
      </c>
      <c r="O30">
        <v>-8.0363455474918966E-2</v>
      </c>
      <c r="P30">
        <v>1.2820549102940479</v>
      </c>
      <c r="Q30" t="s">
        <v>41</v>
      </c>
      <c r="R30">
        <v>0</v>
      </c>
      <c r="S30">
        <v>6.9999999999999993E-3</v>
      </c>
      <c r="T30">
        <v>0</v>
      </c>
      <c r="U30">
        <v>0.93169999999999997</v>
      </c>
      <c r="V30">
        <v>0</v>
      </c>
      <c r="W30">
        <v>6.13E-2</v>
      </c>
      <c r="X30">
        <v>0</v>
      </c>
      <c r="Y30">
        <v>0</v>
      </c>
      <c r="Z30">
        <v>0</v>
      </c>
      <c r="AA30">
        <v>1</v>
      </c>
      <c r="AC30">
        <f>IF(ISNUMBER(INDEX($A$2:$AA$42,29,MATCH(Hisse!$E$2,$A$1:$AA$1,0))),INDEX($A$2:$AA$42,29,MATCH(Hisse!$E$2,$A$1:$AA$1,0)),-1000000000)-ROW()/10000000</f>
        <v>-2.0201237347253498</v>
      </c>
    </row>
    <row r="31" spans="1:29" x14ac:dyDescent="0.2">
      <c r="A31" t="s">
        <v>342</v>
      </c>
      <c r="B31" t="s">
        <v>343</v>
      </c>
      <c r="C31" t="s">
        <v>97</v>
      </c>
      <c r="D31">
        <v>2.3625E-2</v>
      </c>
      <c r="E31">
        <v>-1.096543867722477</v>
      </c>
      <c r="F31">
        <v>-1.818273972674878</v>
      </c>
      <c r="G31">
        <v>-0.28785904666912548</v>
      </c>
      <c r="H31">
        <v>26.477663652759961</v>
      </c>
      <c r="I31">
        <v>35.781233784794978</v>
      </c>
      <c r="J31">
        <v>125</v>
      </c>
      <c r="K31">
        <v>113</v>
      </c>
      <c r="L31">
        <v>-9.5999999999999974E-2</v>
      </c>
      <c r="M31">
        <v>69680111.530000001</v>
      </c>
      <c r="N31">
        <v>68998082.799999997</v>
      </c>
      <c r="O31">
        <v>-9.7879971059799953E-3</v>
      </c>
      <c r="P31">
        <v>1.0470488364566419</v>
      </c>
      <c r="Q31" t="s">
        <v>41</v>
      </c>
      <c r="R31">
        <v>0</v>
      </c>
      <c r="S31">
        <v>8.0000000000000002E-3</v>
      </c>
      <c r="T31">
        <v>0</v>
      </c>
      <c r="U31">
        <v>0.90469999999999995</v>
      </c>
      <c r="V31">
        <v>0</v>
      </c>
      <c r="W31">
        <v>8.7300000000000003E-2</v>
      </c>
      <c r="X31">
        <v>0</v>
      </c>
      <c r="Y31">
        <v>0</v>
      </c>
      <c r="Z31">
        <v>0</v>
      </c>
      <c r="AA31">
        <v>1</v>
      </c>
      <c r="AC31">
        <f>IF(ISNUMBER(INDEX($A$2:$AA$42,30,MATCH(Hisse!$E$2,$A$1:$AA$1,0))),INDEX($A$2:$AA$42,30,MATCH(Hisse!$E$2,$A$1:$AA$1,0)),-1000000000)-ROW()/10000000</f>
        <v>-1.818277072674878</v>
      </c>
    </row>
    <row r="32" spans="1:29" x14ac:dyDescent="0.2">
      <c r="A32" t="s">
        <v>344</v>
      </c>
      <c r="B32" t="s">
        <v>345</v>
      </c>
      <c r="C32" t="s">
        <v>74</v>
      </c>
      <c r="D32">
        <v>2.81E-2</v>
      </c>
      <c r="E32">
        <v>-1.1260575684642891</v>
      </c>
      <c r="F32">
        <v>-2.6930858664767299</v>
      </c>
      <c r="G32">
        <v>0.7921441742592128</v>
      </c>
      <c r="H32">
        <v>19.100203828169899</v>
      </c>
      <c r="I32">
        <v>24.68235674150705</v>
      </c>
      <c r="J32">
        <v>567</v>
      </c>
      <c r="K32">
        <v>553</v>
      </c>
      <c r="L32">
        <v>-2.469135802469136E-2</v>
      </c>
      <c r="M32">
        <v>261803779.19</v>
      </c>
      <c r="N32">
        <v>263638288.33000001</v>
      </c>
      <c r="O32">
        <v>7.0071912089115784E-3</v>
      </c>
      <c r="P32">
        <v>1.3558472927896079</v>
      </c>
      <c r="Q32" t="s">
        <v>41</v>
      </c>
      <c r="R32">
        <v>0</v>
      </c>
      <c r="S32">
        <v>3.4799999999999998E-2</v>
      </c>
      <c r="T32">
        <v>9.1499999999999998E-2</v>
      </c>
      <c r="U32">
        <v>0.87290000000000001</v>
      </c>
      <c r="V32">
        <v>8.0000000000000004E-4</v>
      </c>
      <c r="W32">
        <v>0</v>
      </c>
      <c r="X32">
        <v>0</v>
      </c>
      <c r="Y32">
        <v>0</v>
      </c>
      <c r="Z32">
        <v>0</v>
      </c>
      <c r="AA32">
        <v>1</v>
      </c>
      <c r="AC32">
        <f>IF(ISNUMBER(INDEX($A$2:$AA$42,31,MATCH(Hisse!$E$2,$A$1:$AA$1,0))),INDEX($A$2:$AA$42,31,MATCH(Hisse!$E$2,$A$1:$AA$1,0)),-1000000000)-ROW()/10000000</f>
        <v>-2.69308906647673</v>
      </c>
    </row>
    <row r="33" spans="1:29" x14ac:dyDescent="0.2">
      <c r="A33" t="s">
        <v>346</v>
      </c>
      <c r="B33" t="s">
        <v>347</v>
      </c>
      <c r="C33" t="s">
        <v>228</v>
      </c>
      <c r="D33">
        <v>2.7400000000000001E-2</v>
      </c>
      <c r="E33">
        <v>-1.1514291341356839</v>
      </c>
      <c r="F33">
        <v>-2.276321381049573</v>
      </c>
      <c r="G33">
        <v>9.5187265965579471E-2</v>
      </c>
      <c r="H33">
        <v>8.6687378453325969</v>
      </c>
      <c r="I33">
        <v>18.113207221283488</v>
      </c>
      <c r="J33">
        <v>5730</v>
      </c>
      <c r="K33">
        <v>5533</v>
      </c>
      <c r="L33">
        <v>-3.4380453752181461E-2</v>
      </c>
      <c r="M33">
        <v>3653196468.9099998</v>
      </c>
      <c r="N33">
        <v>3394113840.79</v>
      </c>
      <c r="O33">
        <v>-7.0919434617022437E-2</v>
      </c>
      <c r="P33">
        <v>1.3822414091765041</v>
      </c>
      <c r="Q33" t="s">
        <v>41</v>
      </c>
      <c r="R33">
        <v>0</v>
      </c>
      <c r="S33">
        <v>1.24E-2</v>
      </c>
      <c r="T33">
        <v>3.61E-2</v>
      </c>
      <c r="U33">
        <v>0.94279999999999997</v>
      </c>
      <c r="V33">
        <v>8.6999999999999994E-3</v>
      </c>
      <c r="W33">
        <v>0</v>
      </c>
      <c r="X33">
        <v>0</v>
      </c>
      <c r="Y33">
        <v>0</v>
      </c>
      <c r="Z33">
        <v>0</v>
      </c>
      <c r="AA33">
        <v>1</v>
      </c>
      <c r="AC33">
        <f>IF(ISNUMBER(INDEX($A$2:$AA$42,32,MATCH(Hisse!$E$2,$A$1:$AA$1,0))),INDEX($A$2:$AA$42,32,MATCH(Hisse!$E$2,$A$1:$AA$1,0)),-1000000000)-ROW()/10000000</f>
        <v>-2.276324681049573</v>
      </c>
    </row>
    <row r="34" spans="1:29" x14ac:dyDescent="0.2">
      <c r="A34" t="s">
        <v>348</v>
      </c>
      <c r="B34" t="s">
        <v>349</v>
      </c>
      <c r="C34" t="s">
        <v>155</v>
      </c>
      <c r="D34">
        <v>2.9000000000000001E-2</v>
      </c>
      <c r="E34">
        <v>-1.2105074850245809</v>
      </c>
      <c r="F34">
        <v>-2.7561859190279541</v>
      </c>
      <c r="G34">
        <v>3.0944523738574151E-2</v>
      </c>
      <c r="H34">
        <v>17.892242193541779</v>
      </c>
      <c r="I34">
        <v>39.577172244562867</v>
      </c>
      <c r="J34">
        <v>2548</v>
      </c>
      <c r="K34">
        <v>2490</v>
      </c>
      <c r="L34">
        <v>-2.2762951334379888E-2</v>
      </c>
      <c r="M34">
        <v>128283422.98</v>
      </c>
      <c r="N34">
        <v>123969568.56999999</v>
      </c>
      <c r="O34">
        <v>-3.3627528092016752E-2</v>
      </c>
      <c r="P34">
        <v>1.407477711108245</v>
      </c>
      <c r="Q34" t="s">
        <v>41</v>
      </c>
      <c r="R34">
        <v>0</v>
      </c>
      <c r="S34">
        <v>8.3000000000000001E-3</v>
      </c>
      <c r="T34">
        <v>7.0900000000000005E-2</v>
      </c>
      <c r="U34">
        <v>0.92</v>
      </c>
      <c r="V34">
        <v>8.0000000000000004E-4</v>
      </c>
      <c r="W34">
        <v>0</v>
      </c>
      <c r="X34">
        <v>0</v>
      </c>
      <c r="Y34">
        <v>0</v>
      </c>
      <c r="Z34">
        <v>0</v>
      </c>
      <c r="AA34">
        <v>1</v>
      </c>
      <c r="AC34">
        <f>IF(ISNUMBER(INDEX($A$2:$AA$42,33,MATCH(Hisse!$E$2,$A$1:$AA$1,0))),INDEX($A$2:$AA$42,33,MATCH(Hisse!$E$2,$A$1:$AA$1,0)),-1000000000)-ROW()/10000000</f>
        <v>-2.7561893190279543</v>
      </c>
    </row>
    <row r="35" spans="1:29" x14ac:dyDescent="0.2">
      <c r="A35" t="s">
        <v>350</v>
      </c>
      <c r="B35" t="s">
        <v>351</v>
      </c>
      <c r="C35" t="s">
        <v>352</v>
      </c>
      <c r="D35">
        <v>2.6800000000000001E-2</v>
      </c>
      <c r="E35">
        <v>-1.261619589553431</v>
      </c>
      <c r="F35">
        <v>-2.8653363845086881</v>
      </c>
      <c r="G35">
        <v>-5.9794454272673159</v>
      </c>
      <c r="H35">
        <v>14.491576360249709</v>
      </c>
      <c r="I35">
        <v>22.99433104945108</v>
      </c>
      <c r="J35">
        <v>37935</v>
      </c>
      <c r="K35">
        <v>37236</v>
      </c>
      <c r="L35">
        <v>-1.8426255436931549E-2</v>
      </c>
      <c r="M35">
        <v>5045573968.71</v>
      </c>
      <c r="N35">
        <v>4623659103.1700001</v>
      </c>
      <c r="O35">
        <v>-8.362078688301755E-2</v>
      </c>
      <c r="P35">
        <v>1.2181674950017369</v>
      </c>
      <c r="Q35" t="s">
        <v>41</v>
      </c>
      <c r="R35">
        <v>0</v>
      </c>
      <c r="S35">
        <v>0</v>
      </c>
      <c r="T35">
        <v>0</v>
      </c>
      <c r="U35">
        <v>0.9556</v>
      </c>
      <c r="V35">
        <v>4.4400000000000002E-2</v>
      </c>
      <c r="W35">
        <v>0</v>
      </c>
      <c r="X35">
        <v>0</v>
      </c>
      <c r="Y35">
        <v>0</v>
      </c>
      <c r="Z35">
        <v>0</v>
      </c>
      <c r="AA35">
        <v>1</v>
      </c>
      <c r="AC35">
        <f>IF(ISNUMBER(INDEX($A$2:$AA$42,34,MATCH(Hisse!$E$2,$A$1:$AA$1,0))),INDEX($A$2:$AA$42,34,MATCH(Hisse!$E$2,$A$1:$AA$1,0)),-1000000000)-ROW()/10000000</f>
        <v>-2.8653398845086882</v>
      </c>
    </row>
    <row r="36" spans="1:29" x14ac:dyDescent="0.2">
      <c r="A36" t="s">
        <v>353</v>
      </c>
      <c r="B36" t="s">
        <v>354</v>
      </c>
      <c r="C36" t="s">
        <v>87</v>
      </c>
      <c r="D36">
        <v>3.2000000000000001E-2</v>
      </c>
      <c r="E36">
        <v>-1.320368288966689</v>
      </c>
      <c r="F36">
        <v>-1.9466607727215759</v>
      </c>
      <c r="G36">
        <v>1.566406508617679</v>
      </c>
      <c r="H36">
        <v>13.903809389401539</v>
      </c>
      <c r="I36">
        <v>15.89952536664418</v>
      </c>
      <c r="J36">
        <v>6706</v>
      </c>
      <c r="K36">
        <v>6507</v>
      </c>
      <c r="L36">
        <v>-2.9674917983894988E-2</v>
      </c>
      <c r="M36">
        <v>1465134932.28</v>
      </c>
      <c r="N36">
        <v>1175514146.6700001</v>
      </c>
      <c r="O36">
        <v>-0.19767516235470581</v>
      </c>
      <c r="P36">
        <v>1.382700545190972</v>
      </c>
      <c r="Q36" t="s">
        <v>41</v>
      </c>
      <c r="R36">
        <v>2.0000000000000001E-4</v>
      </c>
      <c r="S36">
        <v>1E-4</v>
      </c>
      <c r="T36">
        <v>0</v>
      </c>
      <c r="U36">
        <v>0.99970000000000003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C36">
        <f>IF(ISNUMBER(INDEX($A$2:$AA$42,35,MATCH(Hisse!$E$2,$A$1:$AA$1,0))),INDEX($A$2:$AA$42,35,MATCH(Hisse!$E$2,$A$1:$AA$1,0)),-1000000000)-ROW()/10000000</f>
        <v>-1.946664372721576</v>
      </c>
    </row>
    <row r="37" spans="1:29" x14ac:dyDescent="0.2">
      <c r="A37" t="s">
        <v>355</v>
      </c>
      <c r="B37" t="s">
        <v>356</v>
      </c>
      <c r="C37" t="s">
        <v>357</v>
      </c>
      <c r="D37">
        <v>0</v>
      </c>
      <c r="E37">
        <v>-1.367564242954999</v>
      </c>
      <c r="F37">
        <v>-3.8671321743342091</v>
      </c>
      <c r="G37">
        <v>-4.2919264329899898</v>
      </c>
      <c r="H37">
        <v>27.196118984158431</v>
      </c>
      <c r="I37">
        <v>76.928141761449481</v>
      </c>
      <c r="J37">
        <v>8132</v>
      </c>
      <c r="K37">
        <v>6859</v>
      </c>
      <c r="L37">
        <v>-0.15654205607476629</v>
      </c>
      <c r="M37">
        <v>1037827293.64</v>
      </c>
      <c r="N37">
        <v>865573812.58000004</v>
      </c>
      <c r="O37">
        <v>-0.16597509249910991</v>
      </c>
      <c r="P37">
        <v>1.1762056437263699</v>
      </c>
      <c r="Q37" t="s">
        <v>41</v>
      </c>
      <c r="R37">
        <v>0</v>
      </c>
      <c r="S37">
        <v>1.7299999999999999E-2</v>
      </c>
      <c r="T37">
        <v>0</v>
      </c>
      <c r="U37">
        <v>0.98269999999999991</v>
      </c>
      <c r="V37">
        <v>0</v>
      </c>
      <c r="W37">
        <v>0</v>
      </c>
      <c r="X37">
        <v>0</v>
      </c>
      <c r="Y37">
        <v>0</v>
      </c>
      <c r="Z37">
        <v>0</v>
      </c>
      <c r="AA37">
        <v>0.99999999999999989</v>
      </c>
      <c r="AC37">
        <f>IF(ISNUMBER(INDEX($A$2:$AA$42,36,MATCH(Hisse!$E$2,$A$1:$AA$1,0))),INDEX($A$2:$AA$42,36,MATCH(Hisse!$E$2,$A$1:$AA$1,0)),-1000000000)-ROW()/10000000</f>
        <v>-3.8671358743342092</v>
      </c>
    </row>
    <row r="38" spans="1:29" x14ac:dyDescent="0.2">
      <c r="A38" t="s">
        <v>358</v>
      </c>
      <c r="B38" t="s">
        <v>359</v>
      </c>
      <c r="C38" t="s">
        <v>62</v>
      </c>
      <c r="D38">
        <v>2.5000000000000001E-2</v>
      </c>
      <c r="E38">
        <v>-1.4696994213051151</v>
      </c>
      <c r="F38">
        <v>-3.7333926940931179</v>
      </c>
      <c r="G38">
        <v>0.70069607543319368</v>
      </c>
      <c r="H38">
        <v>18.008434273158439</v>
      </c>
      <c r="I38">
        <v>34.150120477048617</v>
      </c>
      <c r="J38">
        <v>1733</v>
      </c>
      <c r="K38">
        <v>1675</v>
      </c>
      <c r="L38">
        <v>-3.3467974610501987E-2</v>
      </c>
      <c r="M38">
        <v>202441223.28</v>
      </c>
      <c r="N38">
        <v>193278743.28999999</v>
      </c>
      <c r="O38">
        <v>-4.5259951711155273E-2</v>
      </c>
      <c r="P38">
        <v>1.6248167025469129</v>
      </c>
      <c r="Q38" t="s">
        <v>41</v>
      </c>
      <c r="R38">
        <v>0</v>
      </c>
      <c r="S38">
        <v>0</v>
      </c>
      <c r="T38">
        <v>0</v>
      </c>
      <c r="U38">
        <v>0.96879999999999999</v>
      </c>
      <c r="V38">
        <v>0</v>
      </c>
      <c r="W38">
        <v>1.0999999999999999E-2</v>
      </c>
      <c r="X38">
        <v>0</v>
      </c>
      <c r="Y38">
        <v>0</v>
      </c>
      <c r="Z38">
        <v>0</v>
      </c>
      <c r="AA38">
        <v>0.9798</v>
      </c>
      <c r="AC38">
        <f>IF(ISNUMBER(INDEX($A$2:$AA$42,37,MATCH(Hisse!$E$2,$A$1:$AA$1,0))),INDEX($A$2:$AA$42,37,MATCH(Hisse!$E$2,$A$1:$AA$1,0)),-1000000000)-ROW()/10000000</f>
        <v>-3.7333964940931179</v>
      </c>
    </row>
    <row r="39" spans="1:29" x14ac:dyDescent="0.2">
      <c r="A39" t="s">
        <v>360</v>
      </c>
      <c r="B39" t="s">
        <v>361</v>
      </c>
      <c r="C39" t="s">
        <v>121</v>
      </c>
      <c r="D39">
        <v>3.2024999999999998E-2</v>
      </c>
      <c r="E39">
        <v>-1.560193657384767</v>
      </c>
      <c r="F39">
        <v>-1.7679496543956841</v>
      </c>
      <c r="G39">
        <v>4.8412071183365768</v>
      </c>
      <c r="H39">
        <v>22.098534270045509</v>
      </c>
      <c r="I39">
        <v>39.738001301319059</v>
      </c>
      <c r="J39">
        <v>935</v>
      </c>
      <c r="K39">
        <v>925</v>
      </c>
      <c r="L39">
        <v>-1.069518716577544E-2</v>
      </c>
      <c r="M39">
        <v>1174285445.4300001</v>
      </c>
      <c r="N39">
        <v>1268900126.72</v>
      </c>
      <c r="O39">
        <v>8.0572131467876673E-2</v>
      </c>
      <c r="P39">
        <v>1.475042717603096</v>
      </c>
      <c r="Q39" t="s">
        <v>41</v>
      </c>
      <c r="R39">
        <v>0</v>
      </c>
      <c r="S39">
        <v>2.1999999999999999E-2</v>
      </c>
      <c r="T39">
        <v>0</v>
      </c>
      <c r="U39">
        <v>0.80120000000000002</v>
      </c>
      <c r="V39">
        <v>0</v>
      </c>
      <c r="W39">
        <v>0.13070000000000001</v>
      </c>
      <c r="X39">
        <v>0</v>
      </c>
      <c r="Y39">
        <v>0</v>
      </c>
      <c r="Z39">
        <v>0</v>
      </c>
      <c r="AA39">
        <v>0.95390000000000008</v>
      </c>
      <c r="AC39">
        <f>IF(ISNUMBER(INDEX($A$2:$AA$42,38,MATCH(Hisse!$E$2,$A$1:$AA$1,0))),INDEX($A$2:$AA$42,38,MATCH(Hisse!$E$2,$A$1:$AA$1,0)),-1000000000)-ROW()/10000000</f>
        <v>-1.7679535543956841</v>
      </c>
    </row>
    <row r="40" spans="1:29" x14ac:dyDescent="0.2">
      <c r="A40" t="s">
        <v>362</v>
      </c>
      <c r="B40" t="s">
        <v>363</v>
      </c>
      <c r="C40" t="s">
        <v>47</v>
      </c>
      <c r="D40">
        <v>2.92E-2</v>
      </c>
      <c r="E40">
        <v>-1.60212794589305</v>
      </c>
      <c r="F40">
        <v>-2.699742735463651</v>
      </c>
      <c r="G40">
        <v>1.7044177464274219</v>
      </c>
      <c r="H40">
        <v>23.57887439518689</v>
      </c>
      <c r="I40">
        <v>32.910989341152977</v>
      </c>
      <c r="J40">
        <v>4518</v>
      </c>
      <c r="K40">
        <v>4414</v>
      </c>
      <c r="L40">
        <v>-2.301903497122626E-2</v>
      </c>
      <c r="M40">
        <v>1019553374.3099999</v>
      </c>
      <c r="N40">
        <v>958514575.26999998</v>
      </c>
      <c r="O40">
        <v>-5.9868174220215842E-2</v>
      </c>
      <c r="P40">
        <v>1.2433181667539701</v>
      </c>
      <c r="Q40" t="s">
        <v>41</v>
      </c>
      <c r="R40">
        <v>1E-4</v>
      </c>
      <c r="S40">
        <v>4.3E-3</v>
      </c>
      <c r="T40">
        <v>0</v>
      </c>
      <c r="U40">
        <v>0.93340000000000001</v>
      </c>
      <c r="V40">
        <v>2.5899999999999999E-2</v>
      </c>
      <c r="W40">
        <v>3.6299999999999999E-2</v>
      </c>
      <c r="X40">
        <v>0</v>
      </c>
      <c r="Y40">
        <v>0</v>
      </c>
      <c r="Z40">
        <v>0</v>
      </c>
      <c r="AA40">
        <v>1</v>
      </c>
      <c r="AC40">
        <f>IF(ISNUMBER(INDEX($A$2:$AA$42,39,MATCH(Hisse!$E$2,$A$1:$AA$1,0))),INDEX($A$2:$AA$42,39,MATCH(Hisse!$E$2,$A$1:$AA$1,0)),-1000000000)-ROW()/10000000</f>
        <v>-2.6997467354636511</v>
      </c>
    </row>
    <row r="41" spans="1:29" x14ac:dyDescent="0.2">
      <c r="A41" t="s">
        <v>364</v>
      </c>
      <c r="B41" t="s">
        <v>365</v>
      </c>
      <c r="C41" t="s">
        <v>82</v>
      </c>
      <c r="D41">
        <v>3.2000000000000001E-2</v>
      </c>
      <c r="E41">
        <v>-1.738890228753309</v>
      </c>
      <c r="F41">
        <v>-2.6142833950102311</v>
      </c>
      <c r="G41">
        <v>0.91898648007280315</v>
      </c>
      <c r="H41">
        <v>19.15305207692337</v>
      </c>
      <c r="I41">
        <v>25.740512247906828</v>
      </c>
      <c r="J41">
        <v>15149</v>
      </c>
      <c r="K41">
        <v>15011</v>
      </c>
      <c r="L41">
        <v>-9.1095121790216727E-3</v>
      </c>
      <c r="M41">
        <v>2970996806.6500001</v>
      </c>
      <c r="N41">
        <v>2897425780.77</v>
      </c>
      <c r="O41">
        <v>-2.4763078073771649E-2</v>
      </c>
      <c r="P41">
        <v>1.3789268780882511</v>
      </c>
      <c r="Q41" t="s">
        <v>41</v>
      </c>
      <c r="R41">
        <v>0</v>
      </c>
      <c r="S41">
        <v>2.3300000000000001E-2</v>
      </c>
      <c r="T41">
        <v>0</v>
      </c>
      <c r="U41">
        <v>0.96319999999999995</v>
      </c>
      <c r="V41">
        <v>1.3599999999999999E-2</v>
      </c>
      <c r="W41">
        <v>0</v>
      </c>
      <c r="X41">
        <v>0</v>
      </c>
      <c r="Y41">
        <v>0</v>
      </c>
      <c r="Z41">
        <v>0</v>
      </c>
      <c r="AA41">
        <v>1.0001</v>
      </c>
      <c r="AC41">
        <f>IF(ISNUMBER(INDEX($A$2:$AA$42,40,MATCH(Hisse!$E$2,$A$1:$AA$1,0))),INDEX($A$2:$AA$42,40,MATCH(Hisse!$E$2,$A$1:$AA$1,0)),-1000000000)-ROW()/10000000</f>
        <v>-2.6142874950102311</v>
      </c>
    </row>
    <row r="42" spans="1:29" x14ac:dyDescent="0.2">
      <c r="A42" t="s">
        <v>366</v>
      </c>
      <c r="B42" t="s">
        <v>367</v>
      </c>
      <c r="C42" t="s">
        <v>265</v>
      </c>
      <c r="D42">
        <v>2.9000000000000001E-2</v>
      </c>
      <c r="E42">
        <v>-1.8582194379905601</v>
      </c>
      <c r="F42">
        <v>-3.905754903354508</v>
      </c>
      <c r="G42">
        <v>-2.0480559976486679</v>
      </c>
      <c r="H42">
        <v>13.30221910675577</v>
      </c>
      <c r="I42">
        <v>14.69680277097225</v>
      </c>
      <c r="J42">
        <v>1710</v>
      </c>
      <c r="K42">
        <v>1651</v>
      </c>
      <c r="L42">
        <v>-3.4502923976608153E-2</v>
      </c>
      <c r="M42">
        <v>403554653.42000002</v>
      </c>
      <c r="N42">
        <v>389995851.60000002</v>
      </c>
      <c r="O42">
        <v>-3.3598427635744943E-2</v>
      </c>
      <c r="P42">
        <v>1.193283580538377</v>
      </c>
      <c r="Q42" t="s">
        <v>41</v>
      </c>
      <c r="R42">
        <v>0</v>
      </c>
      <c r="S42">
        <v>1.32E-2</v>
      </c>
      <c r="T42">
        <v>0</v>
      </c>
      <c r="U42">
        <v>0.95940000000000003</v>
      </c>
      <c r="V42">
        <v>0</v>
      </c>
      <c r="W42">
        <v>2.7400000000000001E-2</v>
      </c>
      <c r="X42">
        <v>0</v>
      </c>
      <c r="Y42">
        <v>0</v>
      </c>
      <c r="Z42">
        <v>0</v>
      </c>
      <c r="AA42">
        <v>1</v>
      </c>
      <c r="AC42">
        <f>IF(ISNUMBER(INDEX($A$2:$AA$42,41,MATCH(Hisse!$E$2,$A$1:$AA$1,0))),INDEX($A$2:$AA$42,41,MATCH(Hisse!$E$2,$A$1:$AA$1,0)),-1000000000)-ROW()/10000000</f>
        <v>-3.9057591033545078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44"/>
  <sheetViews>
    <sheetView workbookViewId="0">
      <pane xSplit="3" ySplit="3" topLeftCell="D4" activePane="bottomRight" state="frozen"/>
      <selection pane="topRight"/>
      <selection pane="bottomLeft"/>
      <selection pane="bottomRight" activeCell="E2" sqref="E2"/>
    </sheetView>
  </sheetViews>
  <sheetFormatPr baseColWidth="10" defaultColWidth="8.83203125" defaultRowHeight="15" x14ac:dyDescent="0.2"/>
  <cols>
    <col min="2" max="2" width="9" customWidth="1"/>
    <col min="3" max="3" width="68" customWidth="1"/>
    <col min="4" max="4" width="26" customWidth="1"/>
    <col min="5" max="28" width="13" customWidth="1"/>
  </cols>
  <sheetData>
    <row r="1" spans="1:28" x14ac:dyDescent="0.2">
      <c r="F1" s="6">
        <v>46216</v>
      </c>
      <c r="G1" s="6">
        <v>46210</v>
      </c>
      <c r="H1" s="6">
        <v>46185</v>
      </c>
      <c r="I1" s="6">
        <v>46022</v>
      </c>
      <c r="J1" s="6">
        <v>45852</v>
      </c>
    </row>
    <row r="2" spans="1:28" x14ac:dyDescent="0.2">
      <c r="B2" s="3" t="s">
        <v>75</v>
      </c>
      <c r="D2" s="7" t="s">
        <v>0</v>
      </c>
      <c r="E2" s="2" t="s">
        <v>14</v>
      </c>
    </row>
    <row r="3" spans="1:28" ht="48" x14ac:dyDescent="0.2">
      <c r="B3" s="4" t="s">
        <v>3</v>
      </c>
      <c r="C3" s="4" t="s">
        <v>281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6</v>
      </c>
      <c r="J3" s="4" t="s">
        <v>16</v>
      </c>
      <c r="K3" s="4" t="s">
        <v>17</v>
      </c>
      <c r="L3" s="4" t="s">
        <v>18</v>
      </c>
      <c r="M3" s="4" t="s">
        <v>19</v>
      </c>
      <c r="N3" s="4" t="s">
        <v>20</v>
      </c>
      <c r="O3" s="4" t="s">
        <v>21</v>
      </c>
      <c r="P3" s="4" t="s">
        <v>22</v>
      </c>
      <c r="Q3" s="4" t="s">
        <v>23</v>
      </c>
      <c r="R3" s="4" t="s">
        <v>24</v>
      </c>
      <c r="S3" s="4" t="s">
        <v>25</v>
      </c>
      <c r="T3" s="4" t="s">
        <v>26</v>
      </c>
      <c r="U3" s="4" t="s">
        <v>27</v>
      </c>
      <c r="V3" s="4" t="s">
        <v>28</v>
      </c>
      <c r="W3" s="4" t="s">
        <v>29</v>
      </c>
      <c r="X3" s="4" t="s">
        <v>30</v>
      </c>
      <c r="Y3" s="4" t="s">
        <v>31</v>
      </c>
      <c r="Z3" s="4" t="s">
        <v>32</v>
      </c>
      <c r="AA3" s="4" t="s">
        <v>33</v>
      </c>
      <c r="AB3" s="4" t="s">
        <v>34</v>
      </c>
    </row>
    <row r="4" spans="1:28" x14ac:dyDescent="0.2">
      <c r="A4">
        <v>1</v>
      </c>
      <c r="B4" s="5" t="str">
        <f>INDEX(V_Hisse!A$2:A$42,MATCH(LARGE(V_Hisse!$AC$2:$AC$42,ROW()-3),V_Hisse!$AC$2:$AC$42,0))</f>
        <v>PHE</v>
      </c>
      <c r="C4" s="5" t="str">
        <f>INDEX(V_Hisse!B$2:B$42,MATCH(LARGE(V_Hisse!$AC$2:$AC$42,ROW()-3),V_Hisse!$AC$2:$AC$42,0))</f>
        <v>Pusula Portföy Hisse Senedi Fonu (Hisse Senedi Yoğun Fon)</v>
      </c>
      <c r="D4" s="5" t="str">
        <f>INDEX(V_Hisse!C$2:C$42,MATCH(LARGE(V_Hisse!$AC$2:$AC$42,ROW()-3),V_Hisse!$AC$2:$AC$42,0))</f>
        <v>Pusula Portföy</v>
      </c>
      <c r="E4" s="8">
        <f>INDEX(V_Hisse!D$2:D$42,MATCH(LARGE(V_Hisse!$AC$2:$AC$42,ROW()-3),V_Hisse!$AC$2:$AC$42,0))</f>
        <v>2.5000000000000001E-2</v>
      </c>
      <c r="F4" s="9">
        <f>INDEX(V_Hisse!E$2:E$42,MATCH(LARGE(V_Hisse!$AC$2:$AC$42,ROW()-3),V_Hisse!$AC$2:$AC$42,0))</f>
        <v>0.1225582818338289</v>
      </c>
      <c r="G4" s="9">
        <f>INDEX(V_Hisse!F$2:F$42,MATCH(LARGE(V_Hisse!$AC$2:$AC$42,ROW()-3),V_Hisse!$AC$2:$AC$42,0))</f>
        <v>3.1021785455839219</v>
      </c>
      <c r="H4" s="9">
        <f>INDEX(V_Hisse!G$2:G$42,MATCH(LARGE(V_Hisse!$AC$2:$AC$42,ROW()-3),V_Hisse!$AC$2:$AC$42,0))</f>
        <v>16.17610267650527</v>
      </c>
      <c r="I4" s="9">
        <f>INDEX(V_Hisse!H$2:H$42,MATCH(LARGE(V_Hisse!$AC$2:$AC$42,ROW()-3),V_Hisse!$AC$2:$AC$42,0))</f>
        <v>168.3179470176166</v>
      </c>
      <c r="J4" s="9">
        <f>INDEX(V_Hisse!I$2:I$42,MATCH(LARGE(V_Hisse!$AC$2:$AC$42,ROW()-3),V_Hisse!$AC$2:$AC$42,0))</f>
        <v>219.23135961654631</v>
      </c>
      <c r="K4" s="10">
        <f>INDEX(V_Hisse!J$2:J$42,MATCH(LARGE(V_Hisse!$AC$2:$AC$42,ROW()-3),V_Hisse!$AC$2:$AC$42,0))</f>
        <v>94000</v>
      </c>
      <c r="L4" s="10">
        <f>INDEX(V_Hisse!K$2:K$42,MATCH(LARGE(V_Hisse!$AC$2:$AC$42,ROW()-3),V_Hisse!$AC$2:$AC$42,0))</f>
        <v>147938</v>
      </c>
      <c r="M4" s="8">
        <f>INDEX(V_Hisse!L$2:L$42,MATCH(LARGE(V_Hisse!$AC$2:$AC$42,ROW()-3),V_Hisse!$AC$2:$AC$42,0))</f>
        <v>0.57380851063829796</v>
      </c>
      <c r="N4" s="11">
        <f>INDEX(V_Hisse!M$2:M$42,MATCH(LARGE(V_Hisse!$AC$2:$AC$42,ROW()-3),V_Hisse!$AC$2:$AC$42,0))</f>
        <v>45691005356.239998</v>
      </c>
      <c r="O4" s="11">
        <f>INDEX(V_Hisse!N$2:N$42,MATCH(LARGE(V_Hisse!$AC$2:$AC$42,ROW()-3),V_Hisse!$AC$2:$AC$42,0))</f>
        <v>72342028929.449997</v>
      </c>
      <c r="P4" s="8">
        <f>INDEX(V_Hisse!O$2:O$42,MATCH(LARGE(V_Hisse!$AC$2:$AC$42,ROW()-3),V_Hisse!$AC$2:$AC$42,0))</f>
        <v>0.5832881847405067</v>
      </c>
      <c r="Q4" s="9">
        <f>INDEX(V_Hisse!P$2:P$42,MATCH(LARGE(V_Hisse!$AC$2:$AC$42,ROW()-3),V_Hisse!$AC$2:$AC$42,0))</f>
        <v>0.7205246068795037</v>
      </c>
      <c r="R4" s="5" t="str">
        <f>INDEX(V_Hisse!Q$2:Q$42,MATCH(LARGE(V_Hisse!$AC$2:$AC$42,ROW()-3),V_Hisse!$AC$2:$AC$42,0))</f>
        <v>Görüyor</v>
      </c>
      <c r="S4" s="8">
        <f>INDEX(V_Hisse!R$2:R$42,MATCH(LARGE(V_Hisse!$AC$2:$AC$42,ROW()-3),V_Hisse!$AC$2:$AC$42,0))</f>
        <v>0</v>
      </c>
      <c r="T4" s="8">
        <f>INDEX(V_Hisse!S$2:S$42,MATCH(LARGE(V_Hisse!$AC$2:$AC$42,ROW()-3),V_Hisse!$AC$2:$AC$42,0))</f>
        <v>9.7999999999999997E-3</v>
      </c>
      <c r="U4" s="8">
        <f>INDEX(V_Hisse!T$2:T$42,MATCH(LARGE(V_Hisse!$AC$2:$AC$42,ROW()-3),V_Hisse!$AC$2:$AC$42,0))</f>
        <v>0</v>
      </c>
      <c r="V4" s="8">
        <f>INDEX(V_Hisse!U$2:U$42,MATCH(LARGE(V_Hisse!$AC$2:$AC$42,ROW()-3),V_Hisse!$AC$2:$AC$42,0))</f>
        <v>0.80030000000000001</v>
      </c>
      <c r="W4" s="8">
        <f>INDEX(V_Hisse!V$2:V$42,MATCH(LARGE(V_Hisse!$AC$2:$AC$42,ROW()-3),V_Hisse!$AC$2:$AC$42,0))</f>
        <v>1.49E-2</v>
      </c>
      <c r="X4" s="8">
        <f>INDEX(V_Hisse!W$2:W$42,MATCH(LARGE(V_Hisse!$AC$2:$AC$42,ROW()-3),V_Hisse!$AC$2:$AC$42,0))</f>
        <v>0.17499999999999999</v>
      </c>
      <c r="Y4" s="8">
        <f>INDEX(V_Hisse!X$2:X$42,MATCH(LARGE(V_Hisse!$AC$2:$AC$42,ROW()-3),V_Hisse!$AC$2:$AC$42,0))</f>
        <v>0</v>
      </c>
      <c r="Z4" s="8">
        <f>INDEX(V_Hisse!Y$2:Y$42,MATCH(LARGE(V_Hisse!$AC$2:$AC$42,ROW()-3),V_Hisse!$AC$2:$AC$42,0))</f>
        <v>0</v>
      </c>
      <c r="AA4" s="8">
        <f>INDEX(V_Hisse!Z$2:Z$42,MATCH(LARGE(V_Hisse!$AC$2:$AC$42,ROW()-3),V_Hisse!$AC$2:$AC$42,0))</f>
        <v>0</v>
      </c>
      <c r="AB4" s="8">
        <f>INDEX(V_Hisse!AA$2:AA$42,MATCH(LARGE(V_Hisse!$AC$2:$AC$42,ROW()-3),V_Hisse!$AC$2:$AC$42,0))</f>
        <v>1</v>
      </c>
    </row>
    <row r="5" spans="1:28" x14ac:dyDescent="0.2">
      <c r="A5">
        <v>2</v>
      </c>
      <c r="B5" s="5" t="str">
        <f>INDEX(V_Hisse!A$2:A$42,MATCH(LARGE(V_Hisse!$AC$2:$AC$42,ROW()-3),V_Hisse!$AC$2:$AC$42,0))</f>
        <v>GO9</v>
      </c>
      <c r="C5" s="5" t="str">
        <f>INDEX(V_Hisse!B$2:B$42,MATCH(LARGE(V_Hisse!$AC$2:$AC$42,ROW()-3),V_Hisse!$AC$2:$AC$42,0))</f>
        <v>One Portföy Birinci Hisse Senedi Fonu (Hisse Senedi Yoğun Fon)</v>
      </c>
      <c r="D5" s="5" t="str">
        <f>INDEX(V_Hisse!C$2:C$42,MATCH(LARGE(V_Hisse!$AC$2:$AC$42,ROW()-3),V_Hisse!$AC$2:$AC$42,0))</f>
        <v>One Portföy</v>
      </c>
      <c r="E5" s="8">
        <f>INDEX(V_Hisse!D$2:D$42,MATCH(LARGE(V_Hisse!$AC$2:$AC$42,ROW()-3),V_Hisse!$AC$2:$AC$42,0))</f>
        <v>0.03</v>
      </c>
      <c r="F5" s="9">
        <f>INDEX(V_Hisse!E$2:E$42,MATCH(LARGE(V_Hisse!$AC$2:$AC$42,ROW()-3),V_Hisse!$AC$2:$AC$42,0))</f>
        <v>-0.13050304697044271</v>
      </c>
      <c r="G5" s="9">
        <f>INDEX(V_Hisse!F$2:F$42,MATCH(LARGE(V_Hisse!$AC$2:$AC$42,ROW()-3),V_Hisse!$AC$2:$AC$42,0))</f>
        <v>2.4613878317029552</v>
      </c>
      <c r="H5" s="9">
        <f>INDEX(V_Hisse!G$2:G$42,MATCH(LARGE(V_Hisse!$AC$2:$AC$42,ROW()-3),V_Hisse!$AC$2:$AC$42,0))</f>
        <v>9.6539476047571746</v>
      </c>
      <c r="I5" s="9">
        <f>INDEX(V_Hisse!H$2:H$42,MATCH(LARGE(V_Hisse!$AC$2:$AC$42,ROW()-3),V_Hisse!$AC$2:$AC$42,0))</f>
        <v>44.805572419762953</v>
      </c>
      <c r="J5" s="9">
        <f>INDEX(V_Hisse!I$2:I$42,MATCH(LARGE(V_Hisse!$AC$2:$AC$42,ROW()-3),V_Hisse!$AC$2:$AC$42,0))</f>
        <v>72.972768195391538</v>
      </c>
      <c r="K5" s="10">
        <f>INDEX(V_Hisse!J$2:J$42,MATCH(LARGE(V_Hisse!$AC$2:$AC$42,ROW()-3),V_Hisse!$AC$2:$AC$42,0))</f>
        <v>1875</v>
      </c>
      <c r="L5" s="10">
        <f>INDEX(V_Hisse!K$2:K$42,MATCH(LARGE(V_Hisse!$AC$2:$AC$42,ROW()-3),V_Hisse!$AC$2:$AC$42,0))</f>
        <v>1718</v>
      </c>
      <c r="M5" s="8">
        <f>INDEX(V_Hisse!L$2:L$42,MATCH(LARGE(V_Hisse!$AC$2:$AC$42,ROW()-3),V_Hisse!$AC$2:$AC$42,0))</f>
        <v>-8.3733333333333326E-2</v>
      </c>
      <c r="N5" s="11">
        <f>INDEX(V_Hisse!M$2:M$42,MATCH(LARGE(V_Hisse!$AC$2:$AC$42,ROW()-3),V_Hisse!$AC$2:$AC$42,0))</f>
        <v>424001481.87</v>
      </c>
      <c r="O5" s="11">
        <f>INDEX(V_Hisse!N$2:N$42,MATCH(LARGE(V_Hisse!$AC$2:$AC$42,ROW()-3),V_Hisse!$AC$2:$AC$42,0))</f>
        <v>466179692.58999997</v>
      </c>
      <c r="P5" s="8">
        <f>INDEX(V_Hisse!O$2:O$42,MATCH(LARGE(V_Hisse!$AC$2:$AC$42,ROW()-3),V_Hisse!$AC$2:$AC$42,0))</f>
        <v>9.9476564407225077E-2</v>
      </c>
      <c r="Q5" s="9">
        <f>INDEX(V_Hisse!P$2:P$42,MATCH(LARGE(V_Hisse!$AC$2:$AC$42,ROW()-3),V_Hisse!$AC$2:$AC$42,0))</f>
        <v>1.318228363726367</v>
      </c>
      <c r="R5" s="5" t="str">
        <f>INDEX(V_Hisse!Q$2:Q$42,MATCH(LARGE(V_Hisse!$AC$2:$AC$42,ROW()-3),V_Hisse!$AC$2:$AC$42,0))</f>
        <v>Görüyor</v>
      </c>
      <c r="S5" s="8">
        <f>INDEX(V_Hisse!R$2:R$42,MATCH(LARGE(V_Hisse!$AC$2:$AC$42,ROW()-3),V_Hisse!$AC$2:$AC$42,0))</f>
        <v>0</v>
      </c>
      <c r="T5" s="8">
        <f>INDEX(V_Hisse!S$2:S$42,MATCH(LARGE(V_Hisse!$AC$2:$AC$42,ROW()-3),V_Hisse!$AC$2:$AC$42,0))</f>
        <v>0</v>
      </c>
      <c r="U5" s="8">
        <f>INDEX(V_Hisse!T$2:T$42,MATCH(LARGE(V_Hisse!$AC$2:$AC$42,ROW()-3),V_Hisse!$AC$2:$AC$42,0))</f>
        <v>0</v>
      </c>
      <c r="V5" s="8">
        <f>INDEX(V_Hisse!U$2:U$42,MATCH(LARGE(V_Hisse!$AC$2:$AC$42,ROW()-3),V_Hisse!$AC$2:$AC$42,0))</f>
        <v>0.97109999999999996</v>
      </c>
      <c r="W5" s="8">
        <f>INDEX(V_Hisse!V$2:V$42,MATCH(LARGE(V_Hisse!$AC$2:$AC$42,ROW()-3),V_Hisse!$AC$2:$AC$42,0))</f>
        <v>2.8899999999999999E-2</v>
      </c>
      <c r="X5" s="8">
        <f>INDEX(V_Hisse!W$2:W$42,MATCH(LARGE(V_Hisse!$AC$2:$AC$42,ROW()-3),V_Hisse!$AC$2:$AC$42,0))</f>
        <v>0</v>
      </c>
      <c r="Y5" s="8">
        <f>INDEX(V_Hisse!X$2:X$42,MATCH(LARGE(V_Hisse!$AC$2:$AC$42,ROW()-3),V_Hisse!$AC$2:$AC$42,0))</f>
        <v>0</v>
      </c>
      <c r="Z5" s="8">
        <f>INDEX(V_Hisse!Y$2:Y$42,MATCH(LARGE(V_Hisse!$AC$2:$AC$42,ROW()-3),V_Hisse!$AC$2:$AC$42,0))</f>
        <v>0</v>
      </c>
      <c r="AA5" s="8">
        <f>INDEX(V_Hisse!Z$2:Z$42,MATCH(LARGE(V_Hisse!$AC$2:$AC$42,ROW()-3),V_Hisse!$AC$2:$AC$42,0))</f>
        <v>0</v>
      </c>
      <c r="AB5" s="8">
        <f>INDEX(V_Hisse!AA$2:AA$42,MATCH(LARGE(V_Hisse!$AC$2:$AC$42,ROW()-3),V_Hisse!$AC$2:$AC$42,0))</f>
        <v>1</v>
      </c>
    </row>
    <row r="6" spans="1:28" x14ac:dyDescent="0.2">
      <c r="A6">
        <v>3</v>
      </c>
      <c r="B6" s="5" t="str">
        <f>INDEX(V_Hisse!A$2:A$42,MATCH(LARGE(V_Hisse!$AC$2:$AC$42,ROW()-3),V_Hisse!$AC$2:$AC$42,0))</f>
        <v>BIH</v>
      </c>
      <c r="C6" s="5" t="str">
        <f>INDEX(V_Hisse!B$2:B$42,MATCH(LARGE(V_Hisse!$AC$2:$AC$42,ROW()-3),V_Hisse!$AC$2:$AC$42,0))</f>
        <v>Pardus Portföy Birinci Hisse Senedi (TL) Fonu (Hisse Senedi Yoğun Fon)</v>
      </c>
      <c r="D6" s="5" t="str">
        <f>INDEX(V_Hisse!C$2:C$42,MATCH(LARGE(V_Hisse!$AC$2:$AC$42,ROW()-3),V_Hisse!$AC$2:$AC$42,0))</f>
        <v>Pardus Portföy</v>
      </c>
      <c r="E6" s="8">
        <f>INDEX(V_Hisse!D$2:D$42,MATCH(LARGE(V_Hisse!$AC$2:$AC$42,ROW()-3),V_Hisse!$AC$2:$AC$42,0))</f>
        <v>0.02</v>
      </c>
      <c r="F6" s="9">
        <f>INDEX(V_Hisse!E$2:E$42,MATCH(LARGE(V_Hisse!$AC$2:$AC$42,ROW()-3),V_Hisse!$AC$2:$AC$42,0))</f>
        <v>-7.8076558962125731E-2</v>
      </c>
      <c r="G6" s="9">
        <f>INDEX(V_Hisse!F$2:F$42,MATCH(LARGE(V_Hisse!$AC$2:$AC$42,ROW()-3),V_Hisse!$AC$2:$AC$42,0))</f>
        <v>1.741520555333431</v>
      </c>
      <c r="H6" s="9">
        <f>INDEX(V_Hisse!G$2:G$42,MATCH(LARGE(V_Hisse!$AC$2:$AC$42,ROW()-3),V_Hisse!$AC$2:$AC$42,0))</f>
        <v>5.2315655551056661</v>
      </c>
      <c r="I6" s="9">
        <f>INDEX(V_Hisse!H$2:H$42,MATCH(LARGE(V_Hisse!$AC$2:$AC$42,ROW()-3),V_Hisse!$AC$2:$AC$42,0))</f>
        <v>27.107944703394239</v>
      </c>
      <c r="J6" s="9">
        <f>INDEX(V_Hisse!I$2:I$42,MATCH(LARGE(V_Hisse!$AC$2:$AC$42,ROW()-3),V_Hisse!$AC$2:$AC$42,0))</f>
        <v>91.672427896541663</v>
      </c>
      <c r="K6" s="10">
        <f>INDEX(V_Hisse!J$2:J$42,MATCH(LARGE(V_Hisse!$AC$2:$AC$42,ROW()-3),V_Hisse!$AC$2:$AC$42,0))</f>
        <v>499</v>
      </c>
      <c r="L6" s="10">
        <f>INDEX(V_Hisse!K$2:K$42,MATCH(LARGE(V_Hisse!$AC$2:$AC$42,ROW()-3),V_Hisse!$AC$2:$AC$42,0))</f>
        <v>544</v>
      </c>
      <c r="M6" s="8">
        <f>INDEX(V_Hisse!L$2:L$42,MATCH(LARGE(V_Hisse!$AC$2:$AC$42,ROW()-3),V_Hisse!$AC$2:$AC$42,0))</f>
        <v>9.0180360721442865E-2</v>
      </c>
      <c r="N6" s="11">
        <f>INDEX(V_Hisse!M$2:M$42,MATCH(LARGE(V_Hisse!$AC$2:$AC$42,ROW()-3),V_Hisse!$AC$2:$AC$42,0))</f>
        <v>762826610.69000006</v>
      </c>
      <c r="O6" s="11">
        <f>INDEX(V_Hisse!N$2:N$42,MATCH(LARGE(V_Hisse!$AC$2:$AC$42,ROW()-3),V_Hisse!$AC$2:$AC$42,0))</f>
        <v>803044509.15999997</v>
      </c>
      <c r="P6" s="8">
        <f>INDEX(V_Hisse!O$2:O$42,MATCH(LARGE(V_Hisse!$AC$2:$AC$42,ROW()-3),V_Hisse!$AC$2:$AC$42,0))</f>
        <v>5.2722201751223219E-2</v>
      </c>
      <c r="Q6" s="9">
        <f>INDEX(V_Hisse!P$2:P$42,MATCH(LARGE(V_Hisse!$AC$2:$AC$42,ROW()-3),V_Hisse!$AC$2:$AC$42,0))</f>
        <v>0.39143251143470448</v>
      </c>
      <c r="R6" s="5" t="str">
        <f>INDEX(V_Hisse!Q$2:Q$42,MATCH(LARGE(V_Hisse!$AC$2:$AC$42,ROW()-3),V_Hisse!$AC$2:$AC$42,0))</f>
        <v>Görüyor</v>
      </c>
      <c r="S6" s="8">
        <f>INDEX(V_Hisse!R$2:R$42,MATCH(LARGE(V_Hisse!$AC$2:$AC$42,ROW()-3),V_Hisse!$AC$2:$AC$42,0))</f>
        <v>5.9999999999999995E-4</v>
      </c>
      <c r="T6" s="8">
        <f>INDEX(V_Hisse!S$2:S$42,MATCH(LARGE(V_Hisse!$AC$2:$AC$42,ROW()-3),V_Hisse!$AC$2:$AC$42,0))</f>
        <v>6.9699999999999998E-2</v>
      </c>
      <c r="U6" s="8">
        <f>INDEX(V_Hisse!T$2:T$42,MATCH(LARGE(V_Hisse!$AC$2:$AC$42,ROW()-3),V_Hisse!$AC$2:$AC$42,0))</f>
        <v>0</v>
      </c>
      <c r="V6" s="8">
        <f>INDEX(V_Hisse!U$2:U$42,MATCH(LARGE(V_Hisse!$AC$2:$AC$42,ROW()-3),V_Hisse!$AC$2:$AC$42,0))</f>
        <v>0.83109999999999995</v>
      </c>
      <c r="W6" s="8">
        <f>INDEX(V_Hisse!V$2:V$42,MATCH(LARGE(V_Hisse!$AC$2:$AC$42,ROW()-3),V_Hisse!$AC$2:$AC$42,0))</f>
        <v>0</v>
      </c>
      <c r="X6" s="8">
        <f>INDEX(V_Hisse!W$2:W$42,MATCH(LARGE(V_Hisse!$AC$2:$AC$42,ROW()-3),V_Hisse!$AC$2:$AC$42,0))</f>
        <v>9.8599999999999993E-2</v>
      </c>
      <c r="Y6" s="8">
        <f>INDEX(V_Hisse!X$2:X$42,MATCH(LARGE(V_Hisse!$AC$2:$AC$42,ROW()-3),V_Hisse!$AC$2:$AC$42,0))</f>
        <v>0</v>
      </c>
      <c r="Z6" s="8">
        <f>INDEX(V_Hisse!Y$2:Y$42,MATCH(LARGE(V_Hisse!$AC$2:$AC$42,ROW()-3),V_Hisse!$AC$2:$AC$42,0))</f>
        <v>0</v>
      </c>
      <c r="AA6" s="8">
        <f>INDEX(V_Hisse!Z$2:Z$42,MATCH(LARGE(V_Hisse!$AC$2:$AC$42,ROW()-3),V_Hisse!$AC$2:$AC$42,0))</f>
        <v>0</v>
      </c>
      <c r="AB6" s="8">
        <f>INDEX(V_Hisse!AA$2:AA$42,MATCH(LARGE(V_Hisse!$AC$2:$AC$42,ROW()-3),V_Hisse!$AC$2:$AC$42,0))</f>
        <v>0.99999999999999989</v>
      </c>
    </row>
    <row r="7" spans="1:28" x14ac:dyDescent="0.2">
      <c r="A7">
        <v>4</v>
      </c>
      <c r="B7" s="5" t="str">
        <f>INDEX(V_Hisse!A$2:A$42,MATCH(LARGE(V_Hisse!$AC$2:$AC$42,ROW()-3),V_Hisse!$AC$2:$AC$42,0))</f>
        <v>BHA</v>
      </c>
      <c r="C7" s="5" t="str">
        <f>INDEX(V_Hisse!B$2:B$42,MATCH(LARGE(V_Hisse!$AC$2:$AC$42,ROW()-3),V_Hisse!$AC$2:$AC$42,0))</f>
        <v>Bulls Portföy Hisse Senedi (TL) Fonu (Hisse Senedi Yoğun Fon)</v>
      </c>
      <c r="D7" s="5" t="str">
        <f>INDEX(V_Hisse!C$2:C$42,MATCH(LARGE(V_Hisse!$AC$2:$AC$42,ROW()-3),V_Hisse!$AC$2:$AC$42,0))</f>
        <v>Bulls Portföy</v>
      </c>
      <c r="E7" s="8">
        <f>INDEX(V_Hisse!D$2:D$42,MATCH(LARGE(V_Hisse!$AC$2:$AC$42,ROW()-3),V_Hisse!$AC$2:$AC$42,0))</f>
        <v>2.75E-2</v>
      </c>
      <c r="F7" s="9">
        <f>INDEX(V_Hisse!E$2:E$42,MATCH(LARGE(V_Hisse!$AC$2:$AC$42,ROW()-3),V_Hisse!$AC$2:$AC$42,0))</f>
        <v>-0.74278373425389344</v>
      </c>
      <c r="G7" s="9">
        <f>INDEX(V_Hisse!F$2:F$42,MATCH(LARGE(V_Hisse!$AC$2:$AC$42,ROW()-3),V_Hisse!$AC$2:$AC$42,0))</f>
        <v>1.0697985262372309</v>
      </c>
      <c r="H7" s="9">
        <f>INDEX(V_Hisse!G$2:G$42,MATCH(LARGE(V_Hisse!$AC$2:$AC$42,ROW()-3),V_Hisse!$AC$2:$AC$42,0))</f>
        <v>5.6726440685656474</v>
      </c>
      <c r="I7" s="9">
        <f>INDEX(V_Hisse!H$2:H$42,MATCH(LARGE(V_Hisse!$AC$2:$AC$42,ROW()-3),V_Hisse!$AC$2:$AC$42,0))</f>
        <v>34.69609991308171</v>
      </c>
      <c r="J7" s="9">
        <f>INDEX(V_Hisse!I$2:I$42,MATCH(LARGE(V_Hisse!$AC$2:$AC$42,ROW()-3),V_Hisse!$AC$2:$AC$42,0))</f>
        <v>47.167096359526539</v>
      </c>
      <c r="K7" s="10">
        <f>INDEX(V_Hisse!J$2:J$42,MATCH(LARGE(V_Hisse!$AC$2:$AC$42,ROW()-3),V_Hisse!$AC$2:$AC$42,0))</f>
        <v>752</v>
      </c>
      <c r="L7" s="10">
        <f>INDEX(V_Hisse!K$2:K$42,MATCH(LARGE(V_Hisse!$AC$2:$AC$42,ROW()-3),V_Hisse!$AC$2:$AC$42,0))</f>
        <v>708</v>
      </c>
      <c r="M7" s="8">
        <f>INDEX(V_Hisse!L$2:L$42,MATCH(LARGE(V_Hisse!$AC$2:$AC$42,ROW()-3),V_Hisse!$AC$2:$AC$42,0))</f>
        <v>-5.8510638297872293E-2</v>
      </c>
      <c r="N7" s="11">
        <f>INDEX(V_Hisse!M$2:M$42,MATCH(LARGE(V_Hisse!$AC$2:$AC$42,ROW()-3),V_Hisse!$AC$2:$AC$42,0))</f>
        <v>70231295.019999996</v>
      </c>
      <c r="O7" s="11">
        <f>INDEX(V_Hisse!N$2:N$42,MATCH(LARGE(V_Hisse!$AC$2:$AC$42,ROW()-3),V_Hisse!$AC$2:$AC$42,0))</f>
        <v>86585097.079999998</v>
      </c>
      <c r="P7" s="8">
        <f>INDEX(V_Hisse!O$2:O$42,MATCH(LARGE(V_Hisse!$AC$2:$AC$42,ROW()-3),V_Hisse!$AC$2:$AC$42,0))</f>
        <v>0.23285633641445561</v>
      </c>
      <c r="Q7" s="9">
        <f>INDEX(V_Hisse!P$2:P$42,MATCH(LARGE(V_Hisse!$AC$2:$AC$42,ROW()-3),V_Hisse!$AC$2:$AC$42,0))</f>
        <v>1.409357897336512</v>
      </c>
      <c r="R7" s="5" t="str">
        <f>INDEX(V_Hisse!Q$2:Q$42,MATCH(LARGE(V_Hisse!$AC$2:$AC$42,ROW()-3),V_Hisse!$AC$2:$AC$42,0))</f>
        <v>Görüyor</v>
      </c>
      <c r="S7" s="8">
        <f>INDEX(V_Hisse!R$2:R$42,MATCH(LARGE(V_Hisse!$AC$2:$AC$42,ROW()-3),V_Hisse!$AC$2:$AC$42,0))</f>
        <v>0</v>
      </c>
      <c r="T7" s="8">
        <f>INDEX(V_Hisse!S$2:S$42,MATCH(LARGE(V_Hisse!$AC$2:$AC$42,ROW()-3),V_Hisse!$AC$2:$AC$42,0))</f>
        <v>3.9E-2</v>
      </c>
      <c r="U7" s="8">
        <f>INDEX(V_Hisse!T$2:T$42,MATCH(LARGE(V_Hisse!$AC$2:$AC$42,ROW()-3),V_Hisse!$AC$2:$AC$42,0))</f>
        <v>0</v>
      </c>
      <c r="V7" s="8">
        <f>INDEX(V_Hisse!U$2:U$42,MATCH(LARGE(V_Hisse!$AC$2:$AC$42,ROW()-3),V_Hisse!$AC$2:$AC$42,0))</f>
        <v>0.83050000000000002</v>
      </c>
      <c r="W7" s="8">
        <f>INDEX(V_Hisse!V$2:V$42,MATCH(LARGE(V_Hisse!$AC$2:$AC$42,ROW()-3),V_Hisse!$AC$2:$AC$42,0))</f>
        <v>9.2699999999999991E-2</v>
      </c>
      <c r="X7" s="8">
        <f>INDEX(V_Hisse!W$2:W$42,MATCH(LARGE(V_Hisse!$AC$2:$AC$42,ROW()-3),V_Hisse!$AC$2:$AC$42,0))</f>
        <v>3.78E-2</v>
      </c>
      <c r="Y7" s="8">
        <f>INDEX(V_Hisse!X$2:X$42,MATCH(LARGE(V_Hisse!$AC$2:$AC$42,ROW()-3),V_Hisse!$AC$2:$AC$42,0))</f>
        <v>0</v>
      </c>
      <c r="Z7" s="8">
        <f>INDEX(V_Hisse!Y$2:Y$42,MATCH(LARGE(V_Hisse!$AC$2:$AC$42,ROW()-3),V_Hisse!$AC$2:$AC$42,0))</f>
        <v>0</v>
      </c>
      <c r="AA7" s="8">
        <f>INDEX(V_Hisse!Z$2:Z$42,MATCH(LARGE(V_Hisse!$AC$2:$AC$42,ROW()-3),V_Hisse!$AC$2:$AC$42,0))</f>
        <v>0</v>
      </c>
      <c r="AB7" s="8">
        <f>INDEX(V_Hisse!AA$2:AA$42,MATCH(LARGE(V_Hisse!$AC$2:$AC$42,ROW()-3),V_Hisse!$AC$2:$AC$42,0))</f>
        <v>1</v>
      </c>
    </row>
    <row r="8" spans="1:28" x14ac:dyDescent="0.2">
      <c r="A8">
        <v>5</v>
      </c>
      <c r="B8" s="5" t="str">
        <f>INDEX(V_Hisse!A$2:A$42,MATCH(LARGE(V_Hisse!$AC$2:$AC$42,ROW()-3),V_Hisse!$AC$2:$AC$42,0))</f>
        <v>MTH</v>
      </c>
      <c r="C8" s="5" t="str">
        <f>INDEX(V_Hisse!B$2:B$42,MATCH(LARGE(V_Hisse!$AC$2:$AC$42,ROW()-3),V_Hisse!$AC$2:$AC$42,0))</f>
        <v>MT Portföy Birinci Hisse Senedi Fonu (Hisse Senedi Yoğun Fon)</v>
      </c>
      <c r="D8" s="5" t="str">
        <f>INDEX(V_Hisse!C$2:C$42,MATCH(LARGE(V_Hisse!$AC$2:$AC$42,ROW()-3),V_Hisse!$AC$2:$AC$42,0))</f>
        <v>MT Portföy</v>
      </c>
      <c r="E8" s="8">
        <f>INDEX(V_Hisse!D$2:D$42,MATCH(LARGE(V_Hisse!$AC$2:$AC$42,ROW()-3),V_Hisse!$AC$2:$AC$42,0))</f>
        <v>2.7300000000000001E-2</v>
      </c>
      <c r="F8" s="9">
        <f>INDEX(V_Hisse!E$2:E$42,MATCH(LARGE(V_Hisse!$AC$2:$AC$42,ROW()-3),V_Hisse!$AC$2:$AC$42,0))</f>
        <v>-0.44334956849314539</v>
      </c>
      <c r="G8" s="9">
        <f>INDEX(V_Hisse!F$2:F$42,MATCH(LARGE(V_Hisse!$AC$2:$AC$42,ROW()-3),V_Hisse!$AC$2:$AC$42,0))</f>
        <v>0.26276606720789802</v>
      </c>
      <c r="H8" s="9">
        <f>INDEX(V_Hisse!G$2:G$42,MATCH(LARGE(V_Hisse!$AC$2:$AC$42,ROW()-3),V_Hisse!$AC$2:$AC$42,0))</f>
        <v>6.8623806192138037</v>
      </c>
      <c r="I8" s="9">
        <f>INDEX(V_Hisse!H$2:H$42,MATCH(LARGE(V_Hisse!$AC$2:$AC$42,ROW()-3),V_Hisse!$AC$2:$AC$42,0))</f>
        <v>32.45130747068945</v>
      </c>
      <c r="J8" s="9">
        <f>INDEX(V_Hisse!I$2:I$42,MATCH(LARGE(V_Hisse!$AC$2:$AC$42,ROW()-3),V_Hisse!$AC$2:$AC$42,0))</f>
        <v>76.638998094745773</v>
      </c>
      <c r="K8" s="10">
        <f>INDEX(V_Hisse!J$2:J$42,MATCH(LARGE(V_Hisse!$AC$2:$AC$42,ROW()-3),V_Hisse!$AC$2:$AC$42,0))</f>
        <v>3838</v>
      </c>
      <c r="L8" s="10">
        <f>INDEX(V_Hisse!K$2:K$42,MATCH(LARGE(V_Hisse!$AC$2:$AC$42,ROW()-3),V_Hisse!$AC$2:$AC$42,0))</f>
        <v>3523</v>
      </c>
      <c r="M8" s="8">
        <f>INDEX(V_Hisse!L$2:L$42,MATCH(LARGE(V_Hisse!$AC$2:$AC$42,ROW()-3),V_Hisse!$AC$2:$AC$42,0))</f>
        <v>-8.207399687337158E-2</v>
      </c>
      <c r="N8" s="11">
        <f>INDEX(V_Hisse!M$2:M$42,MATCH(LARGE(V_Hisse!$AC$2:$AC$42,ROW()-3),V_Hisse!$AC$2:$AC$42,0))</f>
        <v>424575508.25999999</v>
      </c>
      <c r="O8" s="11">
        <f>INDEX(V_Hisse!N$2:N$42,MATCH(LARGE(V_Hisse!$AC$2:$AC$42,ROW()-3),V_Hisse!$AC$2:$AC$42,0))</f>
        <v>357469952.50999999</v>
      </c>
      <c r="P8" s="8">
        <f>INDEX(V_Hisse!O$2:O$42,MATCH(LARGE(V_Hisse!$AC$2:$AC$42,ROW()-3),V_Hisse!$AC$2:$AC$42,0))</f>
        <v>-0.15805328956682571</v>
      </c>
      <c r="Q8" s="9">
        <f>INDEX(V_Hisse!P$2:P$42,MATCH(LARGE(V_Hisse!$AC$2:$AC$42,ROW()-3),V_Hisse!$AC$2:$AC$42,0))</f>
        <v>1.3050816453546941</v>
      </c>
      <c r="R8" s="5" t="str">
        <f>INDEX(V_Hisse!Q$2:Q$42,MATCH(LARGE(V_Hisse!$AC$2:$AC$42,ROW()-3),V_Hisse!$AC$2:$AC$42,0))</f>
        <v>Görüyor</v>
      </c>
      <c r="S8" s="8">
        <f>INDEX(V_Hisse!R$2:R$42,MATCH(LARGE(V_Hisse!$AC$2:$AC$42,ROW()-3),V_Hisse!$AC$2:$AC$42,0))</f>
        <v>1.6999999999999999E-3</v>
      </c>
      <c r="T8" s="8">
        <f>INDEX(V_Hisse!S$2:S$42,MATCH(LARGE(V_Hisse!$AC$2:$AC$42,ROW()-3),V_Hisse!$AC$2:$AC$42,0))</f>
        <v>0</v>
      </c>
      <c r="U8" s="8">
        <f>INDEX(V_Hisse!T$2:T$42,MATCH(LARGE(V_Hisse!$AC$2:$AC$42,ROW()-3),V_Hisse!$AC$2:$AC$42,0))</f>
        <v>4.1700000000000001E-2</v>
      </c>
      <c r="V8" s="8">
        <f>INDEX(V_Hisse!U$2:U$42,MATCH(LARGE(V_Hisse!$AC$2:$AC$42,ROW()-3),V_Hisse!$AC$2:$AC$42,0))</f>
        <v>0.84680000000000011</v>
      </c>
      <c r="W8" s="8">
        <f>INDEX(V_Hisse!V$2:V$42,MATCH(LARGE(V_Hisse!$AC$2:$AC$42,ROW()-3),V_Hisse!$AC$2:$AC$42,0))</f>
        <v>0</v>
      </c>
      <c r="X8" s="8">
        <f>INDEX(V_Hisse!W$2:W$42,MATCH(LARGE(V_Hisse!$AC$2:$AC$42,ROW()-3),V_Hisse!$AC$2:$AC$42,0))</f>
        <v>0.1086</v>
      </c>
      <c r="Y8" s="8">
        <f>INDEX(V_Hisse!X$2:X$42,MATCH(LARGE(V_Hisse!$AC$2:$AC$42,ROW()-3),V_Hisse!$AC$2:$AC$42,0))</f>
        <v>0</v>
      </c>
      <c r="Z8" s="8">
        <f>INDEX(V_Hisse!Y$2:Y$42,MATCH(LARGE(V_Hisse!$AC$2:$AC$42,ROW()-3),V_Hisse!$AC$2:$AC$42,0))</f>
        <v>0</v>
      </c>
      <c r="AA8" s="8">
        <f>INDEX(V_Hisse!Z$2:Z$42,MATCH(LARGE(V_Hisse!$AC$2:$AC$42,ROW()-3),V_Hisse!$AC$2:$AC$42,0))</f>
        <v>0</v>
      </c>
      <c r="AB8" s="8">
        <f>INDEX(V_Hisse!AA$2:AA$42,MATCH(LARGE(V_Hisse!$AC$2:$AC$42,ROW()-3),V_Hisse!$AC$2:$AC$42,0))</f>
        <v>0.99880000000000013</v>
      </c>
    </row>
    <row r="9" spans="1:28" x14ac:dyDescent="0.2">
      <c r="A9">
        <v>6</v>
      </c>
      <c r="B9" s="5" t="str">
        <f>INDEX(V_Hisse!A$2:A$42,MATCH(LARGE(V_Hisse!$AC$2:$AC$42,ROW()-3),V_Hisse!$AC$2:$AC$42,0))</f>
        <v>NNF</v>
      </c>
      <c r="C9" s="5" t="str">
        <f>INDEX(V_Hisse!B$2:B$42,MATCH(LARGE(V_Hisse!$AC$2:$AC$42,ROW()-3),V_Hisse!$AC$2:$AC$42,0))</f>
        <v>Hedef Portföy Birinci Hisse Senedi (TL) Fonu (Hisse Senedi Yoğun Fon)</v>
      </c>
      <c r="D9" s="5" t="str">
        <f>INDEX(V_Hisse!C$2:C$42,MATCH(LARGE(V_Hisse!$AC$2:$AC$42,ROW()-3),V_Hisse!$AC$2:$AC$42,0))</f>
        <v>Hedef Portföy</v>
      </c>
      <c r="E9" s="8">
        <f>INDEX(V_Hisse!D$2:D$42,MATCH(LARGE(V_Hisse!$AC$2:$AC$42,ROW()-3),V_Hisse!$AC$2:$AC$42,0))</f>
        <v>2.7E-2</v>
      </c>
      <c r="F9" s="9">
        <f>INDEX(V_Hisse!E$2:E$42,MATCH(LARGE(V_Hisse!$AC$2:$AC$42,ROW()-3),V_Hisse!$AC$2:$AC$42,0))</f>
        <v>0.1095349119596634</v>
      </c>
      <c r="G9" s="9">
        <f>INDEX(V_Hisse!F$2:F$42,MATCH(LARGE(V_Hisse!$AC$2:$AC$42,ROW()-3),V_Hisse!$AC$2:$AC$42,0))</f>
        <v>-0.49356793424004669</v>
      </c>
      <c r="H9" s="9">
        <f>INDEX(V_Hisse!G$2:G$42,MATCH(LARGE(V_Hisse!$AC$2:$AC$42,ROW()-3),V_Hisse!$AC$2:$AC$42,0))</f>
        <v>4.1824613890024454</v>
      </c>
      <c r="I9" s="9">
        <f>INDEX(V_Hisse!H$2:H$42,MATCH(LARGE(V_Hisse!$AC$2:$AC$42,ROW()-3),V_Hisse!$AC$2:$AC$42,0))</f>
        <v>14.27641762686036</v>
      </c>
      <c r="J9" s="9">
        <f>INDEX(V_Hisse!I$2:I$42,MATCH(LARGE(V_Hisse!$AC$2:$AC$42,ROW()-3),V_Hisse!$AC$2:$AC$42,0))</f>
        <v>16.057098228144469</v>
      </c>
      <c r="K9" s="10">
        <f>INDEX(V_Hisse!J$2:J$42,MATCH(LARGE(V_Hisse!$AC$2:$AC$42,ROW()-3),V_Hisse!$AC$2:$AC$42,0))</f>
        <v>20970</v>
      </c>
      <c r="L9" s="10">
        <f>INDEX(V_Hisse!K$2:K$42,MATCH(LARGE(V_Hisse!$AC$2:$AC$42,ROW()-3),V_Hisse!$AC$2:$AC$42,0))</f>
        <v>20039</v>
      </c>
      <c r="M9" s="8">
        <f>INDEX(V_Hisse!L$2:L$42,MATCH(LARGE(V_Hisse!$AC$2:$AC$42,ROW()-3),V_Hisse!$AC$2:$AC$42,0))</f>
        <v>-4.4396757272293752E-2</v>
      </c>
      <c r="N9" s="11">
        <f>INDEX(V_Hisse!M$2:M$42,MATCH(LARGE(V_Hisse!$AC$2:$AC$42,ROW()-3),V_Hisse!$AC$2:$AC$42,0))</f>
        <v>2799684238.3600001</v>
      </c>
      <c r="O9" s="11">
        <f>INDEX(V_Hisse!N$2:N$42,MATCH(LARGE(V_Hisse!$AC$2:$AC$42,ROW()-3),V_Hisse!$AC$2:$AC$42,0))</f>
        <v>2716350134.5799999</v>
      </c>
      <c r="P9" s="8">
        <f>INDEX(V_Hisse!O$2:O$42,MATCH(LARGE(V_Hisse!$AC$2:$AC$42,ROW()-3),V_Hisse!$AC$2:$AC$42,0))</f>
        <v>-2.976553664095194E-2</v>
      </c>
      <c r="Q9" s="9">
        <f>INDEX(V_Hisse!P$2:P$42,MATCH(LARGE(V_Hisse!$AC$2:$AC$42,ROW()-3),V_Hisse!$AC$2:$AC$42,0))</f>
        <v>1.1465689235376939</v>
      </c>
      <c r="R9" s="5" t="str">
        <f>INDEX(V_Hisse!Q$2:Q$42,MATCH(LARGE(V_Hisse!$AC$2:$AC$42,ROW()-3),V_Hisse!$AC$2:$AC$42,0))</f>
        <v>Görüyor</v>
      </c>
      <c r="S9" s="8">
        <f>INDEX(V_Hisse!R$2:R$42,MATCH(LARGE(V_Hisse!$AC$2:$AC$42,ROW()-3),V_Hisse!$AC$2:$AC$42,0))</f>
        <v>0</v>
      </c>
      <c r="T9" s="8">
        <f>INDEX(V_Hisse!S$2:S$42,MATCH(LARGE(V_Hisse!$AC$2:$AC$42,ROW()-3),V_Hisse!$AC$2:$AC$42,0))</f>
        <v>0</v>
      </c>
      <c r="U9" s="8">
        <f>INDEX(V_Hisse!T$2:T$42,MATCH(LARGE(V_Hisse!$AC$2:$AC$42,ROW()-3),V_Hisse!$AC$2:$AC$42,0))</f>
        <v>0</v>
      </c>
      <c r="V9" s="8">
        <f>INDEX(V_Hisse!U$2:U$42,MATCH(LARGE(V_Hisse!$AC$2:$AC$42,ROW()-3),V_Hisse!$AC$2:$AC$42,0))</f>
        <v>0.98530000000000006</v>
      </c>
      <c r="W9" s="8">
        <f>INDEX(V_Hisse!V$2:V$42,MATCH(LARGE(V_Hisse!$AC$2:$AC$42,ROW()-3),V_Hisse!$AC$2:$AC$42,0))</f>
        <v>0</v>
      </c>
      <c r="X9" s="8">
        <f>INDEX(V_Hisse!W$2:W$42,MATCH(LARGE(V_Hisse!$AC$2:$AC$42,ROW()-3),V_Hisse!$AC$2:$AC$42,0))</f>
        <v>1.47E-2</v>
      </c>
      <c r="Y9" s="8">
        <f>INDEX(V_Hisse!X$2:X$42,MATCH(LARGE(V_Hisse!$AC$2:$AC$42,ROW()-3),V_Hisse!$AC$2:$AC$42,0))</f>
        <v>0</v>
      </c>
      <c r="Z9" s="8">
        <f>INDEX(V_Hisse!Y$2:Y$42,MATCH(LARGE(V_Hisse!$AC$2:$AC$42,ROW()-3),V_Hisse!$AC$2:$AC$42,0))</f>
        <v>0</v>
      </c>
      <c r="AA9" s="8">
        <f>INDEX(V_Hisse!Z$2:Z$42,MATCH(LARGE(V_Hisse!$AC$2:$AC$42,ROW()-3),V_Hisse!$AC$2:$AC$42,0))</f>
        <v>0</v>
      </c>
      <c r="AB9" s="8">
        <f>INDEX(V_Hisse!AA$2:AA$42,MATCH(LARGE(V_Hisse!$AC$2:$AC$42,ROW()-3),V_Hisse!$AC$2:$AC$42,0))</f>
        <v>1</v>
      </c>
    </row>
    <row r="10" spans="1:28" x14ac:dyDescent="0.2">
      <c r="A10">
        <v>7</v>
      </c>
      <c r="B10" s="5" t="str">
        <f>INDEX(V_Hisse!A$2:A$42,MATCH(LARGE(V_Hisse!$AC$2:$AC$42,ROW()-3),V_Hisse!$AC$2:$AC$42,0))</f>
        <v>OPH</v>
      </c>
      <c r="C10" s="5" t="str">
        <f>INDEX(V_Hisse!B$2:B$42,MATCH(LARGE(V_Hisse!$AC$2:$AC$42,ROW()-3),V_Hisse!$AC$2:$AC$42,0))</f>
        <v>Osmanlı Portföy Birinci Hisse Senedi Fonu(hisse Senedi Yoğun Fon)</v>
      </c>
      <c r="D10" s="5" t="str">
        <f>INDEX(V_Hisse!C$2:C$42,MATCH(LARGE(V_Hisse!$AC$2:$AC$42,ROW()-3),V_Hisse!$AC$2:$AC$42,0))</f>
        <v>Osmanlı Portföy</v>
      </c>
      <c r="E10" s="8">
        <f>INDEX(V_Hisse!D$2:D$42,MATCH(LARGE(V_Hisse!$AC$2:$AC$42,ROW()-3),V_Hisse!$AC$2:$AC$42,0))</f>
        <v>2.5999999999999999E-2</v>
      </c>
      <c r="F10" s="9">
        <f>INDEX(V_Hisse!E$2:E$42,MATCH(LARGE(V_Hisse!$AC$2:$AC$42,ROW()-3),V_Hisse!$AC$2:$AC$42,0))</f>
        <v>-0.91096220331146061</v>
      </c>
      <c r="G10" s="9">
        <f>INDEX(V_Hisse!F$2:F$42,MATCH(LARGE(V_Hisse!$AC$2:$AC$42,ROW()-3),V_Hisse!$AC$2:$AC$42,0))</f>
        <v>-0.54672867226880362</v>
      </c>
      <c r="H10" s="9">
        <f>INDEX(V_Hisse!G$2:G$42,MATCH(LARGE(V_Hisse!$AC$2:$AC$42,ROW()-3),V_Hisse!$AC$2:$AC$42,0))</f>
        <v>0.36583600355362123</v>
      </c>
      <c r="I10" s="9">
        <f>INDEX(V_Hisse!H$2:H$42,MATCH(LARGE(V_Hisse!$AC$2:$AC$42,ROW()-3),V_Hisse!$AC$2:$AC$42,0))</f>
        <v>23.271453891234732</v>
      </c>
      <c r="J10" s="9">
        <f>INDEX(V_Hisse!I$2:I$42,MATCH(LARGE(V_Hisse!$AC$2:$AC$42,ROW()-3),V_Hisse!$AC$2:$AC$42,0))</f>
        <v>33.3780671114583</v>
      </c>
      <c r="K10" s="10">
        <f>INDEX(V_Hisse!J$2:J$42,MATCH(LARGE(V_Hisse!$AC$2:$AC$42,ROW()-3),V_Hisse!$AC$2:$AC$42,0))</f>
        <v>2667</v>
      </c>
      <c r="L10" s="10">
        <f>INDEX(V_Hisse!K$2:K$42,MATCH(LARGE(V_Hisse!$AC$2:$AC$42,ROW()-3),V_Hisse!$AC$2:$AC$42,0))</f>
        <v>2578</v>
      </c>
      <c r="M10" s="8">
        <f>INDEX(V_Hisse!L$2:L$42,MATCH(LARGE(V_Hisse!$AC$2:$AC$42,ROW()-3),V_Hisse!$AC$2:$AC$42,0))</f>
        <v>-3.3370828646419159E-2</v>
      </c>
      <c r="N10" s="11">
        <f>INDEX(V_Hisse!M$2:M$42,MATCH(LARGE(V_Hisse!$AC$2:$AC$42,ROW()-3),V_Hisse!$AC$2:$AC$42,0))</f>
        <v>909744765.47000003</v>
      </c>
      <c r="O10" s="11">
        <f>INDEX(V_Hisse!N$2:N$42,MATCH(LARGE(V_Hisse!$AC$2:$AC$42,ROW()-3),V_Hisse!$AC$2:$AC$42,0))</f>
        <v>918237118.5</v>
      </c>
      <c r="P10" s="8">
        <f>INDEX(V_Hisse!O$2:O$42,MATCH(LARGE(V_Hisse!$AC$2:$AC$42,ROW()-3),V_Hisse!$AC$2:$AC$42,0))</f>
        <v>9.3348742991805622E-3</v>
      </c>
      <c r="Q10" s="9">
        <f>INDEX(V_Hisse!P$2:P$42,MATCH(LARGE(V_Hisse!$AC$2:$AC$42,ROW()-3),V_Hisse!$AC$2:$AC$42,0))</f>
        <v>1.089914394070111</v>
      </c>
      <c r="R10" s="5" t="str">
        <f>INDEX(V_Hisse!Q$2:Q$42,MATCH(LARGE(V_Hisse!$AC$2:$AC$42,ROW()-3),V_Hisse!$AC$2:$AC$42,0))</f>
        <v>Görüyor</v>
      </c>
      <c r="S10" s="8">
        <f>INDEX(V_Hisse!R$2:R$42,MATCH(LARGE(V_Hisse!$AC$2:$AC$42,ROW()-3),V_Hisse!$AC$2:$AC$42,0))</f>
        <v>0</v>
      </c>
      <c r="T10" s="8">
        <f>INDEX(V_Hisse!S$2:S$42,MATCH(LARGE(V_Hisse!$AC$2:$AC$42,ROW()-3),V_Hisse!$AC$2:$AC$42,0))</f>
        <v>1E-4</v>
      </c>
      <c r="U10" s="8">
        <f>INDEX(V_Hisse!T$2:T$42,MATCH(LARGE(V_Hisse!$AC$2:$AC$42,ROW()-3),V_Hisse!$AC$2:$AC$42,0))</f>
        <v>0</v>
      </c>
      <c r="V10" s="8">
        <f>INDEX(V_Hisse!U$2:U$42,MATCH(LARGE(V_Hisse!$AC$2:$AC$42,ROW()-3),V_Hisse!$AC$2:$AC$42,0))</f>
        <v>0.99309999999999998</v>
      </c>
      <c r="W10" s="8">
        <f>INDEX(V_Hisse!V$2:V$42,MATCH(LARGE(V_Hisse!$AC$2:$AC$42,ROW()-3),V_Hisse!$AC$2:$AC$42,0))</f>
        <v>6.4000000000000003E-3</v>
      </c>
      <c r="X10" s="8">
        <f>INDEX(V_Hisse!W$2:W$42,MATCH(LARGE(V_Hisse!$AC$2:$AC$42,ROW()-3),V_Hisse!$AC$2:$AC$42,0))</f>
        <v>0</v>
      </c>
      <c r="Y10" s="8">
        <f>INDEX(V_Hisse!X$2:X$42,MATCH(LARGE(V_Hisse!$AC$2:$AC$42,ROW()-3),V_Hisse!$AC$2:$AC$42,0))</f>
        <v>0</v>
      </c>
      <c r="Z10" s="8">
        <f>INDEX(V_Hisse!Y$2:Y$42,MATCH(LARGE(V_Hisse!$AC$2:$AC$42,ROW()-3),V_Hisse!$AC$2:$AC$42,0))</f>
        <v>0</v>
      </c>
      <c r="AA10" s="8">
        <f>INDEX(V_Hisse!Z$2:Z$42,MATCH(LARGE(V_Hisse!$AC$2:$AC$42,ROW()-3),V_Hisse!$AC$2:$AC$42,0))</f>
        <v>0</v>
      </c>
      <c r="AB10" s="8">
        <f>INDEX(V_Hisse!AA$2:AA$42,MATCH(LARGE(V_Hisse!$AC$2:$AC$42,ROW()-3),V_Hisse!$AC$2:$AC$42,0))</f>
        <v>0.99959999999999993</v>
      </c>
    </row>
    <row r="11" spans="1:28" x14ac:dyDescent="0.2">
      <c r="A11">
        <v>8</v>
      </c>
      <c r="B11" s="5" t="str">
        <f>INDEX(V_Hisse!A$2:A$42,MATCH(LARGE(V_Hisse!$AC$2:$AC$42,ROW()-3),V_Hisse!$AC$2:$AC$42,0))</f>
        <v>BV1</v>
      </c>
      <c r="C11" s="5" t="str">
        <f>INDEX(V_Hisse!B$2:B$42,MATCH(LARGE(V_Hisse!$AC$2:$AC$42,ROW()-3),V_Hisse!$AC$2:$AC$42,0))</f>
        <v>BV Portföy Birinci Hisse Senedi (TL) Fon (Hisse Senedi Yoğun Fon)</v>
      </c>
      <c r="D11" s="5" t="str">
        <f>INDEX(V_Hisse!C$2:C$42,MATCH(LARGE(V_Hisse!$AC$2:$AC$42,ROW()-3),V_Hisse!$AC$2:$AC$42,0))</f>
        <v>BV Portföy</v>
      </c>
      <c r="E11" s="8">
        <f>INDEX(V_Hisse!D$2:D$42,MATCH(LARGE(V_Hisse!$AC$2:$AC$42,ROW()-3),V_Hisse!$AC$2:$AC$42,0))</f>
        <v>0.02</v>
      </c>
      <c r="F11" s="9">
        <f>INDEX(V_Hisse!E$2:E$42,MATCH(LARGE(V_Hisse!$AC$2:$AC$42,ROW()-3),V_Hisse!$AC$2:$AC$42,0))</f>
        <v>-0.9602731961110833</v>
      </c>
      <c r="G11" s="9">
        <f>INDEX(V_Hisse!F$2:F$42,MATCH(LARGE(V_Hisse!$AC$2:$AC$42,ROW()-3),V_Hisse!$AC$2:$AC$42,0))</f>
        <v>-0.7874180419812582</v>
      </c>
      <c r="H11" s="9">
        <f>INDEX(V_Hisse!G$2:G$42,MATCH(LARGE(V_Hisse!$AC$2:$AC$42,ROW()-3),V_Hisse!$AC$2:$AC$42,0))</f>
        <v>2.3061269301045462</v>
      </c>
      <c r="I11" s="9">
        <f>INDEX(V_Hisse!H$2:H$42,MATCH(LARGE(V_Hisse!$AC$2:$AC$42,ROW()-3),V_Hisse!$AC$2:$AC$42,0))</f>
        <v>19.801692280967309</v>
      </c>
      <c r="J11" s="9">
        <f>INDEX(V_Hisse!I$2:I$42,MATCH(LARGE(V_Hisse!$AC$2:$AC$42,ROW()-3),V_Hisse!$AC$2:$AC$42,0))</f>
        <v>48.255893237975833</v>
      </c>
      <c r="K11" s="10">
        <f>INDEX(V_Hisse!J$2:J$42,MATCH(LARGE(V_Hisse!$AC$2:$AC$42,ROW()-3),V_Hisse!$AC$2:$AC$42,0))</f>
        <v>634</v>
      </c>
      <c r="L11" s="10">
        <f>INDEX(V_Hisse!K$2:K$42,MATCH(LARGE(V_Hisse!$AC$2:$AC$42,ROW()-3),V_Hisse!$AC$2:$AC$42,0))</f>
        <v>526</v>
      </c>
      <c r="M11" s="8">
        <f>INDEX(V_Hisse!L$2:L$42,MATCH(LARGE(V_Hisse!$AC$2:$AC$42,ROW()-3),V_Hisse!$AC$2:$AC$42,0))</f>
        <v>-0.17034700315457421</v>
      </c>
      <c r="N11" s="11">
        <f>INDEX(V_Hisse!M$2:M$42,MATCH(LARGE(V_Hisse!$AC$2:$AC$42,ROW()-3),V_Hisse!$AC$2:$AC$42,0))</f>
        <v>128697461.83</v>
      </c>
      <c r="O11" s="11">
        <f>INDEX(V_Hisse!N$2:N$42,MATCH(LARGE(V_Hisse!$AC$2:$AC$42,ROW()-3),V_Hisse!$AC$2:$AC$42,0))</f>
        <v>77787566.060000002</v>
      </c>
      <c r="P11" s="8">
        <f>INDEX(V_Hisse!O$2:O$42,MATCH(LARGE(V_Hisse!$AC$2:$AC$42,ROW()-3),V_Hisse!$AC$2:$AC$42,0))</f>
        <v>-0.39557808713623488</v>
      </c>
      <c r="Q11" s="9">
        <f>INDEX(V_Hisse!P$2:P$42,MATCH(LARGE(V_Hisse!$AC$2:$AC$42,ROW()-3),V_Hisse!$AC$2:$AC$42,0))</f>
        <v>1.442158694028014</v>
      </c>
      <c r="R11" s="5" t="str">
        <f>INDEX(V_Hisse!Q$2:Q$42,MATCH(LARGE(V_Hisse!$AC$2:$AC$42,ROW()-3),V_Hisse!$AC$2:$AC$42,0))</f>
        <v>Görüyor</v>
      </c>
      <c r="S11" s="8">
        <f>INDEX(V_Hisse!R$2:R$42,MATCH(LARGE(V_Hisse!$AC$2:$AC$42,ROW()-3),V_Hisse!$AC$2:$AC$42,0))</f>
        <v>0</v>
      </c>
      <c r="T11" s="8">
        <f>INDEX(V_Hisse!S$2:S$42,MATCH(LARGE(V_Hisse!$AC$2:$AC$42,ROW()-3),V_Hisse!$AC$2:$AC$42,0))</f>
        <v>2.9100000000000001E-2</v>
      </c>
      <c r="U11" s="8">
        <f>INDEX(V_Hisse!T$2:T$42,MATCH(LARGE(V_Hisse!$AC$2:$AC$42,ROW()-3),V_Hisse!$AC$2:$AC$42,0))</f>
        <v>0</v>
      </c>
      <c r="V11" s="8">
        <f>INDEX(V_Hisse!U$2:U$42,MATCH(LARGE(V_Hisse!$AC$2:$AC$42,ROW()-3),V_Hisse!$AC$2:$AC$42,0))</f>
        <v>0.97089999999999999</v>
      </c>
      <c r="W11" s="8">
        <f>INDEX(V_Hisse!V$2:V$42,MATCH(LARGE(V_Hisse!$AC$2:$AC$42,ROW()-3),V_Hisse!$AC$2:$AC$42,0))</f>
        <v>0</v>
      </c>
      <c r="X11" s="8">
        <f>INDEX(V_Hisse!W$2:W$42,MATCH(LARGE(V_Hisse!$AC$2:$AC$42,ROW()-3),V_Hisse!$AC$2:$AC$42,0))</f>
        <v>0</v>
      </c>
      <c r="Y11" s="8">
        <f>INDEX(V_Hisse!X$2:X$42,MATCH(LARGE(V_Hisse!$AC$2:$AC$42,ROW()-3),V_Hisse!$AC$2:$AC$42,0))</f>
        <v>0</v>
      </c>
      <c r="Z11" s="8">
        <f>INDEX(V_Hisse!Y$2:Y$42,MATCH(LARGE(V_Hisse!$AC$2:$AC$42,ROW()-3),V_Hisse!$AC$2:$AC$42,0))</f>
        <v>0</v>
      </c>
      <c r="AA11" s="8">
        <f>INDEX(V_Hisse!Z$2:Z$42,MATCH(LARGE(V_Hisse!$AC$2:$AC$42,ROW()-3),V_Hisse!$AC$2:$AC$42,0))</f>
        <v>0</v>
      </c>
      <c r="AB11" s="8">
        <f>INDEX(V_Hisse!AA$2:AA$42,MATCH(LARGE(V_Hisse!$AC$2:$AC$42,ROW()-3),V_Hisse!$AC$2:$AC$42,0))</f>
        <v>1</v>
      </c>
    </row>
    <row r="12" spans="1:28" x14ac:dyDescent="0.2">
      <c r="A12">
        <v>9</v>
      </c>
      <c r="B12" s="5" t="str">
        <f>INDEX(V_Hisse!A$2:A$42,MATCH(LARGE(V_Hisse!$AC$2:$AC$42,ROW()-3),V_Hisse!$AC$2:$AC$42,0))</f>
        <v>HVZ</v>
      </c>
      <c r="C12" s="5" t="str">
        <f>INDEX(V_Hisse!B$2:B$42,MATCH(LARGE(V_Hisse!$AC$2:$AC$42,ROW()-3),V_Hisse!$AC$2:$AC$42,0))</f>
        <v>Allbatross Portföy Birinci Hisse Senedi (TL) Fonu (Hisse Senedi Yoğun Fon)</v>
      </c>
      <c r="D12" s="5" t="str">
        <f>INDEX(V_Hisse!C$2:C$42,MATCH(LARGE(V_Hisse!$AC$2:$AC$42,ROW()-3),V_Hisse!$AC$2:$AC$42,0))</f>
        <v>Allbatross Portföy</v>
      </c>
      <c r="E12" s="8">
        <f>INDEX(V_Hisse!D$2:D$42,MATCH(LARGE(V_Hisse!$AC$2:$AC$42,ROW()-3),V_Hisse!$AC$2:$AC$42,0))</f>
        <v>2.7E-2</v>
      </c>
      <c r="F12" s="9">
        <f>INDEX(V_Hisse!E$2:E$42,MATCH(LARGE(V_Hisse!$AC$2:$AC$42,ROW()-3),V_Hisse!$AC$2:$AC$42,0))</f>
        <v>-0.78651833097937995</v>
      </c>
      <c r="G12" s="9">
        <f>INDEX(V_Hisse!F$2:F$42,MATCH(LARGE(V_Hisse!$AC$2:$AC$42,ROW()-3),V_Hisse!$AC$2:$AC$42,0))</f>
        <v>-0.79647822608998053</v>
      </c>
      <c r="H12" s="9">
        <f>INDEX(V_Hisse!G$2:G$42,MATCH(LARGE(V_Hisse!$AC$2:$AC$42,ROW()-3),V_Hisse!$AC$2:$AC$42,0))</f>
        <v>0.35101136217190471</v>
      </c>
      <c r="I12" s="9">
        <f>INDEX(V_Hisse!H$2:H$42,MATCH(LARGE(V_Hisse!$AC$2:$AC$42,ROW()-3),V_Hisse!$AC$2:$AC$42,0))</f>
        <v>12.628150506698359</v>
      </c>
      <c r="J12" s="9">
        <f>INDEX(V_Hisse!I$2:I$42,MATCH(LARGE(V_Hisse!$AC$2:$AC$42,ROW()-3),V_Hisse!$AC$2:$AC$42,0))</f>
        <v>18.807130198165819</v>
      </c>
      <c r="K12" s="10">
        <f>INDEX(V_Hisse!J$2:J$42,MATCH(LARGE(V_Hisse!$AC$2:$AC$42,ROW()-3),V_Hisse!$AC$2:$AC$42,0))</f>
        <v>1983</v>
      </c>
      <c r="L12" s="10">
        <f>INDEX(V_Hisse!K$2:K$42,MATCH(LARGE(V_Hisse!$AC$2:$AC$42,ROW()-3),V_Hisse!$AC$2:$AC$42,0))</f>
        <v>1897</v>
      </c>
      <c r="M12" s="8">
        <f>INDEX(V_Hisse!L$2:L$42,MATCH(LARGE(V_Hisse!$AC$2:$AC$42,ROW()-3),V_Hisse!$AC$2:$AC$42,0))</f>
        <v>-4.3368633383761963E-2</v>
      </c>
      <c r="N12" s="11">
        <f>INDEX(V_Hisse!M$2:M$42,MATCH(LARGE(V_Hisse!$AC$2:$AC$42,ROW()-3),V_Hisse!$AC$2:$AC$42,0))</f>
        <v>100592624.84999999</v>
      </c>
      <c r="O12" s="11">
        <f>INDEX(V_Hisse!N$2:N$42,MATCH(LARGE(V_Hisse!$AC$2:$AC$42,ROW()-3),V_Hisse!$AC$2:$AC$42,0))</f>
        <v>99425434.260000005</v>
      </c>
      <c r="P12" s="8">
        <f>INDEX(V_Hisse!O$2:O$42,MATCH(LARGE(V_Hisse!$AC$2:$AC$42,ROW()-3),V_Hisse!$AC$2:$AC$42,0))</f>
        <v>-1.1603142792430909E-2</v>
      </c>
      <c r="Q12" s="9">
        <f>INDEX(V_Hisse!P$2:P$42,MATCH(LARGE(V_Hisse!$AC$2:$AC$42,ROW()-3),V_Hisse!$AC$2:$AC$42,0))</f>
        <v>1.130885458507455</v>
      </c>
      <c r="R12" s="5" t="str">
        <f>INDEX(V_Hisse!Q$2:Q$42,MATCH(LARGE(V_Hisse!$AC$2:$AC$42,ROW()-3),V_Hisse!$AC$2:$AC$42,0))</f>
        <v>Görüyor</v>
      </c>
      <c r="S12" s="8">
        <f>INDEX(V_Hisse!R$2:R$42,MATCH(LARGE(V_Hisse!$AC$2:$AC$42,ROW()-3),V_Hisse!$AC$2:$AC$42,0))</f>
        <v>0</v>
      </c>
      <c r="T12" s="8">
        <f>INDEX(V_Hisse!S$2:S$42,MATCH(LARGE(V_Hisse!$AC$2:$AC$42,ROW()-3),V_Hisse!$AC$2:$AC$42,0))</f>
        <v>0</v>
      </c>
      <c r="U12" s="8">
        <f>INDEX(V_Hisse!T$2:T$42,MATCH(LARGE(V_Hisse!$AC$2:$AC$42,ROW()-3),V_Hisse!$AC$2:$AC$42,0))</f>
        <v>0</v>
      </c>
      <c r="V12" s="8">
        <f>INDEX(V_Hisse!U$2:U$42,MATCH(LARGE(V_Hisse!$AC$2:$AC$42,ROW()-3),V_Hisse!$AC$2:$AC$42,0))</f>
        <v>0.91110000000000002</v>
      </c>
      <c r="W12" s="8">
        <f>INDEX(V_Hisse!V$2:V$42,MATCH(LARGE(V_Hisse!$AC$2:$AC$42,ROW()-3),V_Hisse!$AC$2:$AC$42,0))</f>
        <v>0</v>
      </c>
      <c r="X12" s="8">
        <f>INDEX(V_Hisse!W$2:W$42,MATCH(LARGE(V_Hisse!$AC$2:$AC$42,ROW()-3),V_Hisse!$AC$2:$AC$42,0))</f>
        <v>8.8900000000000007E-2</v>
      </c>
      <c r="Y12" s="8">
        <f>INDEX(V_Hisse!X$2:X$42,MATCH(LARGE(V_Hisse!$AC$2:$AC$42,ROW()-3),V_Hisse!$AC$2:$AC$42,0))</f>
        <v>0</v>
      </c>
      <c r="Z12" s="8">
        <f>INDEX(V_Hisse!Y$2:Y$42,MATCH(LARGE(V_Hisse!$AC$2:$AC$42,ROW()-3),V_Hisse!$AC$2:$AC$42,0))</f>
        <v>0</v>
      </c>
      <c r="AA12" s="8">
        <f>INDEX(V_Hisse!Z$2:Z$42,MATCH(LARGE(V_Hisse!$AC$2:$AC$42,ROW()-3),V_Hisse!$AC$2:$AC$42,0))</f>
        <v>0</v>
      </c>
      <c r="AB12" s="8">
        <f>INDEX(V_Hisse!AA$2:AA$42,MATCH(LARGE(V_Hisse!$AC$2:$AC$42,ROW()-3),V_Hisse!$AC$2:$AC$42,0))</f>
        <v>1</v>
      </c>
    </row>
    <row r="13" spans="1:28" x14ac:dyDescent="0.2">
      <c r="A13">
        <v>10</v>
      </c>
      <c r="B13" s="5" t="str">
        <f>INDEX(V_Hisse!A$2:A$42,MATCH(LARGE(V_Hisse!$AC$2:$AC$42,ROW()-3),V_Hisse!$AC$2:$AC$42,0))</f>
        <v>EC2</v>
      </c>
      <c r="C13" s="5" t="str">
        <f>INDEX(V_Hisse!B$2:B$42,MATCH(LARGE(V_Hisse!$AC$2:$AC$42,ROW()-3),V_Hisse!$AC$2:$AC$42,0))</f>
        <v>Global MD Portföy Birinci Hisse Senedi Fonu(hisse Senedi Yoğun Fon)</v>
      </c>
      <c r="D13" s="5" t="str">
        <f>INDEX(V_Hisse!C$2:C$42,MATCH(LARGE(V_Hisse!$AC$2:$AC$42,ROW()-3),V_Hisse!$AC$2:$AC$42,0))</f>
        <v>Global MD Portföy</v>
      </c>
      <c r="E13" s="8">
        <f>INDEX(V_Hisse!D$2:D$42,MATCH(LARGE(V_Hisse!$AC$2:$AC$42,ROW()-3),V_Hisse!$AC$2:$AC$42,0))</f>
        <v>2.7400000000000001E-2</v>
      </c>
      <c r="F13" s="9">
        <f>INDEX(V_Hisse!E$2:E$42,MATCH(LARGE(V_Hisse!$AC$2:$AC$42,ROW()-3),V_Hisse!$AC$2:$AC$42,0))</f>
        <v>-0.70346150091471493</v>
      </c>
      <c r="G13" s="9">
        <f>INDEX(V_Hisse!F$2:F$42,MATCH(LARGE(V_Hisse!$AC$2:$AC$42,ROW()-3),V_Hisse!$AC$2:$AC$42,0))</f>
        <v>-0.93925876296636623</v>
      </c>
      <c r="H13" s="9">
        <f>INDEX(V_Hisse!G$2:G$42,MATCH(LARGE(V_Hisse!$AC$2:$AC$42,ROW()-3),V_Hisse!$AC$2:$AC$42,0))</f>
        <v>1.2315927385064819E-2</v>
      </c>
      <c r="I13" s="9">
        <f>INDEX(V_Hisse!H$2:H$42,MATCH(LARGE(V_Hisse!$AC$2:$AC$42,ROW()-3),V_Hisse!$AC$2:$AC$42,0))</f>
        <v>3.476374404644389</v>
      </c>
      <c r="J13" s="9">
        <f>INDEX(V_Hisse!I$2:I$42,MATCH(LARGE(V_Hisse!$AC$2:$AC$42,ROW()-3),V_Hisse!$AC$2:$AC$42,0))</f>
        <v>2.3817115424112472</v>
      </c>
      <c r="K13" s="10">
        <f>INDEX(V_Hisse!J$2:J$42,MATCH(LARGE(V_Hisse!$AC$2:$AC$42,ROW()-3),V_Hisse!$AC$2:$AC$42,0))</f>
        <v>2319</v>
      </c>
      <c r="L13" s="10">
        <f>INDEX(V_Hisse!K$2:K$42,MATCH(LARGE(V_Hisse!$AC$2:$AC$42,ROW()-3),V_Hisse!$AC$2:$AC$42,0))</f>
        <v>2144</v>
      </c>
      <c r="M13" s="8">
        <f>INDEX(V_Hisse!L$2:L$42,MATCH(LARGE(V_Hisse!$AC$2:$AC$42,ROW()-3),V_Hisse!$AC$2:$AC$42,0))</f>
        <v>-7.5463561880120711E-2</v>
      </c>
      <c r="N13" s="11">
        <f>INDEX(V_Hisse!M$2:M$42,MATCH(LARGE(V_Hisse!$AC$2:$AC$42,ROW()-3),V_Hisse!$AC$2:$AC$42,0))</f>
        <v>79666031.840000004</v>
      </c>
      <c r="O13" s="11">
        <f>INDEX(V_Hisse!N$2:N$42,MATCH(LARGE(V_Hisse!$AC$2:$AC$42,ROW()-3),V_Hisse!$AC$2:$AC$42,0))</f>
        <v>72317982.069999993</v>
      </c>
      <c r="P13" s="8">
        <f>INDEX(V_Hisse!O$2:O$42,MATCH(LARGE(V_Hisse!$AC$2:$AC$42,ROW()-3),V_Hisse!$AC$2:$AC$42,0))</f>
        <v>-9.2235669334675974E-2</v>
      </c>
      <c r="Q13" s="9">
        <f>INDEX(V_Hisse!P$2:P$42,MATCH(LARGE(V_Hisse!$AC$2:$AC$42,ROW()-3),V_Hisse!$AC$2:$AC$42,0))</f>
        <v>1.411211994015086</v>
      </c>
      <c r="R13" s="5" t="str">
        <f>INDEX(V_Hisse!Q$2:Q$42,MATCH(LARGE(V_Hisse!$AC$2:$AC$42,ROW()-3),V_Hisse!$AC$2:$AC$42,0))</f>
        <v>Görüyor</v>
      </c>
      <c r="S13" s="8">
        <f>INDEX(V_Hisse!R$2:R$42,MATCH(LARGE(V_Hisse!$AC$2:$AC$42,ROW()-3),V_Hisse!$AC$2:$AC$42,0))</f>
        <v>0</v>
      </c>
      <c r="T13" s="8">
        <f>INDEX(V_Hisse!S$2:S$42,MATCH(LARGE(V_Hisse!$AC$2:$AC$42,ROW()-3),V_Hisse!$AC$2:$AC$42,0))</f>
        <v>2.2000000000000001E-3</v>
      </c>
      <c r="U13" s="8">
        <f>INDEX(V_Hisse!T$2:T$42,MATCH(LARGE(V_Hisse!$AC$2:$AC$42,ROW()-3),V_Hisse!$AC$2:$AC$42,0))</f>
        <v>0</v>
      </c>
      <c r="V13" s="8">
        <f>INDEX(V_Hisse!U$2:U$42,MATCH(LARGE(V_Hisse!$AC$2:$AC$42,ROW()-3),V_Hisse!$AC$2:$AC$42,0))</f>
        <v>0.90450000000000008</v>
      </c>
      <c r="W13" s="8">
        <f>INDEX(V_Hisse!V$2:V$42,MATCH(LARGE(V_Hisse!$AC$2:$AC$42,ROW()-3),V_Hisse!$AC$2:$AC$42,0))</f>
        <v>0</v>
      </c>
      <c r="X13" s="8">
        <f>INDEX(V_Hisse!W$2:W$42,MATCH(LARGE(V_Hisse!$AC$2:$AC$42,ROW()-3),V_Hisse!$AC$2:$AC$42,0))</f>
        <v>9.3299999999999994E-2</v>
      </c>
      <c r="Y13" s="8">
        <f>INDEX(V_Hisse!X$2:X$42,MATCH(LARGE(V_Hisse!$AC$2:$AC$42,ROW()-3),V_Hisse!$AC$2:$AC$42,0))</f>
        <v>0</v>
      </c>
      <c r="Z13" s="8">
        <f>INDEX(V_Hisse!Y$2:Y$42,MATCH(LARGE(V_Hisse!$AC$2:$AC$42,ROW()-3),V_Hisse!$AC$2:$AC$42,0))</f>
        <v>0</v>
      </c>
      <c r="AA13" s="8">
        <f>INDEX(V_Hisse!Z$2:Z$42,MATCH(LARGE(V_Hisse!$AC$2:$AC$42,ROW()-3),V_Hisse!$AC$2:$AC$42,0))</f>
        <v>0</v>
      </c>
      <c r="AB13" s="8">
        <f>INDEX(V_Hisse!AA$2:AA$42,MATCH(LARGE(V_Hisse!$AC$2:$AC$42,ROW()-3),V_Hisse!$AC$2:$AC$42,0))</f>
        <v>1</v>
      </c>
    </row>
    <row r="14" spans="1:28" x14ac:dyDescent="0.2">
      <c r="A14">
        <v>11</v>
      </c>
      <c r="B14" s="5" t="str">
        <f>INDEX(V_Hisse!A$2:A$42,MATCH(LARGE(V_Hisse!$AC$2:$AC$42,ROW()-3),V_Hisse!$AC$2:$AC$42,0))</f>
        <v>RHS</v>
      </c>
      <c r="C14" s="5" t="str">
        <f>INDEX(V_Hisse!B$2:B$42,MATCH(LARGE(V_Hisse!$AC$2:$AC$42,ROW()-3),V_Hisse!$AC$2:$AC$42,0))</f>
        <v>Rota Portföy Hisse Senedi (TL) Fon (Hisse Senedi Yoğun Fon)</v>
      </c>
      <c r="D14" s="5" t="str">
        <f>INDEX(V_Hisse!C$2:C$42,MATCH(LARGE(V_Hisse!$AC$2:$AC$42,ROW()-3),V_Hisse!$AC$2:$AC$42,0))</f>
        <v>Rota Portföy</v>
      </c>
      <c r="E14" s="8">
        <f>INDEX(V_Hisse!D$2:D$42,MATCH(LARGE(V_Hisse!$AC$2:$AC$42,ROW()-3),V_Hisse!$AC$2:$AC$42,0))</f>
        <v>2.5000000000000001E-2</v>
      </c>
      <c r="F14" s="9">
        <f>INDEX(V_Hisse!E$2:E$42,MATCH(LARGE(V_Hisse!$AC$2:$AC$42,ROW()-3),V_Hisse!$AC$2:$AC$42,0))</f>
        <v>-0.99356364701693733</v>
      </c>
      <c r="G14" s="9">
        <f>INDEX(V_Hisse!F$2:F$42,MATCH(LARGE(V_Hisse!$AC$2:$AC$42,ROW()-3),V_Hisse!$AC$2:$AC$42,0))</f>
        <v>-0.9707702730061496</v>
      </c>
      <c r="H14" s="9">
        <f>INDEX(V_Hisse!G$2:G$42,MATCH(LARGE(V_Hisse!$AC$2:$AC$42,ROW()-3),V_Hisse!$AC$2:$AC$42,0))</f>
        <v>2.0995993662457302</v>
      </c>
      <c r="I14" s="9">
        <f>INDEX(V_Hisse!H$2:H$42,MATCH(LARGE(V_Hisse!$AC$2:$AC$42,ROW()-3),V_Hisse!$AC$2:$AC$42,0))</f>
        <v>24.372574674587622</v>
      </c>
      <c r="J14" s="9">
        <f>INDEX(V_Hisse!I$2:I$42,MATCH(LARGE(V_Hisse!$AC$2:$AC$42,ROW()-3),V_Hisse!$AC$2:$AC$42,0))</f>
        <v>44.483793655516578</v>
      </c>
      <c r="K14" s="10">
        <f>INDEX(V_Hisse!J$2:J$42,MATCH(LARGE(V_Hisse!$AC$2:$AC$42,ROW()-3),V_Hisse!$AC$2:$AC$42,0))</f>
        <v>1721</v>
      </c>
      <c r="L14" s="10">
        <f>INDEX(V_Hisse!K$2:K$42,MATCH(LARGE(V_Hisse!$AC$2:$AC$42,ROW()-3),V_Hisse!$AC$2:$AC$42,0))</f>
        <v>1633</v>
      </c>
      <c r="M14" s="8">
        <f>INDEX(V_Hisse!L$2:L$42,MATCH(LARGE(V_Hisse!$AC$2:$AC$42,ROW()-3),V_Hisse!$AC$2:$AC$42,0))</f>
        <v>-5.1133062173155157E-2</v>
      </c>
      <c r="N14" s="11">
        <f>INDEX(V_Hisse!M$2:M$42,MATCH(LARGE(V_Hisse!$AC$2:$AC$42,ROW()-3),V_Hisse!$AC$2:$AC$42,0))</f>
        <v>621691205.66999996</v>
      </c>
      <c r="O14" s="11">
        <f>INDEX(V_Hisse!N$2:N$42,MATCH(LARGE(V_Hisse!$AC$2:$AC$42,ROW()-3),V_Hisse!$AC$2:$AC$42,0))</f>
        <v>832223747.92999995</v>
      </c>
      <c r="P14" s="8">
        <f>INDEX(V_Hisse!O$2:O$42,MATCH(LARGE(V_Hisse!$AC$2:$AC$42,ROW()-3),V_Hisse!$AC$2:$AC$42,0))</f>
        <v>0.33864487761751111</v>
      </c>
      <c r="Q14" s="9">
        <f>INDEX(V_Hisse!P$2:P$42,MATCH(LARGE(V_Hisse!$AC$2:$AC$42,ROW()-3),V_Hisse!$AC$2:$AC$42,0))</f>
        <v>1.265510833590674</v>
      </c>
      <c r="R14" s="5" t="str">
        <f>INDEX(V_Hisse!Q$2:Q$42,MATCH(LARGE(V_Hisse!$AC$2:$AC$42,ROW()-3),V_Hisse!$AC$2:$AC$42,0))</f>
        <v>Görüyor</v>
      </c>
      <c r="S14" s="8">
        <f>INDEX(V_Hisse!R$2:R$42,MATCH(LARGE(V_Hisse!$AC$2:$AC$42,ROW()-3),V_Hisse!$AC$2:$AC$42,0))</f>
        <v>0</v>
      </c>
      <c r="T14" s="8">
        <f>INDEX(V_Hisse!S$2:S$42,MATCH(LARGE(V_Hisse!$AC$2:$AC$42,ROW()-3),V_Hisse!$AC$2:$AC$42,0))</f>
        <v>4.1599999999999998E-2</v>
      </c>
      <c r="U14" s="8">
        <f>INDEX(V_Hisse!T$2:T$42,MATCH(LARGE(V_Hisse!$AC$2:$AC$42,ROW()-3),V_Hisse!$AC$2:$AC$42,0))</f>
        <v>6.7299999999999999E-2</v>
      </c>
      <c r="V14" s="8">
        <f>INDEX(V_Hisse!U$2:U$42,MATCH(LARGE(V_Hisse!$AC$2:$AC$42,ROW()-3),V_Hisse!$AC$2:$AC$42,0))</f>
        <v>0.86060000000000003</v>
      </c>
      <c r="W14" s="8">
        <f>INDEX(V_Hisse!V$2:V$42,MATCH(LARGE(V_Hisse!$AC$2:$AC$42,ROW()-3),V_Hisse!$AC$2:$AC$42,0))</f>
        <v>1.1000000000000001E-3</v>
      </c>
      <c r="X14" s="8">
        <f>INDEX(V_Hisse!W$2:W$42,MATCH(LARGE(V_Hisse!$AC$2:$AC$42,ROW()-3),V_Hisse!$AC$2:$AC$42,0))</f>
        <v>2.7000000000000001E-3</v>
      </c>
      <c r="Y14" s="8">
        <f>INDEX(V_Hisse!X$2:X$42,MATCH(LARGE(V_Hisse!$AC$2:$AC$42,ROW()-3),V_Hisse!$AC$2:$AC$42,0))</f>
        <v>0</v>
      </c>
      <c r="Z14" s="8">
        <f>INDEX(V_Hisse!Y$2:Y$42,MATCH(LARGE(V_Hisse!$AC$2:$AC$42,ROW()-3),V_Hisse!$AC$2:$AC$42,0))</f>
        <v>0</v>
      </c>
      <c r="AA14" s="8">
        <f>INDEX(V_Hisse!Z$2:Z$42,MATCH(LARGE(V_Hisse!$AC$2:$AC$42,ROW()-3),V_Hisse!$AC$2:$AC$42,0))</f>
        <v>0</v>
      </c>
      <c r="AB14" s="8">
        <f>INDEX(V_Hisse!AA$2:AA$42,MATCH(LARGE(V_Hisse!$AC$2:$AC$42,ROW()-3),V_Hisse!$AC$2:$AC$42,0))</f>
        <v>0.97330000000000005</v>
      </c>
    </row>
    <row r="15" spans="1:28" x14ac:dyDescent="0.2">
      <c r="A15">
        <v>12</v>
      </c>
      <c r="B15" s="5" t="str">
        <f>INDEX(V_Hisse!A$2:A$42,MATCH(LARGE(V_Hisse!$AC$2:$AC$42,ROW()-3),V_Hisse!$AC$2:$AC$42,0))</f>
        <v>KYA</v>
      </c>
      <c r="C15" s="5" t="str">
        <f>INDEX(V_Hisse!B$2:B$42,MATCH(LARGE(V_Hisse!$AC$2:$AC$42,ROW()-3),V_Hisse!$AC$2:$AC$42,0))</f>
        <v>Kare Portföy Hisse Senedi Fonu(hisse Senedi Yoğun Fon)</v>
      </c>
      <c r="D15" s="5" t="str">
        <f>INDEX(V_Hisse!C$2:C$42,MATCH(LARGE(V_Hisse!$AC$2:$AC$42,ROW()-3),V_Hisse!$AC$2:$AC$42,0))</f>
        <v>Kare Portföy</v>
      </c>
      <c r="E15" s="8">
        <f>INDEX(V_Hisse!D$2:D$42,MATCH(LARGE(V_Hisse!$AC$2:$AC$42,ROW()-3),V_Hisse!$AC$2:$AC$42,0))</f>
        <v>2.92E-2</v>
      </c>
      <c r="F15" s="9">
        <f>INDEX(V_Hisse!E$2:E$42,MATCH(LARGE(V_Hisse!$AC$2:$AC$42,ROW()-3),V_Hisse!$AC$2:$AC$42,0))</f>
        <v>-0.82182138727699972</v>
      </c>
      <c r="G15" s="9">
        <f>INDEX(V_Hisse!F$2:F$42,MATCH(LARGE(V_Hisse!$AC$2:$AC$42,ROW()-3),V_Hisse!$AC$2:$AC$42,0))</f>
        <v>-1.039659106438118</v>
      </c>
      <c r="H15" s="9">
        <f>INDEX(V_Hisse!G$2:G$42,MATCH(LARGE(V_Hisse!$AC$2:$AC$42,ROW()-3),V_Hisse!$AC$2:$AC$42,0))</f>
        <v>2.771097601673445</v>
      </c>
      <c r="I15" s="9">
        <f>INDEX(V_Hisse!H$2:H$42,MATCH(LARGE(V_Hisse!$AC$2:$AC$42,ROW()-3),V_Hisse!$AC$2:$AC$42,0))</f>
        <v>10.950964224163551</v>
      </c>
      <c r="J15" s="9">
        <f>INDEX(V_Hisse!I$2:I$42,MATCH(LARGE(V_Hisse!$AC$2:$AC$42,ROW()-3),V_Hisse!$AC$2:$AC$42,0))</f>
        <v>19.12382532336634</v>
      </c>
      <c r="K15" s="10">
        <f>INDEX(V_Hisse!J$2:J$42,MATCH(LARGE(V_Hisse!$AC$2:$AC$42,ROW()-3),V_Hisse!$AC$2:$AC$42,0))</f>
        <v>1806</v>
      </c>
      <c r="L15" s="10">
        <f>INDEX(V_Hisse!K$2:K$42,MATCH(LARGE(V_Hisse!$AC$2:$AC$42,ROW()-3),V_Hisse!$AC$2:$AC$42,0))</f>
        <v>1677</v>
      </c>
      <c r="M15" s="8">
        <f>INDEX(V_Hisse!L$2:L$42,MATCH(LARGE(V_Hisse!$AC$2:$AC$42,ROW()-3),V_Hisse!$AC$2:$AC$42,0))</f>
        <v>-7.1428571428571397E-2</v>
      </c>
      <c r="N15" s="11">
        <f>INDEX(V_Hisse!M$2:M$42,MATCH(LARGE(V_Hisse!$AC$2:$AC$42,ROW()-3),V_Hisse!$AC$2:$AC$42,0))</f>
        <v>68807286.780000001</v>
      </c>
      <c r="O15" s="11">
        <f>INDEX(V_Hisse!N$2:N$42,MATCH(LARGE(V_Hisse!$AC$2:$AC$42,ROW()-3),V_Hisse!$AC$2:$AC$42,0))</f>
        <v>66897773.390000001</v>
      </c>
      <c r="P15" s="8">
        <f>INDEX(V_Hisse!O$2:O$42,MATCH(LARGE(V_Hisse!$AC$2:$AC$42,ROW()-3),V_Hisse!$AC$2:$AC$42,0))</f>
        <v>-2.7751615844196161E-2</v>
      </c>
      <c r="Q15" s="9">
        <f>INDEX(V_Hisse!P$2:P$42,MATCH(LARGE(V_Hisse!$AC$2:$AC$42,ROW()-3),V_Hisse!$AC$2:$AC$42,0))</f>
        <v>1.1694263479319431</v>
      </c>
      <c r="R15" s="5" t="str">
        <f>INDEX(V_Hisse!Q$2:Q$42,MATCH(LARGE(V_Hisse!$AC$2:$AC$42,ROW()-3),V_Hisse!$AC$2:$AC$42,0))</f>
        <v>Görüyor</v>
      </c>
      <c r="S15" s="8">
        <f>INDEX(V_Hisse!R$2:R$42,MATCH(LARGE(V_Hisse!$AC$2:$AC$42,ROW()-3),V_Hisse!$AC$2:$AC$42,0))</f>
        <v>0</v>
      </c>
      <c r="T15" s="8">
        <f>INDEX(V_Hisse!S$2:S$42,MATCH(LARGE(V_Hisse!$AC$2:$AC$42,ROW()-3),V_Hisse!$AC$2:$AC$42,0))</f>
        <v>4.07E-2</v>
      </c>
      <c r="U15" s="8">
        <f>INDEX(V_Hisse!T$2:T$42,MATCH(LARGE(V_Hisse!$AC$2:$AC$42,ROW()-3),V_Hisse!$AC$2:$AC$42,0))</f>
        <v>0</v>
      </c>
      <c r="V15" s="8">
        <f>INDEX(V_Hisse!U$2:U$42,MATCH(LARGE(V_Hisse!$AC$2:$AC$42,ROW()-3),V_Hisse!$AC$2:$AC$42,0))</f>
        <v>0.85739999999999994</v>
      </c>
      <c r="W15" s="8">
        <f>INDEX(V_Hisse!V$2:V$42,MATCH(LARGE(V_Hisse!$AC$2:$AC$42,ROW()-3),V_Hisse!$AC$2:$AC$42,0))</f>
        <v>0</v>
      </c>
      <c r="X15" s="8">
        <f>INDEX(V_Hisse!W$2:W$42,MATCH(LARGE(V_Hisse!$AC$2:$AC$42,ROW()-3),V_Hisse!$AC$2:$AC$42,0))</f>
        <v>0.1019</v>
      </c>
      <c r="Y15" s="8">
        <f>INDEX(V_Hisse!X$2:X$42,MATCH(LARGE(V_Hisse!$AC$2:$AC$42,ROW()-3),V_Hisse!$AC$2:$AC$42,0))</f>
        <v>0</v>
      </c>
      <c r="Z15" s="8">
        <f>INDEX(V_Hisse!Y$2:Y$42,MATCH(LARGE(V_Hisse!$AC$2:$AC$42,ROW()-3),V_Hisse!$AC$2:$AC$42,0))</f>
        <v>0</v>
      </c>
      <c r="AA15" s="8">
        <f>INDEX(V_Hisse!Z$2:Z$42,MATCH(LARGE(V_Hisse!$AC$2:$AC$42,ROW()-3),V_Hisse!$AC$2:$AC$42,0))</f>
        <v>0</v>
      </c>
      <c r="AB15" s="8">
        <f>INDEX(V_Hisse!AA$2:AA$42,MATCH(LARGE(V_Hisse!$AC$2:$AC$42,ROW()-3),V_Hisse!$AC$2:$AC$42,0))</f>
        <v>0.99999999999999989</v>
      </c>
    </row>
    <row r="16" spans="1:28" x14ac:dyDescent="0.2">
      <c r="A16">
        <v>13</v>
      </c>
      <c r="B16" s="5" t="str">
        <f>INDEX(V_Hisse!A$2:A$42,MATCH(LARGE(V_Hisse!$AC$2:$AC$42,ROW()-3),V_Hisse!$AC$2:$AC$42,0))</f>
        <v>THD</v>
      </c>
      <c r="C16" s="5" t="str">
        <f>INDEX(V_Hisse!B$2:B$42,MATCH(LARGE(V_Hisse!$AC$2:$AC$42,ROW()-3),V_Hisse!$AC$2:$AC$42,0))</f>
        <v>Trıve Portföy Birinci Hisse Senedi (TL) Fon (Hisse Senedi Yoğun Fon)</v>
      </c>
      <c r="D16" s="5" t="str">
        <f>INDEX(V_Hisse!C$2:C$42,MATCH(LARGE(V_Hisse!$AC$2:$AC$42,ROW()-3),V_Hisse!$AC$2:$AC$42,0))</f>
        <v>Trıve Portföy</v>
      </c>
      <c r="E16" s="8">
        <f>INDEX(V_Hisse!D$2:D$42,MATCH(LARGE(V_Hisse!$AC$2:$AC$42,ROW()-3),V_Hisse!$AC$2:$AC$42,0))</f>
        <v>2.5000000000000001E-2</v>
      </c>
      <c r="F16" s="9">
        <f>INDEX(V_Hisse!E$2:E$42,MATCH(LARGE(V_Hisse!$AC$2:$AC$42,ROW()-3),V_Hisse!$AC$2:$AC$42,0))</f>
        <v>-0.48826720336290208</v>
      </c>
      <c r="G16" s="9">
        <f>INDEX(V_Hisse!F$2:F$42,MATCH(LARGE(V_Hisse!$AC$2:$AC$42,ROW()-3),V_Hisse!$AC$2:$AC$42,0))</f>
        <v>-1.4537913854634099</v>
      </c>
      <c r="H16" s="9">
        <f>INDEX(V_Hisse!G$2:G$42,MATCH(LARGE(V_Hisse!$AC$2:$AC$42,ROW()-3),V_Hisse!$AC$2:$AC$42,0))</f>
        <v>0.61234007101567123</v>
      </c>
      <c r="I16" s="9">
        <f>INDEX(V_Hisse!H$2:H$42,MATCH(LARGE(V_Hisse!$AC$2:$AC$42,ROW()-3),V_Hisse!$AC$2:$AC$42,0))</f>
        <v>21.54129769741397</v>
      </c>
      <c r="J16" s="9">
        <f>INDEX(V_Hisse!I$2:I$42,MATCH(LARGE(V_Hisse!$AC$2:$AC$42,ROW()-3),V_Hisse!$AC$2:$AC$42,0))</f>
        <v>26.19009689317808</v>
      </c>
      <c r="K16" s="10">
        <f>INDEX(V_Hisse!J$2:J$42,MATCH(LARGE(V_Hisse!$AC$2:$AC$42,ROW()-3),V_Hisse!$AC$2:$AC$42,0))</f>
        <v>215</v>
      </c>
      <c r="L16" s="10">
        <f>INDEX(V_Hisse!K$2:K$42,MATCH(LARGE(V_Hisse!$AC$2:$AC$42,ROW()-3),V_Hisse!$AC$2:$AC$42,0))</f>
        <v>206</v>
      </c>
      <c r="M16" s="8">
        <f>INDEX(V_Hisse!L$2:L$42,MATCH(LARGE(V_Hisse!$AC$2:$AC$42,ROW()-3),V_Hisse!$AC$2:$AC$42,0))</f>
        <v>-4.1860465116279062E-2</v>
      </c>
      <c r="N16" s="11">
        <f>INDEX(V_Hisse!M$2:M$42,MATCH(LARGE(V_Hisse!$AC$2:$AC$42,ROW()-3),V_Hisse!$AC$2:$AC$42,0))</f>
        <v>8962955.4299999997</v>
      </c>
      <c r="O16" s="11">
        <f>INDEX(V_Hisse!N$2:N$42,MATCH(LARGE(V_Hisse!$AC$2:$AC$42,ROW()-3),V_Hisse!$AC$2:$AC$42,0))</f>
        <v>8648840.1799999997</v>
      </c>
      <c r="P16" s="8">
        <f>INDEX(V_Hisse!O$2:O$42,MATCH(LARGE(V_Hisse!$AC$2:$AC$42,ROW()-3),V_Hisse!$AC$2:$AC$42,0))</f>
        <v>-3.5045945776838512E-2</v>
      </c>
      <c r="Q16" s="9">
        <f>INDEX(V_Hisse!P$2:P$42,MATCH(LARGE(V_Hisse!$AC$2:$AC$42,ROW()-3),V_Hisse!$AC$2:$AC$42,0))</f>
        <v>1.1753965003952891</v>
      </c>
      <c r="R16" s="5" t="str">
        <f>INDEX(V_Hisse!Q$2:Q$42,MATCH(LARGE(V_Hisse!$AC$2:$AC$42,ROW()-3),V_Hisse!$AC$2:$AC$42,0))</f>
        <v>Görüyor</v>
      </c>
      <c r="S16" s="8">
        <f>INDEX(V_Hisse!R$2:R$42,MATCH(LARGE(V_Hisse!$AC$2:$AC$42,ROW()-3),V_Hisse!$AC$2:$AC$42,0))</f>
        <v>0</v>
      </c>
      <c r="T16" s="8">
        <f>INDEX(V_Hisse!S$2:S$42,MATCH(LARGE(V_Hisse!$AC$2:$AC$42,ROW()-3),V_Hisse!$AC$2:$AC$42,0))</f>
        <v>4.2299999999999997E-2</v>
      </c>
      <c r="U16" s="8">
        <f>INDEX(V_Hisse!T$2:T$42,MATCH(LARGE(V_Hisse!$AC$2:$AC$42,ROW()-3),V_Hisse!$AC$2:$AC$42,0))</f>
        <v>0</v>
      </c>
      <c r="V16" s="8">
        <f>INDEX(V_Hisse!U$2:U$42,MATCH(LARGE(V_Hisse!$AC$2:$AC$42,ROW()-3),V_Hisse!$AC$2:$AC$42,0))</f>
        <v>0.91739999999999999</v>
      </c>
      <c r="W16" s="8">
        <f>INDEX(V_Hisse!V$2:V$42,MATCH(LARGE(V_Hisse!$AC$2:$AC$42,ROW()-3),V_Hisse!$AC$2:$AC$42,0))</f>
        <v>4.0199999999999993E-2</v>
      </c>
      <c r="X16" s="8">
        <f>INDEX(V_Hisse!W$2:W$42,MATCH(LARGE(V_Hisse!$AC$2:$AC$42,ROW()-3),V_Hisse!$AC$2:$AC$42,0))</f>
        <v>1E-4</v>
      </c>
      <c r="Y16" s="8">
        <f>INDEX(V_Hisse!X$2:X$42,MATCH(LARGE(V_Hisse!$AC$2:$AC$42,ROW()-3),V_Hisse!$AC$2:$AC$42,0))</f>
        <v>0</v>
      </c>
      <c r="Z16" s="8">
        <f>INDEX(V_Hisse!Y$2:Y$42,MATCH(LARGE(V_Hisse!$AC$2:$AC$42,ROW()-3),V_Hisse!$AC$2:$AC$42,0))</f>
        <v>0</v>
      </c>
      <c r="AA16" s="8">
        <f>INDEX(V_Hisse!Z$2:Z$42,MATCH(LARGE(V_Hisse!$AC$2:$AC$42,ROW()-3),V_Hisse!$AC$2:$AC$42,0))</f>
        <v>0</v>
      </c>
      <c r="AB16" s="8">
        <f>INDEX(V_Hisse!AA$2:AA$42,MATCH(LARGE(V_Hisse!$AC$2:$AC$42,ROW()-3),V_Hisse!$AC$2:$AC$42,0))</f>
        <v>1</v>
      </c>
    </row>
    <row r="17" spans="1:28" x14ac:dyDescent="0.2">
      <c r="A17">
        <v>14</v>
      </c>
      <c r="B17" s="5" t="str">
        <f>INDEX(V_Hisse!A$2:A$42,MATCH(LARGE(V_Hisse!$AC$2:$AC$42,ROW()-3),V_Hisse!$AC$2:$AC$42,0))</f>
        <v>ICF</v>
      </c>
      <c r="C17" s="5" t="str">
        <f>INDEX(V_Hisse!B$2:B$42,MATCH(LARGE(V_Hisse!$AC$2:$AC$42,ROW()-3),V_Hisse!$AC$2:$AC$42,0))</f>
        <v>Icbc Turkey Portföy Hisse Senedi Fonu(hisse Senedi Yoğun Fon)</v>
      </c>
      <c r="D17" s="5" t="str">
        <f>INDEX(V_Hisse!C$2:C$42,MATCH(LARGE(V_Hisse!$AC$2:$AC$42,ROW()-3),V_Hisse!$AC$2:$AC$42,0))</f>
        <v>Icbc Turkey Portföy</v>
      </c>
      <c r="E17" s="8">
        <f>INDEX(V_Hisse!D$2:D$42,MATCH(LARGE(V_Hisse!$AC$2:$AC$42,ROW()-3),V_Hisse!$AC$2:$AC$42,0))</f>
        <v>0.02</v>
      </c>
      <c r="F17" s="9">
        <f>INDEX(V_Hisse!E$2:E$42,MATCH(LARGE(V_Hisse!$AC$2:$AC$42,ROW()-3),V_Hisse!$AC$2:$AC$42,0))</f>
        <v>-0.71860248453846642</v>
      </c>
      <c r="G17" s="9">
        <f>INDEX(V_Hisse!F$2:F$42,MATCH(LARGE(V_Hisse!$AC$2:$AC$42,ROW()-3),V_Hisse!$AC$2:$AC$42,0))</f>
        <v>-1.643988754021908</v>
      </c>
      <c r="H17" s="9">
        <f>INDEX(V_Hisse!G$2:G$42,MATCH(LARGE(V_Hisse!$AC$2:$AC$42,ROW()-3),V_Hisse!$AC$2:$AC$42,0))</f>
        <v>-0.50419200032172373</v>
      </c>
      <c r="I17" s="9">
        <f>INDEX(V_Hisse!H$2:H$42,MATCH(LARGE(V_Hisse!$AC$2:$AC$42,ROW()-3),V_Hisse!$AC$2:$AC$42,0))</f>
        <v>21.928269978005339</v>
      </c>
      <c r="J17" s="9">
        <f>INDEX(V_Hisse!I$2:I$42,MATCH(LARGE(V_Hisse!$AC$2:$AC$42,ROW()-3),V_Hisse!$AC$2:$AC$42,0))</f>
        <v>28.161547047450689</v>
      </c>
      <c r="K17" s="10">
        <f>INDEX(V_Hisse!J$2:J$42,MATCH(LARGE(V_Hisse!$AC$2:$AC$42,ROW()-3),V_Hisse!$AC$2:$AC$42,0))</f>
        <v>543</v>
      </c>
      <c r="L17" s="10">
        <f>INDEX(V_Hisse!K$2:K$42,MATCH(LARGE(V_Hisse!$AC$2:$AC$42,ROW()-3),V_Hisse!$AC$2:$AC$42,0))</f>
        <v>514</v>
      </c>
      <c r="M17" s="8">
        <f>INDEX(V_Hisse!L$2:L$42,MATCH(LARGE(V_Hisse!$AC$2:$AC$42,ROW()-3),V_Hisse!$AC$2:$AC$42,0))</f>
        <v>-5.3406998158379348E-2</v>
      </c>
      <c r="N17" s="11">
        <f>INDEX(V_Hisse!M$2:M$42,MATCH(LARGE(V_Hisse!$AC$2:$AC$42,ROW()-3),V_Hisse!$AC$2:$AC$42,0))</f>
        <v>20030010.550000001</v>
      </c>
      <c r="O17" s="11">
        <f>INDEX(V_Hisse!N$2:N$42,MATCH(LARGE(V_Hisse!$AC$2:$AC$42,ROW()-3),V_Hisse!$AC$2:$AC$42,0))</f>
        <v>19603166.32</v>
      </c>
      <c r="P17" s="8">
        <f>INDEX(V_Hisse!O$2:O$42,MATCH(LARGE(V_Hisse!$AC$2:$AC$42,ROW()-3),V_Hisse!$AC$2:$AC$42,0))</f>
        <v>-2.1310234906491421E-2</v>
      </c>
      <c r="Q17" s="9">
        <f>INDEX(V_Hisse!P$2:P$42,MATCH(LARGE(V_Hisse!$AC$2:$AC$42,ROW()-3),V_Hisse!$AC$2:$AC$42,0))</f>
        <v>1.1330096709745909</v>
      </c>
      <c r="R17" s="5" t="str">
        <f>INDEX(V_Hisse!Q$2:Q$42,MATCH(LARGE(V_Hisse!$AC$2:$AC$42,ROW()-3),V_Hisse!$AC$2:$AC$42,0))</f>
        <v>Görüyor</v>
      </c>
      <c r="S17" s="8">
        <f>INDEX(V_Hisse!R$2:R$42,MATCH(LARGE(V_Hisse!$AC$2:$AC$42,ROW()-3),V_Hisse!$AC$2:$AC$42,0))</f>
        <v>0</v>
      </c>
      <c r="T17" s="8">
        <f>INDEX(V_Hisse!S$2:S$42,MATCH(LARGE(V_Hisse!$AC$2:$AC$42,ROW()-3),V_Hisse!$AC$2:$AC$42,0))</f>
        <v>8.09E-2</v>
      </c>
      <c r="U17" s="8">
        <f>INDEX(V_Hisse!T$2:T$42,MATCH(LARGE(V_Hisse!$AC$2:$AC$42,ROW()-3),V_Hisse!$AC$2:$AC$42,0))</f>
        <v>0</v>
      </c>
      <c r="V17" s="8">
        <f>INDEX(V_Hisse!U$2:U$42,MATCH(LARGE(V_Hisse!$AC$2:$AC$42,ROW()-3),V_Hisse!$AC$2:$AC$42,0))</f>
        <v>0.89300000000000002</v>
      </c>
      <c r="W17" s="8">
        <f>INDEX(V_Hisse!V$2:V$42,MATCH(LARGE(V_Hisse!$AC$2:$AC$42,ROW()-3),V_Hisse!$AC$2:$AC$42,0))</f>
        <v>2.6100000000000002E-2</v>
      </c>
      <c r="X17" s="8">
        <f>INDEX(V_Hisse!W$2:W$42,MATCH(LARGE(V_Hisse!$AC$2:$AC$42,ROW()-3),V_Hisse!$AC$2:$AC$42,0))</f>
        <v>0</v>
      </c>
      <c r="Y17" s="8">
        <f>INDEX(V_Hisse!X$2:X$42,MATCH(LARGE(V_Hisse!$AC$2:$AC$42,ROW()-3),V_Hisse!$AC$2:$AC$42,0))</f>
        <v>0</v>
      </c>
      <c r="Z17" s="8">
        <f>INDEX(V_Hisse!Y$2:Y$42,MATCH(LARGE(V_Hisse!$AC$2:$AC$42,ROW()-3),V_Hisse!$AC$2:$AC$42,0))</f>
        <v>0</v>
      </c>
      <c r="AA17" s="8">
        <f>INDEX(V_Hisse!Z$2:Z$42,MATCH(LARGE(V_Hisse!$AC$2:$AC$42,ROW()-3),V_Hisse!$AC$2:$AC$42,0))</f>
        <v>0</v>
      </c>
      <c r="AB17" s="8">
        <f>INDEX(V_Hisse!AA$2:AA$42,MATCH(LARGE(V_Hisse!$AC$2:$AC$42,ROW()-3),V_Hisse!$AC$2:$AC$42,0))</f>
        <v>1</v>
      </c>
    </row>
    <row r="18" spans="1:28" x14ac:dyDescent="0.2">
      <c r="A18">
        <v>15</v>
      </c>
      <c r="B18" s="5" t="str">
        <f>INDEX(V_Hisse!A$2:A$42,MATCH(LARGE(V_Hisse!$AC$2:$AC$42,ROW()-3),V_Hisse!$AC$2:$AC$42,0))</f>
        <v>DAH</v>
      </c>
      <c r="C18" s="5" t="str">
        <f>INDEX(V_Hisse!B$2:B$42,MATCH(LARGE(V_Hisse!$AC$2:$AC$42,ROW()-3),V_Hisse!$AC$2:$AC$42,0))</f>
        <v>Deniz Portföy Hisse Senedi Fonu (Hisse Senedi Yoğun Fon)</v>
      </c>
      <c r="D18" s="5" t="str">
        <f>INDEX(V_Hisse!C$2:C$42,MATCH(LARGE(V_Hisse!$AC$2:$AC$42,ROW()-3),V_Hisse!$AC$2:$AC$42,0))</f>
        <v>Deniz Portföy</v>
      </c>
      <c r="E18" s="8">
        <f>INDEX(V_Hisse!D$2:D$42,MATCH(LARGE(V_Hisse!$AC$2:$AC$42,ROW()-3),V_Hisse!$AC$2:$AC$42,0))</f>
        <v>2.92E-2</v>
      </c>
      <c r="F18" s="9">
        <f>INDEX(V_Hisse!E$2:E$42,MATCH(LARGE(V_Hisse!$AC$2:$AC$42,ROW()-3),V_Hisse!$AC$2:$AC$42,0))</f>
        <v>-0.95412499707673293</v>
      </c>
      <c r="G18" s="9">
        <f>INDEX(V_Hisse!F$2:F$42,MATCH(LARGE(V_Hisse!$AC$2:$AC$42,ROW()-3),V_Hisse!$AC$2:$AC$42,0))</f>
        <v>-1.6692644516833279</v>
      </c>
      <c r="H18" s="9">
        <f>INDEX(V_Hisse!G$2:G$42,MATCH(LARGE(V_Hisse!$AC$2:$AC$42,ROW()-3),V_Hisse!$AC$2:$AC$42,0))</f>
        <v>-0.65029747132920868</v>
      </c>
      <c r="I18" s="9">
        <f>INDEX(V_Hisse!H$2:H$42,MATCH(LARGE(V_Hisse!$AC$2:$AC$42,ROW()-3),V_Hisse!$AC$2:$AC$42,0))</f>
        <v>16.46648581921448</v>
      </c>
      <c r="J18" s="9">
        <f>INDEX(V_Hisse!I$2:I$42,MATCH(LARGE(V_Hisse!$AC$2:$AC$42,ROW()-3),V_Hisse!$AC$2:$AC$42,0))</f>
        <v>27.06598915681781</v>
      </c>
      <c r="K18" s="10">
        <f>INDEX(V_Hisse!J$2:J$42,MATCH(LARGE(V_Hisse!$AC$2:$AC$42,ROW()-3),V_Hisse!$AC$2:$AC$42,0))</f>
        <v>2782</v>
      </c>
      <c r="L18" s="10">
        <f>INDEX(V_Hisse!K$2:K$42,MATCH(LARGE(V_Hisse!$AC$2:$AC$42,ROW()-3),V_Hisse!$AC$2:$AC$42,0))</f>
        <v>2695</v>
      </c>
      <c r="M18" s="8">
        <f>INDEX(V_Hisse!L$2:L$42,MATCH(LARGE(V_Hisse!$AC$2:$AC$42,ROW()-3),V_Hisse!$AC$2:$AC$42,0))</f>
        <v>-3.1272465851905129E-2</v>
      </c>
      <c r="N18" s="11">
        <f>INDEX(V_Hisse!M$2:M$42,MATCH(LARGE(V_Hisse!$AC$2:$AC$42,ROW()-3),V_Hisse!$AC$2:$AC$42,0))</f>
        <v>667459672.83000004</v>
      </c>
      <c r="O18" s="11">
        <f>INDEX(V_Hisse!N$2:N$42,MATCH(LARGE(V_Hisse!$AC$2:$AC$42,ROW()-3),V_Hisse!$AC$2:$AC$42,0))</f>
        <v>625512870.80999994</v>
      </c>
      <c r="P18" s="8">
        <f>INDEX(V_Hisse!O$2:O$42,MATCH(LARGE(V_Hisse!$AC$2:$AC$42,ROW()-3),V_Hisse!$AC$2:$AC$42,0))</f>
        <v>-6.2845447788849151E-2</v>
      </c>
      <c r="Q18" s="9">
        <f>INDEX(V_Hisse!P$2:P$42,MATCH(LARGE(V_Hisse!$AC$2:$AC$42,ROW()-3),V_Hisse!$AC$2:$AC$42,0))</f>
        <v>1.3481720192944719</v>
      </c>
      <c r="R18" s="5" t="str">
        <f>INDEX(V_Hisse!Q$2:Q$42,MATCH(LARGE(V_Hisse!$AC$2:$AC$42,ROW()-3),V_Hisse!$AC$2:$AC$42,0))</f>
        <v>Görüyor</v>
      </c>
      <c r="S18" s="8">
        <f>INDEX(V_Hisse!R$2:R$42,MATCH(LARGE(V_Hisse!$AC$2:$AC$42,ROW()-3),V_Hisse!$AC$2:$AC$42,0))</f>
        <v>1.1000000000000001E-3</v>
      </c>
      <c r="T18" s="8">
        <f>INDEX(V_Hisse!S$2:S$42,MATCH(LARGE(V_Hisse!$AC$2:$AC$42,ROW()-3),V_Hisse!$AC$2:$AC$42,0))</f>
        <v>4.9299999999999997E-2</v>
      </c>
      <c r="U18" s="8">
        <f>INDEX(V_Hisse!T$2:T$42,MATCH(LARGE(V_Hisse!$AC$2:$AC$42,ROW()-3),V_Hisse!$AC$2:$AC$42,0))</f>
        <v>0</v>
      </c>
      <c r="V18" s="8">
        <f>INDEX(V_Hisse!U$2:U$42,MATCH(LARGE(V_Hisse!$AC$2:$AC$42,ROW()-3),V_Hisse!$AC$2:$AC$42,0))</f>
        <v>0.85620000000000007</v>
      </c>
      <c r="W18" s="8">
        <f>INDEX(V_Hisse!V$2:V$42,MATCH(LARGE(V_Hisse!$AC$2:$AC$42,ROW()-3),V_Hisse!$AC$2:$AC$42,0))</f>
        <v>9.3399999999999997E-2</v>
      </c>
      <c r="X18" s="8">
        <f>INDEX(V_Hisse!W$2:W$42,MATCH(LARGE(V_Hisse!$AC$2:$AC$42,ROW()-3),V_Hisse!$AC$2:$AC$42,0))</f>
        <v>0</v>
      </c>
      <c r="Y18" s="8">
        <f>INDEX(V_Hisse!X$2:X$42,MATCH(LARGE(V_Hisse!$AC$2:$AC$42,ROW()-3),V_Hisse!$AC$2:$AC$42,0))</f>
        <v>0</v>
      </c>
      <c r="Z18" s="8">
        <f>INDEX(V_Hisse!Y$2:Y$42,MATCH(LARGE(V_Hisse!$AC$2:$AC$42,ROW()-3),V_Hisse!$AC$2:$AC$42,0))</f>
        <v>0</v>
      </c>
      <c r="AA18" s="8">
        <f>INDEX(V_Hisse!Z$2:Z$42,MATCH(LARGE(V_Hisse!$AC$2:$AC$42,ROW()-3),V_Hisse!$AC$2:$AC$42,0))</f>
        <v>0</v>
      </c>
      <c r="AB18" s="8">
        <f>INDEX(V_Hisse!AA$2:AA$42,MATCH(LARGE(V_Hisse!$AC$2:$AC$42,ROW()-3),V_Hisse!$AC$2:$AC$42,0))</f>
        <v>1</v>
      </c>
    </row>
    <row r="19" spans="1:28" x14ac:dyDescent="0.2">
      <c r="A19">
        <v>16</v>
      </c>
      <c r="B19" s="5" t="str">
        <f>INDEX(V_Hisse!A$2:A$42,MATCH(LARGE(V_Hisse!$AC$2:$AC$42,ROW()-3),V_Hisse!$AC$2:$AC$42,0))</f>
        <v>GL1</v>
      </c>
      <c r="C19" s="5" t="str">
        <f>INDEX(V_Hisse!B$2:B$42,MATCH(LARGE(V_Hisse!$AC$2:$AC$42,ROW()-3),V_Hisse!$AC$2:$AC$42,0))</f>
        <v>Azimut Pyş Birinci Hisse Senedi Fonu (Hisse Senedi Yoğun Fon)</v>
      </c>
      <c r="D19" s="5" t="str">
        <f>INDEX(V_Hisse!C$2:C$42,MATCH(LARGE(V_Hisse!$AC$2:$AC$42,ROW()-3),V_Hisse!$AC$2:$AC$42,0))</f>
        <v>Azimut Portföy</v>
      </c>
      <c r="E19" s="8">
        <f>INDEX(V_Hisse!D$2:D$42,MATCH(LARGE(V_Hisse!$AC$2:$AC$42,ROW()-3),V_Hisse!$AC$2:$AC$42,0))</f>
        <v>3.2024999999999998E-2</v>
      </c>
      <c r="F19" s="9">
        <f>INDEX(V_Hisse!E$2:E$42,MATCH(LARGE(V_Hisse!$AC$2:$AC$42,ROW()-3),V_Hisse!$AC$2:$AC$42,0))</f>
        <v>-1.560193657384767</v>
      </c>
      <c r="G19" s="9">
        <f>INDEX(V_Hisse!F$2:F$42,MATCH(LARGE(V_Hisse!$AC$2:$AC$42,ROW()-3),V_Hisse!$AC$2:$AC$42,0))</f>
        <v>-1.7679496543956841</v>
      </c>
      <c r="H19" s="9">
        <f>INDEX(V_Hisse!G$2:G$42,MATCH(LARGE(V_Hisse!$AC$2:$AC$42,ROW()-3),V_Hisse!$AC$2:$AC$42,0))</f>
        <v>4.8412071183365768</v>
      </c>
      <c r="I19" s="9">
        <f>INDEX(V_Hisse!H$2:H$42,MATCH(LARGE(V_Hisse!$AC$2:$AC$42,ROW()-3),V_Hisse!$AC$2:$AC$42,0))</f>
        <v>22.098534270045509</v>
      </c>
      <c r="J19" s="9">
        <f>INDEX(V_Hisse!I$2:I$42,MATCH(LARGE(V_Hisse!$AC$2:$AC$42,ROW()-3),V_Hisse!$AC$2:$AC$42,0))</f>
        <v>39.738001301319059</v>
      </c>
      <c r="K19" s="10">
        <f>INDEX(V_Hisse!J$2:J$42,MATCH(LARGE(V_Hisse!$AC$2:$AC$42,ROW()-3),V_Hisse!$AC$2:$AC$42,0))</f>
        <v>935</v>
      </c>
      <c r="L19" s="10">
        <f>INDEX(V_Hisse!K$2:K$42,MATCH(LARGE(V_Hisse!$AC$2:$AC$42,ROW()-3),V_Hisse!$AC$2:$AC$42,0))</f>
        <v>925</v>
      </c>
      <c r="M19" s="8">
        <f>INDEX(V_Hisse!L$2:L$42,MATCH(LARGE(V_Hisse!$AC$2:$AC$42,ROW()-3),V_Hisse!$AC$2:$AC$42,0))</f>
        <v>-1.069518716577544E-2</v>
      </c>
      <c r="N19" s="11">
        <f>INDEX(V_Hisse!M$2:M$42,MATCH(LARGE(V_Hisse!$AC$2:$AC$42,ROW()-3),V_Hisse!$AC$2:$AC$42,0))</f>
        <v>1174285445.4300001</v>
      </c>
      <c r="O19" s="11">
        <f>INDEX(V_Hisse!N$2:N$42,MATCH(LARGE(V_Hisse!$AC$2:$AC$42,ROW()-3),V_Hisse!$AC$2:$AC$42,0))</f>
        <v>1268900126.72</v>
      </c>
      <c r="P19" s="8">
        <f>INDEX(V_Hisse!O$2:O$42,MATCH(LARGE(V_Hisse!$AC$2:$AC$42,ROW()-3),V_Hisse!$AC$2:$AC$42,0))</f>
        <v>8.0572131467876673E-2</v>
      </c>
      <c r="Q19" s="9">
        <f>INDEX(V_Hisse!P$2:P$42,MATCH(LARGE(V_Hisse!$AC$2:$AC$42,ROW()-3),V_Hisse!$AC$2:$AC$42,0))</f>
        <v>1.475042717603096</v>
      </c>
      <c r="R19" s="5" t="str">
        <f>INDEX(V_Hisse!Q$2:Q$42,MATCH(LARGE(V_Hisse!$AC$2:$AC$42,ROW()-3),V_Hisse!$AC$2:$AC$42,0))</f>
        <v>Görüyor</v>
      </c>
      <c r="S19" s="8">
        <f>INDEX(V_Hisse!R$2:R$42,MATCH(LARGE(V_Hisse!$AC$2:$AC$42,ROW()-3),V_Hisse!$AC$2:$AC$42,0))</f>
        <v>0</v>
      </c>
      <c r="T19" s="8">
        <f>INDEX(V_Hisse!S$2:S$42,MATCH(LARGE(V_Hisse!$AC$2:$AC$42,ROW()-3),V_Hisse!$AC$2:$AC$42,0))</f>
        <v>2.1999999999999999E-2</v>
      </c>
      <c r="U19" s="8">
        <f>INDEX(V_Hisse!T$2:T$42,MATCH(LARGE(V_Hisse!$AC$2:$AC$42,ROW()-3),V_Hisse!$AC$2:$AC$42,0))</f>
        <v>0</v>
      </c>
      <c r="V19" s="8">
        <f>INDEX(V_Hisse!U$2:U$42,MATCH(LARGE(V_Hisse!$AC$2:$AC$42,ROW()-3),V_Hisse!$AC$2:$AC$42,0))</f>
        <v>0.80120000000000002</v>
      </c>
      <c r="W19" s="8">
        <f>INDEX(V_Hisse!V$2:V$42,MATCH(LARGE(V_Hisse!$AC$2:$AC$42,ROW()-3),V_Hisse!$AC$2:$AC$42,0))</f>
        <v>0</v>
      </c>
      <c r="X19" s="8">
        <f>INDEX(V_Hisse!W$2:W$42,MATCH(LARGE(V_Hisse!$AC$2:$AC$42,ROW()-3),V_Hisse!$AC$2:$AC$42,0))</f>
        <v>0.13070000000000001</v>
      </c>
      <c r="Y19" s="8">
        <f>INDEX(V_Hisse!X$2:X$42,MATCH(LARGE(V_Hisse!$AC$2:$AC$42,ROW()-3),V_Hisse!$AC$2:$AC$42,0))</f>
        <v>0</v>
      </c>
      <c r="Z19" s="8">
        <f>INDEX(V_Hisse!Y$2:Y$42,MATCH(LARGE(V_Hisse!$AC$2:$AC$42,ROW()-3),V_Hisse!$AC$2:$AC$42,0))</f>
        <v>0</v>
      </c>
      <c r="AA19" s="8">
        <f>INDEX(V_Hisse!Z$2:Z$42,MATCH(LARGE(V_Hisse!$AC$2:$AC$42,ROW()-3),V_Hisse!$AC$2:$AC$42,0))</f>
        <v>0</v>
      </c>
      <c r="AB19" s="8">
        <f>INDEX(V_Hisse!AA$2:AA$42,MATCH(LARGE(V_Hisse!$AC$2:$AC$42,ROW()-3),V_Hisse!$AC$2:$AC$42,0))</f>
        <v>0.95390000000000008</v>
      </c>
    </row>
    <row r="20" spans="1:28" x14ac:dyDescent="0.2">
      <c r="A20">
        <v>17</v>
      </c>
      <c r="B20" s="5" t="str">
        <f>INDEX(V_Hisse!A$2:A$42,MATCH(LARGE(V_Hisse!$AC$2:$AC$42,ROW()-3),V_Hisse!$AC$2:$AC$42,0))</f>
        <v>PHI</v>
      </c>
      <c r="C20" s="5" t="str">
        <f>INDEX(V_Hisse!B$2:B$42,MATCH(LARGE(V_Hisse!$AC$2:$AC$42,ROW()-3),V_Hisse!$AC$2:$AC$42,0))</f>
        <v>Piramit Portföy Hisse Senedi Fonu (Hisse Senedi Yoğun Fon)</v>
      </c>
      <c r="D20" s="5" t="str">
        <f>INDEX(V_Hisse!C$2:C$42,MATCH(LARGE(V_Hisse!$AC$2:$AC$42,ROW()-3),V_Hisse!$AC$2:$AC$42,0))</f>
        <v>Piramit Portföy</v>
      </c>
      <c r="E20" s="8">
        <f>INDEX(V_Hisse!D$2:D$42,MATCH(LARGE(V_Hisse!$AC$2:$AC$42,ROW()-3),V_Hisse!$AC$2:$AC$42,0))</f>
        <v>2.3625E-2</v>
      </c>
      <c r="F20" s="9">
        <f>INDEX(V_Hisse!E$2:E$42,MATCH(LARGE(V_Hisse!$AC$2:$AC$42,ROW()-3),V_Hisse!$AC$2:$AC$42,0))</f>
        <v>-1.096543867722477</v>
      </c>
      <c r="G20" s="9">
        <f>INDEX(V_Hisse!F$2:F$42,MATCH(LARGE(V_Hisse!$AC$2:$AC$42,ROW()-3),V_Hisse!$AC$2:$AC$42,0))</f>
        <v>-1.818273972674878</v>
      </c>
      <c r="H20" s="9">
        <f>INDEX(V_Hisse!G$2:G$42,MATCH(LARGE(V_Hisse!$AC$2:$AC$42,ROW()-3),V_Hisse!$AC$2:$AC$42,0))</f>
        <v>-0.28785904666912548</v>
      </c>
      <c r="I20" s="9">
        <f>INDEX(V_Hisse!H$2:H$42,MATCH(LARGE(V_Hisse!$AC$2:$AC$42,ROW()-3),V_Hisse!$AC$2:$AC$42,0))</f>
        <v>26.477663652759961</v>
      </c>
      <c r="J20" s="9">
        <f>INDEX(V_Hisse!I$2:I$42,MATCH(LARGE(V_Hisse!$AC$2:$AC$42,ROW()-3),V_Hisse!$AC$2:$AC$42,0))</f>
        <v>35.781233784794978</v>
      </c>
      <c r="K20" s="10">
        <f>INDEX(V_Hisse!J$2:J$42,MATCH(LARGE(V_Hisse!$AC$2:$AC$42,ROW()-3),V_Hisse!$AC$2:$AC$42,0))</f>
        <v>125</v>
      </c>
      <c r="L20" s="10">
        <f>INDEX(V_Hisse!K$2:K$42,MATCH(LARGE(V_Hisse!$AC$2:$AC$42,ROW()-3),V_Hisse!$AC$2:$AC$42,0))</f>
        <v>113</v>
      </c>
      <c r="M20" s="8">
        <f>INDEX(V_Hisse!L$2:L$42,MATCH(LARGE(V_Hisse!$AC$2:$AC$42,ROW()-3),V_Hisse!$AC$2:$AC$42,0))</f>
        <v>-9.5999999999999974E-2</v>
      </c>
      <c r="N20" s="11">
        <f>INDEX(V_Hisse!M$2:M$42,MATCH(LARGE(V_Hisse!$AC$2:$AC$42,ROW()-3),V_Hisse!$AC$2:$AC$42,0))</f>
        <v>69680111.530000001</v>
      </c>
      <c r="O20" s="11">
        <f>INDEX(V_Hisse!N$2:N$42,MATCH(LARGE(V_Hisse!$AC$2:$AC$42,ROW()-3),V_Hisse!$AC$2:$AC$42,0))</f>
        <v>68998082.799999997</v>
      </c>
      <c r="P20" s="8">
        <f>INDEX(V_Hisse!O$2:O$42,MATCH(LARGE(V_Hisse!$AC$2:$AC$42,ROW()-3),V_Hisse!$AC$2:$AC$42,0))</f>
        <v>-9.7879971059799953E-3</v>
      </c>
      <c r="Q20" s="9">
        <f>INDEX(V_Hisse!P$2:P$42,MATCH(LARGE(V_Hisse!$AC$2:$AC$42,ROW()-3),V_Hisse!$AC$2:$AC$42,0))</f>
        <v>1.0470488364566419</v>
      </c>
      <c r="R20" s="5" t="str">
        <f>INDEX(V_Hisse!Q$2:Q$42,MATCH(LARGE(V_Hisse!$AC$2:$AC$42,ROW()-3),V_Hisse!$AC$2:$AC$42,0))</f>
        <v>Görüyor</v>
      </c>
      <c r="S20" s="8">
        <f>INDEX(V_Hisse!R$2:R$42,MATCH(LARGE(V_Hisse!$AC$2:$AC$42,ROW()-3),V_Hisse!$AC$2:$AC$42,0))</f>
        <v>0</v>
      </c>
      <c r="T20" s="8">
        <f>INDEX(V_Hisse!S$2:S$42,MATCH(LARGE(V_Hisse!$AC$2:$AC$42,ROW()-3),V_Hisse!$AC$2:$AC$42,0))</f>
        <v>8.0000000000000002E-3</v>
      </c>
      <c r="U20" s="8">
        <f>INDEX(V_Hisse!T$2:T$42,MATCH(LARGE(V_Hisse!$AC$2:$AC$42,ROW()-3),V_Hisse!$AC$2:$AC$42,0))</f>
        <v>0</v>
      </c>
      <c r="V20" s="8">
        <f>INDEX(V_Hisse!U$2:U$42,MATCH(LARGE(V_Hisse!$AC$2:$AC$42,ROW()-3),V_Hisse!$AC$2:$AC$42,0))</f>
        <v>0.90469999999999995</v>
      </c>
      <c r="W20" s="8">
        <f>INDEX(V_Hisse!V$2:V$42,MATCH(LARGE(V_Hisse!$AC$2:$AC$42,ROW()-3),V_Hisse!$AC$2:$AC$42,0))</f>
        <v>0</v>
      </c>
      <c r="X20" s="8">
        <f>INDEX(V_Hisse!W$2:W$42,MATCH(LARGE(V_Hisse!$AC$2:$AC$42,ROW()-3),V_Hisse!$AC$2:$AC$42,0))</f>
        <v>8.7300000000000003E-2</v>
      </c>
      <c r="Y20" s="8">
        <f>INDEX(V_Hisse!X$2:X$42,MATCH(LARGE(V_Hisse!$AC$2:$AC$42,ROW()-3),V_Hisse!$AC$2:$AC$42,0))</f>
        <v>0</v>
      </c>
      <c r="Z20" s="8">
        <f>INDEX(V_Hisse!Y$2:Y$42,MATCH(LARGE(V_Hisse!$AC$2:$AC$42,ROW()-3),V_Hisse!$AC$2:$AC$42,0))</f>
        <v>0</v>
      </c>
      <c r="AA20" s="8">
        <f>INDEX(V_Hisse!Z$2:Z$42,MATCH(LARGE(V_Hisse!$AC$2:$AC$42,ROW()-3),V_Hisse!$AC$2:$AC$42,0))</f>
        <v>0</v>
      </c>
      <c r="AB20" s="8">
        <f>INDEX(V_Hisse!AA$2:AA$42,MATCH(LARGE(V_Hisse!$AC$2:$AC$42,ROW()-3),V_Hisse!$AC$2:$AC$42,0))</f>
        <v>1</v>
      </c>
    </row>
    <row r="21" spans="1:28" x14ac:dyDescent="0.2">
      <c r="A21">
        <v>18</v>
      </c>
      <c r="B21" s="5" t="str">
        <f>INDEX(V_Hisse!A$2:A$42,MATCH(LARGE(V_Hisse!$AC$2:$AC$42,ROW()-3),V_Hisse!$AC$2:$AC$42,0))</f>
        <v>TI2</v>
      </c>
      <c r="C21" s="5" t="str">
        <f>INDEX(V_Hisse!B$2:B$42,MATCH(LARGE(V_Hisse!$AC$2:$AC$42,ROW()-3),V_Hisse!$AC$2:$AC$42,0))</f>
        <v>İŞ Portföy Hisse Senedi (TL) Fonu (Hisse Senedi Yoğun Fon)</v>
      </c>
      <c r="D21" s="5" t="str">
        <f>INDEX(V_Hisse!C$2:C$42,MATCH(LARGE(V_Hisse!$AC$2:$AC$42,ROW()-3),V_Hisse!$AC$2:$AC$42,0))</f>
        <v>İŞ Portföy</v>
      </c>
      <c r="E21" s="8">
        <f>INDEX(V_Hisse!D$2:D$42,MATCH(LARGE(V_Hisse!$AC$2:$AC$42,ROW()-3),V_Hisse!$AC$2:$AC$42,0))</f>
        <v>3.2000000000000001E-2</v>
      </c>
      <c r="F21" s="9">
        <f>INDEX(V_Hisse!E$2:E$42,MATCH(LARGE(V_Hisse!$AC$2:$AC$42,ROW()-3),V_Hisse!$AC$2:$AC$42,0))</f>
        <v>-1.0049261083743819</v>
      </c>
      <c r="G21" s="9">
        <f>INDEX(V_Hisse!F$2:F$42,MATCH(LARGE(V_Hisse!$AC$2:$AC$42,ROW()-3),V_Hisse!$AC$2:$AC$42,0))</f>
        <v>-1.84509342690351</v>
      </c>
      <c r="H21" s="9">
        <f>INDEX(V_Hisse!G$2:G$42,MATCH(LARGE(V_Hisse!$AC$2:$AC$42,ROW()-3),V_Hisse!$AC$2:$AC$42,0))</f>
        <v>1.035138987315332E-2</v>
      </c>
      <c r="I21" s="9">
        <f>INDEX(V_Hisse!H$2:H$42,MATCH(LARGE(V_Hisse!$AC$2:$AC$42,ROW()-3),V_Hisse!$AC$2:$AC$42,0))</f>
        <v>14.48885647873843</v>
      </c>
      <c r="J21" s="9">
        <f>INDEX(V_Hisse!I$2:I$42,MATCH(LARGE(V_Hisse!$AC$2:$AC$42,ROW()-3),V_Hisse!$AC$2:$AC$42,0))</f>
        <v>19.402985074626859</v>
      </c>
      <c r="K21" s="10">
        <f>INDEX(V_Hisse!J$2:J$42,MATCH(LARGE(V_Hisse!$AC$2:$AC$42,ROW()-3),V_Hisse!$AC$2:$AC$42,0))</f>
        <v>21959</v>
      </c>
      <c r="L21" s="10">
        <f>INDEX(V_Hisse!K$2:K$42,MATCH(LARGE(V_Hisse!$AC$2:$AC$42,ROW()-3),V_Hisse!$AC$2:$AC$42,0))</f>
        <v>21188</v>
      </c>
      <c r="M21" s="8">
        <f>INDEX(V_Hisse!L$2:L$42,MATCH(LARGE(V_Hisse!$AC$2:$AC$42,ROW()-3),V_Hisse!$AC$2:$AC$42,0))</f>
        <v>-3.5110888473974262E-2</v>
      </c>
      <c r="N21" s="11">
        <f>INDEX(V_Hisse!M$2:M$42,MATCH(LARGE(V_Hisse!$AC$2:$AC$42,ROW()-3),V_Hisse!$AC$2:$AC$42,0))</f>
        <v>3729291288.75</v>
      </c>
      <c r="O21" s="11">
        <f>INDEX(V_Hisse!N$2:N$42,MATCH(LARGE(V_Hisse!$AC$2:$AC$42,ROW()-3),V_Hisse!$AC$2:$AC$42,0))</f>
        <v>3535183452.1500001</v>
      </c>
      <c r="P21" s="8">
        <f>INDEX(V_Hisse!O$2:O$42,MATCH(LARGE(V_Hisse!$AC$2:$AC$42,ROW()-3),V_Hisse!$AC$2:$AC$42,0))</f>
        <v>-5.2049524043765949E-2</v>
      </c>
      <c r="Q21" s="9">
        <f>INDEX(V_Hisse!P$2:P$42,MATCH(LARGE(V_Hisse!$AC$2:$AC$42,ROW()-3),V_Hisse!$AC$2:$AC$42,0))</f>
        <v>1.3369706372846339</v>
      </c>
      <c r="R21" s="5" t="str">
        <f>INDEX(V_Hisse!Q$2:Q$42,MATCH(LARGE(V_Hisse!$AC$2:$AC$42,ROW()-3),V_Hisse!$AC$2:$AC$42,0))</f>
        <v>Görüyor</v>
      </c>
      <c r="S21" s="8">
        <f>INDEX(V_Hisse!R$2:R$42,MATCH(LARGE(V_Hisse!$AC$2:$AC$42,ROW()-3),V_Hisse!$AC$2:$AC$42,0))</f>
        <v>0</v>
      </c>
      <c r="T21" s="8">
        <f>INDEX(V_Hisse!S$2:S$42,MATCH(LARGE(V_Hisse!$AC$2:$AC$42,ROW()-3),V_Hisse!$AC$2:$AC$42,0))</f>
        <v>2.1100000000000001E-2</v>
      </c>
      <c r="U21" s="8">
        <f>INDEX(V_Hisse!T$2:T$42,MATCH(LARGE(V_Hisse!$AC$2:$AC$42,ROW()-3),V_Hisse!$AC$2:$AC$42,0))</f>
        <v>2.4400000000000002E-2</v>
      </c>
      <c r="V21" s="8">
        <f>INDEX(V_Hisse!U$2:U$42,MATCH(LARGE(V_Hisse!$AC$2:$AC$42,ROW()-3),V_Hisse!$AC$2:$AC$42,0))</f>
        <v>0.93799999999999994</v>
      </c>
      <c r="W21" s="8">
        <f>INDEX(V_Hisse!V$2:V$42,MATCH(LARGE(V_Hisse!$AC$2:$AC$42,ROW()-3),V_Hisse!$AC$2:$AC$42,0))</f>
        <v>0</v>
      </c>
      <c r="X21" s="8">
        <f>INDEX(V_Hisse!W$2:W$42,MATCH(LARGE(V_Hisse!$AC$2:$AC$42,ROW()-3),V_Hisse!$AC$2:$AC$42,0))</f>
        <v>1.6500000000000001E-2</v>
      </c>
      <c r="Y21" s="8">
        <f>INDEX(V_Hisse!X$2:X$42,MATCH(LARGE(V_Hisse!$AC$2:$AC$42,ROW()-3),V_Hisse!$AC$2:$AC$42,0))</f>
        <v>0</v>
      </c>
      <c r="Z21" s="8">
        <f>INDEX(V_Hisse!Y$2:Y$42,MATCH(LARGE(V_Hisse!$AC$2:$AC$42,ROW()-3),V_Hisse!$AC$2:$AC$42,0))</f>
        <v>0</v>
      </c>
      <c r="AA21" s="8">
        <f>INDEX(V_Hisse!Z$2:Z$42,MATCH(LARGE(V_Hisse!$AC$2:$AC$42,ROW()-3),V_Hisse!$AC$2:$AC$42,0))</f>
        <v>0</v>
      </c>
      <c r="AB21" s="8">
        <f>INDEX(V_Hisse!AA$2:AA$42,MATCH(LARGE(V_Hisse!$AC$2:$AC$42,ROW()-3),V_Hisse!$AC$2:$AC$42,0))</f>
        <v>0.99999999999999989</v>
      </c>
    </row>
    <row r="22" spans="1:28" x14ac:dyDescent="0.2">
      <c r="A22">
        <v>19</v>
      </c>
      <c r="B22" s="5" t="str">
        <f>INDEX(V_Hisse!A$2:A$42,MATCH(LARGE(V_Hisse!$AC$2:$AC$42,ROW()-3),V_Hisse!$AC$2:$AC$42,0))</f>
        <v>YHS</v>
      </c>
      <c r="C22" s="5" t="str">
        <f>INDEX(V_Hisse!B$2:B$42,MATCH(LARGE(V_Hisse!$AC$2:$AC$42,ROW()-3),V_Hisse!$AC$2:$AC$42,0))</f>
        <v>Yapı Kredi Portföy Birinci Hisse Senedi Fonu (Hisse Senedi Yoğun Fon)</v>
      </c>
      <c r="D22" s="5" t="str">
        <f>INDEX(V_Hisse!C$2:C$42,MATCH(LARGE(V_Hisse!$AC$2:$AC$42,ROW()-3),V_Hisse!$AC$2:$AC$42,0))</f>
        <v>Yapı Kredi Portföy</v>
      </c>
      <c r="E22" s="8">
        <f>INDEX(V_Hisse!D$2:D$42,MATCH(LARGE(V_Hisse!$AC$2:$AC$42,ROW()-3),V_Hisse!$AC$2:$AC$42,0))</f>
        <v>3.4499799999999997E-2</v>
      </c>
      <c r="F22" s="9">
        <f>INDEX(V_Hisse!E$2:E$42,MATCH(LARGE(V_Hisse!$AC$2:$AC$42,ROW()-3),V_Hisse!$AC$2:$AC$42,0))</f>
        <v>-1.0330832249555</v>
      </c>
      <c r="G22" s="9">
        <f>INDEX(V_Hisse!F$2:F$42,MATCH(LARGE(V_Hisse!$AC$2:$AC$42,ROW()-3),V_Hisse!$AC$2:$AC$42,0))</f>
        <v>-1.854744425092447</v>
      </c>
      <c r="H22" s="9">
        <f>INDEX(V_Hisse!G$2:G$42,MATCH(LARGE(V_Hisse!$AC$2:$AC$42,ROW()-3),V_Hisse!$AC$2:$AC$42,0))</f>
        <v>1.5593444525377591</v>
      </c>
      <c r="I22" s="9">
        <f>INDEX(V_Hisse!H$2:H$42,MATCH(LARGE(V_Hisse!$AC$2:$AC$42,ROW()-3),V_Hisse!$AC$2:$AC$42,0))</f>
        <v>18.89854295984701</v>
      </c>
      <c r="J22" s="9">
        <f>INDEX(V_Hisse!I$2:I$42,MATCH(LARGE(V_Hisse!$AC$2:$AC$42,ROW()-3),V_Hisse!$AC$2:$AC$42,0))</f>
        <v>23.434936488636389</v>
      </c>
      <c r="K22" s="10">
        <f>INDEX(V_Hisse!J$2:J$42,MATCH(LARGE(V_Hisse!$AC$2:$AC$42,ROW()-3),V_Hisse!$AC$2:$AC$42,0))</f>
        <v>8628</v>
      </c>
      <c r="L22" s="10">
        <f>INDEX(V_Hisse!K$2:K$42,MATCH(LARGE(V_Hisse!$AC$2:$AC$42,ROW()-3),V_Hisse!$AC$2:$AC$42,0))</f>
        <v>8493</v>
      </c>
      <c r="M22" s="8">
        <f>INDEX(V_Hisse!L$2:L$42,MATCH(LARGE(V_Hisse!$AC$2:$AC$42,ROW()-3),V_Hisse!$AC$2:$AC$42,0))</f>
        <v>-1.5646731571627211E-2</v>
      </c>
      <c r="N22" s="11">
        <f>INDEX(V_Hisse!M$2:M$42,MATCH(LARGE(V_Hisse!$AC$2:$AC$42,ROW()-3),V_Hisse!$AC$2:$AC$42,0))</f>
        <v>3571203530.0599999</v>
      </c>
      <c r="O22" s="11">
        <f>INDEX(V_Hisse!N$2:N$42,MATCH(LARGE(V_Hisse!$AC$2:$AC$42,ROW()-3),V_Hisse!$AC$2:$AC$42,0))</f>
        <v>2986149499.9000001</v>
      </c>
      <c r="P22" s="8">
        <f>INDEX(V_Hisse!O$2:O$42,MATCH(LARGE(V_Hisse!$AC$2:$AC$42,ROW()-3),V_Hisse!$AC$2:$AC$42,0))</f>
        <v>-0.16382545134585769</v>
      </c>
      <c r="Q22" s="9">
        <f>INDEX(V_Hisse!P$2:P$42,MATCH(LARGE(V_Hisse!$AC$2:$AC$42,ROW()-3),V_Hisse!$AC$2:$AC$42,0))</f>
        <v>1.325485937379475</v>
      </c>
      <c r="R22" s="5" t="str">
        <f>INDEX(V_Hisse!Q$2:Q$42,MATCH(LARGE(V_Hisse!$AC$2:$AC$42,ROW()-3),V_Hisse!$AC$2:$AC$42,0))</f>
        <v>Görüyor</v>
      </c>
      <c r="S22" s="8">
        <f>INDEX(V_Hisse!R$2:R$42,MATCH(LARGE(V_Hisse!$AC$2:$AC$42,ROW()-3),V_Hisse!$AC$2:$AC$42,0))</f>
        <v>0</v>
      </c>
      <c r="T22" s="8">
        <f>INDEX(V_Hisse!S$2:S$42,MATCH(LARGE(V_Hisse!$AC$2:$AC$42,ROW()-3),V_Hisse!$AC$2:$AC$42,0))</f>
        <v>2.5600000000000001E-2</v>
      </c>
      <c r="U22" s="8">
        <f>INDEX(V_Hisse!T$2:T$42,MATCH(LARGE(V_Hisse!$AC$2:$AC$42,ROW()-3),V_Hisse!$AC$2:$AC$42,0))</f>
        <v>0</v>
      </c>
      <c r="V22" s="8">
        <f>INDEX(V_Hisse!U$2:U$42,MATCH(LARGE(V_Hisse!$AC$2:$AC$42,ROW()-3),V_Hisse!$AC$2:$AC$42,0))</f>
        <v>0.89800000000000002</v>
      </c>
      <c r="W22" s="8">
        <f>INDEX(V_Hisse!V$2:V$42,MATCH(LARGE(V_Hisse!$AC$2:$AC$42,ROW()-3),V_Hisse!$AC$2:$AC$42,0))</f>
        <v>3.5700000000000003E-2</v>
      </c>
      <c r="X22" s="8">
        <f>INDEX(V_Hisse!W$2:W$42,MATCH(LARGE(V_Hisse!$AC$2:$AC$42,ROW()-3),V_Hisse!$AC$2:$AC$42,0))</f>
        <v>4.07E-2</v>
      </c>
      <c r="Y22" s="8">
        <f>INDEX(V_Hisse!X$2:X$42,MATCH(LARGE(V_Hisse!$AC$2:$AC$42,ROW()-3),V_Hisse!$AC$2:$AC$42,0))</f>
        <v>0</v>
      </c>
      <c r="Z22" s="8">
        <f>INDEX(V_Hisse!Y$2:Y$42,MATCH(LARGE(V_Hisse!$AC$2:$AC$42,ROW()-3),V_Hisse!$AC$2:$AC$42,0))</f>
        <v>0</v>
      </c>
      <c r="AA22" s="8">
        <f>INDEX(V_Hisse!Z$2:Z$42,MATCH(LARGE(V_Hisse!$AC$2:$AC$42,ROW()-3),V_Hisse!$AC$2:$AC$42,0))</f>
        <v>0</v>
      </c>
      <c r="AB22" s="8">
        <f>INDEX(V_Hisse!AA$2:AA$42,MATCH(LARGE(V_Hisse!$AC$2:$AC$42,ROW()-3),V_Hisse!$AC$2:$AC$42,0))</f>
        <v>1</v>
      </c>
    </row>
    <row r="23" spans="1:28" x14ac:dyDescent="0.2">
      <c r="A23">
        <v>20</v>
      </c>
      <c r="B23" s="5" t="str">
        <f>INDEX(V_Hisse!A$2:A$42,MATCH(LARGE(V_Hisse!$AC$2:$AC$42,ROW()-3),V_Hisse!$AC$2:$AC$42,0))</f>
        <v>OHB</v>
      </c>
      <c r="C23" s="5" t="str">
        <f>INDEX(V_Hisse!B$2:B$42,MATCH(LARGE(V_Hisse!$AC$2:$AC$42,ROW()-3),V_Hisse!$AC$2:$AC$42,0))</f>
        <v>Oyak Portföy Birinci Hisse Senedi (TL) Fonu (Hisse Senedi Yoğun Fon)</v>
      </c>
      <c r="D23" s="5" t="str">
        <f>INDEX(V_Hisse!C$2:C$42,MATCH(LARGE(V_Hisse!$AC$2:$AC$42,ROW()-3),V_Hisse!$AC$2:$AC$42,0))</f>
        <v>Oyak Portföy</v>
      </c>
      <c r="E23" s="8">
        <f>INDEX(V_Hisse!D$2:D$42,MATCH(LARGE(V_Hisse!$AC$2:$AC$42,ROW()-3),V_Hisse!$AC$2:$AC$42,0))</f>
        <v>2.0001999999999999E-2</v>
      </c>
      <c r="F23" s="9">
        <f>INDEX(V_Hisse!E$2:E$42,MATCH(LARGE(V_Hisse!$AC$2:$AC$42,ROW()-3),V_Hisse!$AC$2:$AC$42,0))</f>
        <v>-0.99606237085068106</v>
      </c>
      <c r="G23" s="9">
        <f>INDEX(V_Hisse!F$2:F$42,MATCH(LARGE(V_Hisse!$AC$2:$AC$42,ROW()-3),V_Hisse!$AC$2:$AC$42,0))</f>
        <v>-1.8840558442211659</v>
      </c>
      <c r="H23" s="9">
        <f>INDEX(V_Hisse!G$2:G$42,MATCH(LARGE(V_Hisse!$AC$2:$AC$42,ROW()-3),V_Hisse!$AC$2:$AC$42,0))</f>
        <v>1.3373803926881369</v>
      </c>
      <c r="I23" s="9">
        <f>INDEX(V_Hisse!H$2:H$42,MATCH(LARGE(V_Hisse!$AC$2:$AC$42,ROW()-3),V_Hisse!$AC$2:$AC$42,0))</f>
        <v>18.668236404176142</v>
      </c>
      <c r="J23" s="9">
        <f>INDEX(V_Hisse!I$2:I$42,MATCH(LARGE(V_Hisse!$AC$2:$AC$42,ROW()-3),V_Hisse!$AC$2:$AC$42,0))</f>
        <v>25.389616550030979</v>
      </c>
      <c r="K23" s="10">
        <f>INDEX(V_Hisse!J$2:J$42,MATCH(LARGE(V_Hisse!$AC$2:$AC$42,ROW()-3),V_Hisse!$AC$2:$AC$42,0))</f>
        <v>1110</v>
      </c>
      <c r="L23" s="10">
        <f>INDEX(V_Hisse!K$2:K$42,MATCH(LARGE(V_Hisse!$AC$2:$AC$42,ROW()-3),V_Hisse!$AC$2:$AC$42,0))</f>
        <v>1073</v>
      </c>
      <c r="M23" s="8">
        <f>INDEX(V_Hisse!L$2:L$42,MATCH(LARGE(V_Hisse!$AC$2:$AC$42,ROW()-3),V_Hisse!$AC$2:$AC$42,0))</f>
        <v>-3.3333333333333333E-2</v>
      </c>
      <c r="N23" s="11">
        <f>INDEX(V_Hisse!M$2:M$42,MATCH(LARGE(V_Hisse!$AC$2:$AC$42,ROW()-3),V_Hisse!$AC$2:$AC$42,0))</f>
        <v>1381842627.26</v>
      </c>
      <c r="O23" s="11">
        <f>INDEX(V_Hisse!N$2:N$42,MATCH(LARGE(V_Hisse!$AC$2:$AC$42,ROW()-3),V_Hisse!$AC$2:$AC$42,0))</f>
        <v>1347533274.4200001</v>
      </c>
      <c r="P23" s="8">
        <f>INDEX(V_Hisse!O$2:O$42,MATCH(LARGE(V_Hisse!$AC$2:$AC$42,ROW()-3),V_Hisse!$AC$2:$AC$42,0))</f>
        <v>-2.482869768464924E-2</v>
      </c>
      <c r="Q23" s="9">
        <f>INDEX(V_Hisse!P$2:P$42,MATCH(LARGE(V_Hisse!$AC$2:$AC$42,ROW()-3),V_Hisse!$AC$2:$AC$42,0))</f>
        <v>1.239817006725088</v>
      </c>
      <c r="R23" s="5" t="str">
        <f>INDEX(V_Hisse!Q$2:Q$42,MATCH(LARGE(V_Hisse!$AC$2:$AC$42,ROW()-3),V_Hisse!$AC$2:$AC$42,0))</f>
        <v>Görüyor</v>
      </c>
      <c r="S23" s="8">
        <f>INDEX(V_Hisse!R$2:R$42,MATCH(LARGE(V_Hisse!$AC$2:$AC$42,ROW()-3),V_Hisse!$AC$2:$AC$42,0))</f>
        <v>0</v>
      </c>
      <c r="T23" s="8">
        <f>INDEX(V_Hisse!S$2:S$42,MATCH(LARGE(V_Hisse!$AC$2:$AC$42,ROW()-3),V_Hisse!$AC$2:$AC$42,0))</f>
        <v>1.4999999999999999E-2</v>
      </c>
      <c r="U23" s="8">
        <f>INDEX(V_Hisse!T$2:T$42,MATCH(LARGE(V_Hisse!$AC$2:$AC$42,ROW()-3),V_Hisse!$AC$2:$AC$42,0))</f>
        <v>4.7800000000000002E-2</v>
      </c>
      <c r="V23" s="8">
        <f>INDEX(V_Hisse!U$2:U$42,MATCH(LARGE(V_Hisse!$AC$2:$AC$42,ROW()-3),V_Hisse!$AC$2:$AC$42,0))</f>
        <v>0.91790000000000005</v>
      </c>
      <c r="W23" s="8">
        <f>INDEX(V_Hisse!V$2:V$42,MATCH(LARGE(V_Hisse!$AC$2:$AC$42,ROW()-3),V_Hisse!$AC$2:$AC$42,0))</f>
        <v>2.9999999999999997E-4</v>
      </c>
      <c r="X23" s="8">
        <f>INDEX(V_Hisse!W$2:W$42,MATCH(LARGE(V_Hisse!$AC$2:$AC$42,ROW()-3),V_Hisse!$AC$2:$AC$42,0))</f>
        <v>0</v>
      </c>
      <c r="Y23" s="8">
        <f>INDEX(V_Hisse!X$2:X$42,MATCH(LARGE(V_Hisse!$AC$2:$AC$42,ROW()-3),V_Hisse!$AC$2:$AC$42,0))</f>
        <v>0</v>
      </c>
      <c r="Z23" s="8">
        <f>INDEX(V_Hisse!Y$2:Y$42,MATCH(LARGE(V_Hisse!$AC$2:$AC$42,ROW()-3),V_Hisse!$AC$2:$AC$42,0))</f>
        <v>0</v>
      </c>
      <c r="AA23" s="8">
        <f>INDEX(V_Hisse!Z$2:Z$42,MATCH(LARGE(V_Hisse!$AC$2:$AC$42,ROW()-3),V_Hisse!$AC$2:$AC$42,0))</f>
        <v>0</v>
      </c>
      <c r="AB23" s="8">
        <f>INDEX(V_Hisse!AA$2:AA$42,MATCH(LARGE(V_Hisse!$AC$2:$AC$42,ROW()-3),V_Hisse!$AC$2:$AC$42,0))</f>
        <v>0.98100000000000009</v>
      </c>
    </row>
    <row r="24" spans="1:28" x14ac:dyDescent="0.2">
      <c r="A24">
        <v>21</v>
      </c>
      <c r="B24" s="5" t="str">
        <f>INDEX(V_Hisse!A$2:A$42,MATCH(LARGE(V_Hisse!$AC$2:$AC$42,ROW()-3),V_Hisse!$AC$2:$AC$42,0))</f>
        <v>TYH</v>
      </c>
      <c r="C24" s="5" t="str">
        <f>INDEX(V_Hisse!B$2:B$42,MATCH(LARGE(V_Hisse!$AC$2:$AC$42,ROW()-3),V_Hisse!$AC$2:$AC$42,0))</f>
        <v>Teb Portföy Hisse Senedi Fonu (Hisse Senedi Yoğun Fon)</v>
      </c>
      <c r="D24" s="5" t="str">
        <f>INDEX(V_Hisse!C$2:C$42,MATCH(LARGE(V_Hisse!$AC$2:$AC$42,ROW()-3),V_Hisse!$AC$2:$AC$42,0))</f>
        <v>Teb Portföy</v>
      </c>
      <c r="E24" s="8">
        <f>INDEX(V_Hisse!D$2:D$42,MATCH(LARGE(V_Hisse!$AC$2:$AC$42,ROW()-3),V_Hisse!$AC$2:$AC$42,0))</f>
        <v>3.2000000000000001E-2</v>
      </c>
      <c r="F24" s="9">
        <f>INDEX(V_Hisse!E$2:E$42,MATCH(LARGE(V_Hisse!$AC$2:$AC$42,ROW()-3),V_Hisse!$AC$2:$AC$42,0))</f>
        <v>-1.320368288966689</v>
      </c>
      <c r="G24" s="9">
        <f>INDEX(V_Hisse!F$2:F$42,MATCH(LARGE(V_Hisse!$AC$2:$AC$42,ROW()-3),V_Hisse!$AC$2:$AC$42,0))</f>
        <v>-1.9466607727215759</v>
      </c>
      <c r="H24" s="9">
        <f>INDEX(V_Hisse!G$2:G$42,MATCH(LARGE(V_Hisse!$AC$2:$AC$42,ROW()-3),V_Hisse!$AC$2:$AC$42,0))</f>
        <v>1.566406508617679</v>
      </c>
      <c r="I24" s="9">
        <f>INDEX(V_Hisse!H$2:H$42,MATCH(LARGE(V_Hisse!$AC$2:$AC$42,ROW()-3),V_Hisse!$AC$2:$AC$42,0))</f>
        <v>13.903809389401539</v>
      </c>
      <c r="J24" s="9">
        <f>INDEX(V_Hisse!I$2:I$42,MATCH(LARGE(V_Hisse!$AC$2:$AC$42,ROW()-3),V_Hisse!$AC$2:$AC$42,0))</f>
        <v>15.89952536664418</v>
      </c>
      <c r="K24" s="10">
        <f>INDEX(V_Hisse!J$2:J$42,MATCH(LARGE(V_Hisse!$AC$2:$AC$42,ROW()-3),V_Hisse!$AC$2:$AC$42,0))</f>
        <v>6706</v>
      </c>
      <c r="L24" s="10">
        <f>INDEX(V_Hisse!K$2:K$42,MATCH(LARGE(V_Hisse!$AC$2:$AC$42,ROW()-3),V_Hisse!$AC$2:$AC$42,0))</f>
        <v>6507</v>
      </c>
      <c r="M24" s="8">
        <f>INDEX(V_Hisse!L$2:L$42,MATCH(LARGE(V_Hisse!$AC$2:$AC$42,ROW()-3),V_Hisse!$AC$2:$AC$42,0))</f>
        <v>-2.9674917983894988E-2</v>
      </c>
      <c r="N24" s="11">
        <f>INDEX(V_Hisse!M$2:M$42,MATCH(LARGE(V_Hisse!$AC$2:$AC$42,ROW()-3),V_Hisse!$AC$2:$AC$42,0))</f>
        <v>1465134932.28</v>
      </c>
      <c r="O24" s="11">
        <f>INDEX(V_Hisse!N$2:N$42,MATCH(LARGE(V_Hisse!$AC$2:$AC$42,ROW()-3),V_Hisse!$AC$2:$AC$42,0))</f>
        <v>1175514146.6700001</v>
      </c>
      <c r="P24" s="8">
        <f>INDEX(V_Hisse!O$2:O$42,MATCH(LARGE(V_Hisse!$AC$2:$AC$42,ROW()-3),V_Hisse!$AC$2:$AC$42,0))</f>
        <v>-0.19767516235470581</v>
      </c>
      <c r="Q24" s="9">
        <f>INDEX(V_Hisse!P$2:P$42,MATCH(LARGE(V_Hisse!$AC$2:$AC$42,ROW()-3),V_Hisse!$AC$2:$AC$42,0))</f>
        <v>1.382700545190972</v>
      </c>
      <c r="R24" s="5" t="str">
        <f>INDEX(V_Hisse!Q$2:Q$42,MATCH(LARGE(V_Hisse!$AC$2:$AC$42,ROW()-3),V_Hisse!$AC$2:$AC$42,0))</f>
        <v>Görüyor</v>
      </c>
      <c r="S24" s="8">
        <f>INDEX(V_Hisse!R$2:R$42,MATCH(LARGE(V_Hisse!$AC$2:$AC$42,ROW()-3),V_Hisse!$AC$2:$AC$42,0))</f>
        <v>2.0000000000000001E-4</v>
      </c>
      <c r="T24" s="8">
        <f>INDEX(V_Hisse!S$2:S$42,MATCH(LARGE(V_Hisse!$AC$2:$AC$42,ROW()-3),V_Hisse!$AC$2:$AC$42,0))</f>
        <v>1E-4</v>
      </c>
      <c r="U24" s="8">
        <f>INDEX(V_Hisse!T$2:T$42,MATCH(LARGE(V_Hisse!$AC$2:$AC$42,ROW()-3),V_Hisse!$AC$2:$AC$42,0))</f>
        <v>0</v>
      </c>
      <c r="V24" s="8">
        <f>INDEX(V_Hisse!U$2:U$42,MATCH(LARGE(V_Hisse!$AC$2:$AC$42,ROW()-3),V_Hisse!$AC$2:$AC$42,0))</f>
        <v>0.99970000000000003</v>
      </c>
      <c r="W24" s="8">
        <f>INDEX(V_Hisse!V$2:V$42,MATCH(LARGE(V_Hisse!$AC$2:$AC$42,ROW()-3),V_Hisse!$AC$2:$AC$42,0))</f>
        <v>0</v>
      </c>
      <c r="X24" s="8">
        <f>INDEX(V_Hisse!W$2:W$42,MATCH(LARGE(V_Hisse!$AC$2:$AC$42,ROW()-3),V_Hisse!$AC$2:$AC$42,0))</f>
        <v>0</v>
      </c>
      <c r="Y24" s="8">
        <f>INDEX(V_Hisse!X$2:X$42,MATCH(LARGE(V_Hisse!$AC$2:$AC$42,ROW()-3),V_Hisse!$AC$2:$AC$42,0))</f>
        <v>0</v>
      </c>
      <c r="Z24" s="8">
        <f>INDEX(V_Hisse!Y$2:Y$42,MATCH(LARGE(V_Hisse!$AC$2:$AC$42,ROW()-3),V_Hisse!$AC$2:$AC$42,0))</f>
        <v>0</v>
      </c>
      <c r="AA24" s="8">
        <f>INDEX(V_Hisse!Z$2:Z$42,MATCH(LARGE(V_Hisse!$AC$2:$AC$42,ROW()-3),V_Hisse!$AC$2:$AC$42,0))</f>
        <v>0</v>
      </c>
      <c r="AB24" s="8">
        <f>INDEX(V_Hisse!AA$2:AA$42,MATCH(LARGE(V_Hisse!$AC$2:$AC$42,ROW()-3),V_Hisse!$AC$2:$AC$42,0))</f>
        <v>1</v>
      </c>
    </row>
    <row r="25" spans="1:28" x14ac:dyDescent="0.2">
      <c r="A25">
        <v>22</v>
      </c>
      <c r="B25" s="5" t="str">
        <f>INDEX(V_Hisse!A$2:A$42,MATCH(LARGE(V_Hisse!$AC$2:$AC$42,ROW()-3),V_Hisse!$AC$2:$AC$42,0))</f>
        <v>TZD</v>
      </c>
      <c r="C25" s="5" t="str">
        <f>INDEX(V_Hisse!B$2:B$42,MATCH(LARGE(V_Hisse!$AC$2:$AC$42,ROW()-3),V_Hisse!$AC$2:$AC$42,0))</f>
        <v>Ziraat Portföy Hisse Senedi Fonu (Hisse Senedi Yoğun Fon)</v>
      </c>
      <c r="D25" s="5" t="str">
        <f>INDEX(V_Hisse!C$2:C$42,MATCH(LARGE(V_Hisse!$AC$2:$AC$42,ROW()-3),V_Hisse!$AC$2:$AC$42,0))</f>
        <v>Ziraat Portföy</v>
      </c>
      <c r="E25" s="8">
        <f>INDEX(V_Hisse!D$2:D$42,MATCH(LARGE(V_Hisse!$AC$2:$AC$42,ROW()-3),V_Hisse!$AC$2:$AC$42,0))</f>
        <v>2.75E-2</v>
      </c>
      <c r="F25" s="9">
        <f>INDEX(V_Hisse!E$2:E$42,MATCH(LARGE(V_Hisse!$AC$2:$AC$42,ROW()-3),V_Hisse!$AC$2:$AC$42,0))</f>
        <v>-0.80632113176110076</v>
      </c>
      <c r="G25" s="9">
        <f>INDEX(V_Hisse!F$2:F$42,MATCH(LARGE(V_Hisse!$AC$2:$AC$42,ROW()-3),V_Hisse!$AC$2:$AC$42,0))</f>
        <v>-1.9920356382585269</v>
      </c>
      <c r="H25" s="9">
        <f>INDEX(V_Hisse!G$2:G$42,MATCH(LARGE(V_Hisse!$AC$2:$AC$42,ROW()-3),V_Hisse!$AC$2:$AC$42,0))</f>
        <v>0.54766752238837313</v>
      </c>
      <c r="I25" s="9">
        <f>INDEX(V_Hisse!H$2:H$42,MATCH(LARGE(V_Hisse!$AC$2:$AC$42,ROW()-3),V_Hisse!$AC$2:$AC$42,0))</f>
        <v>17.00366582870689</v>
      </c>
      <c r="J25" s="9">
        <f>INDEX(V_Hisse!I$2:I$42,MATCH(LARGE(V_Hisse!$AC$2:$AC$42,ROW()-3),V_Hisse!$AC$2:$AC$42,0))</f>
        <v>25.216292361957748</v>
      </c>
      <c r="K25" s="10">
        <f>INDEX(V_Hisse!J$2:J$42,MATCH(LARGE(V_Hisse!$AC$2:$AC$42,ROW()-3),V_Hisse!$AC$2:$AC$42,0))</f>
        <v>8045</v>
      </c>
      <c r="L25" s="10">
        <f>INDEX(V_Hisse!K$2:K$42,MATCH(LARGE(V_Hisse!$AC$2:$AC$42,ROW()-3),V_Hisse!$AC$2:$AC$42,0))</f>
        <v>7952</v>
      </c>
      <c r="M25" s="8">
        <f>INDEX(V_Hisse!L$2:L$42,MATCH(LARGE(V_Hisse!$AC$2:$AC$42,ROW()-3),V_Hisse!$AC$2:$AC$42,0))</f>
        <v>-1.155997513983842E-2</v>
      </c>
      <c r="N25" s="11">
        <f>INDEX(V_Hisse!M$2:M$42,MATCH(LARGE(V_Hisse!$AC$2:$AC$42,ROW()-3),V_Hisse!$AC$2:$AC$42,0))</f>
        <v>909764511.38</v>
      </c>
      <c r="O25" s="11">
        <f>INDEX(V_Hisse!N$2:N$42,MATCH(LARGE(V_Hisse!$AC$2:$AC$42,ROW()-3),V_Hisse!$AC$2:$AC$42,0))</f>
        <v>626089051.42999995</v>
      </c>
      <c r="P25" s="8">
        <f>INDEX(V_Hisse!O$2:O$42,MATCH(LARGE(V_Hisse!$AC$2:$AC$42,ROW()-3),V_Hisse!$AC$2:$AC$42,0))</f>
        <v>-0.31181196496629621</v>
      </c>
      <c r="Q25" s="9">
        <f>INDEX(V_Hisse!P$2:P$42,MATCH(LARGE(V_Hisse!$AC$2:$AC$42,ROW()-3),V_Hisse!$AC$2:$AC$42,0))</f>
        <v>1.4381317204210551</v>
      </c>
      <c r="R25" s="5" t="str">
        <f>INDEX(V_Hisse!Q$2:Q$42,MATCH(LARGE(V_Hisse!$AC$2:$AC$42,ROW()-3),V_Hisse!$AC$2:$AC$42,0))</f>
        <v>Görüyor</v>
      </c>
      <c r="S25" s="8">
        <f>INDEX(V_Hisse!R$2:R$42,MATCH(LARGE(V_Hisse!$AC$2:$AC$42,ROW()-3),V_Hisse!$AC$2:$AC$42,0))</f>
        <v>0</v>
      </c>
      <c r="T25" s="8">
        <f>INDEX(V_Hisse!S$2:S$42,MATCH(LARGE(V_Hisse!$AC$2:$AC$42,ROW()-3),V_Hisse!$AC$2:$AC$42,0))</f>
        <v>0</v>
      </c>
      <c r="U25" s="8">
        <f>INDEX(V_Hisse!T$2:T$42,MATCH(LARGE(V_Hisse!$AC$2:$AC$42,ROW()-3),V_Hisse!$AC$2:$AC$42,0))</f>
        <v>1.21E-2</v>
      </c>
      <c r="V25" s="8">
        <f>INDEX(V_Hisse!U$2:U$42,MATCH(LARGE(V_Hisse!$AC$2:$AC$42,ROW()-3),V_Hisse!$AC$2:$AC$42,0))</f>
        <v>0.92120000000000002</v>
      </c>
      <c r="W25" s="8">
        <f>INDEX(V_Hisse!V$2:V$42,MATCH(LARGE(V_Hisse!$AC$2:$AC$42,ROW()-3),V_Hisse!$AC$2:$AC$42,0))</f>
        <v>0</v>
      </c>
      <c r="X25" s="8">
        <f>INDEX(V_Hisse!W$2:W$42,MATCH(LARGE(V_Hisse!$AC$2:$AC$42,ROW()-3),V_Hisse!$AC$2:$AC$42,0))</f>
        <v>1.6000000000000001E-3</v>
      </c>
      <c r="Y25" s="8">
        <f>INDEX(V_Hisse!X$2:X$42,MATCH(LARGE(V_Hisse!$AC$2:$AC$42,ROW()-3),V_Hisse!$AC$2:$AC$42,0))</f>
        <v>0</v>
      </c>
      <c r="Z25" s="8">
        <f>INDEX(V_Hisse!Y$2:Y$42,MATCH(LARGE(V_Hisse!$AC$2:$AC$42,ROW()-3),V_Hisse!$AC$2:$AC$42,0))</f>
        <v>0</v>
      </c>
      <c r="AA25" s="8">
        <f>INDEX(V_Hisse!Z$2:Z$42,MATCH(LARGE(V_Hisse!$AC$2:$AC$42,ROW()-3),V_Hisse!$AC$2:$AC$42,0))</f>
        <v>0</v>
      </c>
      <c r="AB25" s="8">
        <f>INDEX(V_Hisse!AA$2:AA$42,MATCH(LARGE(V_Hisse!$AC$2:$AC$42,ROW()-3),V_Hisse!$AC$2:$AC$42,0))</f>
        <v>0.93490000000000006</v>
      </c>
    </row>
    <row r="26" spans="1:28" x14ac:dyDescent="0.2">
      <c r="A26">
        <v>23</v>
      </c>
      <c r="B26" s="5" t="str">
        <f>INDEX(V_Hisse!A$2:A$42,MATCH(LARGE(V_Hisse!$AC$2:$AC$42,ROW()-3),V_Hisse!$AC$2:$AC$42,0))</f>
        <v>AK3</v>
      </c>
      <c r="C26" s="5" t="str">
        <f>INDEX(V_Hisse!B$2:B$42,MATCH(LARGE(V_Hisse!$AC$2:$AC$42,ROW()-3),V_Hisse!$AC$2:$AC$42,0))</f>
        <v>AK Portföy Hisse Senedi (TL) Fonu (Hisse Senedi Yoğun Fon)</v>
      </c>
      <c r="D26" s="5" t="str">
        <f>INDEX(V_Hisse!C$2:C$42,MATCH(LARGE(V_Hisse!$AC$2:$AC$42,ROW()-3),V_Hisse!$AC$2:$AC$42,0))</f>
        <v>AK Portföy</v>
      </c>
      <c r="E26" s="8">
        <f>INDEX(V_Hisse!D$2:D$42,MATCH(LARGE(V_Hisse!$AC$2:$AC$42,ROW()-3),V_Hisse!$AC$2:$AC$42,0))</f>
        <v>3.4000000000000002E-2</v>
      </c>
      <c r="F26" s="9">
        <f>INDEX(V_Hisse!E$2:E$42,MATCH(LARGE(V_Hisse!$AC$2:$AC$42,ROW()-3),V_Hisse!$AC$2:$AC$42,0))</f>
        <v>-0.90202298075449105</v>
      </c>
      <c r="G26" s="9">
        <f>INDEX(V_Hisse!F$2:F$42,MATCH(LARGE(V_Hisse!$AC$2:$AC$42,ROW()-3),V_Hisse!$AC$2:$AC$42,0))</f>
        <v>-2.005899059556226</v>
      </c>
      <c r="H26" s="9">
        <f>INDEX(V_Hisse!G$2:G$42,MATCH(LARGE(V_Hisse!$AC$2:$AC$42,ROW()-3),V_Hisse!$AC$2:$AC$42,0))</f>
        <v>-0.23758246209245601</v>
      </c>
      <c r="I26" s="9">
        <f>INDEX(V_Hisse!H$2:H$42,MATCH(LARGE(V_Hisse!$AC$2:$AC$42,ROW()-3),V_Hisse!$AC$2:$AC$42,0))</f>
        <v>24.64965340318825</v>
      </c>
      <c r="J26" s="9">
        <f>INDEX(V_Hisse!I$2:I$42,MATCH(LARGE(V_Hisse!$AC$2:$AC$42,ROW()-3),V_Hisse!$AC$2:$AC$42,0))</f>
        <v>38.065851018208988</v>
      </c>
      <c r="K26" s="10">
        <f>INDEX(V_Hisse!J$2:J$42,MATCH(LARGE(V_Hisse!$AC$2:$AC$42,ROW()-3),V_Hisse!$AC$2:$AC$42,0))</f>
        <v>21754</v>
      </c>
      <c r="L26" s="10">
        <f>INDEX(V_Hisse!K$2:K$42,MATCH(LARGE(V_Hisse!$AC$2:$AC$42,ROW()-3),V_Hisse!$AC$2:$AC$42,0))</f>
        <v>20861</v>
      </c>
      <c r="M26" s="8">
        <f>INDEX(V_Hisse!L$2:L$42,MATCH(LARGE(V_Hisse!$AC$2:$AC$42,ROW()-3),V_Hisse!$AC$2:$AC$42,0))</f>
        <v>-4.1049921853452243E-2</v>
      </c>
      <c r="N26" s="11">
        <f>INDEX(V_Hisse!M$2:M$42,MATCH(LARGE(V_Hisse!$AC$2:$AC$42,ROW()-3),V_Hisse!$AC$2:$AC$42,0))</f>
        <v>8191519958.9799995</v>
      </c>
      <c r="O26" s="11">
        <f>INDEX(V_Hisse!N$2:N$42,MATCH(LARGE(V_Hisse!$AC$2:$AC$42,ROW()-3),V_Hisse!$AC$2:$AC$42,0))</f>
        <v>7103063677.1800003</v>
      </c>
      <c r="P26" s="8">
        <f>INDEX(V_Hisse!O$2:O$42,MATCH(LARGE(V_Hisse!$AC$2:$AC$42,ROW()-3),V_Hisse!$AC$2:$AC$42,0))</f>
        <v>-0.13287598482950319</v>
      </c>
      <c r="Q26" s="9">
        <f>INDEX(V_Hisse!P$2:P$42,MATCH(LARGE(V_Hisse!$AC$2:$AC$42,ROW()-3),V_Hisse!$AC$2:$AC$42,0))</f>
        <v>1.4146711457484691</v>
      </c>
      <c r="R26" s="5" t="str">
        <f>INDEX(V_Hisse!Q$2:Q$42,MATCH(LARGE(V_Hisse!$AC$2:$AC$42,ROW()-3),V_Hisse!$AC$2:$AC$42,0))</f>
        <v>Görüyor</v>
      </c>
      <c r="S26" s="8">
        <f>INDEX(V_Hisse!R$2:R$42,MATCH(LARGE(V_Hisse!$AC$2:$AC$42,ROW()-3),V_Hisse!$AC$2:$AC$42,0))</f>
        <v>0</v>
      </c>
      <c r="T26" s="8">
        <f>INDEX(V_Hisse!S$2:S$42,MATCH(LARGE(V_Hisse!$AC$2:$AC$42,ROW()-3),V_Hisse!$AC$2:$AC$42,0))</f>
        <v>4.7600000000000003E-2</v>
      </c>
      <c r="U26" s="8">
        <f>INDEX(V_Hisse!T$2:T$42,MATCH(LARGE(V_Hisse!$AC$2:$AC$42,ROW()-3),V_Hisse!$AC$2:$AC$42,0))</f>
        <v>7.980000000000001E-2</v>
      </c>
      <c r="V26" s="8">
        <f>INDEX(V_Hisse!U$2:U$42,MATCH(LARGE(V_Hisse!$AC$2:$AC$42,ROW()-3),V_Hisse!$AC$2:$AC$42,0))</f>
        <v>0.84730000000000005</v>
      </c>
      <c r="W26" s="8">
        <f>INDEX(V_Hisse!V$2:V$42,MATCH(LARGE(V_Hisse!$AC$2:$AC$42,ROW()-3),V_Hisse!$AC$2:$AC$42,0))</f>
        <v>1E-4</v>
      </c>
      <c r="X26" s="8">
        <f>INDEX(V_Hisse!W$2:W$42,MATCH(LARGE(V_Hisse!$AC$2:$AC$42,ROW()-3),V_Hisse!$AC$2:$AC$42,0))</f>
        <v>2.12E-2</v>
      </c>
      <c r="Y26" s="8">
        <f>INDEX(V_Hisse!X$2:X$42,MATCH(LARGE(V_Hisse!$AC$2:$AC$42,ROW()-3),V_Hisse!$AC$2:$AC$42,0))</f>
        <v>0</v>
      </c>
      <c r="Z26" s="8">
        <f>INDEX(V_Hisse!Y$2:Y$42,MATCH(LARGE(V_Hisse!$AC$2:$AC$42,ROW()-3),V_Hisse!$AC$2:$AC$42,0))</f>
        <v>0</v>
      </c>
      <c r="AA26" s="8">
        <f>INDEX(V_Hisse!Z$2:Z$42,MATCH(LARGE(V_Hisse!$AC$2:$AC$42,ROW()-3),V_Hisse!$AC$2:$AC$42,0))</f>
        <v>0</v>
      </c>
      <c r="AB26" s="8">
        <f>INDEX(V_Hisse!AA$2:AA$42,MATCH(LARGE(V_Hisse!$AC$2:$AC$42,ROW()-3),V_Hisse!$AC$2:$AC$42,0))</f>
        <v>0.99600000000000011</v>
      </c>
    </row>
    <row r="27" spans="1:28" x14ac:dyDescent="0.2">
      <c r="A27">
        <v>24</v>
      </c>
      <c r="B27" s="5" t="str">
        <f>INDEX(V_Hisse!A$2:A$42,MATCH(LARGE(V_Hisse!$AC$2:$AC$42,ROW()-3),V_Hisse!$AC$2:$AC$42,0))</f>
        <v>ASJ</v>
      </c>
      <c r="C27" s="5" t="str">
        <f>INDEX(V_Hisse!B$2:B$42,MATCH(LARGE(V_Hisse!$AC$2:$AC$42,ROW()-3),V_Hisse!$AC$2:$AC$42,0))</f>
        <v>Aktif Portföy Hisse Senedi (TL) Fonu (Hisse Senedi Yoğun Fon)</v>
      </c>
      <c r="D27" s="5" t="str">
        <f>INDEX(V_Hisse!C$2:C$42,MATCH(LARGE(V_Hisse!$AC$2:$AC$42,ROW()-3),V_Hisse!$AC$2:$AC$42,0))</f>
        <v>Aktif Portföy</v>
      </c>
      <c r="E27" s="8">
        <f>INDEX(V_Hisse!D$2:D$42,MATCH(LARGE(V_Hisse!$AC$2:$AC$42,ROW()-3),V_Hisse!$AC$2:$AC$42,0))</f>
        <v>2.75E-2</v>
      </c>
      <c r="F27" s="9">
        <f>INDEX(V_Hisse!E$2:E$42,MATCH(LARGE(V_Hisse!$AC$2:$AC$42,ROW()-3),V_Hisse!$AC$2:$AC$42,0))</f>
        <v>-1.08701425848583</v>
      </c>
      <c r="G27" s="9">
        <f>INDEX(V_Hisse!F$2:F$42,MATCH(LARGE(V_Hisse!$AC$2:$AC$42,ROW()-3),V_Hisse!$AC$2:$AC$42,0))</f>
        <v>-2.0201207347253498</v>
      </c>
      <c r="H27" s="9">
        <f>INDEX(V_Hisse!G$2:G$42,MATCH(LARGE(V_Hisse!$AC$2:$AC$42,ROW()-3),V_Hisse!$AC$2:$AC$42,0))</f>
        <v>3.2074746346837602</v>
      </c>
      <c r="I27" s="9">
        <f>INDEX(V_Hisse!H$2:H$42,MATCH(LARGE(V_Hisse!$AC$2:$AC$42,ROW()-3),V_Hisse!$AC$2:$AC$42,0))</f>
        <v>27.848509814532861</v>
      </c>
      <c r="J27" s="9">
        <f>INDEX(V_Hisse!I$2:I$42,MATCH(LARGE(V_Hisse!$AC$2:$AC$42,ROW()-3),V_Hisse!$AC$2:$AC$42,0))</f>
        <v>30.094876647344758</v>
      </c>
      <c r="K27" s="10">
        <f>INDEX(V_Hisse!J$2:J$42,MATCH(LARGE(V_Hisse!$AC$2:$AC$42,ROW()-3),V_Hisse!$AC$2:$AC$42,0))</f>
        <v>826</v>
      </c>
      <c r="L27" s="10">
        <f>INDEX(V_Hisse!K$2:K$42,MATCH(LARGE(V_Hisse!$AC$2:$AC$42,ROW()-3),V_Hisse!$AC$2:$AC$42,0))</f>
        <v>792</v>
      </c>
      <c r="M27" s="8">
        <f>INDEX(V_Hisse!L$2:L$42,MATCH(LARGE(V_Hisse!$AC$2:$AC$42,ROW()-3),V_Hisse!$AC$2:$AC$42,0))</f>
        <v>-4.1162227602905548E-2</v>
      </c>
      <c r="N27" s="11">
        <f>INDEX(V_Hisse!M$2:M$42,MATCH(LARGE(V_Hisse!$AC$2:$AC$42,ROW()-3),V_Hisse!$AC$2:$AC$42,0))</f>
        <v>66423400.020000003</v>
      </c>
      <c r="O27" s="11">
        <f>INDEX(V_Hisse!N$2:N$42,MATCH(LARGE(V_Hisse!$AC$2:$AC$42,ROW()-3),V_Hisse!$AC$2:$AC$42,0))</f>
        <v>61085386.07</v>
      </c>
      <c r="P27" s="8">
        <f>INDEX(V_Hisse!O$2:O$42,MATCH(LARGE(V_Hisse!$AC$2:$AC$42,ROW()-3),V_Hisse!$AC$2:$AC$42,0))</f>
        <v>-8.0363455474918966E-2</v>
      </c>
      <c r="Q27" s="9">
        <f>INDEX(V_Hisse!P$2:P$42,MATCH(LARGE(V_Hisse!$AC$2:$AC$42,ROW()-3),V_Hisse!$AC$2:$AC$42,0))</f>
        <v>1.2820549102940479</v>
      </c>
      <c r="R27" s="5" t="str">
        <f>INDEX(V_Hisse!Q$2:Q$42,MATCH(LARGE(V_Hisse!$AC$2:$AC$42,ROW()-3),V_Hisse!$AC$2:$AC$42,0))</f>
        <v>Görüyor</v>
      </c>
      <c r="S27" s="8">
        <f>INDEX(V_Hisse!R$2:R$42,MATCH(LARGE(V_Hisse!$AC$2:$AC$42,ROW()-3),V_Hisse!$AC$2:$AC$42,0))</f>
        <v>0</v>
      </c>
      <c r="T27" s="8">
        <f>INDEX(V_Hisse!S$2:S$42,MATCH(LARGE(V_Hisse!$AC$2:$AC$42,ROW()-3),V_Hisse!$AC$2:$AC$42,0))</f>
        <v>6.9999999999999993E-3</v>
      </c>
      <c r="U27" s="8">
        <f>INDEX(V_Hisse!T$2:T$42,MATCH(LARGE(V_Hisse!$AC$2:$AC$42,ROW()-3),V_Hisse!$AC$2:$AC$42,0))</f>
        <v>0</v>
      </c>
      <c r="V27" s="8">
        <f>INDEX(V_Hisse!U$2:U$42,MATCH(LARGE(V_Hisse!$AC$2:$AC$42,ROW()-3),V_Hisse!$AC$2:$AC$42,0))</f>
        <v>0.93169999999999997</v>
      </c>
      <c r="W27" s="8">
        <f>INDEX(V_Hisse!V$2:V$42,MATCH(LARGE(V_Hisse!$AC$2:$AC$42,ROW()-3),V_Hisse!$AC$2:$AC$42,0))</f>
        <v>0</v>
      </c>
      <c r="X27" s="8">
        <f>INDEX(V_Hisse!W$2:W$42,MATCH(LARGE(V_Hisse!$AC$2:$AC$42,ROW()-3),V_Hisse!$AC$2:$AC$42,0))</f>
        <v>6.13E-2</v>
      </c>
      <c r="Y27" s="8">
        <f>INDEX(V_Hisse!X$2:X$42,MATCH(LARGE(V_Hisse!$AC$2:$AC$42,ROW()-3),V_Hisse!$AC$2:$AC$42,0))</f>
        <v>0</v>
      </c>
      <c r="Z27" s="8">
        <f>INDEX(V_Hisse!Y$2:Y$42,MATCH(LARGE(V_Hisse!$AC$2:$AC$42,ROW()-3),V_Hisse!$AC$2:$AC$42,0))</f>
        <v>0</v>
      </c>
      <c r="AA27" s="8">
        <f>INDEX(V_Hisse!Z$2:Z$42,MATCH(LARGE(V_Hisse!$AC$2:$AC$42,ROW()-3),V_Hisse!$AC$2:$AC$42,0))</f>
        <v>0</v>
      </c>
      <c r="AB27" s="8">
        <f>INDEX(V_Hisse!AA$2:AA$42,MATCH(LARGE(V_Hisse!$AC$2:$AC$42,ROW()-3),V_Hisse!$AC$2:$AC$42,0))</f>
        <v>1</v>
      </c>
    </row>
    <row r="28" spans="1:28" x14ac:dyDescent="0.2">
      <c r="A28">
        <v>25</v>
      </c>
      <c r="B28" s="5" t="str">
        <f>INDEX(V_Hisse!A$2:A$42,MATCH(LARGE(V_Hisse!$AC$2:$AC$42,ROW()-3),V_Hisse!$AC$2:$AC$42,0))</f>
        <v>FYD</v>
      </c>
      <c r="C28" s="5" t="str">
        <f>INDEX(V_Hisse!B$2:B$42,MATCH(LARGE(V_Hisse!$AC$2:$AC$42,ROW()-3),V_Hisse!$AC$2:$AC$42,0))</f>
        <v>Qnb Portföy Birinci Hisse Senedi Fonu (Hisse Senedi Yoğun Fon)</v>
      </c>
      <c r="D28" s="5" t="str">
        <f>INDEX(V_Hisse!C$2:C$42,MATCH(LARGE(V_Hisse!$AC$2:$AC$42,ROW()-3),V_Hisse!$AC$2:$AC$42,0))</f>
        <v>Qnb Portföy</v>
      </c>
      <c r="E28" s="8">
        <f>INDEX(V_Hisse!D$2:D$42,MATCH(LARGE(V_Hisse!$AC$2:$AC$42,ROW()-3),V_Hisse!$AC$2:$AC$42,0))</f>
        <v>2.7400000000000001E-2</v>
      </c>
      <c r="F28" s="9">
        <f>INDEX(V_Hisse!E$2:E$42,MATCH(LARGE(V_Hisse!$AC$2:$AC$42,ROW()-3),V_Hisse!$AC$2:$AC$42,0))</f>
        <v>-1.1514291341356839</v>
      </c>
      <c r="G28" s="9">
        <f>INDEX(V_Hisse!F$2:F$42,MATCH(LARGE(V_Hisse!$AC$2:$AC$42,ROW()-3),V_Hisse!$AC$2:$AC$42,0))</f>
        <v>-2.276321381049573</v>
      </c>
      <c r="H28" s="9">
        <f>INDEX(V_Hisse!G$2:G$42,MATCH(LARGE(V_Hisse!$AC$2:$AC$42,ROW()-3),V_Hisse!$AC$2:$AC$42,0))</f>
        <v>9.5187265965579471E-2</v>
      </c>
      <c r="I28" s="9">
        <f>INDEX(V_Hisse!H$2:H$42,MATCH(LARGE(V_Hisse!$AC$2:$AC$42,ROW()-3),V_Hisse!$AC$2:$AC$42,0))</f>
        <v>8.6687378453325969</v>
      </c>
      <c r="J28" s="9">
        <f>INDEX(V_Hisse!I$2:I$42,MATCH(LARGE(V_Hisse!$AC$2:$AC$42,ROW()-3),V_Hisse!$AC$2:$AC$42,0))</f>
        <v>18.113207221283488</v>
      </c>
      <c r="K28" s="10">
        <f>INDEX(V_Hisse!J$2:J$42,MATCH(LARGE(V_Hisse!$AC$2:$AC$42,ROW()-3),V_Hisse!$AC$2:$AC$42,0))</f>
        <v>5730</v>
      </c>
      <c r="L28" s="10">
        <f>INDEX(V_Hisse!K$2:K$42,MATCH(LARGE(V_Hisse!$AC$2:$AC$42,ROW()-3),V_Hisse!$AC$2:$AC$42,0))</f>
        <v>5533</v>
      </c>
      <c r="M28" s="8">
        <f>INDEX(V_Hisse!L$2:L$42,MATCH(LARGE(V_Hisse!$AC$2:$AC$42,ROW()-3),V_Hisse!$AC$2:$AC$42,0))</f>
        <v>-3.4380453752181461E-2</v>
      </c>
      <c r="N28" s="11">
        <f>INDEX(V_Hisse!M$2:M$42,MATCH(LARGE(V_Hisse!$AC$2:$AC$42,ROW()-3),V_Hisse!$AC$2:$AC$42,0))</f>
        <v>3653196468.9099998</v>
      </c>
      <c r="O28" s="11">
        <f>INDEX(V_Hisse!N$2:N$42,MATCH(LARGE(V_Hisse!$AC$2:$AC$42,ROW()-3),V_Hisse!$AC$2:$AC$42,0))</f>
        <v>3394113840.79</v>
      </c>
      <c r="P28" s="8">
        <f>INDEX(V_Hisse!O$2:O$42,MATCH(LARGE(V_Hisse!$AC$2:$AC$42,ROW()-3),V_Hisse!$AC$2:$AC$42,0))</f>
        <v>-7.0919434617022437E-2</v>
      </c>
      <c r="Q28" s="9">
        <f>INDEX(V_Hisse!P$2:P$42,MATCH(LARGE(V_Hisse!$AC$2:$AC$42,ROW()-3),V_Hisse!$AC$2:$AC$42,0))</f>
        <v>1.3822414091765041</v>
      </c>
      <c r="R28" s="5" t="str">
        <f>INDEX(V_Hisse!Q$2:Q$42,MATCH(LARGE(V_Hisse!$AC$2:$AC$42,ROW()-3),V_Hisse!$AC$2:$AC$42,0))</f>
        <v>Görüyor</v>
      </c>
      <c r="S28" s="8">
        <f>INDEX(V_Hisse!R$2:R$42,MATCH(LARGE(V_Hisse!$AC$2:$AC$42,ROW()-3),V_Hisse!$AC$2:$AC$42,0))</f>
        <v>0</v>
      </c>
      <c r="T28" s="8">
        <f>INDEX(V_Hisse!S$2:S$42,MATCH(LARGE(V_Hisse!$AC$2:$AC$42,ROW()-3),V_Hisse!$AC$2:$AC$42,0))</f>
        <v>1.24E-2</v>
      </c>
      <c r="U28" s="8">
        <f>INDEX(V_Hisse!T$2:T$42,MATCH(LARGE(V_Hisse!$AC$2:$AC$42,ROW()-3),V_Hisse!$AC$2:$AC$42,0))</f>
        <v>3.61E-2</v>
      </c>
      <c r="V28" s="8">
        <f>INDEX(V_Hisse!U$2:U$42,MATCH(LARGE(V_Hisse!$AC$2:$AC$42,ROW()-3),V_Hisse!$AC$2:$AC$42,0))</f>
        <v>0.94279999999999997</v>
      </c>
      <c r="W28" s="8">
        <f>INDEX(V_Hisse!V$2:V$42,MATCH(LARGE(V_Hisse!$AC$2:$AC$42,ROW()-3),V_Hisse!$AC$2:$AC$42,0))</f>
        <v>8.6999999999999994E-3</v>
      </c>
      <c r="X28" s="8">
        <f>INDEX(V_Hisse!W$2:W$42,MATCH(LARGE(V_Hisse!$AC$2:$AC$42,ROW()-3),V_Hisse!$AC$2:$AC$42,0))</f>
        <v>0</v>
      </c>
      <c r="Y28" s="8">
        <f>INDEX(V_Hisse!X$2:X$42,MATCH(LARGE(V_Hisse!$AC$2:$AC$42,ROW()-3),V_Hisse!$AC$2:$AC$42,0))</f>
        <v>0</v>
      </c>
      <c r="Z28" s="8">
        <f>INDEX(V_Hisse!Y$2:Y$42,MATCH(LARGE(V_Hisse!$AC$2:$AC$42,ROW()-3),V_Hisse!$AC$2:$AC$42,0))</f>
        <v>0</v>
      </c>
      <c r="AA28" s="8">
        <f>INDEX(V_Hisse!Z$2:Z$42,MATCH(LARGE(V_Hisse!$AC$2:$AC$42,ROW()-3),V_Hisse!$AC$2:$AC$42,0))</f>
        <v>0</v>
      </c>
      <c r="AB28" s="8">
        <f>INDEX(V_Hisse!AA$2:AA$42,MATCH(LARGE(V_Hisse!$AC$2:$AC$42,ROW()-3),V_Hisse!$AC$2:$AC$42,0))</f>
        <v>1</v>
      </c>
    </row>
    <row r="29" spans="1:28" x14ac:dyDescent="0.2">
      <c r="A29">
        <v>26</v>
      </c>
      <c r="B29" s="5" t="str">
        <f>INDEX(V_Hisse!A$2:A$42,MATCH(LARGE(V_Hisse!$AC$2:$AC$42,ROW()-3),V_Hisse!$AC$2:$AC$42,0))</f>
        <v>EID</v>
      </c>
      <c r="C29" s="5" t="str">
        <f>INDEX(V_Hisse!B$2:B$42,MATCH(LARGE(V_Hisse!$AC$2:$AC$42,ROW()-3),V_Hisse!$AC$2:$AC$42,0))</f>
        <v>Astra Portföy Hisse Senedi Fonu (Hisse Yoğun Fon)</v>
      </c>
      <c r="D29" s="5" t="str">
        <f>INDEX(V_Hisse!C$2:C$42,MATCH(LARGE(V_Hisse!$AC$2:$AC$42,ROW()-3),V_Hisse!$AC$2:$AC$42,0))</f>
        <v>Astra Portföy</v>
      </c>
      <c r="E29" s="8">
        <f>INDEX(V_Hisse!D$2:D$42,MATCH(LARGE(V_Hisse!$AC$2:$AC$42,ROW()-3),V_Hisse!$AC$2:$AC$42,0))</f>
        <v>0.03</v>
      </c>
      <c r="F29" s="9">
        <f>INDEX(V_Hisse!E$2:E$42,MATCH(LARGE(V_Hisse!$AC$2:$AC$42,ROW()-3),V_Hisse!$AC$2:$AC$42,0))</f>
        <v>-0.79477223958711596</v>
      </c>
      <c r="G29" s="9">
        <f>INDEX(V_Hisse!F$2:F$42,MATCH(LARGE(V_Hisse!$AC$2:$AC$42,ROW()-3),V_Hisse!$AC$2:$AC$42,0))</f>
        <v>-2.4683854716584301</v>
      </c>
      <c r="H29" s="9">
        <f>INDEX(V_Hisse!G$2:G$42,MATCH(LARGE(V_Hisse!$AC$2:$AC$42,ROW()-3),V_Hisse!$AC$2:$AC$42,0))</f>
        <v>1.9123823965559561</v>
      </c>
      <c r="I29" s="9">
        <f>INDEX(V_Hisse!H$2:H$42,MATCH(LARGE(V_Hisse!$AC$2:$AC$42,ROW()-3),V_Hisse!$AC$2:$AC$42,0))</f>
        <v>19.301922170005149</v>
      </c>
      <c r="J29" s="9">
        <f>INDEX(V_Hisse!I$2:I$42,MATCH(LARGE(V_Hisse!$AC$2:$AC$42,ROW()-3),V_Hisse!$AC$2:$AC$42,0))</f>
        <v>29.83626565431474</v>
      </c>
      <c r="K29" s="10">
        <f>INDEX(V_Hisse!J$2:J$42,MATCH(LARGE(V_Hisse!$AC$2:$AC$42,ROW()-3),V_Hisse!$AC$2:$AC$42,0))</f>
        <v>2073</v>
      </c>
      <c r="L29" s="10">
        <f>INDEX(V_Hisse!K$2:K$42,MATCH(LARGE(V_Hisse!$AC$2:$AC$42,ROW()-3),V_Hisse!$AC$2:$AC$42,0))</f>
        <v>1982</v>
      </c>
      <c r="M29" s="8">
        <f>INDEX(V_Hisse!L$2:L$42,MATCH(LARGE(V_Hisse!$AC$2:$AC$42,ROW()-3),V_Hisse!$AC$2:$AC$42,0))</f>
        <v>-4.3897732754462182E-2</v>
      </c>
      <c r="N29" s="11">
        <f>INDEX(V_Hisse!M$2:M$42,MATCH(LARGE(V_Hisse!$AC$2:$AC$42,ROW()-3),V_Hisse!$AC$2:$AC$42,0))</f>
        <v>95774476.760000005</v>
      </c>
      <c r="O29" s="11">
        <f>INDEX(V_Hisse!N$2:N$42,MATCH(LARGE(V_Hisse!$AC$2:$AC$42,ROW()-3),V_Hisse!$AC$2:$AC$42,0))</f>
        <v>93624689.459999993</v>
      </c>
      <c r="P29" s="8">
        <f>INDEX(V_Hisse!O$2:O$42,MATCH(LARGE(V_Hisse!$AC$2:$AC$42,ROW()-3),V_Hisse!$AC$2:$AC$42,0))</f>
        <v>-2.2446348680005172E-2</v>
      </c>
      <c r="Q29" s="9">
        <f>INDEX(V_Hisse!P$2:P$42,MATCH(LARGE(V_Hisse!$AC$2:$AC$42,ROW()-3),V_Hisse!$AC$2:$AC$42,0))</f>
        <v>1.414510060946427</v>
      </c>
      <c r="R29" s="5" t="str">
        <f>INDEX(V_Hisse!Q$2:Q$42,MATCH(LARGE(V_Hisse!$AC$2:$AC$42,ROW()-3),V_Hisse!$AC$2:$AC$42,0))</f>
        <v>Görüyor</v>
      </c>
      <c r="S29" s="8">
        <f>INDEX(V_Hisse!R$2:R$42,MATCH(LARGE(V_Hisse!$AC$2:$AC$42,ROW()-3),V_Hisse!$AC$2:$AC$42,0))</f>
        <v>0</v>
      </c>
      <c r="T29" s="8">
        <f>INDEX(V_Hisse!S$2:S$42,MATCH(LARGE(V_Hisse!$AC$2:$AC$42,ROW()-3),V_Hisse!$AC$2:$AC$42,0))</f>
        <v>0</v>
      </c>
      <c r="U29" s="8">
        <f>INDEX(V_Hisse!T$2:T$42,MATCH(LARGE(V_Hisse!$AC$2:$AC$42,ROW()-3),V_Hisse!$AC$2:$AC$42,0))</f>
        <v>0</v>
      </c>
      <c r="V29" s="8">
        <f>INDEX(V_Hisse!U$2:U$42,MATCH(LARGE(V_Hisse!$AC$2:$AC$42,ROW()-3),V_Hisse!$AC$2:$AC$42,0))</f>
        <v>0.84750000000000003</v>
      </c>
      <c r="W29" s="8">
        <f>INDEX(V_Hisse!V$2:V$42,MATCH(LARGE(V_Hisse!$AC$2:$AC$42,ROW()-3),V_Hisse!$AC$2:$AC$42,0))</f>
        <v>0.1158</v>
      </c>
      <c r="X29" s="8">
        <f>INDEX(V_Hisse!W$2:W$42,MATCH(LARGE(V_Hisse!$AC$2:$AC$42,ROW()-3),V_Hisse!$AC$2:$AC$42,0))</f>
        <v>1.35E-2</v>
      </c>
      <c r="Y29" s="8">
        <f>INDEX(V_Hisse!X$2:X$42,MATCH(LARGE(V_Hisse!$AC$2:$AC$42,ROW()-3),V_Hisse!$AC$2:$AC$42,0))</f>
        <v>0</v>
      </c>
      <c r="Z29" s="8">
        <f>INDEX(V_Hisse!Y$2:Y$42,MATCH(LARGE(V_Hisse!$AC$2:$AC$42,ROW()-3),V_Hisse!$AC$2:$AC$42,0))</f>
        <v>0</v>
      </c>
      <c r="AA29" s="8">
        <f>INDEX(V_Hisse!Z$2:Z$42,MATCH(LARGE(V_Hisse!$AC$2:$AC$42,ROW()-3),V_Hisse!$AC$2:$AC$42,0))</f>
        <v>2.3199999999999998E-2</v>
      </c>
      <c r="AB29" s="8">
        <f>INDEX(V_Hisse!AA$2:AA$42,MATCH(LARGE(V_Hisse!$AC$2:$AC$42,ROW()-3),V_Hisse!$AC$2:$AC$42,0))</f>
        <v>1</v>
      </c>
    </row>
    <row r="30" spans="1:28" x14ac:dyDescent="0.2">
      <c r="A30">
        <v>27</v>
      </c>
      <c r="B30" s="5" t="str">
        <f>INDEX(V_Hisse!A$2:A$42,MATCH(LARGE(V_Hisse!$AC$2:$AC$42,ROW()-3),V_Hisse!$AC$2:$AC$42,0))</f>
        <v>NHY</v>
      </c>
      <c r="C30" s="5" t="str">
        <f>INDEX(V_Hisse!B$2:B$42,MATCH(LARGE(V_Hisse!$AC$2:$AC$42,ROW()-3),V_Hisse!$AC$2:$AC$42,0))</f>
        <v>Neo Portföy Birinci Hisse Senedi (TL) Fonu (Hisse Senedi Yoğun Fon)</v>
      </c>
      <c r="D30" s="5" t="str">
        <f>INDEX(V_Hisse!C$2:C$42,MATCH(LARGE(V_Hisse!$AC$2:$AC$42,ROW()-3),V_Hisse!$AC$2:$AC$42,0))</f>
        <v>Neo Portföy</v>
      </c>
      <c r="E30" s="8">
        <f>INDEX(V_Hisse!D$2:D$42,MATCH(LARGE(V_Hisse!$AC$2:$AC$42,ROW()-3),V_Hisse!$AC$2:$AC$42,0))</f>
        <v>2.9000000000000001E-2</v>
      </c>
      <c r="F30" s="9">
        <f>INDEX(V_Hisse!E$2:E$42,MATCH(LARGE(V_Hisse!$AC$2:$AC$42,ROW()-3),V_Hisse!$AC$2:$AC$42,0))</f>
        <v>-0.49833832680717949</v>
      </c>
      <c r="G30" s="9">
        <f>INDEX(V_Hisse!F$2:F$42,MATCH(LARGE(V_Hisse!$AC$2:$AC$42,ROW()-3),V_Hisse!$AC$2:$AC$42,0))</f>
        <v>-2.5096077862067019</v>
      </c>
      <c r="H30" s="9">
        <f>INDEX(V_Hisse!G$2:G$42,MATCH(LARGE(V_Hisse!$AC$2:$AC$42,ROW()-3),V_Hisse!$AC$2:$AC$42,0))</f>
        <v>3.9853804799687031</v>
      </c>
      <c r="I30" s="9">
        <f>INDEX(V_Hisse!H$2:H$42,MATCH(LARGE(V_Hisse!$AC$2:$AC$42,ROW()-3),V_Hisse!$AC$2:$AC$42,0))</f>
        <v>32.100862206239107</v>
      </c>
      <c r="J30" s="9">
        <f>INDEX(V_Hisse!I$2:I$42,MATCH(LARGE(V_Hisse!$AC$2:$AC$42,ROW()-3),V_Hisse!$AC$2:$AC$42,0))</f>
        <v>50.720805172169349</v>
      </c>
      <c r="K30" s="10">
        <f>INDEX(V_Hisse!J$2:J$42,MATCH(LARGE(V_Hisse!$AC$2:$AC$42,ROW()-3),V_Hisse!$AC$2:$AC$42,0))</f>
        <v>2274</v>
      </c>
      <c r="L30" s="10">
        <f>INDEX(V_Hisse!K$2:K$42,MATCH(LARGE(V_Hisse!$AC$2:$AC$42,ROW()-3),V_Hisse!$AC$2:$AC$42,0))</f>
        <v>2205</v>
      </c>
      <c r="M30" s="8">
        <f>INDEX(V_Hisse!L$2:L$42,MATCH(LARGE(V_Hisse!$AC$2:$AC$42,ROW()-3),V_Hisse!$AC$2:$AC$42,0))</f>
        <v>-3.0343007915567322E-2</v>
      </c>
      <c r="N30" s="11">
        <f>INDEX(V_Hisse!M$2:M$42,MATCH(LARGE(V_Hisse!$AC$2:$AC$42,ROW()-3),V_Hisse!$AC$2:$AC$42,0))</f>
        <v>169443807.37</v>
      </c>
      <c r="O30" s="11">
        <f>INDEX(V_Hisse!N$2:N$42,MATCH(LARGE(V_Hisse!$AC$2:$AC$42,ROW()-3),V_Hisse!$AC$2:$AC$42,0))</f>
        <v>188818762.86000001</v>
      </c>
      <c r="P30" s="8">
        <f>INDEX(V_Hisse!O$2:O$42,MATCH(LARGE(V_Hisse!$AC$2:$AC$42,ROW()-3),V_Hisse!$AC$2:$AC$42,0))</f>
        <v>0.1143444295234264</v>
      </c>
      <c r="Q30" s="9">
        <f>INDEX(V_Hisse!P$2:P$42,MATCH(LARGE(V_Hisse!$AC$2:$AC$42,ROW()-3),V_Hisse!$AC$2:$AC$42,0))</f>
        <v>1.164217970706781</v>
      </c>
      <c r="R30" s="5" t="str">
        <f>INDEX(V_Hisse!Q$2:Q$42,MATCH(LARGE(V_Hisse!$AC$2:$AC$42,ROW()-3),V_Hisse!$AC$2:$AC$42,0))</f>
        <v>Görüyor</v>
      </c>
      <c r="S30" s="8">
        <f>INDEX(V_Hisse!R$2:R$42,MATCH(LARGE(V_Hisse!$AC$2:$AC$42,ROW()-3),V_Hisse!$AC$2:$AC$42,0))</f>
        <v>0</v>
      </c>
      <c r="T30" s="8">
        <f>INDEX(V_Hisse!S$2:S$42,MATCH(LARGE(V_Hisse!$AC$2:$AC$42,ROW()-3),V_Hisse!$AC$2:$AC$42,0))</f>
        <v>0</v>
      </c>
      <c r="U30" s="8">
        <f>INDEX(V_Hisse!T$2:T$42,MATCH(LARGE(V_Hisse!$AC$2:$AC$42,ROW()-3),V_Hisse!$AC$2:$AC$42,0))</f>
        <v>0</v>
      </c>
      <c r="V30" s="8">
        <f>INDEX(V_Hisse!U$2:U$42,MATCH(LARGE(V_Hisse!$AC$2:$AC$42,ROW()-3),V_Hisse!$AC$2:$AC$42,0))</f>
        <v>1.0310999999999999</v>
      </c>
      <c r="W30" s="8">
        <f>INDEX(V_Hisse!V$2:V$42,MATCH(LARGE(V_Hisse!$AC$2:$AC$42,ROW()-3),V_Hisse!$AC$2:$AC$42,0))</f>
        <v>-3.1099999999999999E-2</v>
      </c>
      <c r="X30" s="8">
        <f>INDEX(V_Hisse!W$2:W$42,MATCH(LARGE(V_Hisse!$AC$2:$AC$42,ROW()-3),V_Hisse!$AC$2:$AC$42,0))</f>
        <v>0</v>
      </c>
      <c r="Y30" s="8">
        <f>INDEX(V_Hisse!X$2:X$42,MATCH(LARGE(V_Hisse!$AC$2:$AC$42,ROW()-3),V_Hisse!$AC$2:$AC$42,0))</f>
        <v>0</v>
      </c>
      <c r="Z30" s="8">
        <f>INDEX(V_Hisse!Y$2:Y$42,MATCH(LARGE(V_Hisse!$AC$2:$AC$42,ROW()-3),V_Hisse!$AC$2:$AC$42,0))</f>
        <v>0</v>
      </c>
      <c r="AA30" s="8">
        <f>INDEX(V_Hisse!Z$2:Z$42,MATCH(LARGE(V_Hisse!$AC$2:$AC$42,ROW()-3),V_Hisse!$AC$2:$AC$42,0))</f>
        <v>0</v>
      </c>
      <c r="AB30" s="8">
        <f>INDEX(V_Hisse!AA$2:AA$42,MATCH(LARGE(V_Hisse!$AC$2:$AC$42,ROW()-3),V_Hisse!$AC$2:$AC$42,0))</f>
        <v>0.99999999999999989</v>
      </c>
    </row>
    <row r="31" spans="1:28" x14ac:dyDescent="0.2">
      <c r="A31">
        <v>28</v>
      </c>
      <c r="B31" s="5" t="str">
        <f>INDEX(V_Hisse!A$2:A$42,MATCH(LARGE(V_Hisse!$AC$2:$AC$42,ROW()-3),V_Hisse!$AC$2:$AC$42,0))</f>
        <v>ST1</v>
      </c>
      <c r="C31" s="5" t="str">
        <f>INDEX(V_Hisse!B$2:B$42,MATCH(LARGE(V_Hisse!$AC$2:$AC$42,ROW()-3),V_Hisse!$AC$2:$AC$42,0))</f>
        <v>Strateji Portföy Birinci Hisse Senedi Fonu (Hisse Senedi Yoğun Fon)</v>
      </c>
      <c r="D31" s="5" t="str">
        <f>INDEX(V_Hisse!C$2:C$42,MATCH(LARGE(V_Hisse!$AC$2:$AC$42,ROW()-3),V_Hisse!$AC$2:$AC$42,0))</f>
        <v>Strateji Portföy</v>
      </c>
      <c r="E31" s="8">
        <f>INDEX(V_Hisse!D$2:D$42,MATCH(LARGE(V_Hisse!$AC$2:$AC$42,ROW()-3),V_Hisse!$AC$2:$AC$42,0))</f>
        <v>2.9929999999999998E-2</v>
      </c>
      <c r="F31" s="9">
        <f>INDEX(V_Hisse!E$2:E$42,MATCH(LARGE(V_Hisse!$AC$2:$AC$42,ROW()-3),V_Hisse!$AC$2:$AC$42,0))</f>
        <v>-0.58292447327690233</v>
      </c>
      <c r="G31" s="9">
        <f>INDEX(V_Hisse!F$2:F$42,MATCH(LARGE(V_Hisse!$AC$2:$AC$42,ROW()-3),V_Hisse!$AC$2:$AC$42,0))</f>
        <v>-2.5286491889325968</v>
      </c>
      <c r="H31" s="9">
        <f>INDEX(V_Hisse!G$2:G$42,MATCH(LARGE(V_Hisse!$AC$2:$AC$42,ROW()-3),V_Hisse!$AC$2:$AC$42,0))</f>
        <v>-3.0270543081887591</v>
      </c>
      <c r="I31" s="9">
        <f>INDEX(V_Hisse!H$2:H$42,MATCH(LARGE(V_Hisse!$AC$2:$AC$42,ROW()-3),V_Hisse!$AC$2:$AC$42,0))</f>
        <v>13.132315648514581</v>
      </c>
      <c r="J31" s="9">
        <f>INDEX(V_Hisse!I$2:I$42,MATCH(LARGE(V_Hisse!$AC$2:$AC$42,ROW()-3),V_Hisse!$AC$2:$AC$42,0))</f>
        <v>12.355261948190661</v>
      </c>
      <c r="K31" s="10">
        <f>INDEX(V_Hisse!J$2:J$42,MATCH(LARGE(V_Hisse!$AC$2:$AC$42,ROW()-3),V_Hisse!$AC$2:$AC$42,0))</f>
        <v>2853</v>
      </c>
      <c r="L31" s="10">
        <f>INDEX(V_Hisse!K$2:K$42,MATCH(LARGE(V_Hisse!$AC$2:$AC$42,ROW()-3),V_Hisse!$AC$2:$AC$42,0))</f>
        <v>2643</v>
      </c>
      <c r="M31" s="8">
        <f>INDEX(V_Hisse!L$2:L$42,MATCH(LARGE(V_Hisse!$AC$2:$AC$42,ROW()-3),V_Hisse!$AC$2:$AC$42,0))</f>
        <v>-7.3606729758149303E-2</v>
      </c>
      <c r="N31" s="11">
        <f>INDEX(V_Hisse!M$2:M$42,MATCH(LARGE(V_Hisse!$AC$2:$AC$42,ROW()-3),V_Hisse!$AC$2:$AC$42,0))</f>
        <v>669056362.96000004</v>
      </c>
      <c r="O31" s="11">
        <f>INDEX(V_Hisse!N$2:N$42,MATCH(LARGE(V_Hisse!$AC$2:$AC$42,ROW()-3),V_Hisse!$AC$2:$AC$42,0))</f>
        <v>639865916.11000001</v>
      </c>
      <c r="P31" s="8">
        <f>INDEX(V_Hisse!O$2:O$42,MATCH(LARGE(V_Hisse!$AC$2:$AC$42,ROW()-3),V_Hisse!$AC$2:$AC$42,0))</f>
        <v>-4.362927918487669E-2</v>
      </c>
      <c r="Q31" s="9">
        <f>INDEX(V_Hisse!P$2:P$42,MATCH(LARGE(V_Hisse!$AC$2:$AC$42,ROW()-3),V_Hisse!$AC$2:$AC$42,0))</f>
        <v>1.112431564220695</v>
      </c>
      <c r="R31" s="5" t="str">
        <f>INDEX(V_Hisse!Q$2:Q$42,MATCH(LARGE(V_Hisse!$AC$2:$AC$42,ROW()-3),V_Hisse!$AC$2:$AC$42,0))</f>
        <v>Görüyor</v>
      </c>
      <c r="S31" s="8">
        <f>INDEX(V_Hisse!R$2:R$42,MATCH(LARGE(V_Hisse!$AC$2:$AC$42,ROW()-3),V_Hisse!$AC$2:$AC$42,0))</f>
        <v>0</v>
      </c>
      <c r="T31" s="8">
        <f>INDEX(V_Hisse!S$2:S$42,MATCH(LARGE(V_Hisse!$AC$2:$AC$42,ROW()-3),V_Hisse!$AC$2:$AC$42,0))</f>
        <v>5.2300000000000013E-2</v>
      </c>
      <c r="U31" s="8">
        <f>INDEX(V_Hisse!T$2:T$42,MATCH(LARGE(V_Hisse!$AC$2:$AC$42,ROW()-3),V_Hisse!$AC$2:$AC$42,0))</f>
        <v>7.6499999999999999E-2</v>
      </c>
      <c r="V31" s="8">
        <f>INDEX(V_Hisse!U$2:U$42,MATCH(LARGE(V_Hisse!$AC$2:$AC$42,ROW()-3),V_Hisse!$AC$2:$AC$42,0))</f>
        <v>0.87120000000000009</v>
      </c>
      <c r="W31" s="8">
        <f>INDEX(V_Hisse!V$2:V$42,MATCH(LARGE(V_Hisse!$AC$2:$AC$42,ROW()-3),V_Hisse!$AC$2:$AC$42,0))</f>
        <v>0</v>
      </c>
      <c r="X31" s="8">
        <f>INDEX(V_Hisse!W$2:W$42,MATCH(LARGE(V_Hisse!$AC$2:$AC$42,ROW()-3),V_Hisse!$AC$2:$AC$42,0))</f>
        <v>0</v>
      </c>
      <c r="Y31" s="8">
        <f>INDEX(V_Hisse!X$2:X$42,MATCH(LARGE(V_Hisse!$AC$2:$AC$42,ROW()-3),V_Hisse!$AC$2:$AC$42,0))</f>
        <v>0</v>
      </c>
      <c r="Z31" s="8">
        <f>INDEX(V_Hisse!Y$2:Y$42,MATCH(LARGE(V_Hisse!$AC$2:$AC$42,ROW()-3),V_Hisse!$AC$2:$AC$42,0))</f>
        <v>0</v>
      </c>
      <c r="AA31" s="8">
        <f>INDEX(V_Hisse!Z$2:Z$42,MATCH(LARGE(V_Hisse!$AC$2:$AC$42,ROW()-3),V_Hisse!$AC$2:$AC$42,0))</f>
        <v>0</v>
      </c>
      <c r="AB31" s="8">
        <f>INDEX(V_Hisse!AA$2:AA$42,MATCH(LARGE(V_Hisse!$AC$2:$AC$42,ROW()-3),V_Hisse!$AC$2:$AC$42,0))</f>
        <v>1</v>
      </c>
    </row>
    <row r="32" spans="1:28" x14ac:dyDescent="0.2">
      <c r="A32">
        <v>29</v>
      </c>
      <c r="B32" s="5" t="str">
        <f>INDEX(V_Hisse!A$2:A$42,MATCH(LARGE(V_Hisse!$AC$2:$AC$42,ROW()-3),V_Hisse!$AC$2:$AC$42,0))</f>
        <v>GHS</v>
      </c>
      <c r="C32" s="5" t="str">
        <f>INDEX(V_Hisse!B$2:B$42,MATCH(LARGE(V_Hisse!$AC$2:$AC$42,ROW()-3),V_Hisse!$AC$2:$AC$42,0))</f>
        <v>Garanti Portföy Hisse Senedi (TL) Fonu (Hisse Senedi Yoğun Fon)</v>
      </c>
      <c r="D32" s="5" t="str">
        <f>INDEX(V_Hisse!C$2:C$42,MATCH(LARGE(V_Hisse!$AC$2:$AC$42,ROW()-3),V_Hisse!$AC$2:$AC$42,0))</f>
        <v>Garanti Portföy</v>
      </c>
      <c r="E32" s="8">
        <f>INDEX(V_Hisse!D$2:D$42,MATCH(LARGE(V_Hisse!$AC$2:$AC$42,ROW()-3),V_Hisse!$AC$2:$AC$42,0))</f>
        <v>3.2000000000000001E-2</v>
      </c>
      <c r="F32" s="9">
        <f>INDEX(V_Hisse!E$2:E$42,MATCH(LARGE(V_Hisse!$AC$2:$AC$42,ROW()-3),V_Hisse!$AC$2:$AC$42,0))</f>
        <v>-1.738890228753309</v>
      </c>
      <c r="G32" s="9">
        <f>INDEX(V_Hisse!F$2:F$42,MATCH(LARGE(V_Hisse!$AC$2:$AC$42,ROW()-3),V_Hisse!$AC$2:$AC$42,0))</f>
        <v>-2.6142833950102311</v>
      </c>
      <c r="H32" s="9">
        <f>INDEX(V_Hisse!G$2:G$42,MATCH(LARGE(V_Hisse!$AC$2:$AC$42,ROW()-3),V_Hisse!$AC$2:$AC$42,0))</f>
        <v>0.91898648007280315</v>
      </c>
      <c r="I32" s="9">
        <f>INDEX(V_Hisse!H$2:H$42,MATCH(LARGE(V_Hisse!$AC$2:$AC$42,ROW()-3),V_Hisse!$AC$2:$AC$42,0))</f>
        <v>19.15305207692337</v>
      </c>
      <c r="J32" s="9">
        <f>INDEX(V_Hisse!I$2:I$42,MATCH(LARGE(V_Hisse!$AC$2:$AC$42,ROW()-3),V_Hisse!$AC$2:$AC$42,0))</f>
        <v>25.740512247906828</v>
      </c>
      <c r="K32" s="10">
        <f>INDEX(V_Hisse!J$2:J$42,MATCH(LARGE(V_Hisse!$AC$2:$AC$42,ROW()-3),V_Hisse!$AC$2:$AC$42,0))</f>
        <v>15149</v>
      </c>
      <c r="L32" s="10">
        <f>INDEX(V_Hisse!K$2:K$42,MATCH(LARGE(V_Hisse!$AC$2:$AC$42,ROW()-3),V_Hisse!$AC$2:$AC$42,0))</f>
        <v>15011</v>
      </c>
      <c r="M32" s="8">
        <f>INDEX(V_Hisse!L$2:L$42,MATCH(LARGE(V_Hisse!$AC$2:$AC$42,ROW()-3),V_Hisse!$AC$2:$AC$42,0))</f>
        <v>-9.1095121790216727E-3</v>
      </c>
      <c r="N32" s="11">
        <f>INDEX(V_Hisse!M$2:M$42,MATCH(LARGE(V_Hisse!$AC$2:$AC$42,ROW()-3),V_Hisse!$AC$2:$AC$42,0))</f>
        <v>2970996806.6500001</v>
      </c>
      <c r="O32" s="11">
        <f>INDEX(V_Hisse!N$2:N$42,MATCH(LARGE(V_Hisse!$AC$2:$AC$42,ROW()-3),V_Hisse!$AC$2:$AC$42,0))</f>
        <v>2897425780.77</v>
      </c>
      <c r="P32" s="8">
        <f>INDEX(V_Hisse!O$2:O$42,MATCH(LARGE(V_Hisse!$AC$2:$AC$42,ROW()-3),V_Hisse!$AC$2:$AC$42,0))</f>
        <v>-2.4763078073771649E-2</v>
      </c>
      <c r="Q32" s="9">
        <f>INDEX(V_Hisse!P$2:P$42,MATCH(LARGE(V_Hisse!$AC$2:$AC$42,ROW()-3),V_Hisse!$AC$2:$AC$42,0))</f>
        <v>1.3789268780882511</v>
      </c>
      <c r="R32" s="5" t="str">
        <f>INDEX(V_Hisse!Q$2:Q$42,MATCH(LARGE(V_Hisse!$AC$2:$AC$42,ROW()-3),V_Hisse!$AC$2:$AC$42,0))</f>
        <v>Görüyor</v>
      </c>
      <c r="S32" s="8">
        <f>INDEX(V_Hisse!R$2:R$42,MATCH(LARGE(V_Hisse!$AC$2:$AC$42,ROW()-3),V_Hisse!$AC$2:$AC$42,0))</f>
        <v>0</v>
      </c>
      <c r="T32" s="8">
        <f>INDEX(V_Hisse!S$2:S$42,MATCH(LARGE(V_Hisse!$AC$2:$AC$42,ROW()-3),V_Hisse!$AC$2:$AC$42,0))</f>
        <v>2.3300000000000001E-2</v>
      </c>
      <c r="U32" s="8">
        <f>INDEX(V_Hisse!T$2:T$42,MATCH(LARGE(V_Hisse!$AC$2:$AC$42,ROW()-3),V_Hisse!$AC$2:$AC$42,0))</f>
        <v>0</v>
      </c>
      <c r="V32" s="8">
        <f>INDEX(V_Hisse!U$2:U$42,MATCH(LARGE(V_Hisse!$AC$2:$AC$42,ROW()-3),V_Hisse!$AC$2:$AC$42,0))</f>
        <v>0.96319999999999995</v>
      </c>
      <c r="W32" s="8">
        <f>INDEX(V_Hisse!V$2:V$42,MATCH(LARGE(V_Hisse!$AC$2:$AC$42,ROW()-3),V_Hisse!$AC$2:$AC$42,0))</f>
        <v>1.3599999999999999E-2</v>
      </c>
      <c r="X32" s="8">
        <f>INDEX(V_Hisse!W$2:W$42,MATCH(LARGE(V_Hisse!$AC$2:$AC$42,ROW()-3),V_Hisse!$AC$2:$AC$42,0))</f>
        <v>0</v>
      </c>
      <c r="Y32" s="8">
        <f>INDEX(V_Hisse!X$2:X$42,MATCH(LARGE(V_Hisse!$AC$2:$AC$42,ROW()-3),V_Hisse!$AC$2:$AC$42,0))</f>
        <v>0</v>
      </c>
      <c r="Z32" s="8">
        <f>INDEX(V_Hisse!Y$2:Y$42,MATCH(LARGE(V_Hisse!$AC$2:$AC$42,ROW()-3),V_Hisse!$AC$2:$AC$42,0))</f>
        <v>0</v>
      </c>
      <c r="AA32" s="8">
        <f>INDEX(V_Hisse!Z$2:Z$42,MATCH(LARGE(V_Hisse!$AC$2:$AC$42,ROW()-3),V_Hisse!$AC$2:$AC$42,0))</f>
        <v>0</v>
      </c>
      <c r="AB32" s="8">
        <f>INDEX(V_Hisse!AA$2:AA$42,MATCH(LARGE(V_Hisse!$AC$2:$AC$42,ROW()-3),V_Hisse!$AC$2:$AC$42,0))</f>
        <v>1.0001</v>
      </c>
    </row>
    <row r="33" spans="1:28" x14ac:dyDescent="0.2">
      <c r="A33">
        <v>30</v>
      </c>
      <c r="B33" s="5" t="str">
        <f>INDEX(V_Hisse!A$2:A$42,MATCH(LARGE(V_Hisse!$AC$2:$AC$42,ROW()-3),V_Hisse!$AC$2:$AC$42,0))</f>
        <v>RHI</v>
      </c>
      <c r="C33" s="5" t="str">
        <f>INDEX(V_Hisse!B$2:B$42,MATCH(LARGE(V_Hisse!$AC$2:$AC$42,ROW()-3),V_Hisse!$AC$2:$AC$42,0))</f>
        <v>Re-pıe Portföy Birinci Hisse Senedi (TL) Fonu (Hisse Senedi Yoğun Fon)</v>
      </c>
      <c r="D33" s="5" t="str">
        <f>INDEX(V_Hisse!C$2:C$42,MATCH(LARGE(V_Hisse!$AC$2:$AC$42,ROW()-3),V_Hisse!$AC$2:$AC$42,0))</f>
        <v>Re-pıe Portföy</v>
      </c>
      <c r="E33" s="8">
        <f>INDEX(V_Hisse!D$2:D$42,MATCH(LARGE(V_Hisse!$AC$2:$AC$42,ROW()-3),V_Hisse!$AC$2:$AC$42,0))</f>
        <v>0.02</v>
      </c>
      <c r="F33" s="9">
        <f>INDEX(V_Hisse!E$2:E$42,MATCH(LARGE(V_Hisse!$AC$2:$AC$42,ROW()-3),V_Hisse!$AC$2:$AC$42,0))</f>
        <v>-0.79608982560521735</v>
      </c>
      <c r="G33" s="9">
        <f>INDEX(V_Hisse!F$2:F$42,MATCH(LARGE(V_Hisse!$AC$2:$AC$42,ROW()-3),V_Hisse!$AC$2:$AC$42,0))</f>
        <v>-2.6371493326867279</v>
      </c>
      <c r="H33" s="9">
        <f>INDEX(V_Hisse!G$2:G$42,MATCH(LARGE(V_Hisse!$AC$2:$AC$42,ROW()-3),V_Hisse!$AC$2:$AC$42,0))</f>
        <v>1.891598663367811</v>
      </c>
      <c r="I33" s="9">
        <f>INDEX(V_Hisse!H$2:H$42,MATCH(LARGE(V_Hisse!$AC$2:$AC$42,ROW()-3),V_Hisse!$AC$2:$AC$42,0))</f>
        <v>35.613461755514777</v>
      </c>
      <c r="J33" s="9">
        <f>INDEX(V_Hisse!I$2:I$42,MATCH(LARGE(V_Hisse!$AC$2:$AC$42,ROW()-3),V_Hisse!$AC$2:$AC$42,0))</f>
        <v>38.064637799385117</v>
      </c>
      <c r="K33" s="10">
        <f>INDEX(V_Hisse!J$2:J$42,MATCH(LARGE(V_Hisse!$AC$2:$AC$42,ROW()-3),V_Hisse!$AC$2:$AC$42,0))</f>
        <v>503</v>
      </c>
      <c r="L33" s="10">
        <f>INDEX(V_Hisse!K$2:K$42,MATCH(LARGE(V_Hisse!$AC$2:$AC$42,ROW()-3),V_Hisse!$AC$2:$AC$42,0))</f>
        <v>452</v>
      </c>
      <c r="M33" s="8">
        <f>INDEX(V_Hisse!L$2:L$42,MATCH(LARGE(V_Hisse!$AC$2:$AC$42,ROW()-3),V_Hisse!$AC$2:$AC$42,0))</f>
        <v>-0.1013916500994035</v>
      </c>
      <c r="N33" s="11">
        <f>INDEX(V_Hisse!M$2:M$42,MATCH(LARGE(V_Hisse!$AC$2:$AC$42,ROW()-3),V_Hisse!$AC$2:$AC$42,0))</f>
        <v>60949735.789999999</v>
      </c>
      <c r="O33" s="11">
        <f>INDEX(V_Hisse!N$2:N$42,MATCH(LARGE(V_Hisse!$AC$2:$AC$42,ROW()-3),V_Hisse!$AC$2:$AC$42,0))</f>
        <v>43018795.189999998</v>
      </c>
      <c r="P33" s="8">
        <f>INDEX(V_Hisse!O$2:O$42,MATCH(LARGE(V_Hisse!$AC$2:$AC$42,ROW()-3),V_Hisse!$AC$2:$AC$42,0))</f>
        <v>-0.29419226133777482</v>
      </c>
      <c r="Q33" s="9">
        <f>INDEX(V_Hisse!P$2:P$42,MATCH(LARGE(V_Hisse!$AC$2:$AC$42,ROW()-3),V_Hisse!$AC$2:$AC$42,0))</f>
        <v>1.3057426479191481</v>
      </c>
      <c r="R33" s="5" t="str">
        <f>INDEX(V_Hisse!Q$2:Q$42,MATCH(LARGE(V_Hisse!$AC$2:$AC$42,ROW()-3),V_Hisse!$AC$2:$AC$42,0))</f>
        <v>Görüyor</v>
      </c>
      <c r="S33" s="8">
        <f>INDEX(V_Hisse!R$2:R$42,MATCH(LARGE(V_Hisse!$AC$2:$AC$42,ROW()-3),V_Hisse!$AC$2:$AC$42,0))</f>
        <v>0</v>
      </c>
      <c r="T33" s="8">
        <f>INDEX(V_Hisse!S$2:S$42,MATCH(LARGE(V_Hisse!$AC$2:$AC$42,ROW()-3),V_Hisse!$AC$2:$AC$42,0))</f>
        <v>0</v>
      </c>
      <c r="U33" s="8">
        <f>INDEX(V_Hisse!T$2:T$42,MATCH(LARGE(V_Hisse!$AC$2:$AC$42,ROW()-3),V_Hisse!$AC$2:$AC$42,0))</f>
        <v>0</v>
      </c>
      <c r="V33" s="8">
        <f>INDEX(V_Hisse!U$2:U$42,MATCH(LARGE(V_Hisse!$AC$2:$AC$42,ROW()-3),V_Hisse!$AC$2:$AC$42,0))</f>
        <v>0.93790000000000007</v>
      </c>
      <c r="W33" s="8">
        <f>INDEX(V_Hisse!V$2:V$42,MATCH(LARGE(V_Hisse!$AC$2:$AC$42,ROW()-3),V_Hisse!$AC$2:$AC$42,0))</f>
        <v>6.0199999999999997E-2</v>
      </c>
      <c r="X33" s="8">
        <f>INDEX(V_Hisse!W$2:W$42,MATCH(LARGE(V_Hisse!$AC$2:$AC$42,ROW()-3),V_Hisse!$AC$2:$AC$42,0))</f>
        <v>1.9E-3</v>
      </c>
      <c r="Y33" s="8">
        <f>INDEX(V_Hisse!X$2:X$42,MATCH(LARGE(V_Hisse!$AC$2:$AC$42,ROW()-3),V_Hisse!$AC$2:$AC$42,0))</f>
        <v>0</v>
      </c>
      <c r="Z33" s="8">
        <f>INDEX(V_Hisse!Y$2:Y$42,MATCH(LARGE(V_Hisse!$AC$2:$AC$42,ROW()-3),V_Hisse!$AC$2:$AC$42,0))</f>
        <v>0</v>
      </c>
      <c r="AA33" s="8">
        <f>INDEX(V_Hisse!Z$2:Z$42,MATCH(LARGE(V_Hisse!$AC$2:$AC$42,ROW()-3),V_Hisse!$AC$2:$AC$42,0))</f>
        <v>0</v>
      </c>
      <c r="AB33" s="8">
        <f>INDEX(V_Hisse!AA$2:AA$42,MATCH(LARGE(V_Hisse!$AC$2:$AC$42,ROW()-3),V_Hisse!$AC$2:$AC$42,0))</f>
        <v>1</v>
      </c>
    </row>
    <row r="34" spans="1:28" x14ac:dyDescent="0.2">
      <c r="A34">
        <v>31</v>
      </c>
      <c r="B34" s="5" t="str">
        <f>INDEX(V_Hisse!A$2:A$42,MATCH(LARGE(V_Hisse!$AC$2:$AC$42,ROW()-3),V_Hisse!$AC$2:$AC$42,0))</f>
        <v>UPH</v>
      </c>
      <c r="C34" s="5" t="str">
        <f>INDEX(V_Hisse!B$2:B$42,MATCH(LARGE(V_Hisse!$AC$2:$AC$42,ROW()-3),V_Hisse!$AC$2:$AC$42,0))</f>
        <v>Ünlü Portföy Hisse Senedi (TL) Fonu(hisse Senedi Yoğun Fon)</v>
      </c>
      <c r="D34" s="5" t="str">
        <f>INDEX(V_Hisse!C$2:C$42,MATCH(LARGE(V_Hisse!$AC$2:$AC$42,ROW()-3),V_Hisse!$AC$2:$AC$42,0))</f>
        <v>Ünlü Portföy</v>
      </c>
      <c r="E34" s="8">
        <f>INDEX(V_Hisse!D$2:D$42,MATCH(LARGE(V_Hisse!$AC$2:$AC$42,ROW()-3),V_Hisse!$AC$2:$AC$42,0))</f>
        <v>2.81E-2</v>
      </c>
      <c r="F34" s="9">
        <f>INDEX(V_Hisse!E$2:E$42,MATCH(LARGE(V_Hisse!$AC$2:$AC$42,ROW()-3),V_Hisse!$AC$2:$AC$42,0))</f>
        <v>-1.1260575684642891</v>
      </c>
      <c r="G34" s="9">
        <f>INDEX(V_Hisse!F$2:F$42,MATCH(LARGE(V_Hisse!$AC$2:$AC$42,ROW()-3),V_Hisse!$AC$2:$AC$42,0))</f>
        <v>-2.6930858664767299</v>
      </c>
      <c r="H34" s="9">
        <f>INDEX(V_Hisse!G$2:G$42,MATCH(LARGE(V_Hisse!$AC$2:$AC$42,ROW()-3),V_Hisse!$AC$2:$AC$42,0))</f>
        <v>0.7921441742592128</v>
      </c>
      <c r="I34" s="9">
        <f>INDEX(V_Hisse!H$2:H$42,MATCH(LARGE(V_Hisse!$AC$2:$AC$42,ROW()-3),V_Hisse!$AC$2:$AC$42,0))</f>
        <v>19.100203828169899</v>
      </c>
      <c r="J34" s="9">
        <f>INDEX(V_Hisse!I$2:I$42,MATCH(LARGE(V_Hisse!$AC$2:$AC$42,ROW()-3),V_Hisse!$AC$2:$AC$42,0))</f>
        <v>24.68235674150705</v>
      </c>
      <c r="K34" s="10">
        <f>INDEX(V_Hisse!J$2:J$42,MATCH(LARGE(V_Hisse!$AC$2:$AC$42,ROW()-3),V_Hisse!$AC$2:$AC$42,0))</f>
        <v>567</v>
      </c>
      <c r="L34" s="10">
        <f>INDEX(V_Hisse!K$2:K$42,MATCH(LARGE(V_Hisse!$AC$2:$AC$42,ROW()-3),V_Hisse!$AC$2:$AC$42,0))</f>
        <v>553</v>
      </c>
      <c r="M34" s="8">
        <f>INDEX(V_Hisse!L$2:L$42,MATCH(LARGE(V_Hisse!$AC$2:$AC$42,ROW()-3),V_Hisse!$AC$2:$AC$42,0))</f>
        <v>-2.469135802469136E-2</v>
      </c>
      <c r="N34" s="11">
        <f>INDEX(V_Hisse!M$2:M$42,MATCH(LARGE(V_Hisse!$AC$2:$AC$42,ROW()-3),V_Hisse!$AC$2:$AC$42,0))</f>
        <v>261803779.19</v>
      </c>
      <c r="O34" s="11">
        <f>INDEX(V_Hisse!N$2:N$42,MATCH(LARGE(V_Hisse!$AC$2:$AC$42,ROW()-3),V_Hisse!$AC$2:$AC$42,0))</f>
        <v>263638288.33000001</v>
      </c>
      <c r="P34" s="8">
        <f>INDEX(V_Hisse!O$2:O$42,MATCH(LARGE(V_Hisse!$AC$2:$AC$42,ROW()-3),V_Hisse!$AC$2:$AC$42,0))</f>
        <v>7.0071912089115784E-3</v>
      </c>
      <c r="Q34" s="9">
        <f>INDEX(V_Hisse!P$2:P$42,MATCH(LARGE(V_Hisse!$AC$2:$AC$42,ROW()-3),V_Hisse!$AC$2:$AC$42,0))</f>
        <v>1.3558472927896079</v>
      </c>
      <c r="R34" s="5" t="str">
        <f>INDEX(V_Hisse!Q$2:Q$42,MATCH(LARGE(V_Hisse!$AC$2:$AC$42,ROW()-3),V_Hisse!$AC$2:$AC$42,0))</f>
        <v>Görüyor</v>
      </c>
      <c r="S34" s="8">
        <f>INDEX(V_Hisse!R$2:R$42,MATCH(LARGE(V_Hisse!$AC$2:$AC$42,ROW()-3),V_Hisse!$AC$2:$AC$42,0))</f>
        <v>0</v>
      </c>
      <c r="T34" s="8">
        <f>INDEX(V_Hisse!S$2:S$42,MATCH(LARGE(V_Hisse!$AC$2:$AC$42,ROW()-3),V_Hisse!$AC$2:$AC$42,0))</f>
        <v>3.4799999999999998E-2</v>
      </c>
      <c r="U34" s="8">
        <f>INDEX(V_Hisse!T$2:T$42,MATCH(LARGE(V_Hisse!$AC$2:$AC$42,ROW()-3),V_Hisse!$AC$2:$AC$42,0))</f>
        <v>9.1499999999999998E-2</v>
      </c>
      <c r="V34" s="8">
        <f>INDEX(V_Hisse!U$2:U$42,MATCH(LARGE(V_Hisse!$AC$2:$AC$42,ROW()-3),V_Hisse!$AC$2:$AC$42,0))</f>
        <v>0.87290000000000001</v>
      </c>
      <c r="W34" s="8">
        <f>INDEX(V_Hisse!V$2:V$42,MATCH(LARGE(V_Hisse!$AC$2:$AC$42,ROW()-3),V_Hisse!$AC$2:$AC$42,0))</f>
        <v>8.0000000000000004E-4</v>
      </c>
      <c r="X34" s="8">
        <f>INDEX(V_Hisse!W$2:W$42,MATCH(LARGE(V_Hisse!$AC$2:$AC$42,ROW()-3),V_Hisse!$AC$2:$AC$42,0))</f>
        <v>0</v>
      </c>
      <c r="Y34" s="8">
        <f>INDEX(V_Hisse!X$2:X$42,MATCH(LARGE(V_Hisse!$AC$2:$AC$42,ROW()-3),V_Hisse!$AC$2:$AC$42,0))</f>
        <v>0</v>
      </c>
      <c r="Z34" s="8">
        <f>INDEX(V_Hisse!Y$2:Y$42,MATCH(LARGE(V_Hisse!$AC$2:$AC$42,ROW()-3),V_Hisse!$AC$2:$AC$42,0))</f>
        <v>0</v>
      </c>
      <c r="AA34" s="8">
        <f>INDEX(V_Hisse!Z$2:Z$42,MATCH(LARGE(V_Hisse!$AC$2:$AC$42,ROW()-3),V_Hisse!$AC$2:$AC$42,0))</f>
        <v>0</v>
      </c>
      <c r="AB34" s="8">
        <f>INDEX(V_Hisse!AA$2:AA$42,MATCH(LARGE(V_Hisse!$AC$2:$AC$42,ROW()-3),V_Hisse!$AC$2:$AC$42,0))</f>
        <v>1</v>
      </c>
    </row>
    <row r="35" spans="1:28" x14ac:dyDescent="0.2">
      <c r="A35">
        <v>32</v>
      </c>
      <c r="B35" s="5" t="str">
        <f>INDEX(V_Hisse!A$2:A$42,MATCH(LARGE(V_Hisse!$AC$2:$AC$42,ROW()-3),V_Hisse!$AC$2:$AC$42,0))</f>
        <v>TKF</v>
      </c>
      <c r="C35" s="5" t="str">
        <f>INDEX(V_Hisse!B$2:B$42,MATCH(LARGE(V_Hisse!$AC$2:$AC$42,ROW()-3),V_Hisse!$AC$2:$AC$42,0))</f>
        <v>Tacirler Portföy Hisse Senedi Fonu (Hisse Senedi Yoğun Fon)</v>
      </c>
      <c r="D35" s="5" t="str">
        <f>INDEX(V_Hisse!C$2:C$42,MATCH(LARGE(V_Hisse!$AC$2:$AC$42,ROW()-3),V_Hisse!$AC$2:$AC$42,0))</f>
        <v>Tacirler Portföy</v>
      </c>
      <c r="E35" s="8">
        <f>INDEX(V_Hisse!D$2:D$42,MATCH(LARGE(V_Hisse!$AC$2:$AC$42,ROW()-3),V_Hisse!$AC$2:$AC$42,0))</f>
        <v>2.92E-2</v>
      </c>
      <c r="F35" s="9">
        <f>INDEX(V_Hisse!E$2:E$42,MATCH(LARGE(V_Hisse!$AC$2:$AC$42,ROW()-3),V_Hisse!$AC$2:$AC$42,0))</f>
        <v>-1.60212794589305</v>
      </c>
      <c r="G35" s="9">
        <f>INDEX(V_Hisse!F$2:F$42,MATCH(LARGE(V_Hisse!$AC$2:$AC$42,ROW()-3),V_Hisse!$AC$2:$AC$42,0))</f>
        <v>-2.699742735463651</v>
      </c>
      <c r="H35" s="9">
        <f>INDEX(V_Hisse!G$2:G$42,MATCH(LARGE(V_Hisse!$AC$2:$AC$42,ROW()-3),V_Hisse!$AC$2:$AC$42,0))</f>
        <v>1.7044177464274219</v>
      </c>
      <c r="I35" s="9">
        <f>INDEX(V_Hisse!H$2:H$42,MATCH(LARGE(V_Hisse!$AC$2:$AC$42,ROW()-3),V_Hisse!$AC$2:$AC$42,0))</f>
        <v>23.57887439518689</v>
      </c>
      <c r="J35" s="9">
        <f>INDEX(V_Hisse!I$2:I$42,MATCH(LARGE(V_Hisse!$AC$2:$AC$42,ROW()-3),V_Hisse!$AC$2:$AC$42,0))</f>
        <v>32.910989341152977</v>
      </c>
      <c r="K35" s="10">
        <f>INDEX(V_Hisse!J$2:J$42,MATCH(LARGE(V_Hisse!$AC$2:$AC$42,ROW()-3),V_Hisse!$AC$2:$AC$42,0))</f>
        <v>4518</v>
      </c>
      <c r="L35" s="10">
        <f>INDEX(V_Hisse!K$2:K$42,MATCH(LARGE(V_Hisse!$AC$2:$AC$42,ROW()-3),V_Hisse!$AC$2:$AC$42,0))</f>
        <v>4414</v>
      </c>
      <c r="M35" s="8">
        <f>INDEX(V_Hisse!L$2:L$42,MATCH(LARGE(V_Hisse!$AC$2:$AC$42,ROW()-3),V_Hisse!$AC$2:$AC$42,0))</f>
        <v>-2.301903497122626E-2</v>
      </c>
      <c r="N35" s="11">
        <f>INDEX(V_Hisse!M$2:M$42,MATCH(LARGE(V_Hisse!$AC$2:$AC$42,ROW()-3),V_Hisse!$AC$2:$AC$42,0))</f>
        <v>1019553374.3099999</v>
      </c>
      <c r="O35" s="11">
        <f>INDEX(V_Hisse!N$2:N$42,MATCH(LARGE(V_Hisse!$AC$2:$AC$42,ROW()-3),V_Hisse!$AC$2:$AC$42,0))</f>
        <v>958514575.26999998</v>
      </c>
      <c r="P35" s="8">
        <f>INDEX(V_Hisse!O$2:O$42,MATCH(LARGE(V_Hisse!$AC$2:$AC$42,ROW()-3),V_Hisse!$AC$2:$AC$42,0))</f>
        <v>-5.9868174220215842E-2</v>
      </c>
      <c r="Q35" s="9">
        <f>INDEX(V_Hisse!P$2:P$42,MATCH(LARGE(V_Hisse!$AC$2:$AC$42,ROW()-3),V_Hisse!$AC$2:$AC$42,0))</f>
        <v>1.2433181667539701</v>
      </c>
      <c r="R35" s="5" t="str">
        <f>INDEX(V_Hisse!Q$2:Q$42,MATCH(LARGE(V_Hisse!$AC$2:$AC$42,ROW()-3),V_Hisse!$AC$2:$AC$42,0))</f>
        <v>Görüyor</v>
      </c>
      <c r="S35" s="8">
        <f>INDEX(V_Hisse!R$2:R$42,MATCH(LARGE(V_Hisse!$AC$2:$AC$42,ROW()-3),V_Hisse!$AC$2:$AC$42,0))</f>
        <v>1E-4</v>
      </c>
      <c r="T35" s="8">
        <f>INDEX(V_Hisse!S$2:S$42,MATCH(LARGE(V_Hisse!$AC$2:$AC$42,ROW()-3),V_Hisse!$AC$2:$AC$42,0))</f>
        <v>4.3E-3</v>
      </c>
      <c r="U35" s="8">
        <f>INDEX(V_Hisse!T$2:T$42,MATCH(LARGE(V_Hisse!$AC$2:$AC$42,ROW()-3),V_Hisse!$AC$2:$AC$42,0))</f>
        <v>0</v>
      </c>
      <c r="V35" s="8">
        <f>INDEX(V_Hisse!U$2:U$42,MATCH(LARGE(V_Hisse!$AC$2:$AC$42,ROW()-3),V_Hisse!$AC$2:$AC$42,0))</f>
        <v>0.93340000000000001</v>
      </c>
      <c r="W35" s="8">
        <f>INDEX(V_Hisse!V$2:V$42,MATCH(LARGE(V_Hisse!$AC$2:$AC$42,ROW()-3),V_Hisse!$AC$2:$AC$42,0))</f>
        <v>2.5899999999999999E-2</v>
      </c>
      <c r="X35" s="8">
        <f>INDEX(V_Hisse!W$2:W$42,MATCH(LARGE(V_Hisse!$AC$2:$AC$42,ROW()-3),V_Hisse!$AC$2:$AC$42,0))</f>
        <v>3.6299999999999999E-2</v>
      </c>
      <c r="Y35" s="8">
        <f>INDEX(V_Hisse!X$2:X$42,MATCH(LARGE(V_Hisse!$AC$2:$AC$42,ROW()-3),V_Hisse!$AC$2:$AC$42,0))</f>
        <v>0</v>
      </c>
      <c r="Z35" s="8">
        <f>INDEX(V_Hisse!Y$2:Y$42,MATCH(LARGE(V_Hisse!$AC$2:$AC$42,ROW()-3),V_Hisse!$AC$2:$AC$42,0))</f>
        <v>0</v>
      </c>
      <c r="AA35" s="8">
        <f>INDEX(V_Hisse!Z$2:Z$42,MATCH(LARGE(V_Hisse!$AC$2:$AC$42,ROW()-3),V_Hisse!$AC$2:$AC$42,0))</f>
        <v>0</v>
      </c>
      <c r="AB35" s="8">
        <f>INDEX(V_Hisse!AA$2:AA$42,MATCH(LARGE(V_Hisse!$AC$2:$AC$42,ROW()-3),V_Hisse!$AC$2:$AC$42,0))</f>
        <v>1</v>
      </c>
    </row>
    <row r="36" spans="1:28" x14ac:dyDescent="0.2">
      <c r="A36">
        <v>33</v>
      </c>
      <c r="B36" s="5" t="str">
        <f>INDEX(V_Hisse!A$2:A$42,MATCH(LARGE(V_Hisse!$AC$2:$AC$42,ROW()-3),V_Hisse!$AC$2:$AC$42,0))</f>
        <v>TLH</v>
      </c>
      <c r="C36" s="5" t="str">
        <f>INDEX(V_Hisse!B$2:B$42,MATCH(LARGE(V_Hisse!$AC$2:$AC$42,ROW()-3),V_Hisse!$AC$2:$AC$42,0))</f>
        <v>Aura Portföy Hisse Senedi Fonu (Hisse Senedi Yoğun Fon)</v>
      </c>
      <c r="D36" s="5" t="str">
        <f>INDEX(V_Hisse!C$2:C$42,MATCH(LARGE(V_Hisse!$AC$2:$AC$42,ROW()-3),V_Hisse!$AC$2:$AC$42,0))</f>
        <v>Aura Portföy</v>
      </c>
      <c r="E36" s="8">
        <f>INDEX(V_Hisse!D$2:D$42,MATCH(LARGE(V_Hisse!$AC$2:$AC$42,ROW()-3),V_Hisse!$AC$2:$AC$42,0))</f>
        <v>2.75E-2</v>
      </c>
      <c r="F36" s="9">
        <f>INDEX(V_Hisse!E$2:E$42,MATCH(LARGE(V_Hisse!$AC$2:$AC$42,ROW()-3),V_Hisse!$AC$2:$AC$42,0))</f>
        <v>-0.54188226856239918</v>
      </c>
      <c r="G36" s="9">
        <f>INDEX(V_Hisse!F$2:F$42,MATCH(LARGE(V_Hisse!$AC$2:$AC$42,ROW()-3),V_Hisse!$AC$2:$AC$42,0))</f>
        <v>-2.7118532898900982</v>
      </c>
      <c r="H36" s="9">
        <f>INDEX(V_Hisse!G$2:G$42,MATCH(LARGE(V_Hisse!$AC$2:$AC$42,ROW()-3),V_Hisse!$AC$2:$AC$42,0))</f>
        <v>0.41568782008869493</v>
      </c>
      <c r="I36" s="9">
        <f>INDEX(V_Hisse!H$2:H$42,MATCH(LARGE(V_Hisse!$AC$2:$AC$42,ROW()-3),V_Hisse!$AC$2:$AC$42,0))</f>
        <v>17.792072569464221</v>
      </c>
      <c r="J36" s="9">
        <f>INDEX(V_Hisse!I$2:I$42,MATCH(LARGE(V_Hisse!$AC$2:$AC$42,ROW()-3),V_Hisse!$AC$2:$AC$42,0))</f>
        <v>39.257342222873433</v>
      </c>
      <c r="K36" s="10">
        <f>INDEX(V_Hisse!J$2:J$42,MATCH(LARGE(V_Hisse!$AC$2:$AC$42,ROW()-3),V_Hisse!$AC$2:$AC$42,0))</f>
        <v>410</v>
      </c>
      <c r="L36" s="10">
        <f>INDEX(V_Hisse!K$2:K$42,MATCH(LARGE(V_Hisse!$AC$2:$AC$42,ROW()-3),V_Hisse!$AC$2:$AC$42,0))</f>
        <v>378</v>
      </c>
      <c r="M36" s="8">
        <f>INDEX(V_Hisse!L$2:L$42,MATCH(LARGE(V_Hisse!$AC$2:$AC$42,ROW()-3),V_Hisse!$AC$2:$AC$42,0))</f>
        <v>-7.8048780487804836E-2</v>
      </c>
      <c r="N36" s="11">
        <f>INDEX(V_Hisse!M$2:M$42,MATCH(LARGE(V_Hisse!$AC$2:$AC$42,ROW()-3),V_Hisse!$AC$2:$AC$42,0))</f>
        <v>129826936.11</v>
      </c>
      <c r="O36" s="11">
        <f>INDEX(V_Hisse!N$2:N$42,MATCH(LARGE(V_Hisse!$AC$2:$AC$42,ROW()-3),V_Hisse!$AC$2:$AC$42,0))</f>
        <v>140834248.91999999</v>
      </c>
      <c r="P36" s="8">
        <f>INDEX(V_Hisse!O$2:O$42,MATCH(LARGE(V_Hisse!$AC$2:$AC$42,ROW()-3),V_Hisse!$AC$2:$AC$42,0))</f>
        <v>8.4784507281860932E-2</v>
      </c>
      <c r="Q36" s="9">
        <f>INDEX(V_Hisse!P$2:P$42,MATCH(LARGE(V_Hisse!$AC$2:$AC$42,ROW()-3),V_Hisse!$AC$2:$AC$42,0))</f>
        <v>1.3560169676023051</v>
      </c>
      <c r="R36" s="5" t="str">
        <f>INDEX(V_Hisse!Q$2:Q$42,MATCH(LARGE(V_Hisse!$AC$2:$AC$42,ROW()-3),V_Hisse!$AC$2:$AC$42,0))</f>
        <v>Görüyor</v>
      </c>
      <c r="S36" s="8">
        <f>INDEX(V_Hisse!R$2:R$42,MATCH(LARGE(V_Hisse!$AC$2:$AC$42,ROW()-3),V_Hisse!$AC$2:$AC$42,0))</f>
        <v>0</v>
      </c>
      <c r="T36" s="8">
        <f>INDEX(V_Hisse!S$2:S$42,MATCH(LARGE(V_Hisse!$AC$2:$AC$42,ROW()-3),V_Hisse!$AC$2:$AC$42,0))</f>
        <v>3.3700000000000001E-2</v>
      </c>
      <c r="U36" s="8">
        <f>INDEX(V_Hisse!T$2:T$42,MATCH(LARGE(V_Hisse!$AC$2:$AC$42,ROW()-3),V_Hisse!$AC$2:$AC$42,0))</f>
        <v>0</v>
      </c>
      <c r="V36" s="8">
        <f>INDEX(V_Hisse!U$2:U$42,MATCH(LARGE(V_Hisse!$AC$2:$AC$42,ROW()-3),V_Hisse!$AC$2:$AC$42,0))</f>
        <v>0.84030000000000005</v>
      </c>
      <c r="W36" s="8">
        <f>INDEX(V_Hisse!V$2:V$42,MATCH(LARGE(V_Hisse!$AC$2:$AC$42,ROW()-3),V_Hisse!$AC$2:$AC$42,0))</f>
        <v>0</v>
      </c>
      <c r="X36" s="8">
        <f>INDEX(V_Hisse!W$2:W$42,MATCH(LARGE(V_Hisse!$AC$2:$AC$42,ROW()-3),V_Hisse!$AC$2:$AC$42,0))</f>
        <v>0.10340000000000001</v>
      </c>
      <c r="Y36" s="8">
        <f>INDEX(V_Hisse!X$2:X$42,MATCH(LARGE(V_Hisse!$AC$2:$AC$42,ROW()-3),V_Hisse!$AC$2:$AC$42,0))</f>
        <v>0</v>
      </c>
      <c r="Z36" s="8">
        <f>INDEX(V_Hisse!Y$2:Y$42,MATCH(LARGE(V_Hisse!$AC$2:$AC$42,ROW()-3),V_Hisse!$AC$2:$AC$42,0))</f>
        <v>0</v>
      </c>
      <c r="AA36" s="8">
        <f>INDEX(V_Hisse!Z$2:Z$42,MATCH(LARGE(V_Hisse!$AC$2:$AC$42,ROW()-3),V_Hisse!$AC$2:$AC$42,0))</f>
        <v>0</v>
      </c>
      <c r="AB36" s="8">
        <f>INDEX(V_Hisse!AA$2:AA$42,MATCH(LARGE(V_Hisse!$AC$2:$AC$42,ROW()-3),V_Hisse!$AC$2:$AC$42,0))</f>
        <v>0.97740000000000005</v>
      </c>
    </row>
    <row r="37" spans="1:28" x14ac:dyDescent="0.2">
      <c r="A37">
        <v>34</v>
      </c>
      <c r="B37" s="5" t="str">
        <f>INDEX(V_Hisse!A$2:A$42,MATCH(LARGE(V_Hisse!$AC$2:$AC$42,ROW()-3),V_Hisse!$AC$2:$AC$42,0))</f>
        <v>HVS</v>
      </c>
      <c r="C37" s="5" t="str">
        <f>INDEX(V_Hisse!B$2:B$42,MATCH(LARGE(V_Hisse!$AC$2:$AC$42,ROW()-3),V_Hisse!$AC$2:$AC$42,0))</f>
        <v>Hsbc Portföy Hisse Senedi (TL) Fonu (Hisse Senedi Yoğun Fon)</v>
      </c>
      <c r="D37" s="5" t="str">
        <f>INDEX(V_Hisse!C$2:C$42,MATCH(LARGE(V_Hisse!$AC$2:$AC$42,ROW()-3),V_Hisse!$AC$2:$AC$42,0))</f>
        <v>Hsbc Portföy</v>
      </c>
      <c r="E37" s="8">
        <f>INDEX(V_Hisse!D$2:D$42,MATCH(LARGE(V_Hisse!$AC$2:$AC$42,ROW()-3),V_Hisse!$AC$2:$AC$42,0))</f>
        <v>2.5000000000000001E-2</v>
      </c>
      <c r="F37" s="9">
        <f>INDEX(V_Hisse!E$2:E$42,MATCH(LARGE(V_Hisse!$AC$2:$AC$42,ROW()-3),V_Hisse!$AC$2:$AC$42,0))</f>
        <v>-0.8430808992268779</v>
      </c>
      <c r="G37" s="9">
        <f>INDEX(V_Hisse!F$2:F$42,MATCH(LARGE(V_Hisse!$AC$2:$AC$42,ROW()-3),V_Hisse!$AC$2:$AC$42,0))</f>
        <v>-2.7463587504869991</v>
      </c>
      <c r="H37" s="9">
        <f>INDEX(V_Hisse!G$2:G$42,MATCH(LARGE(V_Hisse!$AC$2:$AC$42,ROW()-3),V_Hisse!$AC$2:$AC$42,0))</f>
        <v>1.5905180678730479</v>
      </c>
      <c r="I37" s="9">
        <f>INDEX(V_Hisse!H$2:H$42,MATCH(LARGE(V_Hisse!$AC$2:$AC$42,ROW()-3),V_Hisse!$AC$2:$AC$42,0))</f>
        <v>26.484650451237581</v>
      </c>
      <c r="J37" s="9">
        <f>INDEX(V_Hisse!I$2:I$42,MATCH(LARGE(V_Hisse!$AC$2:$AC$42,ROW()-3),V_Hisse!$AC$2:$AC$42,0))</f>
        <v>29.20042534272935</v>
      </c>
      <c r="K37" s="10">
        <f>INDEX(V_Hisse!J$2:J$42,MATCH(LARGE(V_Hisse!$AC$2:$AC$42,ROW()-3),V_Hisse!$AC$2:$AC$42,0))</f>
        <v>10615</v>
      </c>
      <c r="L37" s="10">
        <f>INDEX(V_Hisse!K$2:K$42,MATCH(LARGE(V_Hisse!$AC$2:$AC$42,ROW()-3),V_Hisse!$AC$2:$AC$42,0))</f>
        <v>10195</v>
      </c>
      <c r="M37" s="8">
        <f>INDEX(V_Hisse!L$2:L$42,MATCH(LARGE(V_Hisse!$AC$2:$AC$42,ROW()-3),V_Hisse!$AC$2:$AC$42,0))</f>
        <v>-3.9566650965614743E-2</v>
      </c>
      <c r="N37" s="11">
        <f>INDEX(V_Hisse!M$2:M$42,MATCH(LARGE(V_Hisse!$AC$2:$AC$42,ROW()-3),V_Hisse!$AC$2:$AC$42,0))</f>
        <v>2841944098.0900002</v>
      </c>
      <c r="O37" s="11">
        <f>INDEX(V_Hisse!N$2:N$42,MATCH(LARGE(V_Hisse!$AC$2:$AC$42,ROW()-3),V_Hisse!$AC$2:$AC$42,0))</f>
        <v>2820941063.3400002</v>
      </c>
      <c r="P37" s="8">
        <f>INDEX(V_Hisse!O$2:O$42,MATCH(LARGE(V_Hisse!$AC$2:$AC$42,ROW()-3),V_Hisse!$AC$2:$AC$42,0))</f>
        <v>-7.3903757516257107E-3</v>
      </c>
      <c r="Q37" s="9">
        <f>INDEX(V_Hisse!P$2:P$42,MATCH(LARGE(V_Hisse!$AC$2:$AC$42,ROW()-3),V_Hisse!$AC$2:$AC$42,0))</f>
        <v>1.264144812537662</v>
      </c>
      <c r="R37" s="5" t="str">
        <f>INDEX(V_Hisse!Q$2:Q$42,MATCH(LARGE(V_Hisse!$AC$2:$AC$42,ROW()-3),V_Hisse!$AC$2:$AC$42,0))</f>
        <v>Görüyor</v>
      </c>
      <c r="S37" s="8">
        <f>INDEX(V_Hisse!R$2:R$42,MATCH(LARGE(V_Hisse!$AC$2:$AC$42,ROW()-3),V_Hisse!$AC$2:$AC$42,0))</f>
        <v>0</v>
      </c>
      <c r="T37" s="8">
        <f>INDEX(V_Hisse!S$2:S$42,MATCH(LARGE(V_Hisse!$AC$2:$AC$42,ROW()-3),V_Hisse!$AC$2:$AC$42,0))</f>
        <v>3.4099999999999998E-2</v>
      </c>
      <c r="U37" s="8">
        <f>INDEX(V_Hisse!T$2:T$42,MATCH(LARGE(V_Hisse!$AC$2:$AC$42,ROW()-3),V_Hisse!$AC$2:$AC$42,0))</f>
        <v>0</v>
      </c>
      <c r="V37" s="8">
        <f>INDEX(V_Hisse!U$2:U$42,MATCH(LARGE(V_Hisse!$AC$2:$AC$42,ROW()-3),V_Hisse!$AC$2:$AC$42,0))</f>
        <v>0.91639999999999999</v>
      </c>
      <c r="W37" s="8">
        <f>INDEX(V_Hisse!V$2:V$42,MATCH(LARGE(V_Hisse!$AC$2:$AC$42,ROW()-3),V_Hisse!$AC$2:$AC$42,0))</f>
        <v>4.9500000000000002E-2</v>
      </c>
      <c r="X37" s="8">
        <f>INDEX(V_Hisse!W$2:W$42,MATCH(LARGE(V_Hisse!$AC$2:$AC$42,ROW()-3),V_Hisse!$AC$2:$AC$42,0))</f>
        <v>0</v>
      </c>
      <c r="Y37" s="8">
        <f>INDEX(V_Hisse!X$2:X$42,MATCH(LARGE(V_Hisse!$AC$2:$AC$42,ROW()-3),V_Hisse!$AC$2:$AC$42,0))</f>
        <v>0</v>
      </c>
      <c r="Z37" s="8">
        <f>INDEX(V_Hisse!Y$2:Y$42,MATCH(LARGE(V_Hisse!$AC$2:$AC$42,ROW()-3),V_Hisse!$AC$2:$AC$42,0))</f>
        <v>0</v>
      </c>
      <c r="AA37" s="8">
        <f>INDEX(V_Hisse!Z$2:Z$42,MATCH(LARGE(V_Hisse!$AC$2:$AC$42,ROW()-3),V_Hisse!$AC$2:$AC$42,0))</f>
        <v>0</v>
      </c>
      <c r="AB37" s="8">
        <f>INDEX(V_Hisse!AA$2:AA$42,MATCH(LARGE(V_Hisse!$AC$2:$AC$42,ROW()-3),V_Hisse!$AC$2:$AC$42,0))</f>
        <v>1</v>
      </c>
    </row>
    <row r="38" spans="1:28" x14ac:dyDescent="0.2">
      <c r="A38">
        <v>35</v>
      </c>
      <c r="B38" s="5" t="str">
        <f>INDEX(V_Hisse!A$2:A$42,MATCH(LARGE(V_Hisse!$AC$2:$AC$42,ROW()-3),V_Hisse!$AC$2:$AC$42,0))</f>
        <v>AHI</v>
      </c>
      <c r="C38" s="5" t="str">
        <f>INDEX(V_Hisse!B$2:B$42,MATCH(LARGE(V_Hisse!$AC$2:$AC$42,ROW()-3),V_Hisse!$AC$2:$AC$42,0))</f>
        <v>Atlas Portföy Birinci Hisse Senedi Fonu(hisse Senedi Yoğun)</v>
      </c>
      <c r="D38" s="5" t="str">
        <f>INDEX(V_Hisse!C$2:C$42,MATCH(LARGE(V_Hisse!$AC$2:$AC$42,ROW()-3),V_Hisse!$AC$2:$AC$42,0))</f>
        <v>Atlas Portföy</v>
      </c>
      <c r="E38" s="8">
        <f>INDEX(V_Hisse!D$2:D$42,MATCH(LARGE(V_Hisse!$AC$2:$AC$42,ROW()-3),V_Hisse!$AC$2:$AC$42,0))</f>
        <v>2.9000000000000001E-2</v>
      </c>
      <c r="F38" s="9">
        <f>INDEX(V_Hisse!E$2:E$42,MATCH(LARGE(V_Hisse!$AC$2:$AC$42,ROW()-3),V_Hisse!$AC$2:$AC$42,0))</f>
        <v>-1.2105074850245809</v>
      </c>
      <c r="G38" s="9">
        <f>INDEX(V_Hisse!F$2:F$42,MATCH(LARGE(V_Hisse!$AC$2:$AC$42,ROW()-3),V_Hisse!$AC$2:$AC$42,0))</f>
        <v>-2.7561859190279541</v>
      </c>
      <c r="H38" s="9">
        <f>INDEX(V_Hisse!G$2:G$42,MATCH(LARGE(V_Hisse!$AC$2:$AC$42,ROW()-3),V_Hisse!$AC$2:$AC$42,0))</f>
        <v>3.0944523738574151E-2</v>
      </c>
      <c r="I38" s="9">
        <f>INDEX(V_Hisse!H$2:H$42,MATCH(LARGE(V_Hisse!$AC$2:$AC$42,ROW()-3),V_Hisse!$AC$2:$AC$42,0))</f>
        <v>17.892242193541779</v>
      </c>
      <c r="J38" s="9">
        <f>INDEX(V_Hisse!I$2:I$42,MATCH(LARGE(V_Hisse!$AC$2:$AC$42,ROW()-3),V_Hisse!$AC$2:$AC$42,0))</f>
        <v>39.577172244562867</v>
      </c>
      <c r="K38" s="10">
        <f>INDEX(V_Hisse!J$2:J$42,MATCH(LARGE(V_Hisse!$AC$2:$AC$42,ROW()-3),V_Hisse!$AC$2:$AC$42,0))</f>
        <v>2548</v>
      </c>
      <c r="L38" s="10">
        <f>INDEX(V_Hisse!K$2:K$42,MATCH(LARGE(V_Hisse!$AC$2:$AC$42,ROW()-3),V_Hisse!$AC$2:$AC$42,0))</f>
        <v>2490</v>
      </c>
      <c r="M38" s="8">
        <f>INDEX(V_Hisse!L$2:L$42,MATCH(LARGE(V_Hisse!$AC$2:$AC$42,ROW()-3),V_Hisse!$AC$2:$AC$42,0))</f>
        <v>-2.2762951334379888E-2</v>
      </c>
      <c r="N38" s="11">
        <f>INDEX(V_Hisse!M$2:M$42,MATCH(LARGE(V_Hisse!$AC$2:$AC$42,ROW()-3),V_Hisse!$AC$2:$AC$42,0))</f>
        <v>128283422.98</v>
      </c>
      <c r="O38" s="11">
        <f>INDEX(V_Hisse!N$2:N$42,MATCH(LARGE(V_Hisse!$AC$2:$AC$42,ROW()-3),V_Hisse!$AC$2:$AC$42,0))</f>
        <v>123969568.56999999</v>
      </c>
      <c r="P38" s="8">
        <f>INDEX(V_Hisse!O$2:O$42,MATCH(LARGE(V_Hisse!$AC$2:$AC$42,ROW()-3),V_Hisse!$AC$2:$AC$42,0))</f>
        <v>-3.3627528092016752E-2</v>
      </c>
      <c r="Q38" s="9">
        <f>INDEX(V_Hisse!P$2:P$42,MATCH(LARGE(V_Hisse!$AC$2:$AC$42,ROW()-3),V_Hisse!$AC$2:$AC$42,0))</f>
        <v>1.407477711108245</v>
      </c>
      <c r="R38" s="5" t="str">
        <f>INDEX(V_Hisse!Q$2:Q$42,MATCH(LARGE(V_Hisse!$AC$2:$AC$42,ROW()-3),V_Hisse!$AC$2:$AC$42,0))</f>
        <v>Görüyor</v>
      </c>
      <c r="S38" s="8">
        <f>INDEX(V_Hisse!R$2:R$42,MATCH(LARGE(V_Hisse!$AC$2:$AC$42,ROW()-3),V_Hisse!$AC$2:$AC$42,0))</f>
        <v>0</v>
      </c>
      <c r="T38" s="8">
        <f>INDEX(V_Hisse!S$2:S$42,MATCH(LARGE(V_Hisse!$AC$2:$AC$42,ROW()-3),V_Hisse!$AC$2:$AC$42,0))</f>
        <v>8.3000000000000001E-3</v>
      </c>
      <c r="U38" s="8">
        <f>INDEX(V_Hisse!T$2:T$42,MATCH(LARGE(V_Hisse!$AC$2:$AC$42,ROW()-3),V_Hisse!$AC$2:$AC$42,0))</f>
        <v>7.0900000000000005E-2</v>
      </c>
      <c r="V38" s="8">
        <f>INDEX(V_Hisse!U$2:U$42,MATCH(LARGE(V_Hisse!$AC$2:$AC$42,ROW()-3),V_Hisse!$AC$2:$AC$42,0))</f>
        <v>0.92</v>
      </c>
      <c r="W38" s="8">
        <f>INDEX(V_Hisse!V$2:V$42,MATCH(LARGE(V_Hisse!$AC$2:$AC$42,ROW()-3),V_Hisse!$AC$2:$AC$42,0))</f>
        <v>8.0000000000000004E-4</v>
      </c>
      <c r="X38" s="8">
        <f>INDEX(V_Hisse!W$2:W$42,MATCH(LARGE(V_Hisse!$AC$2:$AC$42,ROW()-3),V_Hisse!$AC$2:$AC$42,0))</f>
        <v>0</v>
      </c>
      <c r="Y38" s="8">
        <f>INDEX(V_Hisse!X$2:X$42,MATCH(LARGE(V_Hisse!$AC$2:$AC$42,ROW()-3),V_Hisse!$AC$2:$AC$42,0))</f>
        <v>0</v>
      </c>
      <c r="Z38" s="8">
        <f>INDEX(V_Hisse!Y$2:Y$42,MATCH(LARGE(V_Hisse!$AC$2:$AC$42,ROW()-3),V_Hisse!$AC$2:$AC$42,0))</f>
        <v>0</v>
      </c>
      <c r="AA38" s="8">
        <f>INDEX(V_Hisse!Z$2:Z$42,MATCH(LARGE(V_Hisse!$AC$2:$AC$42,ROW()-3),V_Hisse!$AC$2:$AC$42,0))</f>
        <v>0</v>
      </c>
      <c r="AB38" s="8">
        <f>INDEX(V_Hisse!AA$2:AA$42,MATCH(LARGE(V_Hisse!$AC$2:$AC$42,ROW()-3),V_Hisse!$AC$2:$AC$42,0))</f>
        <v>1</v>
      </c>
    </row>
    <row r="39" spans="1:28" x14ac:dyDescent="0.2">
      <c r="A39">
        <v>36</v>
      </c>
      <c r="B39" s="5" t="str">
        <f>INDEX(V_Hisse!A$2:A$42,MATCH(LARGE(V_Hisse!$AC$2:$AC$42,ROW()-3),V_Hisse!$AC$2:$AC$42,0))</f>
        <v>MAC</v>
      </c>
      <c r="C39" s="5" t="str">
        <f>INDEX(V_Hisse!B$2:B$42,MATCH(LARGE(V_Hisse!$AC$2:$AC$42,ROW()-3),V_Hisse!$AC$2:$AC$42,0))</f>
        <v>Marmara Capıtal Portföy Hisse Senedi (TL) Fonu (Hisse Senedi Yoğun Fon)</v>
      </c>
      <c r="D39" s="5" t="str">
        <f>INDEX(V_Hisse!C$2:C$42,MATCH(LARGE(V_Hisse!$AC$2:$AC$42,ROW()-3),V_Hisse!$AC$2:$AC$42,0))</f>
        <v>Marmara Capital Portföy</v>
      </c>
      <c r="E39" s="8">
        <f>INDEX(V_Hisse!D$2:D$42,MATCH(LARGE(V_Hisse!$AC$2:$AC$42,ROW()-3),V_Hisse!$AC$2:$AC$42,0))</f>
        <v>2.6800000000000001E-2</v>
      </c>
      <c r="F39" s="9">
        <f>INDEX(V_Hisse!E$2:E$42,MATCH(LARGE(V_Hisse!$AC$2:$AC$42,ROW()-3),V_Hisse!$AC$2:$AC$42,0))</f>
        <v>-1.261619589553431</v>
      </c>
      <c r="G39" s="9">
        <f>INDEX(V_Hisse!F$2:F$42,MATCH(LARGE(V_Hisse!$AC$2:$AC$42,ROW()-3),V_Hisse!$AC$2:$AC$42,0))</f>
        <v>-2.8653363845086881</v>
      </c>
      <c r="H39" s="9">
        <f>INDEX(V_Hisse!G$2:G$42,MATCH(LARGE(V_Hisse!$AC$2:$AC$42,ROW()-3),V_Hisse!$AC$2:$AC$42,0))</f>
        <v>-5.9794454272673159</v>
      </c>
      <c r="I39" s="9">
        <f>INDEX(V_Hisse!H$2:H$42,MATCH(LARGE(V_Hisse!$AC$2:$AC$42,ROW()-3),V_Hisse!$AC$2:$AC$42,0))</f>
        <v>14.491576360249709</v>
      </c>
      <c r="J39" s="9">
        <f>INDEX(V_Hisse!I$2:I$42,MATCH(LARGE(V_Hisse!$AC$2:$AC$42,ROW()-3),V_Hisse!$AC$2:$AC$42,0))</f>
        <v>22.99433104945108</v>
      </c>
      <c r="K39" s="10">
        <f>INDEX(V_Hisse!J$2:J$42,MATCH(LARGE(V_Hisse!$AC$2:$AC$42,ROW()-3),V_Hisse!$AC$2:$AC$42,0))</f>
        <v>37935</v>
      </c>
      <c r="L39" s="10">
        <f>INDEX(V_Hisse!K$2:K$42,MATCH(LARGE(V_Hisse!$AC$2:$AC$42,ROW()-3),V_Hisse!$AC$2:$AC$42,0))</f>
        <v>37236</v>
      </c>
      <c r="M39" s="8">
        <f>INDEX(V_Hisse!L$2:L$42,MATCH(LARGE(V_Hisse!$AC$2:$AC$42,ROW()-3),V_Hisse!$AC$2:$AC$42,0))</f>
        <v>-1.8426255436931549E-2</v>
      </c>
      <c r="N39" s="11">
        <f>INDEX(V_Hisse!M$2:M$42,MATCH(LARGE(V_Hisse!$AC$2:$AC$42,ROW()-3),V_Hisse!$AC$2:$AC$42,0))</f>
        <v>5045573968.71</v>
      </c>
      <c r="O39" s="11">
        <f>INDEX(V_Hisse!N$2:N$42,MATCH(LARGE(V_Hisse!$AC$2:$AC$42,ROW()-3),V_Hisse!$AC$2:$AC$42,0))</f>
        <v>4623659103.1700001</v>
      </c>
      <c r="P39" s="8">
        <f>INDEX(V_Hisse!O$2:O$42,MATCH(LARGE(V_Hisse!$AC$2:$AC$42,ROW()-3),V_Hisse!$AC$2:$AC$42,0))</f>
        <v>-8.362078688301755E-2</v>
      </c>
      <c r="Q39" s="9">
        <f>INDEX(V_Hisse!P$2:P$42,MATCH(LARGE(V_Hisse!$AC$2:$AC$42,ROW()-3),V_Hisse!$AC$2:$AC$42,0))</f>
        <v>1.2181674950017369</v>
      </c>
      <c r="R39" s="5" t="str">
        <f>INDEX(V_Hisse!Q$2:Q$42,MATCH(LARGE(V_Hisse!$AC$2:$AC$42,ROW()-3),V_Hisse!$AC$2:$AC$42,0))</f>
        <v>Görüyor</v>
      </c>
      <c r="S39" s="8">
        <f>INDEX(V_Hisse!R$2:R$42,MATCH(LARGE(V_Hisse!$AC$2:$AC$42,ROW()-3),V_Hisse!$AC$2:$AC$42,0))</f>
        <v>0</v>
      </c>
      <c r="T39" s="8">
        <f>INDEX(V_Hisse!S$2:S$42,MATCH(LARGE(V_Hisse!$AC$2:$AC$42,ROW()-3),V_Hisse!$AC$2:$AC$42,0))</f>
        <v>0</v>
      </c>
      <c r="U39" s="8">
        <f>INDEX(V_Hisse!T$2:T$42,MATCH(LARGE(V_Hisse!$AC$2:$AC$42,ROW()-3),V_Hisse!$AC$2:$AC$42,0))</f>
        <v>0</v>
      </c>
      <c r="V39" s="8">
        <f>INDEX(V_Hisse!U$2:U$42,MATCH(LARGE(V_Hisse!$AC$2:$AC$42,ROW()-3),V_Hisse!$AC$2:$AC$42,0))</f>
        <v>0.9556</v>
      </c>
      <c r="W39" s="8">
        <f>INDEX(V_Hisse!V$2:V$42,MATCH(LARGE(V_Hisse!$AC$2:$AC$42,ROW()-3),V_Hisse!$AC$2:$AC$42,0))</f>
        <v>4.4400000000000002E-2</v>
      </c>
      <c r="X39" s="8">
        <f>INDEX(V_Hisse!W$2:W$42,MATCH(LARGE(V_Hisse!$AC$2:$AC$42,ROW()-3),V_Hisse!$AC$2:$AC$42,0))</f>
        <v>0</v>
      </c>
      <c r="Y39" s="8">
        <f>INDEX(V_Hisse!X$2:X$42,MATCH(LARGE(V_Hisse!$AC$2:$AC$42,ROW()-3),V_Hisse!$AC$2:$AC$42,0))</f>
        <v>0</v>
      </c>
      <c r="Z39" s="8">
        <f>INDEX(V_Hisse!Y$2:Y$42,MATCH(LARGE(V_Hisse!$AC$2:$AC$42,ROW()-3),V_Hisse!$AC$2:$AC$42,0))</f>
        <v>0</v>
      </c>
      <c r="AA39" s="8">
        <f>INDEX(V_Hisse!Z$2:Z$42,MATCH(LARGE(V_Hisse!$AC$2:$AC$42,ROW()-3),V_Hisse!$AC$2:$AC$42,0))</f>
        <v>0</v>
      </c>
      <c r="AB39" s="8">
        <f>INDEX(V_Hisse!AA$2:AA$42,MATCH(LARGE(V_Hisse!$AC$2:$AC$42,ROW()-3),V_Hisse!$AC$2:$AC$42,0))</f>
        <v>1</v>
      </c>
    </row>
    <row r="40" spans="1:28" x14ac:dyDescent="0.2">
      <c r="A40">
        <v>37</v>
      </c>
      <c r="B40" s="5" t="str">
        <f>INDEX(V_Hisse!A$2:A$42,MATCH(LARGE(V_Hisse!$AC$2:$AC$42,ROW()-3),V_Hisse!$AC$2:$AC$42,0))</f>
        <v>FPH</v>
      </c>
      <c r="C40" s="5" t="str">
        <f>INDEX(V_Hisse!B$2:B$42,MATCH(LARGE(V_Hisse!$AC$2:$AC$42,ROW()-3),V_Hisse!$AC$2:$AC$42,0))</f>
        <v>Fiba Portföy Hisse Senedi (TL) Fonu (Hisse Senedi Yoğun Fon)</v>
      </c>
      <c r="D40" s="5" t="str">
        <f>INDEX(V_Hisse!C$2:C$42,MATCH(LARGE(V_Hisse!$AC$2:$AC$42,ROW()-3),V_Hisse!$AC$2:$AC$42,0))</f>
        <v>Fiba Portföy</v>
      </c>
      <c r="E40" s="8">
        <f>INDEX(V_Hisse!D$2:D$42,MATCH(LARGE(V_Hisse!$AC$2:$AC$42,ROW()-3),V_Hisse!$AC$2:$AC$42,0))</f>
        <v>3.1029999999999999E-2</v>
      </c>
      <c r="F40" s="9">
        <f>INDEX(V_Hisse!E$2:E$42,MATCH(LARGE(V_Hisse!$AC$2:$AC$42,ROW()-3),V_Hisse!$AC$2:$AC$42,0))</f>
        <v>-1.018770251658252</v>
      </c>
      <c r="G40" s="9">
        <f>INDEX(V_Hisse!F$2:F$42,MATCH(LARGE(V_Hisse!$AC$2:$AC$42,ROW()-3),V_Hisse!$AC$2:$AC$42,0))</f>
        <v>-2.9591347272973079</v>
      </c>
      <c r="H40" s="9">
        <f>INDEX(V_Hisse!G$2:G$42,MATCH(LARGE(V_Hisse!$AC$2:$AC$42,ROW()-3),V_Hisse!$AC$2:$AC$42,0))</f>
        <v>1.732788888581815</v>
      </c>
      <c r="I40" s="9">
        <f>INDEX(V_Hisse!H$2:H$42,MATCH(LARGE(V_Hisse!$AC$2:$AC$42,ROW()-3),V_Hisse!$AC$2:$AC$42,0))</f>
        <v>16.752100220283019</v>
      </c>
      <c r="J40" s="9">
        <f>INDEX(V_Hisse!I$2:I$42,MATCH(LARGE(V_Hisse!$AC$2:$AC$42,ROW()-3),V_Hisse!$AC$2:$AC$42,0))</f>
        <v>23.043308882086279</v>
      </c>
      <c r="K40" s="10">
        <f>INDEX(V_Hisse!J$2:J$42,MATCH(LARGE(V_Hisse!$AC$2:$AC$42,ROW()-3),V_Hisse!$AC$2:$AC$42,0))</f>
        <v>4755</v>
      </c>
      <c r="L40" s="10">
        <f>INDEX(V_Hisse!K$2:K$42,MATCH(LARGE(V_Hisse!$AC$2:$AC$42,ROW()-3),V_Hisse!$AC$2:$AC$42,0))</f>
        <v>4638</v>
      </c>
      <c r="M40" s="8">
        <f>INDEX(V_Hisse!L$2:L$42,MATCH(LARGE(V_Hisse!$AC$2:$AC$42,ROW()-3),V_Hisse!$AC$2:$AC$42,0))</f>
        <v>-2.460567823343851E-2</v>
      </c>
      <c r="N40" s="11">
        <f>INDEX(V_Hisse!M$2:M$42,MATCH(LARGE(V_Hisse!$AC$2:$AC$42,ROW()-3),V_Hisse!$AC$2:$AC$42,0))</f>
        <v>1433585536.8199999</v>
      </c>
      <c r="O40" s="11">
        <f>INDEX(V_Hisse!N$2:N$42,MATCH(LARGE(V_Hisse!$AC$2:$AC$42,ROW()-3),V_Hisse!$AC$2:$AC$42,0))</f>
        <v>1282178445.97</v>
      </c>
      <c r="P40" s="8">
        <f>INDEX(V_Hisse!O$2:O$42,MATCH(LARGE(V_Hisse!$AC$2:$AC$42,ROW()-3),V_Hisse!$AC$2:$AC$42,0))</f>
        <v>-0.1056142706251441</v>
      </c>
      <c r="Q40" s="9">
        <f>INDEX(V_Hisse!P$2:P$42,MATCH(LARGE(V_Hisse!$AC$2:$AC$42,ROW()-3),V_Hisse!$AC$2:$AC$42,0))</f>
        <v>1.3364918168898301</v>
      </c>
      <c r="R40" s="5" t="str">
        <f>INDEX(V_Hisse!Q$2:Q$42,MATCH(LARGE(V_Hisse!$AC$2:$AC$42,ROW()-3),V_Hisse!$AC$2:$AC$42,0))</f>
        <v>Görüyor</v>
      </c>
      <c r="S40" s="8">
        <f>INDEX(V_Hisse!R$2:R$42,MATCH(LARGE(V_Hisse!$AC$2:$AC$42,ROW()-3),V_Hisse!$AC$2:$AC$42,0))</f>
        <v>7.4999999999999997E-3</v>
      </c>
      <c r="T40" s="8">
        <f>INDEX(V_Hisse!S$2:S$42,MATCH(LARGE(V_Hisse!$AC$2:$AC$42,ROW()-3),V_Hisse!$AC$2:$AC$42,0))</f>
        <v>1.5299999999999999E-2</v>
      </c>
      <c r="U40" s="8">
        <f>INDEX(V_Hisse!T$2:T$42,MATCH(LARGE(V_Hisse!$AC$2:$AC$42,ROW()-3),V_Hisse!$AC$2:$AC$42,0))</f>
        <v>3.3500000000000002E-2</v>
      </c>
      <c r="V40" s="8">
        <f>INDEX(V_Hisse!U$2:U$42,MATCH(LARGE(V_Hisse!$AC$2:$AC$42,ROW()-3),V_Hisse!$AC$2:$AC$42,0))</f>
        <v>0.91859999999999997</v>
      </c>
      <c r="W40" s="8">
        <f>INDEX(V_Hisse!V$2:V$42,MATCH(LARGE(V_Hisse!$AC$2:$AC$42,ROW()-3),V_Hisse!$AC$2:$AC$42,0))</f>
        <v>2.9999999999999997E-4</v>
      </c>
      <c r="X40" s="8">
        <f>INDEX(V_Hisse!W$2:W$42,MATCH(LARGE(V_Hisse!$AC$2:$AC$42,ROW()-3),V_Hisse!$AC$2:$AC$42,0))</f>
        <v>1E-4</v>
      </c>
      <c r="Y40" s="8">
        <f>INDEX(V_Hisse!X$2:X$42,MATCH(LARGE(V_Hisse!$AC$2:$AC$42,ROW()-3),V_Hisse!$AC$2:$AC$42,0))</f>
        <v>0</v>
      </c>
      <c r="Z40" s="8">
        <f>INDEX(V_Hisse!Y$2:Y$42,MATCH(LARGE(V_Hisse!$AC$2:$AC$42,ROW()-3),V_Hisse!$AC$2:$AC$42,0))</f>
        <v>0</v>
      </c>
      <c r="AA40" s="8">
        <f>INDEX(V_Hisse!Z$2:Z$42,MATCH(LARGE(V_Hisse!$AC$2:$AC$42,ROW()-3),V_Hisse!$AC$2:$AC$42,0))</f>
        <v>0</v>
      </c>
      <c r="AB40" s="8">
        <f>INDEX(V_Hisse!AA$2:AA$42,MATCH(LARGE(V_Hisse!$AC$2:$AC$42,ROW()-3),V_Hisse!$AC$2:$AC$42,0))</f>
        <v>0.97529999999999994</v>
      </c>
    </row>
    <row r="41" spans="1:28" x14ac:dyDescent="0.2">
      <c r="A41">
        <v>38</v>
      </c>
      <c r="B41" s="5" t="str">
        <f>INDEX(V_Hisse!A$2:A$42,MATCH(LARGE(V_Hisse!$AC$2:$AC$42,ROW()-3),V_Hisse!$AC$2:$AC$42,0))</f>
        <v>GAF</v>
      </c>
      <c r="C41" s="5" t="str">
        <f>INDEX(V_Hisse!B$2:B$42,MATCH(LARGE(V_Hisse!$AC$2:$AC$42,ROW()-3),V_Hisse!$AC$2:$AC$42,0))</f>
        <v>Inveo Portföy Birinci Hisse Senedi Fonu (Hisse Senedi Yoğun Fon)</v>
      </c>
      <c r="D41" s="5" t="str">
        <f>INDEX(V_Hisse!C$2:C$42,MATCH(LARGE(V_Hisse!$AC$2:$AC$42,ROW()-3),V_Hisse!$AC$2:$AC$42,0))</f>
        <v>Inveo Portföy</v>
      </c>
      <c r="E41" s="8">
        <f>INDEX(V_Hisse!D$2:D$42,MATCH(LARGE(V_Hisse!$AC$2:$AC$42,ROW()-3),V_Hisse!$AC$2:$AC$42,0))</f>
        <v>2.5000000000000001E-2</v>
      </c>
      <c r="F41" s="9">
        <f>INDEX(V_Hisse!E$2:E$42,MATCH(LARGE(V_Hisse!$AC$2:$AC$42,ROW()-3),V_Hisse!$AC$2:$AC$42,0))</f>
        <v>-1.4696994213051151</v>
      </c>
      <c r="G41" s="9">
        <f>INDEX(V_Hisse!F$2:F$42,MATCH(LARGE(V_Hisse!$AC$2:$AC$42,ROW()-3),V_Hisse!$AC$2:$AC$42,0))</f>
        <v>-3.7333926940931179</v>
      </c>
      <c r="H41" s="9">
        <f>INDEX(V_Hisse!G$2:G$42,MATCH(LARGE(V_Hisse!$AC$2:$AC$42,ROW()-3),V_Hisse!$AC$2:$AC$42,0))</f>
        <v>0.70069607543319368</v>
      </c>
      <c r="I41" s="9">
        <f>INDEX(V_Hisse!H$2:H$42,MATCH(LARGE(V_Hisse!$AC$2:$AC$42,ROW()-3),V_Hisse!$AC$2:$AC$42,0))</f>
        <v>18.008434273158439</v>
      </c>
      <c r="J41" s="9">
        <f>INDEX(V_Hisse!I$2:I$42,MATCH(LARGE(V_Hisse!$AC$2:$AC$42,ROW()-3),V_Hisse!$AC$2:$AC$42,0))</f>
        <v>34.150120477048617</v>
      </c>
      <c r="K41" s="10">
        <f>INDEX(V_Hisse!J$2:J$42,MATCH(LARGE(V_Hisse!$AC$2:$AC$42,ROW()-3),V_Hisse!$AC$2:$AC$42,0))</f>
        <v>1733</v>
      </c>
      <c r="L41" s="10">
        <f>INDEX(V_Hisse!K$2:K$42,MATCH(LARGE(V_Hisse!$AC$2:$AC$42,ROW()-3),V_Hisse!$AC$2:$AC$42,0))</f>
        <v>1675</v>
      </c>
      <c r="M41" s="8">
        <f>INDEX(V_Hisse!L$2:L$42,MATCH(LARGE(V_Hisse!$AC$2:$AC$42,ROW()-3),V_Hisse!$AC$2:$AC$42,0))</f>
        <v>-3.3467974610501987E-2</v>
      </c>
      <c r="N41" s="11">
        <f>INDEX(V_Hisse!M$2:M$42,MATCH(LARGE(V_Hisse!$AC$2:$AC$42,ROW()-3),V_Hisse!$AC$2:$AC$42,0))</f>
        <v>202441223.28</v>
      </c>
      <c r="O41" s="11">
        <f>INDEX(V_Hisse!N$2:N$42,MATCH(LARGE(V_Hisse!$AC$2:$AC$42,ROW()-3),V_Hisse!$AC$2:$AC$42,0))</f>
        <v>193278743.28999999</v>
      </c>
      <c r="P41" s="8">
        <f>INDEX(V_Hisse!O$2:O$42,MATCH(LARGE(V_Hisse!$AC$2:$AC$42,ROW()-3),V_Hisse!$AC$2:$AC$42,0))</f>
        <v>-4.5259951711155273E-2</v>
      </c>
      <c r="Q41" s="9">
        <f>INDEX(V_Hisse!P$2:P$42,MATCH(LARGE(V_Hisse!$AC$2:$AC$42,ROW()-3),V_Hisse!$AC$2:$AC$42,0))</f>
        <v>1.6248167025469129</v>
      </c>
      <c r="R41" s="5" t="str">
        <f>INDEX(V_Hisse!Q$2:Q$42,MATCH(LARGE(V_Hisse!$AC$2:$AC$42,ROW()-3),V_Hisse!$AC$2:$AC$42,0))</f>
        <v>Görüyor</v>
      </c>
      <c r="S41" s="8">
        <f>INDEX(V_Hisse!R$2:R$42,MATCH(LARGE(V_Hisse!$AC$2:$AC$42,ROW()-3),V_Hisse!$AC$2:$AC$42,0))</f>
        <v>0</v>
      </c>
      <c r="T41" s="8">
        <f>INDEX(V_Hisse!S$2:S$42,MATCH(LARGE(V_Hisse!$AC$2:$AC$42,ROW()-3),V_Hisse!$AC$2:$AC$42,0))</f>
        <v>0</v>
      </c>
      <c r="U41" s="8">
        <f>INDEX(V_Hisse!T$2:T$42,MATCH(LARGE(V_Hisse!$AC$2:$AC$42,ROW()-3),V_Hisse!$AC$2:$AC$42,0))</f>
        <v>0</v>
      </c>
      <c r="V41" s="8">
        <f>INDEX(V_Hisse!U$2:U$42,MATCH(LARGE(V_Hisse!$AC$2:$AC$42,ROW()-3),V_Hisse!$AC$2:$AC$42,0))</f>
        <v>0.96879999999999999</v>
      </c>
      <c r="W41" s="8">
        <f>INDEX(V_Hisse!V$2:V$42,MATCH(LARGE(V_Hisse!$AC$2:$AC$42,ROW()-3),V_Hisse!$AC$2:$AC$42,0))</f>
        <v>0</v>
      </c>
      <c r="X41" s="8">
        <f>INDEX(V_Hisse!W$2:W$42,MATCH(LARGE(V_Hisse!$AC$2:$AC$42,ROW()-3),V_Hisse!$AC$2:$AC$42,0))</f>
        <v>1.0999999999999999E-2</v>
      </c>
      <c r="Y41" s="8">
        <f>INDEX(V_Hisse!X$2:X$42,MATCH(LARGE(V_Hisse!$AC$2:$AC$42,ROW()-3),V_Hisse!$AC$2:$AC$42,0))</f>
        <v>0</v>
      </c>
      <c r="Z41" s="8">
        <f>INDEX(V_Hisse!Y$2:Y$42,MATCH(LARGE(V_Hisse!$AC$2:$AC$42,ROW()-3),V_Hisse!$AC$2:$AC$42,0))</f>
        <v>0</v>
      </c>
      <c r="AA41" s="8">
        <f>INDEX(V_Hisse!Z$2:Z$42,MATCH(LARGE(V_Hisse!$AC$2:$AC$42,ROW()-3),V_Hisse!$AC$2:$AC$42,0))</f>
        <v>0</v>
      </c>
      <c r="AB41" s="8">
        <f>INDEX(V_Hisse!AA$2:AA$42,MATCH(LARGE(V_Hisse!$AC$2:$AC$42,ROW()-3),V_Hisse!$AC$2:$AC$42,0))</f>
        <v>0.9798</v>
      </c>
    </row>
    <row r="42" spans="1:28" x14ac:dyDescent="0.2">
      <c r="A42">
        <v>39</v>
      </c>
      <c r="B42" s="5" t="str">
        <f>INDEX(V_Hisse!A$2:A$42,MATCH(LARGE(V_Hisse!$AC$2:$AC$42,ROW()-3),V_Hisse!$AC$2:$AC$42,0))</f>
        <v>THF</v>
      </c>
      <c r="C42" s="5" t="str">
        <f>INDEX(V_Hisse!B$2:B$42,MATCH(LARGE(V_Hisse!$AC$2:$AC$42,ROW()-3),V_Hisse!$AC$2:$AC$42,0))</f>
        <v>Tera Portföy Hisse Senedi (TL) Fonu (Hisse Senedi Yoğun Fon)</v>
      </c>
      <c r="D42" s="5" t="str">
        <f>INDEX(V_Hisse!C$2:C$42,MATCH(LARGE(V_Hisse!$AC$2:$AC$42,ROW()-3),V_Hisse!$AC$2:$AC$42,0))</f>
        <v>Tera Portföy</v>
      </c>
      <c r="E42" s="8">
        <f>INDEX(V_Hisse!D$2:D$42,MATCH(LARGE(V_Hisse!$AC$2:$AC$42,ROW()-3),V_Hisse!$AC$2:$AC$42,0))</f>
        <v>0</v>
      </c>
      <c r="F42" s="9">
        <f>INDEX(V_Hisse!E$2:E$42,MATCH(LARGE(V_Hisse!$AC$2:$AC$42,ROW()-3),V_Hisse!$AC$2:$AC$42,0))</f>
        <v>-1.367564242954999</v>
      </c>
      <c r="G42" s="9">
        <f>INDEX(V_Hisse!F$2:F$42,MATCH(LARGE(V_Hisse!$AC$2:$AC$42,ROW()-3),V_Hisse!$AC$2:$AC$42,0))</f>
        <v>-3.8671321743342091</v>
      </c>
      <c r="H42" s="9">
        <f>INDEX(V_Hisse!G$2:G$42,MATCH(LARGE(V_Hisse!$AC$2:$AC$42,ROW()-3),V_Hisse!$AC$2:$AC$42,0))</f>
        <v>-4.2919264329899898</v>
      </c>
      <c r="I42" s="9">
        <f>INDEX(V_Hisse!H$2:H$42,MATCH(LARGE(V_Hisse!$AC$2:$AC$42,ROW()-3),V_Hisse!$AC$2:$AC$42,0))</f>
        <v>27.196118984158431</v>
      </c>
      <c r="J42" s="9">
        <f>INDEX(V_Hisse!I$2:I$42,MATCH(LARGE(V_Hisse!$AC$2:$AC$42,ROW()-3),V_Hisse!$AC$2:$AC$42,0))</f>
        <v>76.928141761449481</v>
      </c>
      <c r="K42" s="10">
        <f>INDEX(V_Hisse!J$2:J$42,MATCH(LARGE(V_Hisse!$AC$2:$AC$42,ROW()-3),V_Hisse!$AC$2:$AC$42,0))</f>
        <v>8132</v>
      </c>
      <c r="L42" s="10">
        <f>INDEX(V_Hisse!K$2:K$42,MATCH(LARGE(V_Hisse!$AC$2:$AC$42,ROW()-3),V_Hisse!$AC$2:$AC$42,0))</f>
        <v>6859</v>
      </c>
      <c r="M42" s="8">
        <f>INDEX(V_Hisse!L$2:L$42,MATCH(LARGE(V_Hisse!$AC$2:$AC$42,ROW()-3),V_Hisse!$AC$2:$AC$42,0))</f>
        <v>-0.15654205607476629</v>
      </c>
      <c r="N42" s="11">
        <f>INDEX(V_Hisse!M$2:M$42,MATCH(LARGE(V_Hisse!$AC$2:$AC$42,ROW()-3),V_Hisse!$AC$2:$AC$42,0))</f>
        <v>1037827293.64</v>
      </c>
      <c r="O42" s="11">
        <f>INDEX(V_Hisse!N$2:N$42,MATCH(LARGE(V_Hisse!$AC$2:$AC$42,ROW()-3),V_Hisse!$AC$2:$AC$42,0))</f>
        <v>865573812.58000004</v>
      </c>
      <c r="P42" s="8">
        <f>INDEX(V_Hisse!O$2:O$42,MATCH(LARGE(V_Hisse!$AC$2:$AC$42,ROW()-3),V_Hisse!$AC$2:$AC$42,0))</f>
        <v>-0.16597509249910991</v>
      </c>
      <c r="Q42" s="9">
        <f>INDEX(V_Hisse!P$2:P$42,MATCH(LARGE(V_Hisse!$AC$2:$AC$42,ROW()-3),V_Hisse!$AC$2:$AC$42,0))</f>
        <v>1.1762056437263699</v>
      </c>
      <c r="R42" s="5" t="str">
        <f>INDEX(V_Hisse!Q$2:Q$42,MATCH(LARGE(V_Hisse!$AC$2:$AC$42,ROW()-3),V_Hisse!$AC$2:$AC$42,0))</f>
        <v>Görüyor</v>
      </c>
      <c r="S42" s="8">
        <f>INDEX(V_Hisse!R$2:R$42,MATCH(LARGE(V_Hisse!$AC$2:$AC$42,ROW()-3),V_Hisse!$AC$2:$AC$42,0))</f>
        <v>0</v>
      </c>
      <c r="T42" s="8">
        <f>INDEX(V_Hisse!S$2:S$42,MATCH(LARGE(V_Hisse!$AC$2:$AC$42,ROW()-3),V_Hisse!$AC$2:$AC$42,0))</f>
        <v>1.7299999999999999E-2</v>
      </c>
      <c r="U42" s="8">
        <f>INDEX(V_Hisse!T$2:T$42,MATCH(LARGE(V_Hisse!$AC$2:$AC$42,ROW()-3),V_Hisse!$AC$2:$AC$42,0))</f>
        <v>0</v>
      </c>
      <c r="V42" s="8">
        <f>INDEX(V_Hisse!U$2:U$42,MATCH(LARGE(V_Hisse!$AC$2:$AC$42,ROW()-3),V_Hisse!$AC$2:$AC$42,0))</f>
        <v>0.98269999999999991</v>
      </c>
      <c r="W42" s="8">
        <f>INDEX(V_Hisse!V$2:V$42,MATCH(LARGE(V_Hisse!$AC$2:$AC$42,ROW()-3),V_Hisse!$AC$2:$AC$42,0))</f>
        <v>0</v>
      </c>
      <c r="X42" s="8">
        <f>INDEX(V_Hisse!W$2:W$42,MATCH(LARGE(V_Hisse!$AC$2:$AC$42,ROW()-3),V_Hisse!$AC$2:$AC$42,0))</f>
        <v>0</v>
      </c>
      <c r="Y42" s="8">
        <f>INDEX(V_Hisse!X$2:X$42,MATCH(LARGE(V_Hisse!$AC$2:$AC$42,ROW()-3),V_Hisse!$AC$2:$AC$42,0))</f>
        <v>0</v>
      </c>
      <c r="Z42" s="8">
        <f>INDEX(V_Hisse!Y$2:Y$42,MATCH(LARGE(V_Hisse!$AC$2:$AC$42,ROW()-3),V_Hisse!$AC$2:$AC$42,0))</f>
        <v>0</v>
      </c>
      <c r="AA42" s="8">
        <f>INDEX(V_Hisse!Z$2:Z$42,MATCH(LARGE(V_Hisse!$AC$2:$AC$42,ROW()-3),V_Hisse!$AC$2:$AC$42,0))</f>
        <v>0</v>
      </c>
      <c r="AB42" s="8">
        <f>INDEX(V_Hisse!AA$2:AA$42,MATCH(LARGE(V_Hisse!$AC$2:$AC$42,ROW()-3),V_Hisse!$AC$2:$AC$42,0))</f>
        <v>0.99999999999999989</v>
      </c>
    </row>
    <row r="43" spans="1:28" x14ac:dyDescent="0.2">
      <c r="A43">
        <v>40</v>
      </c>
      <c r="B43" s="5" t="str">
        <f>INDEX(V_Hisse!A$2:A$42,MATCH(LARGE(V_Hisse!$AC$2:$AC$42,ROW()-3),V_Hisse!$AC$2:$AC$42,0))</f>
        <v>PPB</v>
      </c>
      <c r="C43" s="5" t="str">
        <f>INDEX(V_Hisse!B$2:B$42,MATCH(LARGE(V_Hisse!$AC$2:$AC$42,ROW()-3),V_Hisse!$AC$2:$AC$42,0))</f>
        <v>Phillip Portföy Birinci Hisse Senedi Fonu (Hisse Senedi Yoğun Fon)</v>
      </c>
      <c r="D43" s="5" t="str">
        <f>INDEX(V_Hisse!C$2:C$42,MATCH(LARGE(V_Hisse!$AC$2:$AC$42,ROW()-3),V_Hisse!$AC$2:$AC$42,0))</f>
        <v>Phillip Portföy</v>
      </c>
      <c r="E43" s="8">
        <f>INDEX(V_Hisse!D$2:D$42,MATCH(LARGE(V_Hisse!$AC$2:$AC$42,ROW()-3),V_Hisse!$AC$2:$AC$42,0))</f>
        <v>2.9000000000000001E-2</v>
      </c>
      <c r="F43" s="9">
        <f>INDEX(V_Hisse!E$2:E$42,MATCH(LARGE(V_Hisse!$AC$2:$AC$42,ROW()-3),V_Hisse!$AC$2:$AC$42,0))</f>
        <v>-1.8582194379905601</v>
      </c>
      <c r="G43" s="9">
        <f>INDEX(V_Hisse!F$2:F$42,MATCH(LARGE(V_Hisse!$AC$2:$AC$42,ROW()-3),V_Hisse!$AC$2:$AC$42,0))</f>
        <v>-3.905754903354508</v>
      </c>
      <c r="H43" s="9">
        <f>INDEX(V_Hisse!G$2:G$42,MATCH(LARGE(V_Hisse!$AC$2:$AC$42,ROW()-3),V_Hisse!$AC$2:$AC$42,0))</f>
        <v>-2.0480559976486679</v>
      </c>
      <c r="I43" s="9">
        <f>INDEX(V_Hisse!H$2:H$42,MATCH(LARGE(V_Hisse!$AC$2:$AC$42,ROW()-3),V_Hisse!$AC$2:$AC$42,0))</f>
        <v>13.30221910675577</v>
      </c>
      <c r="J43" s="9">
        <f>INDEX(V_Hisse!I$2:I$42,MATCH(LARGE(V_Hisse!$AC$2:$AC$42,ROW()-3),V_Hisse!$AC$2:$AC$42,0))</f>
        <v>14.69680277097225</v>
      </c>
      <c r="K43" s="10">
        <f>INDEX(V_Hisse!J$2:J$42,MATCH(LARGE(V_Hisse!$AC$2:$AC$42,ROW()-3),V_Hisse!$AC$2:$AC$42,0))</f>
        <v>1710</v>
      </c>
      <c r="L43" s="10">
        <f>INDEX(V_Hisse!K$2:K$42,MATCH(LARGE(V_Hisse!$AC$2:$AC$42,ROW()-3),V_Hisse!$AC$2:$AC$42,0))</f>
        <v>1651</v>
      </c>
      <c r="M43" s="8">
        <f>INDEX(V_Hisse!L$2:L$42,MATCH(LARGE(V_Hisse!$AC$2:$AC$42,ROW()-3),V_Hisse!$AC$2:$AC$42,0))</f>
        <v>-3.4502923976608153E-2</v>
      </c>
      <c r="N43" s="11">
        <f>INDEX(V_Hisse!M$2:M$42,MATCH(LARGE(V_Hisse!$AC$2:$AC$42,ROW()-3),V_Hisse!$AC$2:$AC$42,0))</f>
        <v>403554653.42000002</v>
      </c>
      <c r="O43" s="11">
        <f>INDEX(V_Hisse!N$2:N$42,MATCH(LARGE(V_Hisse!$AC$2:$AC$42,ROW()-3),V_Hisse!$AC$2:$AC$42,0))</f>
        <v>389995851.60000002</v>
      </c>
      <c r="P43" s="8">
        <f>INDEX(V_Hisse!O$2:O$42,MATCH(LARGE(V_Hisse!$AC$2:$AC$42,ROW()-3),V_Hisse!$AC$2:$AC$42,0))</f>
        <v>-3.3598427635744943E-2</v>
      </c>
      <c r="Q43" s="9">
        <f>INDEX(V_Hisse!P$2:P$42,MATCH(LARGE(V_Hisse!$AC$2:$AC$42,ROW()-3),V_Hisse!$AC$2:$AC$42,0))</f>
        <v>1.193283580538377</v>
      </c>
      <c r="R43" s="5" t="str">
        <f>INDEX(V_Hisse!Q$2:Q$42,MATCH(LARGE(V_Hisse!$AC$2:$AC$42,ROW()-3),V_Hisse!$AC$2:$AC$42,0))</f>
        <v>Görüyor</v>
      </c>
      <c r="S43" s="8">
        <f>INDEX(V_Hisse!R$2:R$42,MATCH(LARGE(V_Hisse!$AC$2:$AC$42,ROW()-3),V_Hisse!$AC$2:$AC$42,0))</f>
        <v>0</v>
      </c>
      <c r="T43" s="8">
        <f>INDEX(V_Hisse!S$2:S$42,MATCH(LARGE(V_Hisse!$AC$2:$AC$42,ROW()-3),V_Hisse!$AC$2:$AC$42,0))</f>
        <v>1.32E-2</v>
      </c>
      <c r="U43" s="8">
        <f>INDEX(V_Hisse!T$2:T$42,MATCH(LARGE(V_Hisse!$AC$2:$AC$42,ROW()-3),V_Hisse!$AC$2:$AC$42,0))</f>
        <v>0</v>
      </c>
      <c r="V43" s="8">
        <f>INDEX(V_Hisse!U$2:U$42,MATCH(LARGE(V_Hisse!$AC$2:$AC$42,ROW()-3),V_Hisse!$AC$2:$AC$42,0))</f>
        <v>0.95940000000000003</v>
      </c>
      <c r="W43" s="8">
        <f>INDEX(V_Hisse!V$2:V$42,MATCH(LARGE(V_Hisse!$AC$2:$AC$42,ROW()-3),V_Hisse!$AC$2:$AC$42,0))</f>
        <v>0</v>
      </c>
      <c r="X43" s="8">
        <f>INDEX(V_Hisse!W$2:W$42,MATCH(LARGE(V_Hisse!$AC$2:$AC$42,ROW()-3),V_Hisse!$AC$2:$AC$42,0))</f>
        <v>2.7400000000000001E-2</v>
      </c>
      <c r="Y43" s="8">
        <f>INDEX(V_Hisse!X$2:X$42,MATCH(LARGE(V_Hisse!$AC$2:$AC$42,ROW()-3),V_Hisse!$AC$2:$AC$42,0))</f>
        <v>0</v>
      </c>
      <c r="Z43" s="8">
        <f>INDEX(V_Hisse!Y$2:Y$42,MATCH(LARGE(V_Hisse!$AC$2:$AC$42,ROW()-3),V_Hisse!$AC$2:$AC$42,0))</f>
        <v>0</v>
      </c>
      <c r="AA43" s="8">
        <f>INDEX(V_Hisse!Z$2:Z$42,MATCH(LARGE(V_Hisse!$AC$2:$AC$42,ROW()-3),V_Hisse!$AC$2:$AC$42,0))</f>
        <v>0</v>
      </c>
      <c r="AB43" s="8">
        <f>INDEX(V_Hisse!AA$2:AA$42,MATCH(LARGE(V_Hisse!$AC$2:$AC$42,ROW()-3),V_Hisse!$AC$2:$AC$42,0))</f>
        <v>1</v>
      </c>
    </row>
    <row r="44" spans="1:28" x14ac:dyDescent="0.2">
      <c r="A44">
        <v>41</v>
      </c>
      <c r="B44" s="5" t="str">
        <f>INDEX(V_Hisse!A$2:A$42,MATCH(LARGE(V_Hisse!$AC$2:$AC$42,ROW()-3),V_Hisse!$AC$2:$AC$42,0))</f>
        <v>NPH</v>
      </c>
      <c r="C44" s="5" t="str">
        <f>INDEX(V_Hisse!B$2:B$42,MATCH(LARGE(V_Hisse!$AC$2:$AC$42,ROW()-3),V_Hisse!$AC$2:$AC$42,0))</f>
        <v>Nurol Portföy Birinci Hisse Senedi Fonu (Hisse Senedi Yoğun Fon)</v>
      </c>
      <c r="D44" s="5" t="str">
        <f>INDEX(V_Hisse!C$2:C$42,MATCH(LARGE(V_Hisse!$AC$2:$AC$42,ROW()-3),V_Hisse!$AC$2:$AC$42,0))</f>
        <v>Nurol Portföy</v>
      </c>
      <c r="E44" s="8">
        <f>INDEX(V_Hisse!D$2:D$42,MATCH(LARGE(V_Hisse!$AC$2:$AC$42,ROW()-3),V_Hisse!$AC$2:$AC$42,0))</f>
        <v>2.75E-2</v>
      </c>
      <c r="F44" s="9">
        <f>INDEX(V_Hisse!E$2:E$42,MATCH(LARGE(V_Hisse!$AC$2:$AC$42,ROW()-3),V_Hisse!$AC$2:$AC$42,0))</f>
        <v>-0.92677085444905494</v>
      </c>
      <c r="G44" s="9">
        <f>INDEX(V_Hisse!F$2:F$42,MATCH(LARGE(V_Hisse!$AC$2:$AC$42,ROW()-3),V_Hisse!$AC$2:$AC$42,0))</f>
        <v>-4.953621925965324</v>
      </c>
      <c r="H44" s="9">
        <f>INDEX(V_Hisse!G$2:G$42,MATCH(LARGE(V_Hisse!$AC$2:$AC$42,ROW()-3),V_Hisse!$AC$2:$AC$42,0))</f>
        <v>-6.0158630689079011</v>
      </c>
      <c r="I44" s="9">
        <f>INDEX(V_Hisse!H$2:H$42,MATCH(LARGE(V_Hisse!$AC$2:$AC$42,ROW()-3),V_Hisse!$AC$2:$AC$42,0))</f>
        <v>0.98132213783792555</v>
      </c>
      <c r="J44" s="9">
        <f>INDEX(V_Hisse!I$2:I$42,MATCH(LARGE(V_Hisse!$AC$2:$AC$42,ROW()-3),V_Hisse!$AC$2:$AC$42,0))</f>
        <v>15.31154433818547</v>
      </c>
      <c r="K44" s="10">
        <f>INDEX(V_Hisse!J$2:J$42,MATCH(LARGE(V_Hisse!$AC$2:$AC$42,ROW()-3),V_Hisse!$AC$2:$AC$42,0))</f>
        <v>968</v>
      </c>
      <c r="L44" s="10">
        <f>INDEX(V_Hisse!K$2:K$42,MATCH(LARGE(V_Hisse!$AC$2:$AC$42,ROW()-3),V_Hisse!$AC$2:$AC$42,0))</f>
        <v>834</v>
      </c>
      <c r="M44" s="8">
        <f>INDEX(V_Hisse!L$2:L$42,MATCH(LARGE(V_Hisse!$AC$2:$AC$42,ROW()-3),V_Hisse!$AC$2:$AC$42,0))</f>
        <v>-0.13842975206611571</v>
      </c>
      <c r="N44" s="11">
        <f>INDEX(V_Hisse!M$2:M$42,MATCH(LARGE(V_Hisse!$AC$2:$AC$42,ROW()-3),V_Hisse!$AC$2:$AC$42,0))</f>
        <v>283623962.39999998</v>
      </c>
      <c r="O44" s="11">
        <f>INDEX(V_Hisse!N$2:N$42,MATCH(LARGE(V_Hisse!$AC$2:$AC$42,ROW()-3),V_Hisse!$AC$2:$AC$42,0))</f>
        <v>260065385.74000001</v>
      </c>
      <c r="P44" s="8">
        <f>INDEX(V_Hisse!O$2:O$42,MATCH(LARGE(V_Hisse!$AC$2:$AC$42,ROW()-3),V_Hisse!$AC$2:$AC$42,0))</f>
        <v>-8.3062716071834908E-2</v>
      </c>
      <c r="Q44" s="9">
        <f>INDEX(V_Hisse!P$2:P$42,MATCH(LARGE(V_Hisse!$AC$2:$AC$42,ROW()-3),V_Hisse!$AC$2:$AC$42,0))</f>
        <v>1.5678221910768491</v>
      </c>
      <c r="R44" s="5" t="str">
        <f>INDEX(V_Hisse!Q$2:Q$42,MATCH(LARGE(V_Hisse!$AC$2:$AC$42,ROW()-3),V_Hisse!$AC$2:$AC$42,0))</f>
        <v>Görüyor</v>
      </c>
      <c r="S44" s="8">
        <f>INDEX(V_Hisse!R$2:R$42,MATCH(LARGE(V_Hisse!$AC$2:$AC$42,ROW()-3),V_Hisse!$AC$2:$AC$42,0))</f>
        <v>0</v>
      </c>
      <c r="T44" s="8">
        <f>INDEX(V_Hisse!S$2:S$42,MATCH(LARGE(V_Hisse!$AC$2:$AC$42,ROW()-3),V_Hisse!$AC$2:$AC$42,0))</f>
        <v>5.1100000000000013E-2</v>
      </c>
      <c r="U44" s="8">
        <f>INDEX(V_Hisse!T$2:T$42,MATCH(LARGE(V_Hisse!$AC$2:$AC$42,ROW()-3),V_Hisse!$AC$2:$AC$42,0))</f>
        <v>0</v>
      </c>
      <c r="V44" s="8">
        <f>INDEX(V_Hisse!U$2:U$42,MATCH(LARGE(V_Hisse!$AC$2:$AC$42,ROW()-3),V_Hisse!$AC$2:$AC$42,0))</f>
        <v>0.96889999999999998</v>
      </c>
      <c r="W44" s="8">
        <f>INDEX(V_Hisse!V$2:V$42,MATCH(LARGE(V_Hisse!$AC$2:$AC$42,ROW()-3),V_Hisse!$AC$2:$AC$42,0))</f>
        <v>0</v>
      </c>
      <c r="X44" s="8">
        <f>INDEX(V_Hisse!W$2:W$42,MATCH(LARGE(V_Hisse!$AC$2:$AC$42,ROW()-3),V_Hisse!$AC$2:$AC$42,0))</f>
        <v>1.6000000000000001E-3</v>
      </c>
      <c r="Y44" s="8">
        <f>INDEX(V_Hisse!X$2:X$42,MATCH(LARGE(V_Hisse!$AC$2:$AC$42,ROW()-3),V_Hisse!$AC$2:$AC$42,0))</f>
        <v>0</v>
      </c>
      <c r="Z44" s="8">
        <f>INDEX(V_Hisse!Y$2:Y$42,MATCH(LARGE(V_Hisse!$AC$2:$AC$42,ROW()-3),V_Hisse!$AC$2:$AC$42,0))</f>
        <v>0</v>
      </c>
      <c r="AA44" s="8">
        <f>INDEX(V_Hisse!Z$2:Z$42,MATCH(LARGE(V_Hisse!$AC$2:$AC$42,ROW()-3),V_Hisse!$AC$2:$AC$42,0))</f>
        <v>0</v>
      </c>
      <c r="AB44" s="8">
        <f>INDEX(V_Hisse!AA$2:AA$42,MATCH(LARGE(V_Hisse!$AC$2:$AC$42,ROW()-3),V_Hisse!$AC$2:$AC$42,0))</f>
        <v>1.0216000000000001</v>
      </c>
    </row>
  </sheetData>
  <conditionalFormatting sqref="B4:AB44">
    <cfRule type="expression" dxfId="7" priority="1">
      <formula>OR($B4="BAI",$B4="BHI",$B4="BIS",$B4="BSD",$B4="BTE",$B4="BTK",$B4="BV1",$B4="BVD",$B4="BVF",$B4="BVV",$B4="BVZ",$B4="MTD",$B4="RUT",$B4="SPR")</formula>
    </cfRule>
  </conditionalFormatting>
  <dataValidations count="1">
    <dataValidation type="list" sqref="E2" xr:uid="{00000000-0002-0000-0800-000000000000}">
      <formula1>"Günlük%,Haftalık,Aylık,Yılbaşına Göre,Yıllık"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29"/>
  <sheetViews>
    <sheetView workbookViewId="0"/>
  </sheetViews>
  <sheetFormatPr baseColWidth="10" defaultColWidth="8.83203125" defaultRowHeight="15" x14ac:dyDescent="0.2"/>
  <sheetData>
    <row r="1" spans="1:30" x14ac:dyDescent="0.2">
      <c r="A1" t="s">
        <v>3</v>
      </c>
      <c r="B1" t="s">
        <v>368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369</v>
      </c>
      <c r="I1" t="s">
        <v>6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</row>
    <row r="2" spans="1:30" x14ac:dyDescent="0.2">
      <c r="A2" t="s">
        <v>370</v>
      </c>
      <c r="B2" t="s">
        <v>371</v>
      </c>
      <c r="C2" t="s">
        <v>124</v>
      </c>
      <c r="D2">
        <v>0.02</v>
      </c>
      <c r="E2">
        <v>0.78172093883364102</v>
      </c>
      <c r="F2">
        <v>3.6711244606557607E-2</v>
      </c>
      <c r="G2">
        <v>-1.6148846979827991</v>
      </c>
      <c r="H2">
        <v>-0.45273127309172212</v>
      </c>
      <c r="I2">
        <v>5.2244372925852822</v>
      </c>
      <c r="J2">
        <v>24.324596565137679</v>
      </c>
      <c r="K2">
        <v>26299</v>
      </c>
      <c r="L2">
        <v>25860</v>
      </c>
      <c r="M2">
        <v>-1.6692649910643009E-2</v>
      </c>
      <c r="N2">
        <v>875089146.13</v>
      </c>
      <c r="O2">
        <v>736414652.92999995</v>
      </c>
      <c r="P2">
        <v>-0.15846899006035561</v>
      </c>
      <c r="Q2">
        <v>0.3992772709243631</v>
      </c>
      <c r="R2" t="s">
        <v>41</v>
      </c>
      <c r="S2">
        <v>2.8000000000000001E-2</v>
      </c>
      <c r="T2">
        <v>0.16370000000000001</v>
      </c>
      <c r="U2">
        <v>0</v>
      </c>
      <c r="V2">
        <v>0.59929999999999994</v>
      </c>
      <c r="W2">
        <v>9.8699999999999996E-2</v>
      </c>
      <c r="X2">
        <v>9.4800000000000009E-2</v>
      </c>
      <c r="Y2">
        <v>0</v>
      </c>
      <c r="Z2">
        <v>0</v>
      </c>
      <c r="AA2">
        <v>0</v>
      </c>
      <c r="AB2">
        <v>0.98449999999999993</v>
      </c>
      <c r="AD2">
        <f>IF(ISNUMBER(INDEX($A$2:$AB$29,1,MATCH('Dengeli Değişken'!$E$2,$A$1:$AB$1,0))),INDEX($A$2:$AB$29,1,MATCH('Dengeli Değişken'!$E$2,$A$1:$AB$1,0)),-1000000000)-ROW()/10000000</f>
        <v>0.78172073883364102</v>
      </c>
    </row>
    <row r="3" spans="1:30" x14ac:dyDescent="0.2">
      <c r="A3" t="s">
        <v>372</v>
      </c>
      <c r="B3" t="s">
        <v>373</v>
      </c>
      <c r="C3" t="s">
        <v>71</v>
      </c>
      <c r="D3">
        <v>1.95E-2</v>
      </c>
      <c r="E3">
        <v>0.38193686774687929</v>
      </c>
      <c r="F3">
        <v>-0.24731216322319011</v>
      </c>
      <c r="G3">
        <v>2.7492359583859201</v>
      </c>
      <c r="H3">
        <v>1.327853099007736</v>
      </c>
      <c r="I3">
        <v>15.20944538018705</v>
      </c>
      <c r="J3">
        <v>33.207098665546283</v>
      </c>
      <c r="K3">
        <v>161</v>
      </c>
      <c r="L3">
        <v>154</v>
      </c>
      <c r="M3">
        <v>-4.3478260869565188E-2</v>
      </c>
      <c r="N3">
        <v>32574515.039999999</v>
      </c>
      <c r="O3">
        <v>26999557.77</v>
      </c>
      <c r="P3">
        <v>-0.17114475113917149</v>
      </c>
      <c r="Q3">
        <v>0.76310512120354212</v>
      </c>
      <c r="R3" t="s">
        <v>41</v>
      </c>
      <c r="S3">
        <v>1.01E-2</v>
      </c>
      <c r="T3">
        <v>1.23E-2</v>
      </c>
      <c r="U3">
        <v>0.33520000000000011</v>
      </c>
      <c r="V3">
        <v>0.2606</v>
      </c>
      <c r="W3">
        <v>5.6000000000000008E-3</v>
      </c>
      <c r="X3">
        <v>5.9800000000000013E-2</v>
      </c>
      <c r="Y3">
        <v>0</v>
      </c>
      <c r="Z3">
        <v>0</v>
      </c>
      <c r="AA3">
        <v>0</v>
      </c>
      <c r="AB3">
        <v>0.6836000000000001</v>
      </c>
      <c r="AD3">
        <f>IF(ISNUMBER(INDEX($A$2:$AB$29,2,MATCH('Dengeli Değişken'!$E$2,$A$1:$AB$1,0))),INDEX($A$2:$AB$29,2,MATCH('Dengeli Değişken'!$E$2,$A$1:$AB$1,0)),-1000000000)-ROW()/10000000</f>
        <v>0.38193656774687929</v>
      </c>
    </row>
    <row r="4" spans="1:30" x14ac:dyDescent="0.2">
      <c r="A4" t="s">
        <v>374</v>
      </c>
      <c r="B4" t="s">
        <v>375</v>
      </c>
      <c r="C4" t="s">
        <v>158</v>
      </c>
      <c r="D4">
        <v>2.0896250000000002E-2</v>
      </c>
      <c r="E4">
        <v>0.26760274921542321</v>
      </c>
      <c r="F4">
        <v>1.3288915200224021</v>
      </c>
      <c r="G4">
        <v>5.1957941968764576</v>
      </c>
      <c r="H4">
        <v>2.4603244218129872</v>
      </c>
      <c r="I4">
        <v>27.096365326578489</v>
      </c>
      <c r="J4">
        <v>49.360560454572997</v>
      </c>
      <c r="K4">
        <v>530</v>
      </c>
      <c r="L4">
        <v>513</v>
      </c>
      <c r="M4">
        <v>-3.20754716981132E-2</v>
      </c>
      <c r="N4">
        <v>314333302.85000002</v>
      </c>
      <c r="O4">
        <v>344178027.55000001</v>
      </c>
      <c r="P4">
        <v>9.4946111116460008E-2</v>
      </c>
      <c r="Q4">
        <v>0.23661023737182621</v>
      </c>
      <c r="R4" t="s">
        <v>41</v>
      </c>
      <c r="S4">
        <v>0</v>
      </c>
      <c r="T4">
        <v>0</v>
      </c>
      <c r="U4">
        <v>0.47389999999999999</v>
      </c>
      <c r="V4">
        <v>0</v>
      </c>
      <c r="W4">
        <v>0.1744</v>
      </c>
      <c r="X4">
        <v>0.17560000000000001</v>
      </c>
      <c r="Y4">
        <v>0.12889999999999999</v>
      </c>
      <c r="Z4">
        <v>0</v>
      </c>
      <c r="AA4">
        <v>4.41E-2</v>
      </c>
      <c r="AB4">
        <v>0.99690000000000001</v>
      </c>
      <c r="AD4">
        <f>IF(ISNUMBER(INDEX($A$2:$AB$29,3,MATCH('Dengeli Değişken'!$E$2,$A$1:$AB$1,0))),INDEX($A$2:$AB$29,3,MATCH('Dengeli Değişken'!$E$2,$A$1:$AB$1,0)),-1000000000)-ROW()/10000000</f>
        <v>0.2676023492154232</v>
      </c>
    </row>
    <row r="5" spans="1:30" x14ac:dyDescent="0.2">
      <c r="A5" t="s">
        <v>376</v>
      </c>
      <c r="B5" t="s">
        <v>377</v>
      </c>
      <c r="C5" t="s">
        <v>124</v>
      </c>
      <c r="D5">
        <v>1.4999999999999999E-2</v>
      </c>
      <c r="E5">
        <v>0.1469981542139065</v>
      </c>
      <c r="F5">
        <v>0.41226933786255859</v>
      </c>
      <c r="G5">
        <v>2.2895211030967482</v>
      </c>
      <c r="H5">
        <v>0.92232218212648931</v>
      </c>
      <c r="I5">
        <v>13.45250650499219</v>
      </c>
      <c r="J5">
        <v>28.482701397657049</v>
      </c>
      <c r="K5">
        <v>2438</v>
      </c>
      <c r="L5">
        <v>2443</v>
      </c>
      <c r="M5">
        <v>2.0508613617720162E-3</v>
      </c>
      <c r="N5">
        <v>98474142.790000007</v>
      </c>
      <c r="O5">
        <v>113607629.20999999</v>
      </c>
      <c r="P5">
        <v>0.1536797984855045</v>
      </c>
      <c r="Q5">
        <v>7.2848755558176728E-2</v>
      </c>
      <c r="R5" t="s">
        <v>41</v>
      </c>
      <c r="S5">
        <v>0</v>
      </c>
      <c r="T5">
        <v>1.89E-2</v>
      </c>
      <c r="U5">
        <v>0.32840000000000003</v>
      </c>
      <c r="V5">
        <v>0</v>
      </c>
      <c r="W5">
        <v>6.1999999999999998E-3</v>
      </c>
      <c r="X5">
        <v>0</v>
      </c>
      <c r="Y5">
        <v>0</v>
      </c>
      <c r="Z5">
        <v>0</v>
      </c>
      <c r="AA5">
        <v>0</v>
      </c>
      <c r="AB5">
        <v>0.35349999999999998</v>
      </c>
      <c r="AD5">
        <f>IF(ISNUMBER(INDEX($A$2:$AB$29,4,MATCH('Dengeli Değişken'!$E$2,$A$1:$AB$1,0))),INDEX($A$2:$AB$29,4,MATCH('Dengeli Değişken'!$E$2,$A$1:$AB$1,0)),-1000000000)-ROW()/10000000</f>
        <v>0.14699765421390651</v>
      </c>
    </row>
    <row r="6" spans="1:30" x14ac:dyDescent="0.2">
      <c r="A6" t="s">
        <v>378</v>
      </c>
      <c r="B6" t="s">
        <v>379</v>
      </c>
      <c r="C6" t="s">
        <v>87</v>
      </c>
      <c r="D6">
        <v>2.5000000000000001E-2</v>
      </c>
      <c r="E6">
        <v>0.12897951421120271</v>
      </c>
      <c r="F6">
        <v>0.63539488162676072</v>
      </c>
      <c r="G6">
        <v>3.3864552990338752</v>
      </c>
      <c r="H6">
        <v>1.362636439695186</v>
      </c>
      <c r="I6">
        <v>22.353000353075611</v>
      </c>
      <c r="J6">
        <v>50.186903631434653</v>
      </c>
      <c r="K6">
        <v>1615</v>
      </c>
      <c r="L6">
        <v>1509</v>
      </c>
      <c r="M6">
        <v>-6.5634674922600666E-2</v>
      </c>
      <c r="N6">
        <v>2053497493.27</v>
      </c>
      <c r="O6">
        <v>2261232818.3299999</v>
      </c>
      <c r="P6">
        <v>0.1011617134867797</v>
      </c>
      <c r="Q6">
        <v>0.13621375127602461</v>
      </c>
      <c r="R6" t="s">
        <v>41</v>
      </c>
      <c r="S6">
        <v>2.4899999999999999E-2</v>
      </c>
      <c r="T6">
        <v>2.93E-2</v>
      </c>
      <c r="U6">
        <v>0.48649999999999999</v>
      </c>
      <c r="V6">
        <v>0</v>
      </c>
      <c r="W6">
        <v>8.8000000000000005E-3</v>
      </c>
      <c r="X6">
        <v>2.8500000000000001E-2</v>
      </c>
      <c r="Y6">
        <v>8.9999999999999998E-4</v>
      </c>
      <c r="Z6">
        <v>0</v>
      </c>
      <c r="AA6">
        <v>0</v>
      </c>
      <c r="AB6">
        <v>0.57889999999999997</v>
      </c>
      <c r="AD6">
        <f>IF(ISNUMBER(INDEX($A$2:$AB$29,5,MATCH('Dengeli Değişken'!$E$2,$A$1:$AB$1,0))),INDEX($A$2:$AB$29,5,MATCH('Dengeli Değişken'!$E$2,$A$1:$AB$1,0)),-1000000000)-ROW()/10000000</f>
        <v>0.12897891421120272</v>
      </c>
    </row>
    <row r="7" spans="1:30" x14ac:dyDescent="0.2">
      <c r="A7" t="s">
        <v>380</v>
      </c>
      <c r="B7" t="s">
        <v>381</v>
      </c>
      <c r="C7" t="s">
        <v>138</v>
      </c>
      <c r="D7">
        <v>0.02</v>
      </c>
      <c r="E7">
        <v>0.1226212278047534</v>
      </c>
      <c r="F7">
        <v>0.67735271981936851</v>
      </c>
      <c r="G7">
        <v>3.757735786781069</v>
      </c>
      <c r="H7">
        <v>1.078760791627142</v>
      </c>
      <c r="I7">
        <v>13.97081482824254</v>
      </c>
      <c r="J7">
        <v>40.593483754108981</v>
      </c>
      <c r="K7">
        <v>14564</v>
      </c>
      <c r="L7">
        <v>14534</v>
      </c>
      <c r="M7">
        <v>-2.0598736610820678E-3</v>
      </c>
      <c r="N7">
        <v>1968961444.03</v>
      </c>
      <c r="O7">
        <v>1844806522.72</v>
      </c>
      <c r="P7">
        <v>-6.3056044945138279E-2</v>
      </c>
      <c r="Q7">
        <v>0.21239729875101621</v>
      </c>
      <c r="R7" t="s">
        <v>41</v>
      </c>
      <c r="S7">
        <v>0</v>
      </c>
      <c r="T7">
        <v>3.7699999999999997E-2</v>
      </c>
      <c r="U7">
        <v>0.88190000000000002</v>
      </c>
      <c r="V7">
        <v>0</v>
      </c>
      <c r="W7">
        <v>0</v>
      </c>
      <c r="X7">
        <v>7.7800000000000008E-2</v>
      </c>
      <c r="Y7">
        <v>2.5999999999999999E-3</v>
      </c>
      <c r="Z7">
        <v>0</v>
      </c>
      <c r="AA7">
        <v>0</v>
      </c>
      <c r="AB7">
        <v>1</v>
      </c>
      <c r="AD7">
        <f>IF(ISNUMBER(INDEX($A$2:$AB$29,6,MATCH('Dengeli Değişken'!$E$2,$A$1:$AB$1,0))),INDEX($A$2:$AB$29,6,MATCH('Dengeli Değişken'!$E$2,$A$1:$AB$1,0)),-1000000000)-ROW()/10000000</f>
        <v>0.1226205278047534</v>
      </c>
    </row>
    <row r="8" spans="1:30" x14ac:dyDescent="0.2">
      <c r="A8" t="s">
        <v>382</v>
      </c>
      <c r="B8" t="s">
        <v>383</v>
      </c>
      <c r="C8" t="s">
        <v>90</v>
      </c>
      <c r="D8">
        <v>1.533E-2</v>
      </c>
      <c r="E8">
        <v>0.1225039813794071</v>
      </c>
      <c r="F8">
        <v>0.26560017665784308</v>
      </c>
      <c r="G8">
        <v>2.6320415902755019</v>
      </c>
      <c r="H8">
        <v>1.0409455048956631</v>
      </c>
      <c r="I8">
        <v>19.771096961392761</v>
      </c>
      <c r="J8">
        <v>40.789995004392694</v>
      </c>
      <c r="K8">
        <v>2991</v>
      </c>
      <c r="L8">
        <v>2912</v>
      </c>
      <c r="M8">
        <v>-2.6412571046472769E-2</v>
      </c>
      <c r="N8">
        <v>1262183603.49</v>
      </c>
      <c r="O8">
        <v>1183992752.55</v>
      </c>
      <c r="P8">
        <v>-6.1948872354068318E-2</v>
      </c>
      <c r="Q8">
        <v>0.22685097867909579</v>
      </c>
      <c r="R8" t="s">
        <v>41</v>
      </c>
      <c r="S8">
        <v>2.8000000000000001E-2</v>
      </c>
      <c r="T8">
        <v>1.4999999999999999E-2</v>
      </c>
      <c r="U8">
        <v>0.32409999999999989</v>
      </c>
      <c r="V8">
        <v>0</v>
      </c>
      <c r="W8">
        <v>5.9999999999999995E-4</v>
      </c>
      <c r="X8">
        <v>0.18310000000000001</v>
      </c>
      <c r="Y8">
        <v>0.1547</v>
      </c>
      <c r="Z8">
        <v>0.1293</v>
      </c>
      <c r="AA8">
        <v>1.46E-2</v>
      </c>
      <c r="AB8">
        <v>0.84939999999999993</v>
      </c>
      <c r="AD8">
        <f>IF(ISNUMBER(INDEX($A$2:$AB$29,7,MATCH('Dengeli Değişken'!$E$2,$A$1:$AB$1,0))),INDEX($A$2:$AB$29,7,MATCH('Dengeli Değişken'!$E$2,$A$1:$AB$1,0)),-1000000000)-ROW()/10000000</f>
        <v>0.12250318137940711</v>
      </c>
    </row>
    <row r="9" spans="1:30" x14ac:dyDescent="0.2">
      <c r="A9" t="s">
        <v>384</v>
      </c>
      <c r="B9" t="s">
        <v>385</v>
      </c>
      <c r="C9" t="s">
        <v>50</v>
      </c>
      <c r="D9">
        <v>2.5000000000000001E-2</v>
      </c>
      <c r="E9">
        <v>0.1023304644392153</v>
      </c>
      <c r="F9">
        <v>1.0038951068915609</v>
      </c>
      <c r="G9">
        <v>3.60286589999812</v>
      </c>
      <c r="H9">
        <v>2.23904822630967</v>
      </c>
      <c r="I9">
        <v>32.125875456188389</v>
      </c>
      <c r="J9" t="s">
        <v>165</v>
      </c>
      <c r="K9">
        <v>322</v>
      </c>
      <c r="L9">
        <v>264</v>
      </c>
      <c r="M9">
        <v>-0.18012422360248451</v>
      </c>
      <c r="N9">
        <v>308526744.01999998</v>
      </c>
      <c r="O9">
        <v>330064260</v>
      </c>
      <c r="P9">
        <v>6.980761440442218E-2</v>
      </c>
      <c r="Q9">
        <v>0.37692960132777897</v>
      </c>
      <c r="R9" t="s">
        <v>41</v>
      </c>
      <c r="S9">
        <v>0</v>
      </c>
      <c r="T9">
        <v>6.7400000000000002E-2</v>
      </c>
      <c r="U9">
        <v>0</v>
      </c>
      <c r="V9">
        <v>0.23810000000000001</v>
      </c>
      <c r="W9">
        <v>6.9999999999999993E-3</v>
      </c>
      <c r="X9">
        <v>0.1225</v>
      </c>
      <c r="Y9">
        <v>0</v>
      </c>
      <c r="Z9">
        <v>1.6899999999999998E-2</v>
      </c>
      <c r="AA9">
        <v>0</v>
      </c>
      <c r="AB9">
        <v>0.45190000000000002</v>
      </c>
      <c r="AD9">
        <f>IF(ISNUMBER(INDEX($A$2:$AB$29,8,MATCH('Dengeli Değişken'!$E$2,$A$1:$AB$1,0))),INDEX($A$2:$AB$29,8,MATCH('Dengeli Değişken'!$E$2,$A$1:$AB$1,0)),-1000000000)-ROW()/10000000</f>
        <v>0.1023295644392153</v>
      </c>
    </row>
    <row r="10" spans="1:30" x14ac:dyDescent="0.2">
      <c r="A10" t="s">
        <v>386</v>
      </c>
      <c r="B10" t="s">
        <v>387</v>
      </c>
      <c r="C10" t="s">
        <v>56</v>
      </c>
      <c r="D10">
        <v>0.02</v>
      </c>
      <c r="E10">
        <v>9.5158150675489495E-2</v>
      </c>
      <c r="F10">
        <v>0.70767853047495333</v>
      </c>
      <c r="G10">
        <v>3.3163408212425032</v>
      </c>
      <c r="H10">
        <v>1.441436816591724</v>
      </c>
      <c r="I10">
        <v>21.406346684688881</v>
      </c>
      <c r="J10">
        <v>45.427353347807099</v>
      </c>
      <c r="K10">
        <v>212</v>
      </c>
      <c r="L10">
        <v>210</v>
      </c>
      <c r="M10">
        <v>-9.4339622641509413E-3</v>
      </c>
      <c r="N10">
        <v>22304155.629999999</v>
      </c>
      <c r="O10">
        <v>20185998.940000001</v>
      </c>
      <c r="P10">
        <v>-9.4966907743012308E-2</v>
      </c>
      <c r="Q10">
        <v>8.2107467548205901E-2</v>
      </c>
      <c r="R10" t="s">
        <v>41</v>
      </c>
      <c r="S10">
        <v>0</v>
      </c>
      <c r="T10">
        <v>4.0000000000000002E-4</v>
      </c>
      <c r="U10">
        <v>0.59319999999999995</v>
      </c>
      <c r="V10">
        <v>0</v>
      </c>
      <c r="W10">
        <v>0.17299999999999999</v>
      </c>
      <c r="X10">
        <v>0</v>
      </c>
      <c r="Y10">
        <v>7.9699999999999993E-2</v>
      </c>
      <c r="Z10">
        <v>0.1537</v>
      </c>
      <c r="AA10">
        <v>0</v>
      </c>
      <c r="AB10">
        <v>1</v>
      </c>
      <c r="AD10">
        <f>IF(ISNUMBER(INDEX($A$2:$AB$29,9,MATCH('Dengeli Değişken'!$E$2,$A$1:$AB$1,0))),INDEX($A$2:$AB$29,9,MATCH('Dengeli Değişken'!$E$2,$A$1:$AB$1,0)),-1000000000)-ROW()/10000000</f>
        <v>9.5157150675489494E-2</v>
      </c>
    </row>
    <row r="11" spans="1:30" x14ac:dyDescent="0.2">
      <c r="A11" t="s">
        <v>388</v>
      </c>
      <c r="B11" t="s">
        <v>389</v>
      </c>
      <c r="C11" t="s">
        <v>235</v>
      </c>
      <c r="D11">
        <v>0.02</v>
      </c>
      <c r="E11">
        <v>6.1684555187690997E-2</v>
      </c>
      <c r="F11">
        <v>0.14800378435833039</v>
      </c>
      <c r="G11">
        <v>3.7105301506133999</v>
      </c>
      <c r="H11">
        <v>2.5342167378002989</v>
      </c>
      <c r="I11">
        <v>6.3764876029151818</v>
      </c>
      <c r="J11">
        <v>31.31772961611588</v>
      </c>
      <c r="K11">
        <v>153</v>
      </c>
      <c r="L11">
        <v>143</v>
      </c>
      <c r="M11">
        <v>-6.5359477124182996E-2</v>
      </c>
      <c r="N11">
        <v>60934278.600000001</v>
      </c>
      <c r="O11">
        <v>61973949.920000002</v>
      </c>
      <c r="P11">
        <v>1.706217491840456E-2</v>
      </c>
      <c r="Q11">
        <v>0.69591756726193077</v>
      </c>
      <c r="R11" t="s">
        <v>41</v>
      </c>
      <c r="S11">
        <v>0</v>
      </c>
      <c r="T11">
        <v>0.23469999999999999</v>
      </c>
      <c r="U11">
        <v>0.21310000000000001</v>
      </c>
      <c r="V11">
        <v>0.53770000000000007</v>
      </c>
      <c r="W11">
        <v>6.8999999999999999E-3</v>
      </c>
      <c r="X11">
        <v>7.6E-3</v>
      </c>
      <c r="Y11">
        <v>0</v>
      </c>
      <c r="Z11">
        <v>0</v>
      </c>
      <c r="AA11">
        <v>0</v>
      </c>
      <c r="AB11">
        <v>1</v>
      </c>
      <c r="AD11">
        <f>IF(ISNUMBER(INDEX($A$2:$AB$29,10,MATCH('Dengeli Değişken'!$E$2,$A$1:$AB$1,0))),INDEX($A$2:$AB$29,10,MATCH('Dengeli Değişken'!$E$2,$A$1:$AB$1,0)),-1000000000)-ROW()/10000000</f>
        <v>6.1683455187691E-2</v>
      </c>
    </row>
    <row r="12" spans="1:30" x14ac:dyDescent="0.2">
      <c r="A12" t="s">
        <v>390</v>
      </c>
      <c r="B12" t="s">
        <v>391</v>
      </c>
      <c r="C12" t="s">
        <v>74</v>
      </c>
      <c r="D12">
        <v>0.02</v>
      </c>
      <c r="E12">
        <v>4.1199808552372368E-2</v>
      </c>
      <c r="F12">
        <v>0.31414864311343221</v>
      </c>
      <c r="G12">
        <v>2.6682451834845859</v>
      </c>
      <c r="H12">
        <v>0.74469287156959663</v>
      </c>
      <c r="I12">
        <v>19.034169135132871</v>
      </c>
      <c r="J12">
        <v>51.088763914042723</v>
      </c>
      <c r="K12">
        <v>1260</v>
      </c>
      <c r="L12">
        <v>1231</v>
      </c>
      <c r="M12">
        <v>-2.3015873015873049E-2</v>
      </c>
      <c r="N12">
        <v>2385734625.1900001</v>
      </c>
      <c r="O12">
        <v>2416696641.2600002</v>
      </c>
      <c r="P12">
        <v>1.2977979924122749E-2</v>
      </c>
      <c r="Q12">
        <v>0.57152127495215266</v>
      </c>
      <c r="R12" t="s">
        <v>41</v>
      </c>
      <c r="S12">
        <v>6.5500000000000003E-2</v>
      </c>
      <c r="T12">
        <v>1.43E-2</v>
      </c>
      <c r="U12">
        <v>0.51539999999999997</v>
      </c>
      <c r="V12">
        <v>9.7299999999999998E-2</v>
      </c>
      <c r="W12">
        <v>2.0000000000000001E-4</v>
      </c>
      <c r="X12">
        <v>0.1973</v>
      </c>
      <c r="Y12">
        <v>7.6E-3</v>
      </c>
      <c r="Z12">
        <v>4.1599999999999998E-2</v>
      </c>
      <c r="AA12">
        <v>0</v>
      </c>
      <c r="AB12">
        <v>0.93919999999999992</v>
      </c>
      <c r="AD12">
        <f>IF(ISNUMBER(INDEX($A$2:$AB$29,11,MATCH('Dengeli Değişken'!$E$2,$A$1:$AB$1,0))),INDEX($A$2:$AB$29,11,MATCH('Dengeli Değişken'!$E$2,$A$1:$AB$1,0)),-1000000000)-ROW()/10000000</f>
        <v>4.1198608552372368E-2</v>
      </c>
    </row>
    <row r="13" spans="1:30" x14ac:dyDescent="0.2">
      <c r="A13" t="s">
        <v>392</v>
      </c>
      <c r="B13" t="s">
        <v>393</v>
      </c>
      <c r="C13" t="s">
        <v>168</v>
      </c>
      <c r="D13">
        <v>1.1900000000000001E-2</v>
      </c>
      <c r="E13">
        <v>4.0229181774864557E-2</v>
      </c>
      <c r="F13">
        <v>0.18806387290122301</v>
      </c>
      <c r="G13">
        <v>6.4868394375907856</v>
      </c>
      <c r="H13">
        <v>1.300544024394457</v>
      </c>
      <c r="I13">
        <v>24.3512043353401</v>
      </c>
      <c r="J13">
        <v>47.522274940444753</v>
      </c>
      <c r="K13">
        <v>2072</v>
      </c>
      <c r="L13">
        <v>2007</v>
      </c>
      <c r="M13">
        <v>-3.1370656370656391E-2</v>
      </c>
      <c r="N13">
        <v>286047283.81</v>
      </c>
      <c r="O13">
        <v>301646280.97000003</v>
      </c>
      <c r="P13">
        <v>5.4532932290876968E-2</v>
      </c>
      <c r="Q13">
        <v>1.0240456968232901</v>
      </c>
      <c r="R13" t="s">
        <v>41</v>
      </c>
      <c r="S13">
        <v>3.2000000000000001E-2</v>
      </c>
      <c r="T13">
        <v>4.9400000000000013E-2</v>
      </c>
      <c r="U13">
        <v>0</v>
      </c>
      <c r="V13">
        <v>0.1124</v>
      </c>
      <c r="W13">
        <v>0.19939999999999999</v>
      </c>
      <c r="X13">
        <v>0</v>
      </c>
      <c r="Y13">
        <v>7.7000000000000002E-3</v>
      </c>
      <c r="Z13">
        <v>0.1308</v>
      </c>
      <c r="AA13">
        <v>0</v>
      </c>
      <c r="AB13">
        <v>0.53170000000000006</v>
      </c>
      <c r="AD13">
        <f>IF(ISNUMBER(INDEX($A$2:$AB$29,12,MATCH('Dengeli Değişken'!$E$2,$A$1:$AB$1,0))),INDEX($A$2:$AB$29,12,MATCH('Dengeli Değişken'!$E$2,$A$1:$AB$1,0)),-1000000000)-ROW()/10000000</f>
        <v>4.0227881774864555E-2</v>
      </c>
    </row>
    <row r="14" spans="1:30" x14ac:dyDescent="0.2">
      <c r="A14" t="s">
        <v>394</v>
      </c>
      <c r="B14" t="s">
        <v>395</v>
      </c>
      <c r="C14" t="s">
        <v>97</v>
      </c>
      <c r="D14">
        <v>1.575E-2</v>
      </c>
      <c r="E14">
        <v>3.6754520023940529E-2</v>
      </c>
      <c r="F14">
        <v>0.7786948898077295</v>
      </c>
      <c r="G14">
        <v>2.962365477032991</v>
      </c>
      <c r="H14">
        <v>1.581998646642724</v>
      </c>
      <c r="I14">
        <v>25.21229782241792</v>
      </c>
      <c r="J14">
        <v>39.452783115981077</v>
      </c>
      <c r="K14">
        <v>90</v>
      </c>
      <c r="L14">
        <v>94</v>
      </c>
      <c r="M14">
        <v>4.4444444444444509E-2</v>
      </c>
      <c r="N14">
        <v>53799861.810000002</v>
      </c>
      <c r="O14">
        <v>50407015.600000001</v>
      </c>
      <c r="P14">
        <v>-6.3064217933908484E-2</v>
      </c>
      <c r="Q14">
        <v>0.22443163136764549</v>
      </c>
      <c r="R14" t="s">
        <v>41</v>
      </c>
      <c r="S14">
        <v>0</v>
      </c>
      <c r="T14">
        <v>0.2293</v>
      </c>
      <c r="U14">
        <v>0</v>
      </c>
      <c r="V14">
        <v>0.57409999999999994</v>
      </c>
      <c r="W14">
        <v>0</v>
      </c>
      <c r="X14">
        <v>0.1966</v>
      </c>
      <c r="Y14">
        <v>0</v>
      </c>
      <c r="Z14">
        <v>0</v>
      </c>
      <c r="AA14">
        <v>0</v>
      </c>
      <c r="AB14">
        <v>1</v>
      </c>
      <c r="AD14">
        <f>IF(ISNUMBER(INDEX($A$2:$AB$29,13,MATCH('Dengeli Değişken'!$E$2,$A$1:$AB$1,0))),INDEX($A$2:$AB$29,13,MATCH('Dengeli Değişken'!$E$2,$A$1:$AB$1,0)),-1000000000)-ROW()/10000000</f>
        <v>3.675312002394053E-2</v>
      </c>
    </row>
    <row r="15" spans="1:30" x14ac:dyDescent="0.2">
      <c r="A15" t="s">
        <v>396</v>
      </c>
      <c r="B15" t="s">
        <v>397</v>
      </c>
      <c r="C15" t="s">
        <v>274</v>
      </c>
      <c r="D15">
        <v>1.95E-2</v>
      </c>
      <c r="E15">
        <v>4.1937556756632688E-3</v>
      </c>
      <c r="F15">
        <v>0.37621701107648509</v>
      </c>
      <c r="G15">
        <v>2.5061266486834599</v>
      </c>
      <c r="H15">
        <v>0.97529895964267865</v>
      </c>
      <c r="I15">
        <v>15.72880205457683</v>
      </c>
      <c r="J15">
        <v>38.552227359907661</v>
      </c>
      <c r="K15">
        <v>212</v>
      </c>
      <c r="L15">
        <v>200</v>
      </c>
      <c r="M15">
        <v>-5.6603773584905648E-2</v>
      </c>
      <c r="N15">
        <v>43730546.740000002</v>
      </c>
      <c r="O15">
        <v>43343611.539999999</v>
      </c>
      <c r="P15">
        <v>-8.848167444613142E-3</v>
      </c>
      <c r="Q15">
        <v>0.15435353224643261</v>
      </c>
      <c r="R15" t="s">
        <v>41</v>
      </c>
      <c r="S15">
        <v>0</v>
      </c>
      <c r="T15">
        <v>2.4799999999999999E-2</v>
      </c>
      <c r="U15">
        <v>0.2077</v>
      </c>
      <c r="V15">
        <v>2.6599999999999999E-2</v>
      </c>
      <c r="W15">
        <v>1.7299999999999999E-2</v>
      </c>
      <c r="X15">
        <v>0</v>
      </c>
      <c r="Y15">
        <v>0</v>
      </c>
      <c r="Z15">
        <v>0.1535</v>
      </c>
      <c r="AA15">
        <v>7.1599999999999997E-2</v>
      </c>
      <c r="AB15">
        <v>0.50149999999999995</v>
      </c>
      <c r="AD15">
        <f>IF(ISNUMBER(INDEX($A$2:$AB$29,14,MATCH('Dengeli Değişken'!$E$2,$A$1:$AB$1,0))),INDEX($A$2:$AB$29,14,MATCH('Dengeli Değişken'!$E$2,$A$1:$AB$1,0)),-1000000000)-ROW()/10000000</f>
        <v>4.192255675663269E-3</v>
      </c>
    </row>
    <row r="16" spans="1:30" x14ac:dyDescent="0.2">
      <c r="A16" t="s">
        <v>398</v>
      </c>
      <c r="B16" t="s">
        <v>399</v>
      </c>
      <c r="C16" t="s">
        <v>82</v>
      </c>
      <c r="D16">
        <v>2.5000000000000001E-2</v>
      </c>
      <c r="E16">
        <v>-8.9842751209046057E-2</v>
      </c>
      <c r="F16">
        <v>0.18720770799101061</v>
      </c>
      <c r="G16">
        <v>3.3167067057582771</v>
      </c>
      <c r="H16">
        <v>0.84969944383388452</v>
      </c>
      <c r="I16">
        <v>18.14721850484915</v>
      </c>
      <c r="J16">
        <v>39.174665625413382</v>
      </c>
      <c r="K16">
        <v>9693</v>
      </c>
      <c r="L16">
        <v>9630</v>
      </c>
      <c r="M16">
        <v>-6.4995357474466608E-3</v>
      </c>
      <c r="N16">
        <v>1206612830.54</v>
      </c>
      <c r="O16">
        <v>1224069231.77</v>
      </c>
      <c r="P16">
        <v>1.446727631943689E-2</v>
      </c>
      <c r="Q16">
        <v>0.1735463532820346</v>
      </c>
      <c r="R16" t="s">
        <v>41</v>
      </c>
      <c r="S16">
        <v>2.0299999999999999E-2</v>
      </c>
      <c r="T16">
        <v>5.4399999999999997E-2</v>
      </c>
      <c r="U16">
        <v>0.20150000000000001</v>
      </c>
      <c r="V16">
        <v>3.2599999999999997E-2</v>
      </c>
      <c r="W16">
        <v>0</v>
      </c>
      <c r="X16">
        <v>4.4600000000000001E-2</v>
      </c>
      <c r="Y16">
        <v>0.28079999999999999</v>
      </c>
      <c r="Z16">
        <v>9.2600000000000002E-2</v>
      </c>
      <c r="AA16">
        <v>0</v>
      </c>
      <c r="AB16">
        <v>0.7268</v>
      </c>
      <c r="AD16">
        <f>IF(ISNUMBER(INDEX($A$2:$AB$29,15,MATCH('Dengeli Değişken'!$E$2,$A$1:$AB$1,0))),INDEX($A$2:$AB$29,15,MATCH('Dengeli Değişken'!$E$2,$A$1:$AB$1,0)),-1000000000)-ROW()/10000000</f>
        <v>-8.9844351209046061E-2</v>
      </c>
    </row>
    <row r="17" spans="1:30" x14ac:dyDescent="0.2">
      <c r="A17" t="s">
        <v>400</v>
      </c>
      <c r="B17" t="s">
        <v>401</v>
      </c>
      <c r="C17" t="s">
        <v>235</v>
      </c>
      <c r="D17">
        <v>0.02</v>
      </c>
      <c r="E17">
        <v>-0.1051258486258977</v>
      </c>
      <c r="F17">
        <v>0.2778988017436923</v>
      </c>
      <c r="G17">
        <v>2.934101846766124</v>
      </c>
      <c r="H17">
        <v>1.617163209114802</v>
      </c>
      <c r="I17">
        <v>23.894326580137498</v>
      </c>
      <c r="J17">
        <v>61.008207249290898</v>
      </c>
      <c r="K17">
        <v>354</v>
      </c>
      <c r="L17">
        <v>297</v>
      </c>
      <c r="M17">
        <v>-0.16101694915254239</v>
      </c>
      <c r="N17">
        <v>49888930.619999997</v>
      </c>
      <c r="O17">
        <v>43733143.670000002</v>
      </c>
      <c r="P17">
        <v>-0.1233898356508808</v>
      </c>
      <c r="Q17">
        <v>0.42508844198549323</v>
      </c>
      <c r="R17" t="s">
        <v>41</v>
      </c>
      <c r="S17">
        <v>0</v>
      </c>
      <c r="T17">
        <v>0.16420000000000001</v>
      </c>
      <c r="U17">
        <v>0.56999999999999995</v>
      </c>
      <c r="V17">
        <v>7.8299999999999995E-2</v>
      </c>
      <c r="W17">
        <v>4.4000000000000003E-3</v>
      </c>
      <c r="X17">
        <v>0.18310000000000001</v>
      </c>
      <c r="Y17">
        <v>0</v>
      </c>
      <c r="Z17">
        <v>0</v>
      </c>
      <c r="AA17">
        <v>0</v>
      </c>
      <c r="AB17">
        <v>0.99999999999999989</v>
      </c>
      <c r="AD17">
        <f>IF(ISNUMBER(INDEX($A$2:$AB$29,16,MATCH('Dengeli Değişken'!$E$2,$A$1:$AB$1,0))),INDEX($A$2:$AB$29,16,MATCH('Dengeli Değişken'!$E$2,$A$1:$AB$1,0)),-1000000000)-ROW()/10000000</f>
        <v>-0.1051275486258977</v>
      </c>
    </row>
    <row r="18" spans="1:30" x14ac:dyDescent="0.2">
      <c r="A18" t="s">
        <v>402</v>
      </c>
      <c r="B18" t="s">
        <v>403</v>
      </c>
      <c r="C18" t="s">
        <v>79</v>
      </c>
      <c r="D18">
        <v>0.02</v>
      </c>
      <c r="E18">
        <v>-0.1214414554631338</v>
      </c>
      <c r="F18">
        <v>-0.2214410340189876</v>
      </c>
      <c r="G18">
        <v>2.8110933751101408</v>
      </c>
      <c r="H18">
        <v>1.22591992697263E-2</v>
      </c>
      <c r="I18">
        <v>17.80875020775834</v>
      </c>
      <c r="J18">
        <v>37.892444476164513</v>
      </c>
      <c r="K18">
        <v>1438</v>
      </c>
      <c r="L18">
        <v>1422</v>
      </c>
      <c r="M18">
        <v>-1.11265646731572E-2</v>
      </c>
      <c r="N18">
        <v>487399383.99000001</v>
      </c>
      <c r="O18">
        <v>499252603.92000002</v>
      </c>
      <c r="P18">
        <v>2.4319316600209809E-2</v>
      </c>
      <c r="Q18">
        <v>0.36916120284482112</v>
      </c>
      <c r="R18" t="s">
        <v>41</v>
      </c>
      <c r="S18">
        <v>0</v>
      </c>
      <c r="T18">
        <v>3.27E-2</v>
      </c>
      <c r="U18">
        <v>3.4799999999999998E-2</v>
      </c>
      <c r="V18">
        <v>0.1225</v>
      </c>
      <c r="W18">
        <v>0</v>
      </c>
      <c r="X18">
        <v>0.18429999999999999</v>
      </c>
      <c r="Y18">
        <v>3.3000000000000002E-2</v>
      </c>
      <c r="Z18">
        <v>2.3099999999999999E-2</v>
      </c>
      <c r="AA18">
        <v>0</v>
      </c>
      <c r="AB18">
        <v>0.4304</v>
      </c>
      <c r="AD18">
        <f>IF(ISNUMBER(INDEX($A$2:$AB$29,17,MATCH('Dengeli Değişken'!$E$2,$A$1:$AB$1,0))),INDEX($A$2:$AB$29,17,MATCH('Dengeli Değişken'!$E$2,$A$1:$AB$1,0)),-1000000000)-ROW()/10000000</f>
        <v>-0.1214432554631338</v>
      </c>
    </row>
    <row r="19" spans="1:30" x14ac:dyDescent="0.2">
      <c r="A19" t="s">
        <v>404</v>
      </c>
      <c r="B19" t="s">
        <v>405</v>
      </c>
      <c r="C19" t="s">
        <v>82</v>
      </c>
      <c r="D19">
        <v>2.7E-2</v>
      </c>
      <c r="E19">
        <v>-0.26962967572063962</v>
      </c>
      <c r="F19">
        <v>-0.20661212882012719</v>
      </c>
      <c r="G19">
        <v>3.0061402557085342</v>
      </c>
      <c r="H19">
        <v>0.57278606112425301</v>
      </c>
      <c r="I19">
        <v>17.774523566406408</v>
      </c>
      <c r="J19">
        <v>39.326550941200153</v>
      </c>
      <c r="K19">
        <v>2937</v>
      </c>
      <c r="L19">
        <v>2834</v>
      </c>
      <c r="M19">
        <v>-3.506979911474295E-2</v>
      </c>
      <c r="N19">
        <v>393253601.25</v>
      </c>
      <c r="O19">
        <v>384724879.18000001</v>
      </c>
      <c r="P19">
        <v>-2.168758796585846E-2</v>
      </c>
      <c r="Q19">
        <v>0.31839428951779403</v>
      </c>
      <c r="R19" t="s">
        <v>41</v>
      </c>
      <c r="S19">
        <v>2.46E-2</v>
      </c>
      <c r="T19">
        <v>0.12670000000000001</v>
      </c>
      <c r="U19">
        <v>0.21990000000000001</v>
      </c>
      <c r="V19">
        <v>0.10489999999999999</v>
      </c>
      <c r="W19">
        <v>0</v>
      </c>
      <c r="X19">
        <v>0.12239999999999999</v>
      </c>
      <c r="Y19">
        <v>0.1237</v>
      </c>
      <c r="Z19">
        <v>5.8500000000000003E-2</v>
      </c>
      <c r="AA19">
        <v>0</v>
      </c>
      <c r="AB19">
        <v>0.78069999999999995</v>
      </c>
      <c r="AD19">
        <f>IF(ISNUMBER(INDEX($A$2:$AB$29,18,MATCH('Dengeli Değişken'!$E$2,$A$1:$AB$1,0))),INDEX($A$2:$AB$29,18,MATCH('Dengeli Değişken'!$E$2,$A$1:$AB$1,0)),-1000000000)-ROW()/10000000</f>
        <v>-0.26963157572063962</v>
      </c>
    </row>
    <row r="20" spans="1:30" x14ac:dyDescent="0.2">
      <c r="A20" t="s">
        <v>406</v>
      </c>
      <c r="B20" t="s">
        <v>407</v>
      </c>
      <c r="C20" t="s">
        <v>82</v>
      </c>
      <c r="D20">
        <v>2.5000000000000001E-2</v>
      </c>
      <c r="E20">
        <v>-0.28089647009063018</v>
      </c>
      <c r="F20">
        <v>-0.19990672327074849</v>
      </c>
      <c r="G20">
        <v>2.9484991262455962</v>
      </c>
      <c r="H20">
        <v>0.57160449565454297</v>
      </c>
      <c r="I20">
        <v>18.57088189639402</v>
      </c>
      <c r="J20">
        <v>39.704309383251001</v>
      </c>
      <c r="K20">
        <v>2936</v>
      </c>
      <c r="L20">
        <v>2886</v>
      </c>
      <c r="M20">
        <v>-1.7029972752043539E-2</v>
      </c>
      <c r="N20">
        <v>740827802.17999995</v>
      </c>
      <c r="O20">
        <v>746704783.91999996</v>
      </c>
      <c r="P20">
        <v>7.9329929609905925E-3</v>
      </c>
      <c r="Q20">
        <v>0.30786705221415872</v>
      </c>
      <c r="R20" t="s">
        <v>41</v>
      </c>
      <c r="S20">
        <v>2.18E-2</v>
      </c>
      <c r="T20">
        <v>8.43E-2</v>
      </c>
      <c r="U20">
        <v>0.27960000000000002</v>
      </c>
      <c r="V20">
        <v>9.0200000000000002E-2</v>
      </c>
      <c r="W20">
        <v>0</v>
      </c>
      <c r="X20">
        <v>9.69E-2</v>
      </c>
      <c r="Y20">
        <v>0.1472</v>
      </c>
      <c r="Z20">
        <v>6.1199999999999997E-2</v>
      </c>
      <c r="AA20">
        <v>0</v>
      </c>
      <c r="AB20">
        <v>0.78120000000000001</v>
      </c>
      <c r="AD20">
        <f>IF(ISNUMBER(INDEX($A$2:$AB$29,19,MATCH('Dengeli Değişken'!$E$2,$A$1:$AB$1,0))),INDEX($A$2:$AB$29,19,MATCH('Dengeli Değişken'!$E$2,$A$1:$AB$1,0)),-1000000000)-ROW()/10000000</f>
        <v>-0.28089847009063018</v>
      </c>
    </row>
    <row r="21" spans="1:30" x14ac:dyDescent="0.2">
      <c r="A21" t="s">
        <v>408</v>
      </c>
      <c r="B21" t="s">
        <v>409</v>
      </c>
      <c r="C21" t="s">
        <v>228</v>
      </c>
      <c r="D21">
        <v>2.0074999999999999E-2</v>
      </c>
      <c r="E21">
        <v>-0.30438937569839952</v>
      </c>
      <c r="F21">
        <v>-0.112465994234856</v>
      </c>
      <c r="G21">
        <v>2.5772954525354219</v>
      </c>
      <c r="H21">
        <v>8.2737756842377053E-2</v>
      </c>
      <c r="I21">
        <v>12.623449914606089</v>
      </c>
      <c r="J21">
        <v>36.283583430676607</v>
      </c>
      <c r="K21">
        <v>7309</v>
      </c>
      <c r="L21">
        <v>6999</v>
      </c>
      <c r="M21">
        <v>-4.2413462854015593E-2</v>
      </c>
      <c r="N21">
        <v>11782592492.309999</v>
      </c>
      <c r="O21">
        <v>11550547143.440001</v>
      </c>
      <c r="P21">
        <v>-1.9693912780353259E-2</v>
      </c>
      <c r="Q21">
        <v>0.34952280683294878</v>
      </c>
      <c r="R21" t="s">
        <v>41</v>
      </c>
      <c r="S21">
        <v>0</v>
      </c>
      <c r="T21">
        <v>0.21679999999999999</v>
      </c>
      <c r="U21">
        <v>8.6E-3</v>
      </c>
      <c r="V21">
        <v>0.26540000000000002</v>
      </c>
      <c r="W21">
        <v>2.5000000000000001E-3</v>
      </c>
      <c r="X21">
        <v>4.0000000000000001E-3</v>
      </c>
      <c r="Y21">
        <v>0</v>
      </c>
      <c r="Z21">
        <v>2.7000000000000001E-3</v>
      </c>
      <c r="AA21">
        <v>5.9999999999999995E-4</v>
      </c>
      <c r="AB21">
        <v>0.50059999999999993</v>
      </c>
      <c r="AD21">
        <f>IF(ISNUMBER(INDEX($A$2:$AB$29,20,MATCH('Dengeli Değişken'!$E$2,$A$1:$AB$1,0))),INDEX($A$2:$AB$29,20,MATCH('Dengeli Değişken'!$E$2,$A$1:$AB$1,0)),-1000000000)-ROW()/10000000</f>
        <v>-0.30439147569839953</v>
      </c>
    </row>
    <row r="22" spans="1:30" x14ac:dyDescent="0.2">
      <c r="A22" t="s">
        <v>410</v>
      </c>
      <c r="B22" t="s">
        <v>411</v>
      </c>
      <c r="C22" t="s">
        <v>412</v>
      </c>
      <c r="D22">
        <v>1.9E-2</v>
      </c>
      <c r="E22">
        <v>-0.41450556590221233</v>
      </c>
      <c r="F22">
        <v>-2.176967379955808</v>
      </c>
      <c r="G22">
        <v>-1.123186476981985</v>
      </c>
      <c r="H22">
        <v>-1.661016526853609</v>
      </c>
      <c r="I22">
        <v>12.860350840822351</v>
      </c>
      <c r="J22" t="s">
        <v>165</v>
      </c>
      <c r="K22">
        <v>187</v>
      </c>
      <c r="L22">
        <v>160</v>
      </c>
      <c r="M22">
        <v>-0.14438502673796791</v>
      </c>
      <c r="N22">
        <v>18152402.489999998</v>
      </c>
      <c r="O22">
        <v>14323254.42</v>
      </c>
      <c r="P22">
        <v>-0.21094442303763611</v>
      </c>
      <c r="Q22">
        <v>0.69249611825167967</v>
      </c>
      <c r="R22" t="s">
        <v>41</v>
      </c>
      <c r="S22">
        <v>0</v>
      </c>
      <c r="T22">
        <v>0.33329999999999999</v>
      </c>
      <c r="U22">
        <v>0</v>
      </c>
      <c r="V22">
        <v>0.44659999999999989</v>
      </c>
      <c r="W22">
        <v>7.2499999999999995E-2</v>
      </c>
      <c r="X22">
        <v>5.7099999999999998E-2</v>
      </c>
      <c r="Y22">
        <v>0</v>
      </c>
      <c r="Z22">
        <v>9.0500000000000011E-2</v>
      </c>
      <c r="AA22">
        <v>0</v>
      </c>
      <c r="AB22">
        <v>0.99999999999999989</v>
      </c>
      <c r="AD22">
        <f>IF(ISNUMBER(INDEX($A$2:$AB$29,21,MATCH('Dengeli Değişken'!$E$2,$A$1:$AB$1,0))),INDEX($A$2:$AB$29,21,MATCH('Dengeli Değişken'!$E$2,$A$1:$AB$1,0)),-1000000000)-ROW()/10000000</f>
        <v>-0.41450776590221233</v>
      </c>
    </row>
    <row r="23" spans="1:30" x14ac:dyDescent="0.2">
      <c r="A23" t="s">
        <v>413</v>
      </c>
      <c r="B23" t="s">
        <v>414</v>
      </c>
      <c r="C23" t="s">
        <v>168</v>
      </c>
      <c r="D23">
        <v>1.4999999999999999E-2</v>
      </c>
      <c r="E23">
        <v>-0.51260781396358368</v>
      </c>
      <c r="F23">
        <v>-0.87892300817492552</v>
      </c>
      <c r="G23">
        <v>1.1550289619598471</v>
      </c>
      <c r="H23">
        <v>-0.30330571322519928</v>
      </c>
      <c r="I23">
        <v>19.960938852101531</v>
      </c>
      <c r="J23">
        <v>47.507927545088279</v>
      </c>
      <c r="K23">
        <v>6012</v>
      </c>
      <c r="L23">
        <v>5180</v>
      </c>
      <c r="M23">
        <v>-0.1383898868928809</v>
      </c>
      <c r="N23">
        <v>1218416502.79</v>
      </c>
      <c r="O23">
        <v>983744052.88999999</v>
      </c>
      <c r="P23">
        <v>-0.19260445780456309</v>
      </c>
      <c r="Q23">
        <v>0.82567693261269748</v>
      </c>
      <c r="R23" t="s">
        <v>41</v>
      </c>
      <c r="S23">
        <v>0</v>
      </c>
      <c r="T23">
        <v>1.37E-2</v>
      </c>
      <c r="U23">
        <v>0</v>
      </c>
      <c r="V23">
        <v>0.1739</v>
      </c>
      <c r="W23">
        <v>6.0900000000000003E-2</v>
      </c>
      <c r="X23">
        <v>0.1396</v>
      </c>
      <c r="Y23">
        <v>9.6999999999999989E-2</v>
      </c>
      <c r="Z23">
        <v>0.18679999999999999</v>
      </c>
      <c r="AA23">
        <v>8.0000000000000002E-3</v>
      </c>
      <c r="AB23">
        <v>0.67989999999999995</v>
      </c>
      <c r="AD23">
        <f>IF(ISNUMBER(INDEX($A$2:$AB$29,22,MATCH('Dengeli Değişken'!$E$2,$A$1:$AB$1,0))),INDEX($A$2:$AB$29,22,MATCH('Dengeli Değişken'!$E$2,$A$1:$AB$1,0)),-1000000000)-ROW()/10000000</f>
        <v>-0.51261011396358369</v>
      </c>
    </row>
    <row r="24" spans="1:30" x14ac:dyDescent="0.2">
      <c r="A24" t="s">
        <v>415</v>
      </c>
      <c r="B24" t="s">
        <v>416</v>
      </c>
      <c r="C24" t="s">
        <v>323</v>
      </c>
      <c r="D24">
        <v>1.4E-2</v>
      </c>
      <c r="E24">
        <v>-0.52531163221430921</v>
      </c>
      <c r="F24">
        <v>-0.46191084081663719</v>
      </c>
      <c r="G24">
        <v>2.652172691841681</v>
      </c>
      <c r="H24">
        <v>1.9345462121619581</v>
      </c>
      <c r="I24">
        <v>10.486108539573991</v>
      </c>
      <c r="J24">
        <v>40.412351473282293</v>
      </c>
      <c r="K24">
        <v>687</v>
      </c>
      <c r="L24">
        <v>583</v>
      </c>
      <c r="M24">
        <v>-0.1513828238719068</v>
      </c>
      <c r="N24">
        <v>53771861.630000003</v>
      </c>
      <c r="O24">
        <v>42751054.780000001</v>
      </c>
      <c r="P24">
        <v>-0.20495490607770511</v>
      </c>
      <c r="Q24">
        <v>0.86485137408746982</v>
      </c>
      <c r="R24" t="s">
        <v>41</v>
      </c>
      <c r="S24">
        <v>7.000000000000001E-4</v>
      </c>
      <c r="T24">
        <v>0</v>
      </c>
      <c r="U24">
        <v>0</v>
      </c>
      <c r="V24">
        <v>1E-4</v>
      </c>
      <c r="W24">
        <v>4.1599999999999998E-2</v>
      </c>
      <c r="X24">
        <v>3.8899999999999997E-2</v>
      </c>
      <c r="Y24">
        <v>1.49E-2</v>
      </c>
      <c r="Z24">
        <v>0.1268</v>
      </c>
      <c r="AA24">
        <v>0</v>
      </c>
      <c r="AB24">
        <v>0.223</v>
      </c>
      <c r="AD24">
        <f>IF(ISNUMBER(INDEX($A$2:$AB$29,23,MATCH('Dengeli Değişken'!$E$2,$A$1:$AB$1,0))),INDEX($A$2:$AB$29,23,MATCH('Dengeli Değişken'!$E$2,$A$1:$AB$1,0)),-1000000000)-ROW()/10000000</f>
        <v>-0.52531403221430917</v>
      </c>
    </row>
    <row r="25" spans="1:30" x14ac:dyDescent="0.2">
      <c r="A25" t="s">
        <v>417</v>
      </c>
      <c r="B25" t="s">
        <v>418</v>
      </c>
      <c r="C25" t="s">
        <v>187</v>
      </c>
      <c r="D25">
        <v>2.1000000000000001E-2</v>
      </c>
      <c r="E25">
        <v>-0.52547772676896365</v>
      </c>
      <c r="F25">
        <v>1.5891033533714789</v>
      </c>
      <c r="G25">
        <v>3.788357372756868</v>
      </c>
      <c r="H25">
        <v>1.797221051439801</v>
      </c>
      <c r="I25">
        <v>17.88378035728018</v>
      </c>
      <c r="J25">
        <v>31.91764556509635</v>
      </c>
      <c r="K25">
        <v>869</v>
      </c>
      <c r="L25">
        <v>831</v>
      </c>
      <c r="M25">
        <v>-4.372842347525896E-2</v>
      </c>
      <c r="N25">
        <v>20222693.57</v>
      </c>
      <c r="O25">
        <v>18683325.079999998</v>
      </c>
      <c r="P25">
        <v>-7.6120843381794923E-2</v>
      </c>
      <c r="Q25">
        <v>0.63684011934036477</v>
      </c>
      <c r="R25" t="s">
        <v>41</v>
      </c>
      <c r="S25">
        <v>0</v>
      </c>
      <c r="T25">
        <v>0.16839999999999999</v>
      </c>
      <c r="U25">
        <v>0</v>
      </c>
      <c r="V25">
        <v>0.35820000000000002</v>
      </c>
      <c r="W25">
        <v>0.105</v>
      </c>
      <c r="X25">
        <v>0.15840000000000001</v>
      </c>
      <c r="Y25">
        <v>0</v>
      </c>
      <c r="Z25">
        <v>0.13109999999999999</v>
      </c>
      <c r="AA25">
        <v>0</v>
      </c>
      <c r="AB25">
        <v>0.92110000000000003</v>
      </c>
      <c r="AD25">
        <f>IF(ISNUMBER(INDEX($A$2:$AB$29,24,MATCH('Dengeli Değişken'!$E$2,$A$1:$AB$1,0))),INDEX($A$2:$AB$29,24,MATCH('Dengeli Değişken'!$E$2,$A$1:$AB$1,0)),-1000000000)-ROW()/10000000</f>
        <v>-0.52548022676896367</v>
      </c>
    </row>
    <row r="26" spans="1:30" x14ac:dyDescent="0.2">
      <c r="A26" t="s">
        <v>419</v>
      </c>
      <c r="B26" t="s">
        <v>420</v>
      </c>
      <c r="C26" t="s">
        <v>195</v>
      </c>
      <c r="D26">
        <v>2.4E-2</v>
      </c>
      <c r="E26">
        <v>-0.54295463027493884</v>
      </c>
      <c r="F26">
        <v>-1.078455819962798</v>
      </c>
      <c r="G26">
        <v>2.8697799952522418</v>
      </c>
      <c r="H26">
        <v>-0.17194872918218079</v>
      </c>
      <c r="I26">
        <v>24.28743792220158</v>
      </c>
      <c r="J26">
        <v>57.08305794227806</v>
      </c>
      <c r="K26">
        <v>476</v>
      </c>
      <c r="L26">
        <v>417</v>
      </c>
      <c r="M26">
        <v>-0.1239495798319328</v>
      </c>
      <c r="N26">
        <v>149690413.36000001</v>
      </c>
      <c r="O26">
        <v>96813712.390000001</v>
      </c>
      <c r="P26">
        <v>-0.35324039651646538</v>
      </c>
      <c r="Q26">
        <v>0.44440989291183941</v>
      </c>
      <c r="R26" t="s">
        <v>41</v>
      </c>
      <c r="S26">
        <v>0</v>
      </c>
      <c r="T26">
        <v>9.3399999999999997E-2</v>
      </c>
      <c r="U26">
        <v>0</v>
      </c>
      <c r="V26">
        <v>0.20979999999999999</v>
      </c>
      <c r="W26">
        <v>0</v>
      </c>
      <c r="X26">
        <v>8.0799999999999997E-2</v>
      </c>
      <c r="Y26">
        <v>0.112</v>
      </c>
      <c r="Z26">
        <v>0.48010000000000003</v>
      </c>
      <c r="AA26">
        <v>0</v>
      </c>
      <c r="AB26">
        <v>0.97609999999999997</v>
      </c>
      <c r="AD26">
        <f>IF(ISNUMBER(INDEX($A$2:$AB$29,25,MATCH('Dengeli Değişken'!$E$2,$A$1:$AB$1,0))),INDEX($A$2:$AB$29,25,MATCH('Dengeli Değişken'!$E$2,$A$1:$AB$1,0)),-1000000000)-ROW()/10000000</f>
        <v>-0.54295723027493881</v>
      </c>
    </row>
    <row r="27" spans="1:30" x14ac:dyDescent="0.2">
      <c r="A27" t="s">
        <v>421</v>
      </c>
      <c r="B27" t="s">
        <v>422</v>
      </c>
      <c r="C27" t="s">
        <v>59</v>
      </c>
      <c r="D27">
        <v>2.2499999999999999E-2</v>
      </c>
      <c r="E27">
        <v>-0.6329551123789523</v>
      </c>
      <c r="F27">
        <v>-0.36709062084745447</v>
      </c>
      <c r="G27">
        <v>0.81714658021041497</v>
      </c>
      <c r="H27">
        <v>-1.44711667774694</v>
      </c>
      <c r="I27">
        <v>8.8072203649403278</v>
      </c>
      <c r="J27" t="s">
        <v>165</v>
      </c>
      <c r="K27">
        <v>3577</v>
      </c>
      <c r="L27">
        <v>3540</v>
      </c>
      <c r="M27">
        <v>-1.0343863572826351E-2</v>
      </c>
      <c r="N27">
        <v>186071654.58000001</v>
      </c>
      <c r="O27">
        <v>191468837.06999999</v>
      </c>
      <c r="P27">
        <v>2.9005935923891672E-2</v>
      </c>
      <c r="Q27">
        <v>1.1149181263636621</v>
      </c>
      <c r="R27" t="s">
        <v>41</v>
      </c>
      <c r="S27">
        <v>0</v>
      </c>
      <c r="T27">
        <v>1.95E-2</v>
      </c>
      <c r="U27">
        <v>0</v>
      </c>
      <c r="V27">
        <v>0.1537</v>
      </c>
      <c r="W27">
        <v>0</v>
      </c>
      <c r="X27">
        <v>6.9000000000000006E-2</v>
      </c>
      <c r="Y27">
        <v>0</v>
      </c>
      <c r="Z27">
        <v>8.8699999999999987E-2</v>
      </c>
      <c r="AA27">
        <v>0</v>
      </c>
      <c r="AB27">
        <v>0.33090000000000003</v>
      </c>
      <c r="AD27">
        <f>IF(ISNUMBER(INDEX($A$2:$AB$29,26,MATCH('Dengeli Değişken'!$E$2,$A$1:$AB$1,0))),INDEX($A$2:$AB$29,26,MATCH('Dengeli Değişken'!$E$2,$A$1:$AB$1,0)),-1000000000)-ROW()/10000000</f>
        <v>-0.63295781237895232</v>
      </c>
    </row>
    <row r="28" spans="1:30" x14ac:dyDescent="0.2">
      <c r="A28" t="s">
        <v>423</v>
      </c>
      <c r="B28" t="s">
        <v>424</v>
      </c>
      <c r="C28" t="s">
        <v>87</v>
      </c>
      <c r="D28">
        <v>1.6500000000000001E-2</v>
      </c>
      <c r="E28">
        <v>-0.8817187885252431</v>
      </c>
      <c r="F28">
        <v>-1.1862720888003</v>
      </c>
      <c r="G28">
        <v>3.0852000454267392</v>
      </c>
      <c r="H28">
        <v>0.27179911823747022</v>
      </c>
      <c r="I28">
        <v>25.1814710514384</v>
      </c>
      <c r="J28">
        <v>52.441302632759047</v>
      </c>
      <c r="K28">
        <v>3252</v>
      </c>
      <c r="L28">
        <v>3067</v>
      </c>
      <c r="M28">
        <v>-5.6888068880688758E-2</v>
      </c>
      <c r="N28">
        <v>1206922511.23</v>
      </c>
      <c r="O28">
        <v>1204891930.51</v>
      </c>
      <c r="P28">
        <v>-1.6824449797780969E-3</v>
      </c>
      <c r="Q28">
        <v>0.76755802595254652</v>
      </c>
      <c r="R28" t="s">
        <v>41</v>
      </c>
      <c r="S28">
        <v>1.8599999999999998E-2</v>
      </c>
      <c r="T28">
        <v>0.1074</v>
      </c>
      <c r="U28">
        <v>0.42759999999999998</v>
      </c>
      <c r="V28">
        <v>9.1999999999999998E-3</v>
      </c>
      <c r="W28">
        <v>0</v>
      </c>
      <c r="X28">
        <v>0.1696</v>
      </c>
      <c r="Y28">
        <v>3.1199999999999999E-2</v>
      </c>
      <c r="Z28">
        <v>0</v>
      </c>
      <c r="AA28">
        <v>0</v>
      </c>
      <c r="AB28">
        <v>0.76359999999999995</v>
      </c>
      <c r="AD28">
        <f>IF(ISNUMBER(INDEX($A$2:$AB$29,27,MATCH('Dengeli Değişken'!$E$2,$A$1:$AB$1,0))),INDEX($A$2:$AB$29,27,MATCH('Dengeli Değişken'!$E$2,$A$1:$AB$1,0)),-1000000000)-ROW()/10000000</f>
        <v>-0.88172158852524307</v>
      </c>
    </row>
    <row r="29" spans="1:30" x14ac:dyDescent="0.2">
      <c r="A29" t="s">
        <v>425</v>
      </c>
      <c r="B29" t="s">
        <v>426</v>
      </c>
      <c r="C29" t="s">
        <v>158</v>
      </c>
      <c r="D29">
        <v>2.1000000000000001E-2</v>
      </c>
      <c r="E29">
        <v>-2.6030398435166751</v>
      </c>
      <c r="F29">
        <v>-2.1290145962409079</v>
      </c>
      <c r="G29">
        <v>0.85314523534674169</v>
      </c>
      <c r="H29">
        <v>-1.4748004003523829</v>
      </c>
      <c r="I29">
        <v>20.11535739213009</v>
      </c>
      <c r="J29">
        <v>39.791354965688022</v>
      </c>
      <c r="K29">
        <v>134</v>
      </c>
      <c r="L29">
        <v>196</v>
      </c>
      <c r="M29">
        <v>0.46268656716417911</v>
      </c>
      <c r="N29">
        <v>157330658.93000001</v>
      </c>
      <c r="O29">
        <v>172625940.03999999</v>
      </c>
      <c r="P29">
        <v>9.7217422300412526E-2</v>
      </c>
      <c r="Q29">
        <v>0.64646633442517487</v>
      </c>
      <c r="R29" t="s">
        <v>41</v>
      </c>
      <c r="S29">
        <v>0</v>
      </c>
      <c r="T29">
        <v>0</v>
      </c>
      <c r="U29">
        <v>0</v>
      </c>
      <c r="V29">
        <v>0.55020000000000002</v>
      </c>
      <c r="W29">
        <v>1E-3</v>
      </c>
      <c r="X29">
        <v>0.13789999999999999</v>
      </c>
      <c r="Y29">
        <v>0.14949999999999999</v>
      </c>
      <c r="Z29">
        <v>0</v>
      </c>
      <c r="AA29">
        <v>0.1326</v>
      </c>
      <c r="AB29">
        <v>0.97119999999999995</v>
      </c>
      <c r="AD29">
        <f>IF(ISNUMBER(INDEX($A$2:$AB$29,28,MATCH('Dengeli Değişken'!$E$2,$A$1:$AB$1,0))),INDEX($A$2:$AB$29,28,MATCH('Dengeli Değişken'!$E$2,$A$1:$AB$1,0)),-1000000000)-ROW()/10000000</f>
        <v>-2.6030427435166752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31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2" max="2" width="9" customWidth="1"/>
    <col min="3" max="3" width="68" customWidth="1"/>
    <col min="4" max="4" width="26" customWidth="1"/>
    <col min="5" max="29" width="13" customWidth="1"/>
  </cols>
  <sheetData>
    <row r="1" spans="1:29" x14ac:dyDescent="0.2">
      <c r="F1" s="6">
        <v>46216</v>
      </c>
      <c r="G1" s="6">
        <v>46210</v>
      </c>
      <c r="H1" s="6">
        <v>46185</v>
      </c>
      <c r="I1" s="6">
        <v>46203</v>
      </c>
      <c r="J1" s="6">
        <v>46022</v>
      </c>
      <c r="K1" s="6">
        <v>45852</v>
      </c>
    </row>
    <row r="2" spans="1:29" x14ac:dyDescent="0.2">
      <c r="B2" s="3" t="s">
        <v>75</v>
      </c>
      <c r="D2" s="7" t="s">
        <v>0</v>
      </c>
      <c r="E2" s="2" t="s">
        <v>13</v>
      </c>
    </row>
    <row r="3" spans="1:29" ht="48" x14ac:dyDescent="0.2">
      <c r="B3" s="4" t="s">
        <v>3</v>
      </c>
      <c r="C3" s="4" t="s">
        <v>368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369</v>
      </c>
      <c r="J3" s="4" t="s">
        <v>6</v>
      </c>
      <c r="K3" s="4" t="s">
        <v>16</v>
      </c>
      <c r="L3" s="4" t="s">
        <v>17</v>
      </c>
      <c r="M3" s="4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R3" s="4" t="s">
        <v>23</v>
      </c>
      <c r="S3" s="4" t="s">
        <v>24</v>
      </c>
      <c r="T3" s="4" t="s">
        <v>25</v>
      </c>
      <c r="U3" s="4" t="s">
        <v>26</v>
      </c>
      <c r="V3" s="4" t="s">
        <v>27</v>
      </c>
      <c r="W3" s="4" t="s">
        <v>28</v>
      </c>
      <c r="X3" s="4" t="s">
        <v>29</v>
      </c>
      <c r="Y3" s="4" t="s">
        <v>30</v>
      </c>
      <c r="Z3" s="4" t="s">
        <v>31</v>
      </c>
      <c r="AA3" s="4" t="s">
        <v>32</v>
      </c>
      <c r="AB3" s="4" t="s">
        <v>33</v>
      </c>
      <c r="AC3" s="4" t="s">
        <v>34</v>
      </c>
    </row>
    <row r="4" spans="1:29" x14ac:dyDescent="0.2">
      <c r="A4">
        <v>1</v>
      </c>
      <c r="B4" s="5" t="str">
        <f>INDEX('V_Dengeli Değişken'!A$2:A$29,MATCH(LARGE('V_Dengeli Değişken'!$AD$2:$AD$29,ROW()-3),'V_Dengeli Değişken'!$AD$2:$AD$29,0))</f>
        <v>ADE</v>
      </c>
      <c r="C4" s="5" t="str">
        <f>INDEX('V_Dengeli Değişken'!B$2:B$29,MATCH(LARGE('V_Dengeli Değişken'!$AD$2:$AD$29,ROW()-3),'V_Dengeli Değişken'!$AD$2:$AD$29,0))</f>
        <v>AK Portföy Mutlak Getiri Hedefli Değişken Fon</v>
      </c>
      <c r="D4" s="5" t="str">
        <f>INDEX('V_Dengeli Değişken'!C$2:C$29,MATCH(LARGE('V_Dengeli Değişken'!$AD$2:$AD$29,ROW()-3),'V_Dengeli Değişken'!$AD$2:$AD$29,0))</f>
        <v>AK Portföy</v>
      </c>
      <c r="E4" s="8">
        <f>INDEX('V_Dengeli Değişken'!D$2:D$29,MATCH(LARGE('V_Dengeli Değişken'!$AD$2:$AD$29,ROW()-3),'V_Dengeli Değişken'!$AD$2:$AD$29,0))</f>
        <v>0.02</v>
      </c>
      <c r="F4" s="9">
        <f>INDEX('V_Dengeli Değişken'!E$2:E$29,MATCH(LARGE('V_Dengeli Değişken'!$AD$2:$AD$29,ROW()-3),'V_Dengeli Değişken'!$AD$2:$AD$29,0))</f>
        <v>0.78172093883364102</v>
      </c>
      <c r="G4" s="9">
        <f>INDEX('V_Dengeli Değişken'!F$2:F$29,MATCH(LARGE('V_Dengeli Değişken'!$AD$2:$AD$29,ROW()-3),'V_Dengeli Değişken'!$AD$2:$AD$29,0))</f>
        <v>3.6711244606557607E-2</v>
      </c>
      <c r="H4" s="9">
        <f>INDEX('V_Dengeli Değişken'!G$2:G$29,MATCH(LARGE('V_Dengeli Değişken'!$AD$2:$AD$29,ROW()-3),'V_Dengeli Değişken'!$AD$2:$AD$29,0))</f>
        <v>-1.6148846979827991</v>
      </c>
      <c r="I4" s="9">
        <f>INDEX('V_Dengeli Değişken'!H$2:H$29,MATCH(LARGE('V_Dengeli Değişken'!$AD$2:$AD$29,ROW()-3),'V_Dengeli Değişken'!$AD$2:$AD$29,0))</f>
        <v>-0.45273127309172212</v>
      </c>
      <c r="J4" s="9">
        <f>INDEX('V_Dengeli Değişken'!I$2:I$29,MATCH(LARGE('V_Dengeli Değişken'!$AD$2:$AD$29,ROW()-3),'V_Dengeli Değişken'!$AD$2:$AD$29,0))</f>
        <v>5.2244372925852822</v>
      </c>
      <c r="K4" s="9">
        <f>INDEX('V_Dengeli Değişken'!J$2:J$29,MATCH(LARGE('V_Dengeli Değişken'!$AD$2:$AD$29,ROW()-3),'V_Dengeli Değişken'!$AD$2:$AD$29,0))</f>
        <v>24.324596565137679</v>
      </c>
      <c r="L4" s="10">
        <f>INDEX('V_Dengeli Değişken'!K$2:K$29,MATCH(LARGE('V_Dengeli Değişken'!$AD$2:$AD$29,ROW()-3),'V_Dengeli Değişken'!$AD$2:$AD$29,0))</f>
        <v>26299</v>
      </c>
      <c r="M4" s="10">
        <f>INDEX('V_Dengeli Değişken'!L$2:L$29,MATCH(LARGE('V_Dengeli Değişken'!$AD$2:$AD$29,ROW()-3),'V_Dengeli Değişken'!$AD$2:$AD$29,0))</f>
        <v>25860</v>
      </c>
      <c r="N4" s="8">
        <f>INDEX('V_Dengeli Değişken'!M$2:M$29,MATCH(LARGE('V_Dengeli Değişken'!$AD$2:$AD$29,ROW()-3),'V_Dengeli Değişken'!$AD$2:$AD$29,0))</f>
        <v>-1.6692649910643009E-2</v>
      </c>
      <c r="O4" s="11">
        <f>INDEX('V_Dengeli Değişken'!N$2:N$29,MATCH(LARGE('V_Dengeli Değişken'!$AD$2:$AD$29,ROW()-3),'V_Dengeli Değişken'!$AD$2:$AD$29,0))</f>
        <v>875089146.13</v>
      </c>
      <c r="P4" s="11">
        <f>INDEX('V_Dengeli Değişken'!O$2:O$29,MATCH(LARGE('V_Dengeli Değişken'!$AD$2:$AD$29,ROW()-3),'V_Dengeli Değişken'!$AD$2:$AD$29,0))</f>
        <v>736414652.92999995</v>
      </c>
      <c r="Q4" s="8">
        <f>INDEX('V_Dengeli Değişken'!P$2:P$29,MATCH(LARGE('V_Dengeli Değişken'!$AD$2:$AD$29,ROW()-3),'V_Dengeli Değişken'!$AD$2:$AD$29,0))</f>
        <v>-0.15846899006035561</v>
      </c>
      <c r="R4" s="9">
        <f>INDEX('V_Dengeli Değişken'!Q$2:Q$29,MATCH(LARGE('V_Dengeli Değişken'!$AD$2:$AD$29,ROW()-3),'V_Dengeli Değişken'!$AD$2:$AD$29,0))</f>
        <v>0.3992772709243631</v>
      </c>
      <c r="S4" s="5" t="str">
        <f>INDEX('V_Dengeli Değişken'!R$2:R$29,MATCH(LARGE('V_Dengeli Değişken'!$AD$2:$AD$29,ROW()-3),'V_Dengeli Değişken'!$AD$2:$AD$29,0))</f>
        <v>Görüyor</v>
      </c>
      <c r="T4" s="8">
        <f>INDEX('V_Dengeli Değişken'!S$2:S$29,MATCH(LARGE('V_Dengeli Değişken'!$AD$2:$AD$29,ROW()-3),'V_Dengeli Değişken'!$AD$2:$AD$29,0))</f>
        <v>2.8000000000000001E-2</v>
      </c>
      <c r="U4" s="8">
        <f>INDEX('V_Dengeli Değişken'!T$2:T$29,MATCH(LARGE('V_Dengeli Değişken'!$AD$2:$AD$29,ROW()-3),'V_Dengeli Değişken'!$AD$2:$AD$29,0))</f>
        <v>0.16370000000000001</v>
      </c>
      <c r="V4" s="8">
        <f>INDEX('V_Dengeli Değişken'!U$2:U$29,MATCH(LARGE('V_Dengeli Değişken'!$AD$2:$AD$29,ROW()-3),'V_Dengeli Değişken'!$AD$2:$AD$29,0))</f>
        <v>0</v>
      </c>
      <c r="W4" s="8">
        <f>INDEX('V_Dengeli Değişken'!V$2:V$29,MATCH(LARGE('V_Dengeli Değişken'!$AD$2:$AD$29,ROW()-3),'V_Dengeli Değişken'!$AD$2:$AD$29,0))</f>
        <v>0.59929999999999994</v>
      </c>
      <c r="X4" s="8">
        <f>INDEX('V_Dengeli Değişken'!W$2:W$29,MATCH(LARGE('V_Dengeli Değişken'!$AD$2:$AD$29,ROW()-3),'V_Dengeli Değişken'!$AD$2:$AD$29,0))</f>
        <v>9.8699999999999996E-2</v>
      </c>
      <c r="Y4" s="8">
        <f>INDEX('V_Dengeli Değişken'!X$2:X$29,MATCH(LARGE('V_Dengeli Değişken'!$AD$2:$AD$29,ROW()-3),'V_Dengeli Değişken'!$AD$2:$AD$29,0))</f>
        <v>9.4800000000000009E-2</v>
      </c>
      <c r="Z4" s="8">
        <f>INDEX('V_Dengeli Değişken'!Y$2:Y$29,MATCH(LARGE('V_Dengeli Değişken'!$AD$2:$AD$29,ROW()-3),'V_Dengeli Değişken'!$AD$2:$AD$29,0))</f>
        <v>0</v>
      </c>
      <c r="AA4" s="8">
        <f>INDEX('V_Dengeli Değişken'!Z$2:Z$29,MATCH(LARGE('V_Dengeli Değişken'!$AD$2:$AD$29,ROW()-3),'V_Dengeli Değişken'!$AD$2:$AD$29,0))</f>
        <v>0</v>
      </c>
      <c r="AB4" s="8">
        <f>INDEX('V_Dengeli Değişken'!AA$2:AA$29,MATCH(LARGE('V_Dengeli Değişken'!$AD$2:$AD$29,ROW()-3),'V_Dengeli Değişken'!$AD$2:$AD$29,0))</f>
        <v>0</v>
      </c>
      <c r="AC4" s="8">
        <f>INDEX('V_Dengeli Değişken'!AB$2:AB$29,MATCH(LARGE('V_Dengeli Değişken'!$AD$2:$AD$29,ROW()-3),'V_Dengeli Değişken'!$AD$2:$AD$29,0))</f>
        <v>0.98449999999999993</v>
      </c>
    </row>
    <row r="5" spans="1:29" x14ac:dyDescent="0.2">
      <c r="A5">
        <v>2</v>
      </c>
      <c r="B5" s="5" t="str">
        <f>INDEX('V_Dengeli Değişken'!A$2:A$29,MATCH(LARGE('V_Dengeli Değişken'!$AD$2:$AD$29,ROW()-3),'V_Dengeli Değişken'!$AD$2:$AD$29,0))</f>
        <v>DID</v>
      </c>
      <c r="C5" s="5" t="str">
        <f>INDEX('V_Dengeli Değişken'!B$2:B$29,MATCH(LARGE('V_Dengeli Değişken'!$AD$2:$AD$29,ROW()-3),'V_Dengeli Değişken'!$AD$2:$AD$29,0))</f>
        <v>Deniz Portföy İkinci Değişken Fon</v>
      </c>
      <c r="D5" s="5" t="str">
        <f>INDEX('V_Dengeli Değişken'!C$2:C$29,MATCH(LARGE('V_Dengeli Değişken'!$AD$2:$AD$29,ROW()-3),'V_Dengeli Değişken'!$AD$2:$AD$29,0))</f>
        <v>Deniz Portföy</v>
      </c>
      <c r="E5" s="8">
        <f>INDEX('V_Dengeli Değişken'!D$2:D$29,MATCH(LARGE('V_Dengeli Değişken'!$AD$2:$AD$29,ROW()-3),'V_Dengeli Değişken'!$AD$2:$AD$29,0))</f>
        <v>1.95E-2</v>
      </c>
      <c r="F5" s="9">
        <f>INDEX('V_Dengeli Değişken'!E$2:E$29,MATCH(LARGE('V_Dengeli Değişken'!$AD$2:$AD$29,ROW()-3),'V_Dengeli Değişken'!$AD$2:$AD$29,0))</f>
        <v>0.38193686774687929</v>
      </c>
      <c r="G5" s="9">
        <f>INDEX('V_Dengeli Değişken'!F$2:F$29,MATCH(LARGE('V_Dengeli Değişken'!$AD$2:$AD$29,ROW()-3),'V_Dengeli Değişken'!$AD$2:$AD$29,0))</f>
        <v>-0.24731216322319011</v>
      </c>
      <c r="H5" s="9">
        <f>INDEX('V_Dengeli Değişken'!G$2:G$29,MATCH(LARGE('V_Dengeli Değişken'!$AD$2:$AD$29,ROW()-3),'V_Dengeli Değişken'!$AD$2:$AD$29,0))</f>
        <v>2.7492359583859201</v>
      </c>
      <c r="I5" s="9">
        <f>INDEX('V_Dengeli Değişken'!H$2:H$29,MATCH(LARGE('V_Dengeli Değişken'!$AD$2:$AD$29,ROW()-3),'V_Dengeli Değişken'!$AD$2:$AD$29,0))</f>
        <v>1.327853099007736</v>
      </c>
      <c r="J5" s="9">
        <f>INDEX('V_Dengeli Değişken'!I$2:I$29,MATCH(LARGE('V_Dengeli Değişken'!$AD$2:$AD$29,ROW()-3),'V_Dengeli Değişken'!$AD$2:$AD$29,0))</f>
        <v>15.20944538018705</v>
      </c>
      <c r="K5" s="9">
        <f>INDEX('V_Dengeli Değişken'!J$2:J$29,MATCH(LARGE('V_Dengeli Değişken'!$AD$2:$AD$29,ROW()-3),'V_Dengeli Değişken'!$AD$2:$AD$29,0))</f>
        <v>33.207098665546283</v>
      </c>
      <c r="L5" s="10">
        <f>INDEX('V_Dengeli Değişken'!K$2:K$29,MATCH(LARGE('V_Dengeli Değişken'!$AD$2:$AD$29,ROW()-3),'V_Dengeli Değişken'!$AD$2:$AD$29,0))</f>
        <v>161</v>
      </c>
      <c r="M5" s="10">
        <f>INDEX('V_Dengeli Değişken'!L$2:L$29,MATCH(LARGE('V_Dengeli Değişken'!$AD$2:$AD$29,ROW()-3),'V_Dengeli Değişken'!$AD$2:$AD$29,0))</f>
        <v>154</v>
      </c>
      <c r="N5" s="8">
        <f>INDEX('V_Dengeli Değişken'!M$2:M$29,MATCH(LARGE('V_Dengeli Değişken'!$AD$2:$AD$29,ROW()-3),'V_Dengeli Değişken'!$AD$2:$AD$29,0))</f>
        <v>-4.3478260869565188E-2</v>
      </c>
      <c r="O5" s="11">
        <f>INDEX('V_Dengeli Değişken'!N$2:N$29,MATCH(LARGE('V_Dengeli Değişken'!$AD$2:$AD$29,ROW()-3),'V_Dengeli Değişken'!$AD$2:$AD$29,0))</f>
        <v>32574515.039999999</v>
      </c>
      <c r="P5" s="11">
        <f>INDEX('V_Dengeli Değişken'!O$2:O$29,MATCH(LARGE('V_Dengeli Değişken'!$AD$2:$AD$29,ROW()-3),'V_Dengeli Değişken'!$AD$2:$AD$29,0))</f>
        <v>26999557.77</v>
      </c>
      <c r="Q5" s="8">
        <f>INDEX('V_Dengeli Değişken'!P$2:P$29,MATCH(LARGE('V_Dengeli Değişken'!$AD$2:$AD$29,ROW()-3),'V_Dengeli Değişken'!$AD$2:$AD$29,0))</f>
        <v>-0.17114475113917149</v>
      </c>
      <c r="R5" s="9">
        <f>INDEX('V_Dengeli Değişken'!Q$2:Q$29,MATCH(LARGE('V_Dengeli Değişken'!$AD$2:$AD$29,ROW()-3),'V_Dengeli Değişken'!$AD$2:$AD$29,0))</f>
        <v>0.76310512120354212</v>
      </c>
      <c r="S5" s="5" t="str">
        <f>INDEX('V_Dengeli Değişken'!R$2:R$29,MATCH(LARGE('V_Dengeli Değişken'!$AD$2:$AD$29,ROW()-3),'V_Dengeli Değişken'!$AD$2:$AD$29,0))</f>
        <v>Görüyor</v>
      </c>
      <c r="T5" s="8">
        <f>INDEX('V_Dengeli Değişken'!S$2:S$29,MATCH(LARGE('V_Dengeli Değişken'!$AD$2:$AD$29,ROW()-3),'V_Dengeli Değişken'!$AD$2:$AD$29,0))</f>
        <v>1.01E-2</v>
      </c>
      <c r="U5" s="8">
        <f>INDEX('V_Dengeli Değişken'!T$2:T$29,MATCH(LARGE('V_Dengeli Değişken'!$AD$2:$AD$29,ROW()-3),'V_Dengeli Değişken'!$AD$2:$AD$29,0))</f>
        <v>1.23E-2</v>
      </c>
      <c r="V5" s="8">
        <f>INDEX('V_Dengeli Değişken'!U$2:U$29,MATCH(LARGE('V_Dengeli Değişken'!$AD$2:$AD$29,ROW()-3),'V_Dengeli Değişken'!$AD$2:$AD$29,0))</f>
        <v>0.33520000000000011</v>
      </c>
      <c r="W5" s="8">
        <f>INDEX('V_Dengeli Değişken'!V$2:V$29,MATCH(LARGE('V_Dengeli Değişken'!$AD$2:$AD$29,ROW()-3),'V_Dengeli Değişken'!$AD$2:$AD$29,0))</f>
        <v>0.2606</v>
      </c>
      <c r="X5" s="8">
        <f>INDEX('V_Dengeli Değişken'!W$2:W$29,MATCH(LARGE('V_Dengeli Değişken'!$AD$2:$AD$29,ROW()-3),'V_Dengeli Değişken'!$AD$2:$AD$29,0))</f>
        <v>5.6000000000000008E-3</v>
      </c>
      <c r="Y5" s="8">
        <f>INDEX('V_Dengeli Değişken'!X$2:X$29,MATCH(LARGE('V_Dengeli Değişken'!$AD$2:$AD$29,ROW()-3),'V_Dengeli Değişken'!$AD$2:$AD$29,0))</f>
        <v>5.9800000000000013E-2</v>
      </c>
      <c r="Z5" s="8">
        <f>INDEX('V_Dengeli Değişken'!Y$2:Y$29,MATCH(LARGE('V_Dengeli Değişken'!$AD$2:$AD$29,ROW()-3),'V_Dengeli Değişken'!$AD$2:$AD$29,0))</f>
        <v>0</v>
      </c>
      <c r="AA5" s="8">
        <f>INDEX('V_Dengeli Değişken'!Z$2:Z$29,MATCH(LARGE('V_Dengeli Değişken'!$AD$2:$AD$29,ROW()-3),'V_Dengeli Değişken'!$AD$2:$AD$29,0))</f>
        <v>0</v>
      </c>
      <c r="AB5" s="8">
        <f>INDEX('V_Dengeli Değişken'!AA$2:AA$29,MATCH(LARGE('V_Dengeli Değişken'!$AD$2:$AD$29,ROW()-3),'V_Dengeli Değişken'!$AD$2:$AD$29,0))</f>
        <v>0</v>
      </c>
      <c r="AC5" s="8">
        <f>INDEX('V_Dengeli Değişken'!AB$2:AB$29,MATCH(LARGE('V_Dengeli Değişken'!$AD$2:$AD$29,ROW()-3),'V_Dengeli Değişken'!$AD$2:$AD$29,0))</f>
        <v>0.6836000000000001</v>
      </c>
    </row>
    <row r="6" spans="1:29" x14ac:dyDescent="0.2">
      <c r="A6">
        <v>3</v>
      </c>
      <c r="B6" s="5" t="str">
        <f>INDEX('V_Dengeli Değişken'!A$2:A$29,MATCH(LARGE('V_Dengeli Değişken'!$AD$2:$AD$29,ROW()-3),'V_Dengeli Değişken'!$AD$2:$AD$29,0))</f>
        <v>EIB</v>
      </c>
      <c r="C6" s="5" t="str">
        <f>INDEX('V_Dengeli Değişken'!B$2:B$29,MATCH(LARGE('V_Dengeli Değişken'!$AD$2:$AD$29,ROW()-3),'V_Dengeli Değişken'!$AD$2:$AD$29,0))</f>
        <v>Astra Portföy Değişken Fon</v>
      </c>
      <c r="D6" s="5" t="str">
        <f>INDEX('V_Dengeli Değişken'!C$2:C$29,MATCH(LARGE('V_Dengeli Değişken'!$AD$2:$AD$29,ROW()-3),'V_Dengeli Değişken'!$AD$2:$AD$29,0))</f>
        <v>Astra Portföy</v>
      </c>
      <c r="E6" s="8">
        <f>INDEX('V_Dengeli Değişken'!D$2:D$29,MATCH(LARGE('V_Dengeli Değişken'!$AD$2:$AD$29,ROW()-3),'V_Dengeli Değişken'!$AD$2:$AD$29,0))</f>
        <v>2.0896250000000002E-2</v>
      </c>
      <c r="F6" s="9">
        <f>INDEX('V_Dengeli Değişken'!E$2:E$29,MATCH(LARGE('V_Dengeli Değişken'!$AD$2:$AD$29,ROW()-3),'V_Dengeli Değişken'!$AD$2:$AD$29,0))</f>
        <v>0.26760274921542321</v>
      </c>
      <c r="G6" s="9">
        <f>INDEX('V_Dengeli Değişken'!F$2:F$29,MATCH(LARGE('V_Dengeli Değişken'!$AD$2:$AD$29,ROW()-3),'V_Dengeli Değişken'!$AD$2:$AD$29,0))</f>
        <v>1.3288915200224021</v>
      </c>
      <c r="H6" s="9">
        <f>INDEX('V_Dengeli Değişken'!G$2:G$29,MATCH(LARGE('V_Dengeli Değişken'!$AD$2:$AD$29,ROW()-3),'V_Dengeli Değişken'!$AD$2:$AD$29,0))</f>
        <v>5.1957941968764576</v>
      </c>
      <c r="I6" s="9">
        <f>INDEX('V_Dengeli Değişken'!H$2:H$29,MATCH(LARGE('V_Dengeli Değişken'!$AD$2:$AD$29,ROW()-3),'V_Dengeli Değişken'!$AD$2:$AD$29,0))</f>
        <v>2.4603244218129872</v>
      </c>
      <c r="J6" s="9">
        <f>INDEX('V_Dengeli Değişken'!I$2:I$29,MATCH(LARGE('V_Dengeli Değişken'!$AD$2:$AD$29,ROW()-3),'V_Dengeli Değişken'!$AD$2:$AD$29,0))</f>
        <v>27.096365326578489</v>
      </c>
      <c r="K6" s="9">
        <f>INDEX('V_Dengeli Değişken'!J$2:J$29,MATCH(LARGE('V_Dengeli Değişken'!$AD$2:$AD$29,ROW()-3),'V_Dengeli Değişken'!$AD$2:$AD$29,0))</f>
        <v>49.360560454572997</v>
      </c>
      <c r="L6" s="10">
        <f>INDEX('V_Dengeli Değişken'!K$2:K$29,MATCH(LARGE('V_Dengeli Değişken'!$AD$2:$AD$29,ROW()-3),'V_Dengeli Değişken'!$AD$2:$AD$29,0))</f>
        <v>530</v>
      </c>
      <c r="M6" s="10">
        <f>INDEX('V_Dengeli Değişken'!L$2:L$29,MATCH(LARGE('V_Dengeli Değişken'!$AD$2:$AD$29,ROW()-3),'V_Dengeli Değişken'!$AD$2:$AD$29,0))</f>
        <v>513</v>
      </c>
      <c r="N6" s="8">
        <f>INDEX('V_Dengeli Değişken'!M$2:M$29,MATCH(LARGE('V_Dengeli Değişken'!$AD$2:$AD$29,ROW()-3),'V_Dengeli Değişken'!$AD$2:$AD$29,0))</f>
        <v>-3.20754716981132E-2</v>
      </c>
      <c r="O6" s="11">
        <f>INDEX('V_Dengeli Değişken'!N$2:N$29,MATCH(LARGE('V_Dengeli Değişken'!$AD$2:$AD$29,ROW()-3),'V_Dengeli Değişken'!$AD$2:$AD$29,0))</f>
        <v>314333302.85000002</v>
      </c>
      <c r="P6" s="11">
        <f>INDEX('V_Dengeli Değişken'!O$2:O$29,MATCH(LARGE('V_Dengeli Değişken'!$AD$2:$AD$29,ROW()-3),'V_Dengeli Değişken'!$AD$2:$AD$29,0))</f>
        <v>344178027.55000001</v>
      </c>
      <c r="Q6" s="8">
        <f>INDEX('V_Dengeli Değişken'!P$2:P$29,MATCH(LARGE('V_Dengeli Değişken'!$AD$2:$AD$29,ROW()-3),'V_Dengeli Değişken'!$AD$2:$AD$29,0))</f>
        <v>9.4946111116460008E-2</v>
      </c>
      <c r="R6" s="9">
        <f>INDEX('V_Dengeli Değişken'!Q$2:Q$29,MATCH(LARGE('V_Dengeli Değişken'!$AD$2:$AD$29,ROW()-3),'V_Dengeli Değişken'!$AD$2:$AD$29,0))</f>
        <v>0.23661023737182621</v>
      </c>
      <c r="S6" s="5" t="str">
        <f>INDEX('V_Dengeli Değişken'!R$2:R$29,MATCH(LARGE('V_Dengeli Değişken'!$AD$2:$AD$29,ROW()-3),'V_Dengeli Değişken'!$AD$2:$AD$29,0))</f>
        <v>Görüyor</v>
      </c>
      <c r="T6" s="8">
        <f>INDEX('V_Dengeli Değişken'!S$2:S$29,MATCH(LARGE('V_Dengeli Değişken'!$AD$2:$AD$29,ROW()-3),'V_Dengeli Değişken'!$AD$2:$AD$29,0))</f>
        <v>0</v>
      </c>
      <c r="U6" s="8">
        <f>INDEX('V_Dengeli Değişken'!T$2:T$29,MATCH(LARGE('V_Dengeli Değişken'!$AD$2:$AD$29,ROW()-3),'V_Dengeli Değişken'!$AD$2:$AD$29,0))</f>
        <v>0</v>
      </c>
      <c r="V6" s="8">
        <f>INDEX('V_Dengeli Değişken'!U$2:U$29,MATCH(LARGE('V_Dengeli Değişken'!$AD$2:$AD$29,ROW()-3),'V_Dengeli Değişken'!$AD$2:$AD$29,0))</f>
        <v>0.47389999999999999</v>
      </c>
      <c r="W6" s="8">
        <f>INDEX('V_Dengeli Değişken'!V$2:V$29,MATCH(LARGE('V_Dengeli Değişken'!$AD$2:$AD$29,ROW()-3),'V_Dengeli Değişken'!$AD$2:$AD$29,0))</f>
        <v>0</v>
      </c>
      <c r="X6" s="8">
        <f>INDEX('V_Dengeli Değişken'!W$2:W$29,MATCH(LARGE('V_Dengeli Değişken'!$AD$2:$AD$29,ROW()-3),'V_Dengeli Değişken'!$AD$2:$AD$29,0))</f>
        <v>0.1744</v>
      </c>
      <c r="Y6" s="8">
        <f>INDEX('V_Dengeli Değişken'!X$2:X$29,MATCH(LARGE('V_Dengeli Değişken'!$AD$2:$AD$29,ROW()-3),'V_Dengeli Değişken'!$AD$2:$AD$29,0))</f>
        <v>0.17560000000000001</v>
      </c>
      <c r="Z6" s="8">
        <f>INDEX('V_Dengeli Değişken'!Y$2:Y$29,MATCH(LARGE('V_Dengeli Değişken'!$AD$2:$AD$29,ROW()-3),'V_Dengeli Değişken'!$AD$2:$AD$29,0))</f>
        <v>0.12889999999999999</v>
      </c>
      <c r="AA6" s="8">
        <f>INDEX('V_Dengeli Değişken'!Z$2:Z$29,MATCH(LARGE('V_Dengeli Değişken'!$AD$2:$AD$29,ROW()-3),'V_Dengeli Değişken'!$AD$2:$AD$29,0))</f>
        <v>0</v>
      </c>
      <c r="AB6" s="8">
        <f>INDEX('V_Dengeli Değişken'!AA$2:AA$29,MATCH(LARGE('V_Dengeli Değişken'!$AD$2:$AD$29,ROW()-3),'V_Dengeli Değişken'!$AD$2:$AD$29,0))</f>
        <v>4.41E-2</v>
      </c>
      <c r="AC6" s="8">
        <f>INDEX('V_Dengeli Değişken'!AB$2:AB$29,MATCH(LARGE('V_Dengeli Değişken'!$AD$2:$AD$29,ROW()-3),'V_Dengeli Değişken'!$AD$2:$AD$29,0))</f>
        <v>0.99690000000000001</v>
      </c>
    </row>
    <row r="7" spans="1:29" x14ac:dyDescent="0.2">
      <c r="A7">
        <v>4</v>
      </c>
      <c r="B7" s="5" t="str">
        <f>INDEX('V_Dengeli Değişken'!A$2:A$29,MATCH(LARGE('V_Dengeli Değişken'!$AD$2:$AD$29,ROW()-3),'V_Dengeli Değişken'!$AD$2:$AD$29,0))</f>
        <v>AGC</v>
      </c>
      <c r="C7" s="5" t="str">
        <f>INDEX('V_Dengeli Değişken'!B$2:B$29,MATCH(LARGE('V_Dengeli Değişken'!$AD$2:$AD$29,ROW()-3),'V_Dengeli Değişken'!$AD$2:$AD$29,0))</f>
        <v>AK Portföy İkinci Değişken Fon</v>
      </c>
      <c r="D7" s="5" t="str">
        <f>INDEX('V_Dengeli Değişken'!C$2:C$29,MATCH(LARGE('V_Dengeli Değişken'!$AD$2:$AD$29,ROW()-3),'V_Dengeli Değişken'!$AD$2:$AD$29,0))</f>
        <v>AK Portföy</v>
      </c>
      <c r="E7" s="8">
        <f>INDEX('V_Dengeli Değişken'!D$2:D$29,MATCH(LARGE('V_Dengeli Değişken'!$AD$2:$AD$29,ROW()-3),'V_Dengeli Değişken'!$AD$2:$AD$29,0))</f>
        <v>1.4999999999999999E-2</v>
      </c>
      <c r="F7" s="9">
        <f>INDEX('V_Dengeli Değişken'!E$2:E$29,MATCH(LARGE('V_Dengeli Değişken'!$AD$2:$AD$29,ROW()-3),'V_Dengeli Değişken'!$AD$2:$AD$29,0))</f>
        <v>0.1469981542139065</v>
      </c>
      <c r="G7" s="9">
        <f>INDEX('V_Dengeli Değişken'!F$2:F$29,MATCH(LARGE('V_Dengeli Değişken'!$AD$2:$AD$29,ROW()-3),'V_Dengeli Değişken'!$AD$2:$AD$29,0))</f>
        <v>0.41226933786255859</v>
      </c>
      <c r="H7" s="9">
        <f>INDEX('V_Dengeli Değişken'!G$2:G$29,MATCH(LARGE('V_Dengeli Değişken'!$AD$2:$AD$29,ROW()-3),'V_Dengeli Değişken'!$AD$2:$AD$29,0))</f>
        <v>2.2895211030967482</v>
      </c>
      <c r="I7" s="9">
        <f>INDEX('V_Dengeli Değişken'!H$2:H$29,MATCH(LARGE('V_Dengeli Değişken'!$AD$2:$AD$29,ROW()-3),'V_Dengeli Değişken'!$AD$2:$AD$29,0))</f>
        <v>0.92232218212648931</v>
      </c>
      <c r="J7" s="9">
        <f>INDEX('V_Dengeli Değişken'!I$2:I$29,MATCH(LARGE('V_Dengeli Değişken'!$AD$2:$AD$29,ROW()-3),'V_Dengeli Değişken'!$AD$2:$AD$29,0))</f>
        <v>13.45250650499219</v>
      </c>
      <c r="K7" s="9">
        <f>INDEX('V_Dengeli Değişken'!J$2:J$29,MATCH(LARGE('V_Dengeli Değişken'!$AD$2:$AD$29,ROW()-3),'V_Dengeli Değişken'!$AD$2:$AD$29,0))</f>
        <v>28.482701397657049</v>
      </c>
      <c r="L7" s="10">
        <f>INDEX('V_Dengeli Değişken'!K$2:K$29,MATCH(LARGE('V_Dengeli Değişken'!$AD$2:$AD$29,ROW()-3),'V_Dengeli Değişken'!$AD$2:$AD$29,0))</f>
        <v>2438</v>
      </c>
      <c r="M7" s="10">
        <f>INDEX('V_Dengeli Değişken'!L$2:L$29,MATCH(LARGE('V_Dengeli Değişken'!$AD$2:$AD$29,ROW()-3),'V_Dengeli Değişken'!$AD$2:$AD$29,0))</f>
        <v>2443</v>
      </c>
      <c r="N7" s="8">
        <f>INDEX('V_Dengeli Değişken'!M$2:M$29,MATCH(LARGE('V_Dengeli Değişken'!$AD$2:$AD$29,ROW()-3),'V_Dengeli Değişken'!$AD$2:$AD$29,0))</f>
        <v>2.0508613617720162E-3</v>
      </c>
      <c r="O7" s="11">
        <f>INDEX('V_Dengeli Değişken'!N$2:N$29,MATCH(LARGE('V_Dengeli Değişken'!$AD$2:$AD$29,ROW()-3),'V_Dengeli Değişken'!$AD$2:$AD$29,0))</f>
        <v>98474142.790000007</v>
      </c>
      <c r="P7" s="11">
        <f>INDEX('V_Dengeli Değişken'!O$2:O$29,MATCH(LARGE('V_Dengeli Değişken'!$AD$2:$AD$29,ROW()-3),'V_Dengeli Değişken'!$AD$2:$AD$29,0))</f>
        <v>113607629.20999999</v>
      </c>
      <c r="Q7" s="8">
        <f>INDEX('V_Dengeli Değişken'!P$2:P$29,MATCH(LARGE('V_Dengeli Değişken'!$AD$2:$AD$29,ROW()-3),'V_Dengeli Değişken'!$AD$2:$AD$29,0))</f>
        <v>0.1536797984855045</v>
      </c>
      <c r="R7" s="9">
        <f>INDEX('V_Dengeli Değişken'!Q$2:Q$29,MATCH(LARGE('V_Dengeli Değişken'!$AD$2:$AD$29,ROW()-3),'V_Dengeli Değişken'!$AD$2:$AD$29,0))</f>
        <v>7.2848755558176728E-2</v>
      </c>
      <c r="S7" s="5" t="str">
        <f>INDEX('V_Dengeli Değişken'!R$2:R$29,MATCH(LARGE('V_Dengeli Değişken'!$AD$2:$AD$29,ROW()-3),'V_Dengeli Değişken'!$AD$2:$AD$29,0))</f>
        <v>Görüyor</v>
      </c>
      <c r="T7" s="8">
        <f>INDEX('V_Dengeli Değişken'!S$2:S$29,MATCH(LARGE('V_Dengeli Değişken'!$AD$2:$AD$29,ROW()-3),'V_Dengeli Değişken'!$AD$2:$AD$29,0))</f>
        <v>0</v>
      </c>
      <c r="U7" s="8">
        <f>INDEX('V_Dengeli Değişken'!T$2:T$29,MATCH(LARGE('V_Dengeli Değişken'!$AD$2:$AD$29,ROW()-3),'V_Dengeli Değişken'!$AD$2:$AD$29,0))</f>
        <v>1.89E-2</v>
      </c>
      <c r="V7" s="8">
        <f>INDEX('V_Dengeli Değişken'!U$2:U$29,MATCH(LARGE('V_Dengeli Değişken'!$AD$2:$AD$29,ROW()-3),'V_Dengeli Değişken'!$AD$2:$AD$29,0))</f>
        <v>0.32840000000000003</v>
      </c>
      <c r="W7" s="8">
        <f>INDEX('V_Dengeli Değişken'!V$2:V$29,MATCH(LARGE('V_Dengeli Değişken'!$AD$2:$AD$29,ROW()-3),'V_Dengeli Değişken'!$AD$2:$AD$29,0))</f>
        <v>0</v>
      </c>
      <c r="X7" s="8">
        <f>INDEX('V_Dengeli Değişken'!W$2:W$29,MATCH(LARGE('V_Dengeli Değişken'!$AD$2:$AD$29,ROW()-3),'V_Dengeli Değişken'!$AD$2:$AD$29,0))</f>
        <v>6.1999999999999998E-3</v>
      </c>
      <c r="Y7" s="8">
        <f>INDEX('V_Dengeli Değişken'!X$2:X$29,MATCH(LARGE('V_Dengeli Değişken'!$AD$2:$AD$29,ROW()-3),'V_Dengeli Değişken'!$AD$2:$AD$29,0))</f>
        <v>0</v>
      </c>
      <c r="Z7" s="8">
        <f>INDEX('V_Dengeli Değişken'!Y$2:Y$29,MATCH(LARGE('V_Dengeli Değişken'!$AD$2:$AD$29,ROW()-3),'V_Dengeli Değişken'!$AD$2:$AD$29,0))</f>
        <v>0</v>
      </c>
      <c r="AA7" s="8">
        <f>INDEX('V_Dengeli Değişken'!Z$2:Z$29,MATCH(LARGE('V_Dengeli Değişken'!$AD$2:$AD$29,ROW()-3),'V_Dengeli Değişken'!$AD$2:$AD$29,0))</f>
        <v>0</v>
      </c>
      <c r="AB7" s="8">
        <f>INDEX('V_Dengeli Değişken'!AA$2:AA$29,MATCH(LARGE('V_Dengeli Değişken'!$AD$2:$AD$29,ROW()-3),'V_Dengeli Değişken'!$AD$2:$AD$29,0))</f>
        <v>0</v>
      </c>
      <c r="AC7" s="8">
        <f>INDEX('V_Dengeli Değişken'!AB$2:AB$29,MATCH(LARGE('V_Dengeli Değişken'!$AD$2:$AD$29,ROW()-3),'V_Dengeli Değişken'!$AD$2:$AD$29,0))</f>
        <v>0.35349999999999998</v>
      </c>
    </row>
    <row r="8" spans="1:29" x14ac:dyDescent="0.2">
      <c r="A8">
        <v>5</v>
      </c>
      <c r="B8" s="5" t="str">
        <f>INDEX('V_Dengeli Değişken'!A$2:A$29,MATCH(LARGE('V_Dengeli Değişken'!$AD$2:$AD$29,ROW()-3),'V_Dengeli Değişken'!$AD$2:$AD$29,0))</f>
        <v>TE4</v>
      </c>
      <c r="C8" s="5" t="str">
        <f>INDEX('V_Dengeli Değişken'!B$2:B$29,MATCH(LARGE('V_Dengeli Değişken'!$AD$2:$AD$29,ROW()-3),'V_Dengeli Değişken'!$AD$2:$AD$29,0))</f>
        <v>Teb Portföy Birinci Değişken Fon</v>
      </c>
      <c r="D8" s="5" t="str">
        <f>INDEX('V_Dengeli Değişken'!C$2:C$29,MATCH(LARGE('V_Dengeli Değişken'!$AD$2:$AD$29,ROW()-3),'V_Dengeli Değişken'!$AD$2:$AD$29,0))</f>
        <v>Teb Portföy</v>
      </c>
      <c r="E8" s="8">
        <f>INDEX('V_Dengeli Değişken'!D$2:D$29,MATCH(LARGE('V_Dengeli Değişken'!$AD$2:$AD$29,ROW()-3),'V_Dengeli Değişken'!$AD$2:$AD$29,0))</f>
        <v>2.5000000000000001E-2</v>
      </c>
      <c r="F8" s="9">
        <f>INDEX('V_Dengeli Değişken'!E$2:E$29,MATCH(LARGE('V_Dengeli Değişken'!$AD$2:$AD$29,ROW()-3),'V_Dengeli Değişken'!$AD$2:$AD$29,0))</f>
        <v>0.12897951421120271</v>
      </c>
      <c r="G8" s="9">
        <f>INDEX('V_Dengeli Değişken'!F$2:F$29,MATCH(LARGE('V_Dengeli Değişken'!$AD$2:$AD$29,ROW()-3),'V_Dengeli Değişken'!$AD$2:$AD$29,0))</f>
        <v>0.63539488162676072</v>
      </c>
      <c r="H8" s="9">
        <f>INDEX('V_Dengeli Değişken'!G$2:G$29,MATCH(LARGE('V_Dengeli Değişken'!$AD$2:$AD$29,ROW()-3),'V_Dengeli Değişken'!$AD$2:$AD$29,0))</f>
        <v>3.3864552990338752</v>
      </c>
      <c r="I8" s="9">
        <f>INDEX('V_Dengeli Değişken'!H$2:H$29,MATCH(LARGE('V_Dengeli Değişken'!$AD$2:$AD$29,ROW()-3),'V_Dengeli Değişken'!$AD$2:$AD$29,0))</f>
        <v>1.362636439695186</v>
      </c>
      <c r="J8" s="9">
        <f>INDEX('V_Dengeli Değişken'!I$2:I$29,MATCH(LARGE('V_Dengeli Değişken'!$AD$2:$AD$29,ROW()-3),'V_Dengeli Değişken'!$AD$2:$AD$29,0))</f>
        <v>22.353000353075611</v>
      </c>
      <c r="K8" s="9">
        <f>INDEX('V_Dengeli Değişken'!J$2:J$29,MATCH(LARGE('V_Dengeli Değişken'!$AD$2:$AD$29,ROW()-3),'V_Dengeli Değişken'!$AD$2:$AD$29,0))</f>
        <v>50.186903631434653</v>
      </c>
      <c r="L8" s="10">
        <f>INDEX('V_Dengeli Değişken'!K$2:K$29,MATCH(LARGE('V_Dengeli Değişken'!$AD$2:$AD$29,ROW()-3),'V_Dengeli Değişken'!$AD$2:$AD$29,0))</f>
        <v>1615</v>
      </c>
      <c r="M8" s="10">
        <f>INDEX('V_Dengeli Değişken'!L$2:L$29,MATCH(LARGE('V_Dengeli Değişken'!$AD$2:$AD$29,ROW()-3),'V_Dengeli Değişken'!$AD$2:$AD$29,0))</f>
        <v>1509</v>
      </c>
      <c r="N8" s="8">
        <f>INDEX('V_Dengeli Değişken'!M$2:M$29,MATCH(LARGE('V_Dengeli Değişken'!$AD$2:$AD$29,ROW()-3),'V_Dengeli Değişken'!$AD$2:$AD$29,0))</f>
        <v>-6.5634674922600666E-2</v>
      </c>
      <c r="O8" s="11">
        <f>INDEX('V_Dengeli Değişken'!N$2:N$29,MATCH(LARGE('V_Dengeli Değişken'!$AD$2:$AD$29,ROW()-3),'V_Dengeli Değişken'!$AD$2:$AD$29,0))</f>
        <v>2053497493.27</v>
      </c>
      <c r="P8" s="11">
        <f>INDEX('V_Dengeli Değişken'!O$2:O$29,MATCH(LARGE('V_Dengeli Değişken'!$AD$2:$AD$29,ROW()-3),'V_Dengeli Değişken'!$AD$2:$AD$29,0))</f>
        <v>2261232818.3299999</v>
      </c>
      <c r="Q8" s="8">
        <f>INDEX('V_Dengeli Değişken'!P$2:P$29,MATCH(LARGE('V_Dengeli Değişken'!$AD$2:$AD$29,ROW()-3),'V_Dengeli Değişken'!$AD$2:$AD$29,0))</f>
        <v>0.1011617134867797</v>
      </c>
      <c r="R8" s="9">
        <f>INDEX('V_Dengeli Değişken'!Q$2:Q$29,MATCH(LARGE('V_Dengeli Değişken'!$AD$2:$AD$29,ROW()-3),'V_Dengeli Değişken'!$AD$2:$AD$29,0))</f>
        <v>0.13621375127602461</v>
      </c>
      <c r="S8" s="5" t="str">
        <f>INDEX('V_Dengeli Değişken'!R$2:R$29,MATCH(LARGE('V_Dengeli Değişken'!$AD$2:$AD$29,ROW()-3),'V_Dengeli Değişken'!$AD$2:$AD$29,0))</f>
        <v>Görüyor</v>
      </c>
      <c r="T8" s="8">
        <f>INDEX('V_Dengeli Değişken'!S$2:S$29,MATCH(LARGE('V_Dengeli Değişken'!$AD$2:$AD$29,ROW()-3),'V_Dengeli Değişken'!$AD$2:$AD$29,0))</f>
        <v>2.4899999999999999E-2</v>
      </c>
      <c r="U8" s="8">
        <f>INDEX('V_Dengeli Değişken'!T$2:T$29,MATCH(LARGE('V_Dengeli Değişken'!$AD$2:$AD$29,ROW()-3),'V_Dengeli Değişken'!$AD$2:$AD$29,0))</f>
        <v>2.93E-2</v>
      </c>
      <c r="V8" s="8">
        <f>INDEX('V_Dengeli Değişken'!U$2:U$29,MATCH(LARGE('V_Dengeli Değişken'!$AD$2:$AD$29,ROW()-3),'V_Dengeli Değişken'!$AD$2:$AD$29,0))</f>
        <v>0.48649999999999999</v>
      </c>
      <c r="W8" s="8">
        <f>INDEX('V_Dengeli Değişken'!V$2:V$29,MATCH(LARGE('V_Dengeli Değişken'!$AD$2:$AD$29,ROW()-3),'V_Dengeli Değişken'!$AD$2:$AD$29,0))</f>
        <v>0</v>
      </c>
      <c r="X8" s="8">
        <f>INDEX('V_Dengeli Değişken'!W$2:W$29,MATCH(LARGE('V_Dengeli Değişken'!$AD$2:$AD$29,ROW()-3),'V_Dengeli Değişken'!$AD$2:$AD$29,0))</f>
        <v>8.8000000000000005E-3</v>
      </c>
      <c r="Y8" s="8">
        <f>INDEX('V_Dengeli Değişken'!X$2:X$29,MATCH(LARGE('V_Dengeli Değişken'!$AD$2:$AD$29,ROW()-3),'V_Dengeli Değişken'!$AD$2:$AD$29,0))</f>
        <v>2.8500000000000001E-2</v>
      </c>
      <c r="Z8" s="8">
        <f>INDEX('V_Dengeli Değişken'!Y$2:Y$29,MATCH(LARGE('V_Dengeli Değişken'!$AD$2:$AD$29,ROW()-3),'V_Dengeli Değişken'!$AD$2:$AD$29,0))</f>
        <v>8.9999999999999998E-4</v>
      </c>
      <c r="AA8" s="8">
        <f>INDEX('V_Dengeli Değişken'!Z$2:Z$29,MATCH(LARGE('V_Dengeli Değişken'!$AD$2:$AD$29,ROW()-3),'V_Dengeli Değişken'!$AD$2:$AD$29,0))</f>
        <v>0</v>
      </c>
      <c r="AB8" s="8">
        <f>INDEX('V_Dengeli Değişken'!AA$2:AA$29,MATCH(LARGE('V_Dengeli Değişken'!$AD$2:$AD$29,ROW()-3),'V_Dengeli Değişken'!$AD$2:$AD$29,0))</f>
        <v>0</v>
      </c>
      <c r="AC8" s="8">
        <f>INDEX('V_Dengeli Değişken'!AB$2:AB$29,MATCH(LARGE('V_Dengeli Değişken'!$AD$2:$AD$29,ROW()-3),'V_Dengeli Değişken'!$AD$2:$AD$29,0))</f>
        <v>0.57889999999999997</v>
      </c>
    </row>
    <row r="9" spans="1:29" x14ac:dyDescent="0.2">
      <c r="A9">
        <v>6</v>
      </c>
      <c r="B9" s="5" t="str">
        <f>INDEX('V_Dengeli Değişken'!A$2:A$29,MATCH(LARGE('V_Dengeli Değişken'!$AD$2:$AD$29,ROW()-3),'V_Dengeli Değişken'!$AD$2:$AD$29,0))</f>
        <v>TI4</v>
      </c>
      <c r="C9" s="5" t="str">
        <f>INDEX('V_Dengeli Değişken'!B$2:B$29,MATCH(LARGE('V_Dengeli Değişken'!$AD$2:$AD$29,ROW()-3),'V_Dengeli Değişken'!$AD$2:$AD$29,0))</f>
        <v>İŞ Portföy Temkinli Değişken Fon</v>
      </c>
      <c r="D9" s="5" t="str">
        <f>INDEX('V_Dengeli Değişken'!C$2:C$29,MATCH(LARGE('V_Dengeli Değişken'!$AD$2:$AD$29,ROW()-3),'V_Dengeli Değişken'!$AD$2:$AD$29,0))</f>
        <v>İŞ Portföy</v>
      </c>
      <c r="E9" s="8">
        <f>INDEX('V_Dengeli Değişken'!D$2:D$29,MATCH(LARGE('V_Dengeli Değişken'!$AD$2:$AD$29,ROW()-3),'V_Dengeli Değişken'!$AD$2:$AD$29,0))</f>
        <v>0.02</v>
      </c>
      <c r="F9" s="9">
        <f>INDEX('V_Dengeli Değişken'!E$2:E$29,MATCH(LARGE('V_Dengeli Değişken'!$AD$2:$AD$29,ROW()-3),'V_Dengeli Değişken'!$AD$2:$AD$29,0))</f>
        <v>0.1226212278047534</v>
      </c>
      <c r="G9" s="9">
        <f>INDEX('V_Dengeli Değişken'!F$2:F$29,MATCH(LARGE('V_Dengeli Değişken'!$AD$2:$AD$29,ROW()-3),'V_Dengeli Değişken'!$AD$2:$AD$29,0))</f>
        <v>0.67735271981936851</v>
      </c>
      <c r="H9" s="9">
        <f>INDEX('V_Dengeli Değişken'!G$2:G$29,MATCH(LARGE('V_Dengeli Değişken'!$AD$2:$AD$29,ROW()-3),'V_Dengeli Değişken'!$AD$2:$AD$29,0))</f>
        <v>3.757735786781069</v>
      </c>
      <c r="I9" s="9">
        <f>INDEX('V_Dengeli Değişken'!H$2:H$29,MATCH(LARGE('V_Dengeli Değişken'!$AD$2:$AD$29,ROW()-3),'V_Dengeli Değişken'!$AD$2:$AD$29,0))</f>
        <v>1.078760791627142</v>
      </c>
      <c r="J9" s="9">
        <f>INDEX('V_Dengeli Değişken'!I$2:I$29,MATCH(LARGE('V_Dengeli Değişken'!$AD$2:$AD$29,ROW()-3),'V_Dengeli Değişken'!$AD$2:$AD$29,0))</f>
        <v>13.97081482824254</v>
      </c>
      <c r="K9" s="9">
        <f>INDEX('V_Dengeli Değişken'!J$2:J$29,MATCH(LARGE('V_Dengeli Değişken'!$AD$2:$AD$29,ROW()-3),'V_Dengeli Değişken'!$AD$2:$AD$29,0))</f>
        <v>40.593483754108981</v>
      </c>
      <c r="L9" s="10">
        <f>INDEX('V_Dengeli Değişken'!K$2:K$29,MATCH(LARGE('V_Dengeli Değişken'!$AD$2:$AD$29,ROW()-3),'V_Dengeli Değişken'!$AD$2:$AD$29,0))</f>
        <v>14564</v>
      </c>
      <c r="M9" s="10">
        <f>INDEX('V_Dengeli Değişken'!L$2:L$29,MATCH(LARGE('V_Dengeli Değişken'!$AD$2:$AD$29,ROW()-3),'V_Dengeli Değişken'!$AD$2:$AD$29,0))</f>
        <v>14534</v>
      </c>
      <c r="N9" s="8">
        <f>INDEX('V_Dengeli Değişken'!M$2:M$29,MATCH(LARGE('V_Dengeli Değişken'!$AD$2:$AD$29,ROW()-3),'V_Dengeli Değişken'!$AD$2:$AD$29,0))</f>
        <v>-2.0598736610820678E-3</v>
      </c>
      <c r="O9" s="11">
        <f>INDEX('V_Dengeli Değişken'!N$2:N$29,MATCH(LARGE('V_Dengeli Değişken'!$AD$2:$AD$29,ROW()-3),'V_Dengeli Değişken'!$AD$2:$AD$29,0))</f>
        <v>1968961444.03</v>
      </c>
      <c r="P9" s="11">
        <f>INDEX('V_Dengeli Değişken'!O$2:O$29,MATCH(LARGE('V_Dengeli Değişken'!$AD$2:$AD$29,ROW()-3),'V_Dengeli Değişken'!$AD$2:$AD$29,0))</f>
        <v>1844806522.72</v>
      </c>
      <c r="Q9" s="8">
        <f>INDEX('V_Dengeli Değişken'!P$2:P$29,MATCH(LARGE('V_Dengeli Değişken'!$AD$2:$AD$29,ROW()-3),'V_Dengeli Değişken'!$AD$2:$AD$29,0))</f>
        <v>-6.3056044945138279E-2</v>
      </c>
      <c r="R9" s="9">
        <f>INDEX('V_Dengeli Değişken'!Q$2:Q$29,MATCH(LARGE('V_Dengeli Değişken'!$AD$2:$AD$29,ROW()-3),'V_Dengeli Değişken'!$AD$2:$AD$29,0))</f>
        <v>0.21239729875101621</v>
      </c>
      <c r="S9" s="5" t="str">
        <f>INDEX('V_Dengeli Değişken'!R$2:R$29,MATCH(LARGE('V_Dengeli Değişken'!$AD$2:$AD$29,ROW()-3),'V_Dengeli Değişken'!$AD$2:$AD$29,0))</f>
        <v>Görüyor</v>
      </c>
      <c r="T9" s="8">
        <f>INDEX('V_Dengeli Değişken'!S$2:S$29,MATCH(LARGE('V_Dengeli Değişken'!$AD$2:$AD$29,ROW()-3),'V_Dengeli Değişken'!$AD$2:$AD$29,0))</f>
        <v>0</v>
      </c>
      <c r="U9" s="8">
        <f>INDEX('V_Dengeli Değişken'!T$2:T$29,MATCH(LARGE('V_Dengeli Değişken'!$AD$2:$AD$29,ROW()-3),'V_Dengeli Değişken'!$AD$2:$AD$29,0))</f>
        <v>3.7699999999999997E-2</v>
      </c>
      <c r="V9" s="8">
        <f>INDEX('V_Dengeli Değişken'!U$2:U$29,MATCH(LARGE('V_Dengeli Değişken'!$AD$2:$AD$29,ROW()-3),'V_Dengeli Değişken'!$AD$2:$AD$29,0))</f>
        <v>0.88190000000000002</v>
      </c>
      <c r="W9" s="8">
        <f>INDEX('V_Dengeli Değişken'!V$2:V$29,MATCH(LARGE('V_Dengeli Değişken'!$AD$2:$AD$29,ROW()-3),'V_Dengeli Değişken'!$AD$2:$AD$29,0))</f>
        <v>0</v>
      </c>
      <c r="X9" s="8">
        <f>INDEX('V_Dengeli Değişken'!W$2:W$29,MATCH(LARGE('V_Dengeli Değişken'!$AD$2:$AD$29,ROW()-3),'V_Dengeli Değişken'!$AD$2:$AD$29,0))</f>
        <v>0</v>
      </c>
      <c r="Y9" s="8">
        <f>INDEX('V_Dengeli Değişken'!X$2:X$29,MATCH(LARGE('V_Dengeli Değişken'!$AD$2:$AD$29,ROW()-3),'V_Dengeli Değişken'!$AD$2:$AD$29,0))</f>
        <v>7.7800000000000008E-2</v>
      </c>
      <c r="Z9" s="8">
        <f>INDEX('V_Dengeli Değişken'!Y$2:Y$29,MATCH(LARGE('V_Dengeli Değişken'!$AD$2:$AD$29,ROW()-3),'V_Dengeli Değişken'!$AD$2:$AD$29,0))</f>
        <v>2.5999999999999999E-3</v>
      </c>
      <c r="AA9" s="8">
        <f>INDEX('V_Dengeli Değişken'!Z$2:Z$29,MATCH(LARGE('V_Dengeli Değişken'!$AD$2:$AD$29,ROW()-3),'V_Dengeli Değişken'!$AD$2:$AD$29,0))</f>
        <v>0</v>
      </c>
      <c r="AB9" s="8">
        <f>INDEX('V_Dengeli Değişken'!AA$2:AA$29,MATCH(LARGE('V_Dengeli Değişken'!$AD$2:$AD$29,ROW()-3),'V_Dengeli Değişken'!$AD$2:$AD$29,0))</f>
        <v>0</v>
      </c>
      <c r="AC9" s="8">
        <f>INDEX('V_Dengeli Değişken'!AB$2:AB$29,MATCH(LARGE('V_Dengeli Değişken'!$AD$2:$AD$29,ROW()-3),'V_Dengeli Değişken'!$AD$2:$AD$29,0))</f>
        <v>1</v>
      </c>
    </row>
    <row r="10" spans="1:29" x14ac:dyDescent="0.2">
      <c r="A10">
        <v>7</v>
      </c>
      <c r="B10" s="5" t="str">
        <f>INDEX('V_Dengeli Değişken'!A$2:A$29,MATCH(LARGE('V_Dengeli Değişken'!$AD$2:$AD$29,ROW()-3),'V_Dengeli Değişken'!$AD$2:$AD$29,0))</f>
        <v>HPO</v>
      </c>
      <c r="C10" s="5" t="str">
        <f>INDEX('V_Dengeli Değişken'!B$2:B$29,MATCH(LARGE('V_Dengeli Değişken'!$AD$2:$AD$29,ROW()-3),'V_Dengeli Değişken'!$AD$2:$AD$29,0))</f>
        <v>Hsbc Portföy Çoklu Varlık Birinci Değişken Fon</v>
      </c>
      <c r="D10" s="5" t="str">
        <f>INDEX('V_Dengeli Değişken'!C$2:C$29,MATCH(LARGE('V_Dengeli Değişken'!$AD$2:$AD$29,ROW()-3),'V_Dengeli Değişken'!$AD$2:$AD$29,0))</f>
        <v>Hsbc Portföy</v>
      </c>
      <c r="E10" s="8">
        <f>INDEX('V_Dengeli Değişken'!D$2:D$29,MATCH(LARGE('V_Dengeli Değişken'!$AD$2:$AD$29,ROW()-3),'V_Dengeli Değişken'!$AD$2:$AD$29,0))</f>
        <v>1.533E-2</v>
      </c>
      <c r="F10" s="9">
        <f>INDEX('V_Dengeli Değişken'!E$2:E$29,MATCH(LARGE('V_Dengeli Değişken'!$AD$2:$AD$29,ROW()-3),'V_Dengeli Değişken'!$AD$2:$AD$29,0))</f>
        <v>0.1225039813794071</v>
      </c>
      <c r="G10" s="9">
        <f>INDEX('V_Dengeli Değişken'!F$2:F$29,MATCH(LARGE('V_Dengeli Değişken'!$AD$2:$AD$29,ROW()-3),'V_Dengeli Değişken'!$AD$2:$AD$29,0))</f>
        <v>0.26560017665784308</v>
      </c>
      <c r="H10" s="9">
        <f>INDEX('V_Dengeli Değişken'!G$2:G$29,MATCH(LARGE('V_Dengeli Değişken'!$AD$2:$AD$29,ROW()-3),'V_Dengeli Değişken'!$AD$2:$AD$29,0))</f>
        <v>2.6320415902755019</v>
      </c>
      <c r="I10" s="9">
        <f>INDEX('V_Dengeli Değişken'!H$2:H$29,MATCH(LARGE('V_Dengeli Değişken'!$AD$2:$AD$29,ROW()-3),'V_Dengeli Değişken'!$AD$2:$AD$29,0))</f>
        <v>1.0409455048956631</v>
      </c>
      <c r="J10" s="9">
        <f>INDEX('V_Dengeli Değişken'!I$2:I$29,MATCH(LARGE('V_Dengeli Değişken'!$AD$2:$AD$29,ROW()-3),'V_Dengeli Değişken'!$AD$2:$AD$29,0))</f>
        <v>19.771096961392761</v>
      </c>
      <c r="K10" s="9">
        <f>INDEX('V_Dengeli Değişken'!J$2:J$29,MATCH(LARGE('V_Dengeli Değişken'!$AD$2:$AD$29,ROW()-3),'V_Dengeli Değişken'!$AD$2:$AD$29,0))</f>
        <v>40.789995004392694</v>
      </c>
      <c r="L10" s="10">
        <f>INDEX('V_Dengeli Değişken'!K$2:K$29,MATCH(LARGE('V_Dengeli Değişken'!$AD$2:$AD$29,ROW()-3),'V_Dengeli Değişken'!$AD$2:$AD$29,0))</f>
        <v>2991</v>
      </c>
      <c r="M10" s="10">
        <f>INDEX('V_Dengeli Değişken'!L$2:L$29,MATCH(LARGE('V_Dengeli Değişken'!$AD$2:$AD$29,ROW()-3),'V_Dengeli Değişken'!$AD$2:$AD$29,0))</f>
        <v>2912</v>
      </c>
      <c r="N10" s="8">
        <f>INDEX('V_Dengeli Değişken'!M$2:M$29,MATCH(LARGE('V_Dengeli Değişken'!$AD$2:$AD$29,ROW()-3),'V_Dengeli Değişken'!$AD$2:$AD$29,0))</f>
        <v>-2.6412571046472769E-2</v>
      </c>
      <c r="O10" s="11">
        <f>INDEX('V_Dengeli Değişken'!N$2:N$29,MATCH(LARGE('V_Dengeli Değişken'!$AD$2:$AD$29,ROW()-3),'V_Dengeli Değişken'!$AD$2:$AD$29,0))</f>
        <v>1262183603.49</v>
      </c>
      <c r="P10" s="11">
        <f>INDEX('V_Dengeli Değişken'!O$2:O$29,MATCH(LARGE('V_Dengeli Değişken'!$AD$2:$AD$29,ROW()-3),'V_Dengeli Değişken'!$AD$2:$AD$29,0))</f>
        <v>1183992752.55</v>
      </c>
      <c r="Q10" s="8">
        <f>INDEX('V_Dengeli Değişken'!P$2:P$29,MATCH(LARGE('V_Dengeli Değişken'!$AD$2:$AD$29,ROW()-3),'V_Dengeli Değişken'!$AD$2:$AD$29,0))</f>
        <v>-6.1948872354068318E-2</v>
      </c>
      <c r="R10" s="9">
        <f>INDEX('V_Dengeli Değişken'!Q$2:Q$29,MATCH(LARGE('V_Dengeli Değişken'!$AD$2:$AD$29,ROW()-3),'V_Dengeli Değişken'!$AD$2:$AD$29,0))</f>
        <v>0.22685097867909579</v>
      </c>
      <c r="S10" s="5" t="str">
        <f>INDEX('V_Dengeli Değişken'!R$2:R$29,MATCH(LARGE('V_Dengeli Değişken'!$AD$2:$AD$29,ROW()-3),'V_Dengeli Değişken'!$AD$2:$AD$29,0))</f>
        <v>Görüyor</v>
      </c>
      <c r="T10" s="8">
        <f>INDEX('V_Dengeli Değişken'!S$2:S$29,MATCH(LARGE('V_Dengeli Değişken'!$AD$2:$AD$29,ROW()-3),'V_Dengeli Değişken'!$AD$2:$AD$29,0))</f>
        <v>2.8000000000000001E-2</v>
      </c>
      <c r="U10" s="8">
        <f>INDEX('V_Dengeli Değişken'!T$2:T$29,MATCH(LARGE('V_Dengeli Değişken'!$AD$2:$AD$29,ROW()-3),'V_Dengeli Değişken'!$AD$2:$AD$29,0))</f>
        <v>1.4999999999999999E-2</v>
      </c>
      <c r="V10" s="8">
        <f>INDEX('V_Dengeli Değişken'!U$2:U$29,MATCH(LARGE('V_Dengeli Değişken'!$AD$2:$AD$29,ROW()-3),'V_Dengeli Değişken'!$AD$2:$AD$29,0))</f>
        <v>0.32409999999999989</v>
      </c>
      <c r="W10" s="8">
        <f>INDEX('V_Dengeli Değişken'!V$2:V$29,MATCH(LARGE('V_Dengeli Değişken'!$AD$2:$AD$29,ROW()-3),'V_Dengeli Değişken'!$AD$2:$AD$29,0))</f>
        <v>0</v>
      </c>
      <c r="X10" s="8">
        <f>INDEX('V_Dengeli Değişken'!W$2:W$29,MATCH(LARGE('V_Dengeli Değişken'!$AD$2:$AD$29,ROW()-3),'V_Dengeli Değişken'!$AD$2:$AD$29,0))</f>
        <v>5.9999999999999995E-4</v>
      </c>
      <c r="Y10" s="8">
        <f>INDEX('V_Dengeli Değişken'!X$2:X$29,MATCH(LARGE('V_Dengeli Değişken'!$AD$2:$AD$29,ROW()-3),'V_Dengeli Değişken'!$AD$2:$AD$29,0))</f>
        <v>0.18310000000000001</v>
      </c>
      <c r="Z10" s="8">
        <f>INDEX('V_Dengeli Değişken'!Y$2:Y$29,MATCH(LARGE('V_Dengeli Değişken'!$AD$2:$AD$29,ROW()-3),'V_Dengeli Değişken'!$AD$2:$AD$29,0))</f>
        <v>0.1547</v>
      </c>
      <c r="AA10" s="8">
        <f>INDEX('V_Dengeli Değişken'!Z$2:Z$29,MATCH(LARGE('V_Dengeli Değişken'!$AD$2:$AD$29,ROW()-3),'V_Dengeli Değişken'!$AD$2:$AD$29,0))</f>
        <v>0.1293</v>
      </c>
      <c r="AB10" s="8">
        <f>INDEX('V_Dengeli Değişken'!AA$2:AA$29,MATCH(LARGE('V_Dengeli Değişken'!$AD$2:$AD$29,ROW()-3),'V_Dengeli Değişken'!$AD$2:$AD$29,0))</f>
        <v>1.46E-2</v>
      </c>
      <c r="AC10" s="8">
        <f>INDEX('V_Dengeli Değişken'!AB$2:AB$29,MATCH(LARGE('V_Dengeli Değişken'!$AD$2:$AD$29,ROW()-3),'V_Dengeli Değişken'!$AD$2:$AD$29,0))</f>
        <v>0.84939999999999993</v>
      </c>
    </row>
    <row r="11" spans="1:29" x14ac:dyDescent="0.2">
      <c r="A11">
        <v>8</v>
      </c>
      <c r="B11" s="5" t="str">
        <f>INDEX('V_Dengeli Değişken'!A$2:A$29,MATCH(LARGE('V_Dengeli Değişken'!$AD$2:$AD$29,ROW()-3),'V_Dengeli Değişken'!$AD$2:$AD$29,0))</f>
        <v>BVD</v>
      </c>
      <c r="C11" s="5" t="str">
        <f>INDEX('V_Dengeli Değişken'!B$2:B$29,MATCH(LARGE('V_Dengeli Değişken'!$AD$2:$AD$29,ROW()-3),'V_Dengeli Değişken'!$AD$2:$AD$29,0))</f>
        <v>BV Portföy Birinci Değişken Fon</v>
      </c>
      <c r="D11" s="5" t="str">
        <f>INDEX('V_Dengeli Değişken'!C$2:C$29,MATCH(LARGE('V_Dengeli Değişken'!$AD$2:$AD$29,ROW()-3),'V_Dengeli Değişken'!$AD$2:$AD$29,0))</f>
        <v>BV Portföy</v>
      </c>
      <c r="E11" s="8">
        <f>INDEX('V_Dengeli Değişken'!D$2:D$29,MATCH(LARGE('V_Dengeli Değişken'!$AD$2:$AD$29,ROW()-3),'V_Dengeli Değişken'!$AD$2:$AD$29,0))</f>
        <v>2.5000000000000001E-2</v>
      </c>
      <c r="F11" s="9">
        <f>INDEX('V_Dengeli Değişken'!E$2:E$29,MATCH(LARGE('V_Dengeli Değişken'!$AD$2:$AD$29,ROW()-3),'V_Dengeli Değişken'!$AD$2:$AD$29,0))</f>
        <v>0.1023304644392153</v>
      </c>
      <c r="G11" s="9">
        <f>INDEX('V_Dengeli Değişken'!F$2:F$29,MATCH(LARGE('V_Dengeli Değişken'!$AD$2:$AD$29,ROW()-3),'V_Dengeli Değişken'!$AD$2:$AD$29,0))</f>
        <v>1.0038951068915609</v>
      </c>
      <c r="H11" s="9">
        <f>INDEX('V_Dengeli Değişken'!G$2:G$29,MATCH(LARGE('V_Dengeli Değişken'!$AD$2:$AD$29,ROW()-3),'V_Dengeli Değişken'!$AD$2:$AD$29,0))</f>
        <v>3.60286589999812</v>
      </c>
      <c r="I11" s="9">
        <f>INDEX('V_Dengeli Değişken'!H$2:H$29,MATCH(LARGE('V_Dengeli Değişken'!$AD$2:$AD$29,ROW()-3),'V_Dengeli Değişken'!$AD$2:$AD$29,0))</f>
        <v>2.23904822630967</v>
      </c>
      <c r="J11" s="9">
        <f>INDEX('V_Dengeli Değişken'!I$2:I$29,MATCH(LARGE('V_Dengeli Değişken'!$AD$2:$AD$29,ROW()-3),'V_Dengeli Değişken'!$AD$2:$AD$29,0))</f>
        <v>32.125875456188389</v>
      </c>
      <c r="K11" s="9" t="str">
        <f>INDEX('V_Dengeli Değişken'!J$2:J$29,MATCH(LARGE('V_Dengeli Değişken'!$AD$2:$AD$29,ROW()-3),'V_Dengeli Değişken'!$AD$2:$AD$29,0))</f>
        <v>-</v>
      </c>
      <c r="L11" s="10">
        <f>INDEX('V_Dengeli Değişken'!K$2:K$29,MATCH(LARGE('V_Dengeli Değişken'!$AD$2:$AD$29,ROW()-3),'V_Dengeli Değişken'!$AD$2:$AD$29,0))</f>
        <v>322</v>
      </c>
      <c r="M11" s="10">
        <f>INDEX('V_Dengeli Değişken'!L$2:L$29,MATCH(LARGE('V_Dengeli Değişken'!$AD$2:$AD$29,ROW()-3),'V_Dengeli Değişken'!$AD$2:$AD$29,0))</f>
        <v>264</v>
      </c>
      <c r="N11" s="8">
        <f>INDEX('V_Dengeli Değişken'!M$2:M$29,MATCH(LARGE('V_Dengeli Değişken'!$AD$2:$AD$29,ROW()-3),'V_Dengeli Değişken'!$AD$2:$AD$29,0))</f>
        <v>-0.18012422360248451</v>
      </c>
      <c r="O11" s="11">
        <f>INDEX('V_Dengeli Değişken'!N$2:N$29,MATCH(LARGE('V_Dengeli Değişken'!$AD$2:$AD$29,ROW()-3),'V_Dengeli Değişken'!$AD$2:$AD$29,0))</f>
        <v>308526744.01999998</v>
      </c>
      <c r="P11" s="11">
        <f>INDEX('V_Dengeli Değişken'!O$2:O$29,MATCH(LARGE('V_Dengeli Değişken'!$AD$2:$AD$29,ROW()-3),'V_Dengeli Değişken'!$AD$2:$AD$29,0))</f>
        <v>330064260</v>
      </c>
      <c r="Q11" s="8">
        <f>INDEX('V_Dengeli Değişken'!P$2:P$29,MATCH(LARGE('V_Dengeli Değişken'!$AD$2:$AD$29,ROW()-3),'V_Dengeli Değişken'!$AD$2:$AD$29,0))</f>
        <v>6.980761440442218E-2</v>
      </c>
      <c r="R11" s="9">
        <f>INDEX('V_Dengeli Değişken'!Q$2:Q$29,MATCH(LARGE('V_Dengeli Değişken'!$AD$2:$AD$29,ROW()-3),'V_Dengeli Değişken'!$AD$2:$AD$29,0))</f>
        <v>0.37692960132777897</v>
      </c>
      <c r="S11" s="5" t="str">
        <f>INDEX('V_Dengeli Değişken'!R$2:R$29,MATCH(LARGE('V_Dengeli Değişken'!$AD$2:$AD$29,ROW()-3),'V_Dengeli Değişken'!$AD$2:$AD$29,0))</f>
        <v>Görüyor</v>
      </c>
      <c r="T11" s="8">
        <f>INDEX('V_Dengeli Değişken'!S$2:S$29,MATCH(LARGE('V_Dengeli Değişken'!$AD$2:$AD$29,ROW()-3),'V_Dengeli Değişken'!$AD$2:$AD$29,0))</f>
        <v>0</v>
      </c>
      <c r="U11" s="8">
        <f>INDEX('V_Dengeli Değişken'!T$2:T$29,MATCH(LARGE('V_Dengeli Değişken'!$AD$2:$AD$29,ROW()-3),'V_Dengeli Değişken'!$AD$2:$AD$29,0))</f>
        <v>6.7400000000000002E-2</v>
      </c>
      <c r="V11" s="8">
        <f>INDEX('V_Dengeli Değişken'!U$2:U$29,MATCH(LARGE('V_Dengeli Değişken'!$AD$2:$AD$29,ROW()-3),'V_Dengeli Değişken'!$AD$2:$AD$29,0))</f>
        <v>0</v>
      </c>
      <c r="W11" s="8">
        <f>INDEX('V_Dengeli Değişken'!V$2:V$29,MATCH(LARGE('V_Dengeli Değişken'!$AD$2:$AD$29,ROW()-3),'V_Dengeli Değişken'!$AD$2:$AD$29,0))</f>
        <v>0.23810000000000001</v>
      </c>
      <c r="X11" s="8">
        <f>INDEX('V_Dengeli Değişken'!W$2:W$29,MATCH(LARGE('V_Dengeli Değişken'!$AD$2:$AD$29,ROW()-3),'V_Dengeli Değişken'!$AD$2:$AD$29,0))</f>
        <v>6.9999999999999993E-3</v>
      </c>
      <c r="Y11" s="8">
        <f>INDEX('V_Dengeli Değişken'!X$2:X$29,MATCH(LARGE('V_Dengeli Değişken'!$AD$2:$AD$29,ROW()-3),'V_Dengeli Değişken'!$AD$2:$AD$29,0))</f>
        <v>0.1225</v>
      </c>
      <c r="Z11" s="8">
        <f>INDEX('V_Dengeli Değişken'!Y$2:Y$29,MATCH(LARGE('V_Dengeli Değişken'!$AD$2:$AD$29,ROW()-3),'V_Dengeli Değişken'!$AD$2:$AD$29,0))</f>
        <v>0</v>
      </c>
      <c r="AA11" s="8">
        <f>INDEX('V_Dengeli Değişken'!Z$2:Z$29,MATCH(LARGE('V_Dengeli Değişken'!$AD$2:$AD$29,ROW()-3),'V_Dengeli Değişken'!$AD$2:$AD$29,0))</f>
        <v>1.6899999999999998E-2</v>
      </c>
      <c r="AB11" s="8">
        <f>INDEX('V_Dengeli Değişken'!AA$2:AA$29,MATCH(LARGE('V_Dengeli Değişken'!$AD$2:$AD$29,ROW()-3),'V_Dengeli Değişken'!$AD$2:$AD$29,0))</f>
        <v>0</v>
      </c>
      <c r="AC11" s="8">
        <f>INDEX('V_Dengeli Değişken'!AB$2:AB$29,MATCH(LARGE('V_Dengeli Değişken'!$AD$2:$AD$29,ROW()-3),'V_Dengeli Değişken'!$AD$2:$AD$29,0))</f>
        <v>0.45190000000000002</v>
      </c>
    </row>
    <row r="12" spans="1:29" x14ac:dyDescent="0.2">
      <c r="A12">
        <v>9</v>
      </c>
      <c r="B12" s="5" t="str">
        <f>INDEX('V_Dengeli Değişken'!A$2:A$29,MATCH(LARGE('V_Dengeli Değişken'!$AD$2:$AD$29,ROW()-3),'V_Dengeli Değişken'!$AD$2:$AD$29,0))</f>
        <v>MBL</v>
      </c>
      <c r="C12" s="5" t="str">
        <f>INDEX('V_Dengeli Değişken'!B$2:B$29,MATCH(LARGE('V_Dengeli Değişken'!$AD$2:$AD$29,ROW()-3),'V_Dengeli Değişken'!$AD$2:$AD$29,0))</f>
        <v>Meksa Portföy İkinci Değişken Fon</v>
      </c>
      <c r="D12" s="5" t="str">
        <f>INDEX('V_Dengeli Değişken'!C$2:C$29,MATCH(LARGE('V_Dengeli Değişken'!$AD$2:$AD$29,ROW()-3),'V_Dengeli Değişken'!$AD$2:$AD$29,0))</f>
        <v>Meksa Portföy</v>
      </c>
      <c r="E12" s="8">
        <f>INDEX('V_Dengeli Değişken'!D$2:D$29,MATCH(LARGE('V_Dengeli Değişken'!$AD$2:$AD$29,ROW()-3),'V_Dengeli Değişken'!$AD$2:$AD$29,0))</f>
        <v>0.02</v>
      </c>
      <c r="F12" s="9">
        <f>INDEX('V_Dengeli Değişken'!E$2:E$29,MATCH(LARGE('V_Dengeli Değişken'!$AD$2:$AD$29,ROW()-3),'V_Dengeli Değişken'!$AD$2:$AD$29,0))</f>
        <v>9.5158150675489495E-2</v>
      </c>
      <c r="G12" s="9">
        <f>INDEX('V_Dengeli Değişken'!F$2:F$29,MATCH(LARGE('V_Dengeli Değişken'!$AD$2:$AD$29,ROW()-3),'V_Dengeli Değişken'!$AD$2:$AD$29,0))</f>
        <v>0.70767853047495333</v>
      </c>
      <c r="H12" s="9">
        <f>INDEX('V_Dengeli Değişken'!G$2:G$29,MATCH(LARGE('V_Dengeli Değişken'!$AD$2:$AD$29,ROW()-3),'V_Dengeli Değişken'!$AD$2:$AD$29,0))</f>
        <v>3.3163408212425032</v>
      </c>
      <c r="I12" s="9">
        <f>INDEX('V_Dengeli Değişken'!H$2:H$29,MATCH(LARGE('V_Dengeli Değişken'!$AD$2:$AD$29,ROW()-3),'V_Dengeli Değişken'!$AD$2:$AD$29,0))</f>
        <v>1.441436816591724</v>
      </c>
      <c r="J12" s="9">
        <f>INDEX('V_Dengeli Değişken'!I$2:I$29,MATCH(LARGE('V_Dengeli Değişken'!$AD$2:$AD$29,ROW()-3),'V_Dengeli Değişken'!$AD$2:$AD$29,0))</f>
        <v>21.406346684688881</v>
      </c>
      <c r="K12" s="9">
        <f>INDEX('V_Dengeli Değişken'!J$2:J$29,MATCH(LARGE('V_Dengeli Değişken'!$AD$2:$AD$29,ROW()-3),'V_Dengeli Değişken'!$AD$2:$AD$29,0))</f>
        <v>45.427353347807099</v>
      </c>
      <c r="L12" s="10">
        <f>INDEX('V_Dengeli Değişken'!K$2:K$29,MATCH(LARGE('V_Dengeli Değişken'!$AD$2:$AD$29,ROW()-3),'V_Dengeli Değişken'!$AD$2:$AD$29,0))</f>
        <v>212</v>
      </c>
      <c r="M12" s="10">
        <f>INDEX('V_Dengeli Değişken'!L$2:L$29,MATCH(LARGE('V_Dengeli Değişken'!$AD$2:$AD$29,ROW()-3),'V_Dengeli Değişken'!$AD$2:$AD$29,0))</f>
        <v>210</v>
      </c>
      <c r="N12" s="8">
        <f>INDEX('V_Dengeli Değişken'!M$2:M$29,MATCH(LARGE('V_Dengeli Değişken'!$AD$2:$AD$29,ROW()-3),'V_Dengeli Değişken'!$AD$2:$AD$29,0))</f>
        <v>-9.4339622641509413E-3</v>
      </c>
      <c r="O12" s="11">
        <f>INDEX('V_Dengeli Değişken'!N$2:N$29,MATCH(LARGE('V_Dengeli Değişken'!$AD$2:$AD$29,ROW()-3),'V_Dengeli Değişken'!$AD$2:$AD$29,0))</f>
        <v>22304155.629999999</v>
      </c>
      <c r="P12" s="11">
        <f>INDEX('V_Dengeli Değişken'!O$2:O$29,MATCH(LARGE('V_Dengeli Değişken'!$AD$2:$AD$29,ROW()-3),'V_Dengeli Değişken'!$AD$2:$AD$29,0))</f>
        <v>20185998.940000001</v>
      </c>
      <c r="Q12" s="8">
        <f>INDEX('V_Dengeli Değişken'!P$2:P$29,MATCH(LARGE('V_Dengeli Değişken'!$AD$2:$AD$29,ROW()-3),'V_Dengeli Değişken'!$AD$2:$AD$29,0))</f>
        <v>-9.4966907743012308E-2</v>
      </c>
      <c r="R12" s="9">
        <f>INDEX('V_Dengeli Değişken'!Q$2:Q$29,MATCH(LARGE('V_Dengeli Değişken'!$AD$2:$AD$29,ROW()-3),'V_Dengeli Değişken'!$AD$2:$AD$29,0))</f>
        <v>8.2107467548205901E-2</v>
      </c>
      <c r="S12" s="5" t="str">
        <f>INDEX('V_Dengeli Değişken'!R$2:R$29,MATCH(LARGE('V_Dengeli Değişken'!$AD$2:$AD$29,ROW()-3),'V_Dengeli Değişken'!$AD$2:$AD$29,0))</f>
        <v>Görüyor</v>
      </c>
      <c r="T12" s="8">
        <f>INDEX('V_Dengeli Değişken'!S$2:S$29,MATCH(LARGE('V_Dengeli Değişken'!$AD$2:$AD$29,ROW()-3),'V_Dengeli Değişken'!$AD$2:$AD$29,0))</f>
        <v>0</v>
      </c>
      <c r="U12" s="8">
        <f>INDEX('V_Dengeli Değişken'!T$2:T$29,MATCH(LARGE('V_Dengeli Değişken'!$AD$2:$AD$29,ROW()-3),'V_Dengeli Değişken'!$AD$2:$AD$29,0))</f>
        <v>4.0000000000000002E-4</v>
      </c>
      <c r="V12" s="8">
        <f>INDEX('V_Dengeli Değişken'!U$2:U$29,MATCH(LARGE('V_Dengeli Değişken'!$AD$2:$AD$29,ROW()-3),'V_Dengeli Değişken'!$AD$2:$AD$29,0))</f>
        <v>0.59319999999999995</v>
      </c>
      <c r="W12" s="8">
        <f>INDEX('V_Dengeli Değişken'!V$2:V$29,MATCH(LARGE('V_Dengeli Değişken'!$AD$2:$AD$29,ROW()-3),'V_Dengeli Değişken'!$AD$2:$AD$29,0))</f>
        <v>0</v>
      </c>
      <c r="X12" s="8">
        <f>INDEX('V_Dengeli Değişken'!W$2:W$29,MATCH(LARGE('V_Dengeli Değişken'!$AD$2:$AD$29,ROW()-3),'V_Dengeli Değişken'!$AD$2:$AD$29,0))</f>
        <v>0.17299999999999999</v>
      </c>
      <c r="Y12" s="8">
        <f>INDEX('V_Dengeli Değişken'!X$2:X$29,MATCH(LARGE('V_Dengeli Değişken'!$AD$2:$AD$29,ROW()-3),'V_Dengeli Değişken'!$AD$2:$AD$29,0))</f>
        <v>0</v>
      </c>
      <c r="Z12" s="8">
        <f>INDEX('V_Dengeli Değişken'!Y$2:Y$29,MATCH(LARGE('V_Dengeli Değişken'!$AD$2:$AD$29,ROW()-3),'V_Dengeli Değişken'!$AD$2:$AD$29,0))</f>
        <v>7.9699999999999993E-2</v>
      </c>
      <c r="AA12" s="8">
        <f>INDEX('V_Dengeli Değişken'!Z$2:Z$29,MATCH(LARGE('V_Dengeli Değişken'!$AD$2:$AD$29,ROW()-3),'V_Dengeli Değişken'!$AD$2:$AD$29,0))</f>
        <v>0.1537</v>
      </c>
      <c r="AB12" s="8">
        <f>INDEX('V_Dengeli Değişken'!AA$2:AA$29,MATCH(LARGE('V_Dengeli Değişken'!$AD$2:$AD$29,ROW()-3),'V_Dengeli Değişken'!$AD$2:$AD$29,0))</f>
        <v>0</v>
      </c>
      <c r="AC12" s="8">
        <f>INDEX('V_Dengeli Değişken'!AB$2:AB$29,MATCH(LARGE('V_Dengeli Değişken'!$AD$2:$AD$29,ROW()-3),'V_Dengeli Değişken'!$AD$2:$AD$29,0))</f>
        <v>1</v>
      </c>
    </row>
    <row r="13" spans="1:29" x14ac:dyDescent="0.2">
      <c r="A13">
        <v>10</v>
      </c>
      <c r="B13" s="5" t="str">
        <f>INDEX('V_Dengeli Değişken'!A$2:A$29,MATCH(LARGE('V_Dengeli Değişken'!$AD$2:$AD$29,ROW()-3),'V_Dengeli Değişken'!$AD$2:$AD$29,0))</f>
        <v>RD1</v>
      </c>
      <c r="C13" s="5" t="str">
        <f>INDEX('V_Dengeli Değişken'!B$2:B$29,MATCH(LARGE('V_Dengeli Değişken'!$AD$2:$AD$29,ROW()-3),'V_Dengeli Değişken'!$AD$2:$AD$29,0))</f>
        <v>Rota Portföy Birinci Değişken Fon</v>
      </c>
      <c r="D13" s="5" t="str">
        <f>INDEX('V_Dengeli Değişken'!C$2:C$29,MATCH(LARGE('V_Dengeli Değişken'!$AD$2:$AD$29,ROW()-3),'V_Dengeli Değişken'!$AD$2:$AD$29,0))</f>
        <v>Rota Portföy</v>
      </c>
      <c r="E13" s="8">
        <f>INDEX('V_Dengeli Değişken'!D$2:D$29,MATCH(LARGE('V_Dengeli Değişken'!$AD$2:$AD$29,ROW()-3),'V_Dengeli Değişken'!$AD$2:$AD$29,0))</f>
        <v>0.02</v>
      </c>
      <c r="F13" s="9">
        <f>INDEX('V_Dengeli Değişken'!E$2:E$29,MATCH(LARGE('V_Dengeli Değişken'!$AD$2:$AD$29,ROW()-3),'V_Dengeli Değişken'!$AD$2:$AD$29,0))</f>
        <v>6.1684555187690997E-2</v>
      </c>
      <c r="G13" s="9">
        <f>INDEX('V_Dengeli Değişken'!F$2:F$29,MATCH(LARGE('V_Dengeli Değişken'!$AD$2:$AD$29,ROW()-3),'V_Dengeli Değişken'!$AD$2:$AD$29,0))</f>
        <v>0.14800378435833039</v>
      </c>
      <c r="H13" s="9">
        <f>INDEX('V_Dengeli Değişken'!G$2:G$29,MATCH(LARGE('V_Dengeli Değişken'!$AD$2:$AD$29,ROW()-3),'V_Dengeli Değişken'!$AD$2:$AD$29,0))</f>
        <v>3.7105301506133999</v>
      </c>
      <c r="I13" s="9">
        <f>INDEX('V_Dengeli Değişken'!H$2:H$29,MATCH(LARGE('V_Dengeli Değişken'!$AD$2:$AD$29,ROW()-3),'V_Dengeli Değişken'!$AD$2:$AD$29,0))</f>
        <v>2.5342167378002989</v>
      </c>
      <c r="J13" s="9">
        <f>INDEX('V_Dengeli Değişken'!I$2:I$29,MATCH(LARGE('V_Dengeli Değişken'!$AD$2:$AD$29,ROW()-3),'V_Dengeli Değişken'!$AD$2:$AD$29,0))</f>
        <v>6.3764876029151818</v>
      </c>
      <c r="K13" s="9">
        <f>INDEX('V_Dengeli Değişken'!J$2:J$29,MATCH(LARGE('V_Dengeli Değişken'!$AD$2:$AD$29,ROW()-3),'V_Dengeli Değişken'!$AD$2:$AD$29,0))</f>
        <v>31.31772961611588</v>
      </c>
      <c r="L13" s="10">
        <f>INDEX('V_Dengeli Değişken'!K$2:K$29,MATCH(LARGE('V_Dengeli Değişken'!$AD$2:$AD$29,ROW()-3),'V_Dengeli Değişken'!$AD$2:$AD$29,0))</f>
        <v>153</v>
      </c>
      <c r="M13" s="10">
        <f>INDEX('V_Dengeli Değişken'!L$2:L$29,MATCH(LARGE('V_Dengeli Değişken'!$AD$2:$AD$29,ROW()-3),'V_Dengeli Değişken'!$AD$2:$AD$29,0))</f>
        <v>143</v>
      </c>
      <c r="N13" s="8">
        <f>INDEX('V_Dengeli Değişken'!M$2:M$29,MATCH(LARGE('V_Dengeli Değişken'!$AD$2:$AD$29,ROW()-3),'V_Dengeli Değişken'!$AD$2:$AD$29,0))</f>
        <v>-6.5359477124182996E-2</v>
      </c>
      <c r="O13" s="11">
        <f>INDEX('V_Dengeli Değişken'!N$2:N$29,MATCH(LARGE('V_Dengeli Değişken'!$AD$2:$AD$29,ROW()-3),'V_Dengeli Değişken'!$AD$2:$AD$29,0))</f>
        <v>60934278.600000001</v>
      </c>
      <c r="P13" s="11">
        <f>INDEX('V_Dengeli Değişken'!O$2:O$29,MATCH(LARGE('V_Dengeli Değişken'!$AD$2:$AD$29,ROW()-3),'V_Dengeli Değişken'!$AD$2:$AD$29,0))</f>
        <v>61973949.920000002</v>
      </c>
      <c r="Q13" s="8">
        <f>INDEX('V_Dengeli Değişken'!P$2:P$29,MATCH(LARGE('V_Dengeli Değişken'!$AD$2:$AD$29,ROW()-3),'V_Dengeli Değişken'!$AD$2:$AD$29,0))</f>
        <v>1.706217491840456E-2</v>
      </c>
      <c r="R13" s="9">
        <f>INDEX('V_Dengeli Değişken'!Q$2:Q$29,MATCH(LARGE('V_Dengeli Değişken'!$AD$2:$AD$29,ROW()-3),'V_Dengeli Değişken'!$AD$2:$AD$29,0))</f>
        <v>0.69591756726193077</v>
      </c>
      <c r="S13" s="5" t="str">
        <f>INDEX('V_Dengeli Değişken'!R$2:R$29,MATCH(LARGE('V_Dengeli Değişken'!$AD$2:$AD$29,ROW()-3),'V_Dengeli Değişken'!$AD$2:$AD$29,0))</f>
        <v>Görüyor</v>
      </c>
      <c r="T13" s="8">
        <f>INDEX('V_Dengeli Değişken'!S$2:S$29,MATCH(LARGE('V_Dengeli Değişken'!$AD$2:$AD$29,ROW()-3),'V_Dengeli Değişken'!$AD$2:$AD$29,0))</f>
        <v>0</v>
      </c>
      <c r="U13" s="8">
        <f>INDEX('V_Dengeli Değişken'!T$2:T$29,MATCH(LARGE('V_Dengeli Değişken'!$AD$2:$AD$29,ROW()-3),'V_Dengeli Değişken'!$AD$2:$AD$29,0))</f>
        <v>0.23469999999999999</v>
      </c>
      <c r="V13" s="8">
        <f>INDEX('V_Dengeli Değişken'!U$2:U$29,MATCH(LARGE('V_Dengeli Değişken'!$AD$2:$AD$29,ROW()-3),'V_Dengeli Değişken'!$AD$2:$AD$29,0))</f>
        <v>0.21310000000000001</v>
      </c>
      <c r="W13" s="8">
        <f>INDEX('V_Dengeli Değişken'!V$2:V$29,MATCH(LARGE('V_Dengeli Değişken'!$AD$2:$AD$29,ROW()-3),'V_Dengeli Değişken'!$AD$2:$AD$29,0))</f>
        <v>0.53770000000000007</v>
      </c>
      <c r="X13" s="8">
        <f>INDEX('V_Dengeli Değişken'!W$2:W$29,MATCH(LARGE('V_Dengeli Değişken'!$AD$2:$AD$29,ROW()-3),'V_Dengeli Değişken'!$AD$2:$AD$29,0))</f>
        <v>6.8999999999999999E-3</v>
      </c>
      <c r="Y13" s="8">
        <f>INDEX('V_Dengeli Değişken'!X$2:X$29,MATCH(LARGE('V_Dengeli Değişken'!$AD$2:$AD$29,ROW()-3),'V_Dengeli Değişken'!$AD$2:$AD$29,0))</f>
        <v>7.6E-3</v>
      </c>
      <c r="Z13" s="8">
        <f>INDEX('V_Dengeli Değişken'!Y$2:Y$29,MATCH(LARGE('V_Dengeli Değişken'!$AD$2:$AD$29,ROW()-3),'V_Dengeli Değişken'!$AD$2:$AD$29,0))</f>
        <v>0</v>
      </c>
      <c r="AA13" s="8">
        <f>INDEX('V_Dengeli Değişken'!Z$2:Z$29,MATCH(LARGE('V_Dengeli Değişken'!$AD$2:$AD$29,ROW()-3),'V_Dengeli Değişken'!$AD$2:$AD$29,0))</f>
        <v>0</v>
      </c>
      <c r="AB13" s="8">
        <f>INDEX('V_Dengeli Değişken'!AA$2:AA$29,MATCH(LARGE('V_Dengeli Değişken'!$AD$2:$AD$29,ROW()-3),'V_Dengeli Değişken'!$AD$2:$AD$29,0))</f>
        <v>0</v>
      </c>
      <c r="AC13" s="8">
        <f>INDEX('V_Dengeli Değişken'!AB$2:AB$29,MATCH(LARGE('V_Dengeli Değişken'!$AD$2:$AD$29,ROW()-3),'V_Dengeli Değişken'!$AD$2:$AD$29,0))</f>
        <v>1</v>
      </c>
    </row>
    <row r="14" spans="1:29" x14ac:dyDescent="0.2">
      <c r="A14">
        <v>11</v>
      </c>
      <c r="B14" s="5" t="str">
        <f>INDEX('V_Dengeli Değişken'!A$2:A$29,MATCH(LARGE('V_Dengeli Değişken'!$AD$2:$AD$29,ROW()-3),'V_Dengeli Değişken'!$AD$2:$AD$29,0))</f>
        <v>SUA</v>
      </c>
      <c r="C14" s="5" t="str">
        <f>INDEX('V_Dengeli Değişken'!B$2:B$29,MATCH(LARGE('V_Dengeli Değişken'!$AD$2:$AD$29,ROW()-3),'V_Dengeli Değişken'!$AD$2:$AD$29,0))</f>
        <v>Ünlü Portföy Birinci Değişken Fon</v>
      </c>
      <c r="D14" s="5" t="str">
        <f>INDEX('V_Dengeli Değişken'!C$2:C$29,MATCH(LARGE('V_Dengeli Değişken'!$AD$2:$AD$29,ROW()-3),'V_Dengeli Değişken'!$AD$2:$AD$29,0))</f>
        <v>Ünlü Portföy</v>
      </c>
      <c r="E14" s="8">
        <f>INDEX('V_Dengeli Değişken'!D$2:D$29,MATCH(LARGE('V_Dengeli Değişken'!$AD$2:$AD$29,ROW()-3),'V_Dengeli Değişken'!$AD$2:$AD$29,0))</f>
        <v>0.02</v>
      </c>
      <c r="F14" s="9">
        <f>INDEX('V_Dengeli Değişken'!E$2:E$29,MATCH(LARGE('V_Dengeli Değişken'!$AD$2:$AD$29,ROW()-3),'V_Dengeli Değişken'!$AD$2:$AD$29,0))</f>
        <v>4.1199808552372368E-2</v>
      </c>
      <c r="G14" s="9">
        <f>INDEX('V_Dengeli Değişken'!F$2:F$29,MATCH(LARGE('V_Dengeli Değişken'!$AD$2:$AD$29,ROW()-3),'V_Dengeli Değişken'!$AD$2:$AD$29,0))</f>
        <v>0.31414864311343221</v>
      </c>
      <c r="H14" s="9">
        <f>INDEX('V_Dengeli Değişken'!G$2:G$29,MATCH(LARGE('V_Dengeli Değişken'!$AD$2:$AD$29,ROW()-3),'V_Dengeli Değişken'!$AD$2:$AD$29,0))</f>
        <v>2.6682451834845859</v>
      </c>
      <c r="I14" s="9">
        <f>INDEX('V_Dengeli Değişken'!H$2:H$29,MATCH(LARGE('V_Dengeli Değişken'!$AD$2:$AD$29,ROW()-3),'V_Dengeli Değişken'!$AD$2:$AD$29,0))</f>
        <v>0.74469287156959663</v>
      </c>
      <c r="J14" s="9">
        <f>INDEX('V_Dengeli Değişken'!I$2:I$29,MATCH(LARGE('V_Dengeli Değişken'!$AD$2:$AD$29,ROW()-3),'V_Dengeli Değişken'!$AD$2:$AD$29,0))</f>
        <v>19.034169135132871</v>
      </c>
      <c r="K14" s="9">
        <f>INDEX('V_Dengeli Değişken'!J$2:J$29,MATCH(LARGE('V_Dengeli Değişken'!$AD$2:$AD$29,ROW()-3),'V_Dengeli Değişken'!$AD$2:$AD$29,0))</f>
        <v>51.088763914042723</v>
      </c>
      <c r="L14" s="10">
        <f>INDEX('V_Dengeli Değişken'!K$2:K$29,MATCH(LARGE('V_Dengeli Değişken'!$AD$2:$AD$29,ROW()-3),'V_Dengeli Değişken'!$AD$2:$AD$29,0))</f>
        <v>1260</v>
      </c>
      <c r="M14" s="10">
        <f>INDEX('V_Dengeli Değişken'!L$2:L$29,MATCH(LARGE('V_Dengeli Değişken'!$AD$2:$AD$29,ROW()-3),'V_Dengeli Değişken'!$AD$2:$AD$29,0))</f>
        <v>1231</v>
      </c>
      <c r="N14" s="8">
        <f>INDEX('V_Dengeli Değişken'!M$2:M$29,MATCH(LARGE('V_Dengeli Değişken'!$AD$2:$AD$29,ROW()-3),'V_Dengeli Değişken'!$AD$2:$AD$29,0))</f>
        <v>-2.3015873015873049E-2</v>
      </c>
      <c r="O14" s="11">
        <f>INDEX('V_Dengeli Değişken'!N$2:N$29,MATCH(LARGE('V_Dengeli Değişken'!$AD$2:$AD$29,ROW()-3),'V_Dengeli Değişken'!$AD$2:$AD$29,0))</f>
        <v>2385734625.1900001</v>
      </c>
      <c r="P14" s="11">
        <f>INDEX('V_Dengeli Değişken'!O$2:O$29,MATCH(LARGE('V_Dengeli Değişken'!$AD$2:$AD$29,ROW()-3),'V_Dengeli Değişken'!$AD$2:$AD$29,0))</f>
        <v>2416696641.2600002</v>
      </c>
      <c r="Q14" s="8">
        <f>INDEX('V_Dengeli Değişken'!P$2:P$29,MATCH(LARGE('V_Dengeli Değişken'!$AD$2:$AD$29,ROW()-3),'V_Dengeli Değişken'!$AD$2:$AD$29,0))</f>
        <v>1.2977979924122749E-2</v>
      </c>
      <c r="R14" s="9">
        <f>INDEX('V_Dengeli Değişken'!Q$2:Q$29,MATCH(LARGE('V_Dengeli Değişken'!$AD$2:$AD$29,ROW()-3),'V_Dengeli Değişken'!$AD$2:$AD$29,0))</f>
        <v>0.57152127495215266</v>
      </c>
      <c r="S14" s="5" t="str">
        <f>INDEX('V_Dengeli Değişken'!R$2:R$29,MATCH(LARGE('V_Dengeli Değişken'!$AD$2:$AD$29,ROW()-3),'V_Dengeli Değişken'!$AD$2:$AD$29,0))</f>
        <v>Görüyor</v>
      </c>
      <c r="T14" s="8">
        <f>INDEX('V_Dengeli Değişken'!S$2:S$29,MATCH(LARGE('V_Dengeli Değişken'!$AD$2:$AD$29,ROW()-3),'V_Dengeli Değişken'!$AD$2:$AD$29,0))</f>
        <v>6.5500000000000003E-2</v>
      </c>
      <c r="U14" s="8">
        <f>INDEX('V_Dengeli Değişken'!T$2:T$29,MATCH(LARGE('V_Dengeli Değişken'!$AD$2:$AD$29,ROW()-3),'V_Dengeli Değişken'!$AD$2:$AD$29,0))</f>
        <v>1.43E-2</v>
      </c>
      <c r="V14" s="8">
        <f>INDEX('V_Dengeli Değişken'!U$2:U$29,MATCH(LARGE('V_Dengeli Değişken'!$AD$2:$AD$29,ROW()-3),'V_Dengeli Değişken'!$AD$2:$AD$29,0))</f>
        <v>0.51539999999999997</v>
      </c>
      <c r="W14" s="8">
        <f>INDEX('V_Dengeli Değişken'!V$2:V$29,MATCH(LARGE('V_Dengeli Değişken'!$AD$2:$AD$29,ROW()-3),'V_Dengeli Değişken'!$AD$2:$AD$29,0))</f>
        <v>9.7299999999999998E-2</v>
      </c>
      <c r="X14" s="8">
        <f>INDEX('V_Dengeli Değişken'!W$2:W$29,MATCH(LARGE('V_Dengeli Değişken'!$AD$2:$AD$29,ROW()-3),'V_Dengeli Değişken'!$AD$2:$AD$29,0))</f>
        <v>2.0000000000000001E-4</v>
      </c>
      <c r="Y14" s="8">
        <f>INDEX('V_Dengeli Değişken'!X$2:X$29,MATCH(LARGE('V_Dengeli Değişken'!$AD$2:$AD$29,ROW()-3),'V_Dengeli Değişken'!$AD$2:$AD$29,0))</f>
        <v>0.1973</v>
      </c>
      <c r="Z14" s="8">
        <f>INDEX('V_Dengeli Değişken'!Y$2:Y$29,MATCH(LARGE('V_Dengeli Değişken'!$AD$2:$AD$29,ROW()-3),'V_Dengeli Değişken'!$AD$2:$AD$29,0))</f>
        <v>7.6E-3</v>
      </c>
      <c r="AA14" s="8">
        <f>INDEX('V_Dengeli Değişken'!Z$2:Z$29,MATCH(LARGE('V_Dengeli Değişken'!$AD$2:$AD$29,ROW()-3),'V_Dengeli Değişken'!$AD$2:$AD$29,0))</f>
        <v>4.1599999999999998E-2</v>
      </c>
      <c r="AB14" s="8">
        <f>INDEX('V_Dengeli Değişken'!AA$2:AA$29,MATCH(LARGE('V_Dengeli Değişken'!$AD$2:$AD$29,ROW()-3),'V_Dengeli Değişken'!$AD$2:$AD$29,0))</f>
        <v>0</v>
      </c>
      <c r="AC14" s="8">
        <f>INDEX('V_Dengeli Değişken'!AB$2:AB$29,MATCH(LARGE('V_Dengeli Değişken'!$AD$2:$AD$29,ROW()-3),'V_Dengeli Değişken'!$AD$2:$AD$29,0))</f>
        <v>0.93919999999999992</v>
      </c>
    </row>
    <row r="15" spans="1:29" x14ac:dyDescent="0.2">
      <c r="A15">
        <v>12</v>
      </c>
      <c r="B15" s="5" t="str">
        <f>INDEX('V_Dengeli Değişken'!A$2:A$29,MATCH(LARGE('V_Dengeli Değişken'!$AD$2:$AD$29,ROW()-3),'V_Dengeli Değişken'!$AD$2:$AD$29,0))</f>
        <v>RPD</v>
      </c>
      <c r="C15" s="5" t="str">
        <f>INDEX('V_Dengeli Değişken'!B$2:B$29,MATCH(LARGE('V_Dengeli Değişken'!$AD$2:$AD$29,ROW()-3),'V_Dengeli Değişken'!$AD$2:$AD$29,0))</f>
        <v>Re-pıe Portföy Birinci Değişken Fon</v>
      </c>
      <c r="D15" s="5" t="str">
        <f>INDEX('V_Dengeli Değişken'!C$2:C$29,MATCH(LARGE('V_Dengeli Değişken'!$AD$2:$AD$29,ROW()-3),'V_Dengeli Değişken'!$AD$2:$AD$29,0))</f>
        <v>Re-pıe Portföy</v>
      </c>
      <c r="E15" s="8">
        <f>INDEX('V_Dengeli Değişken'!D$2:D$29,MATCH(LARGE('V_Dengeli Değişken'!$AD$2:$AD$29,ROW()-3),'V_Dengeli Değişken'!$AD$2:$AD$29,0))</f>
        <v>1.1900000000000001E-2</v>
      </c>
      <c r="F15" s="9">
        <f>INDEX('V_Dengeli Değişken'!E$2:E$29,MATCH(LARGE('V_Dengeli Değişken'!$AD$2:$AD$29,ROW()-3),'V_Dengeli Değişken'!$AD$2:$AD$29,0))</f>
        <v>4.0229181774864557E-2</v>
      </c>
      <c r="G15" s="9">
        <f>INDEX('V_Dengeli Değişken'!F$2:F$29,MATCH(LARGE('V_Dengeli Değişken'!$AD$2:$AD$29,ROW()-3),'V_Dengeli Değişken'!$AD$2:$AD$29,0))</f>
        <v>0.18806387290122301</v>
      </c>
      <c r="H15" s="9">
        <f>INDEX('V_Dengeli Değişken'!G$2:G$29,MATCH(LARGE('V_Dengeli Değişken'!$AD$2:$AD$29,ROW()-3),'V_Dengeli Değişken'!$AD$2:$AD$29,0))</f>
        <v>6.4868394375907856</v>
      </c>
      <c r="I15" s="9">
        <f>INDEX('V_Dengeli Değişken'!H$2:H$29,MATCH(LARGE('V_Dengeli Değişken'!$AD$2:$AD$29,ROW()-3),'V_Dengeli Değişken'!$AD$2:$AD$29,0))</f>
        <v>1.300544024394457</v>
      </c>
      <c r="J15" s="9">
        <f>INDEX('V_Dengeli Değişken'!I$2:I$29,MATCH(LARGE('V_Dengeli Değişken'!$AD$2:$AD$29,ROW()-3),'V_Dengeli Değişken'!$AD$2:$AD$29,0))</f>
        <v>24.3512043353401</v>
      </c>
      <c r="K15" s="9">
        <f>INDEX('V_Dengeli Değişken'!J$2:J$29,MATCH(LARGE('V_Dengeli Değişken'!$AD$2:$AD$29,ROW()-3),'V_Dengeli Değişken'!$AD$2:$AD$29,0))</f>
        <v>47.522274940444753</v>
      </c>
      <c r="L15" s="10">
        <f>INDEX('V_Dengeli Değişken'!K$2:K$29,MATCH(LARGE('V_Dengeli Değişken'!$AD$2:$AD$29,ROW()-3),'V_Dengeli Değişken'!$AD$2:$AD$29,0))</f>
        <v>2072</v>
      </c>
      <c r="M15" s="10">
        <f>INDEX('V_Dengeli Değişken'!L$2:L$29,MATCH(LARGE('V_Dengeli Değişken'!$AD$2:$AD$29,ROW()-3),'V_Dengeli Değişken'!$AD$2:$AD$29,0))</f>
        <v>2007</v>
      </c>
      <c r="N15" s="8">
        <f>INDEX('V_Dengeli Değişken'!M$2:M$29,MATCH(LARGE('V_Dengeli Değişken'!$AD$2:$AD$29,ROW()-3),'V_Dengeli Değişken'!$AD$2:$AD$29,0))</f>
        <v>-3.1370656370656391E-2</v>
      </c>
      <c r="O15" s="11">
        <f>INDEX('V_Dengeli Değişken'!N$2:N$29,MATCH(LARGE('V_Dengeli Değişken'!$AD$2:$AD$29,ROW()-3),'V_Dengeli Değişken'!$AD$2:$AD$29,0))</f>
        <v>286047283.81</v>
      </c>
      <c r="P15" s="11">
        <f>INDEX('V_Dengeli Değişken'!O$2:O$29,MATCH(LARGE('V_Dengeli Değişken'!$AD$2:$AD$29,ROW()-3),'V_Dengeli Değişken'!$AD$2:$AD$29,0))</f>
        <v>301646280.97000003</v>
      </c>
      <c r="Q15" s="8">
        <f>INDEX('V_Dengeli Değişken'!P$2:P$29,MATCH(LARGE('V_Dengeli Değişken'!$AD$2:$AD$29,ROW()-3),'V_Dengeli Değişken'!$AD$2:$AD$29,0))</f>
        <v>5.4532932290876968E-2</v>
      </c>
      <c r="R15" s="9">
        <f>INDEX('V_Dengeli Değişken'!Q$2:Q$29,MATCH(LARGE('V_Dengeli Değişken'!$AD$2:$AD$29,ROW()-3),'V_Dengeli Değişken'!$AD$2:$AD$29,0))</f>
        <v>1.0240456968232901</v>
      </c>
      <c r="S15" s="5" t="str">
        <f>INDEX('V_Dengeli Değişken'!R$2:R$29,MATCH(LARGE('V_Dengeli Değişken'!$AD$2:$AD$29,ROW()-3),'V_Dengeli Değişken'!$AD$2:$AD$29,0))</f>
        <v>Görüyor</v>
      </c>
      <c r="T15" s="8">
        <f>INDEX('V_Dengeli Değişken'!S$2:S$29,MATCH(LARGE('V_Dengeli Değişken'!$AD$2:$AD$29,ROW()-3),'V_Dengeli Değişken'!$AD$2:$AD$29,0))</f>
        <v>3.2000000000000001E-2</v>
      </c>
      <c r="U15" s="8">
        <f>INDEX('V_Dengeli Değişken'!T$2:T$29,MATCH(LARGE('V_Dengeli Değişken'!$AD$2:$AD$29,ROW()-3),'V_Dengeli Değişken'!$AD$2:$AD$29,0))</f>
        <v>4.9400000000000013E-2</v>
      </c>
      <c r="V15" s="8">
        <f>INDEX('V_Dengeli Değişken'!U$2:U$29,MATCH(LARGE('V_Dengeli Değişken'!$AD$2:$AD$29,ROW()-3),'V_Dengeli Değişken'!$AD$2:$AD$29,0))</f>
        <v>0</v>
      </c>
      <c r="W15" s="8">
        <f>INDEX('V_Dengeli Değişken'!V$2:V$29,MATCH(LARGE('V_Dengeli Değişken'!$AD$2:$AD$29,ROW()-3),'V_Dengeli Değişken'!$AD$2:$AD$29,0))</f>
        <v>0.1124</v>
      </c>
      <c r="X15" s="8">
        <f>INDEX('V_Dengeli Değişken'!W$2:W$29,MATCH(LARGE('V_Dengeli Değişken'!$AD$2:$AD$29,ROW()-3),'V_Dengeli Değişken'!$AD$2:$AD$29,0))</f>
        <v>0.19939999999999999</v>
      </c>
      <c r="Y15" s="8">
        <f>INDEX('V_Dengeli Değişken'!X$2:X$29,MATCH(LARGE('V_Dengeli Değişken'!$AD$2:$AD$29,ROW()-3),'V_Dengeli Değişken'!$AD$2:$AD$29,0))</f>
        <v>0</v>
      </c>
      <c r="Z15" s="8">
        <f>INDEX('V_Dengeli Değişken'!Y$2:Y$29,MATCH(LARGE('V_Dengeli Değişken'!$AD$2:$AD$29,ROW()-3),'V_Dengeli Değişken'!$AD$2:$AD$29,0))</f>
        <v>7.7000000000000002E-3</v>
      </c>
      <c r="AA15" s="8">
        <f>INDEX('V_Dengeli Değişken'!Z$2:Z$29,MATCH(LARGE('V_Dengeli Değişken'!$AD$2:$AD$29,ROW()-3),'V_Dengeli Değişken'!$AD$2:$AD$29,0))</f>
        <v>0.1308</v>
      </c>
      <c r="AB15" s="8">
        <f>INDEX('V_Dengeli Değişken'!AA$2:AA$29,MATCH(LARGE('V_Dengeli Değişken'!$AD$2:$AD$29,ROW()-3),'V_Dengeli Değişken'!$AD$2:$AD$29,0))</f>
        <v>0</v>
      </c>
      <c r="AC15" s="8">
        <f>INDEX('V_Dengeli Değişken'!AB$2:AB$29,MATCH(LARGE('V_Dengeli Değişken'!$AD$2:$AD$29,ROW()-3),'V_Dengeli Değişken'!$AD$2:$AD$29,0))</f>
        <v>0.53170000000000006</v>
      </c>
    </row>
    <row r="16" spans="1:29" x14ac:dyDescent="0.2">
      <c r="A16">
        <v>13</v>
      </c>
      <c r="B16" s="5" t="str">
        <f>INDEX('V_Dengeli Değişken'!A$2:A$29,MATCH(LARGE('V_Dengeli Değişken'!$AD$2:$AD$29,ROW()-3),'V_Dengeli Değişken'!$AD$2:$AD$29,0))</f>
        <v>PID</v>
      </c>
      <c r="C16" s="5" t="str">
        <f>INDEX('V_Dengeli Değişken'!B$2:B$29,MATCH(LARGE('V_Dengeli Değişken'!$AD$2:$AD$29,ROW()-3),'V_Dengeli Değişken'!$AD$2:$AD$29,0))</f>
        <v>Piramit Portföy Değişken Fon</v>
      </c>
      <c r="D16" s="5" t="str">
        <f>INDEX('V_Dengeli Değişken'!C$2:C$29,MATCH(LARGE('V_Dengeli Değişken'!$AD$2:$AD$29,ROW()-3),'V_Dengeli Değişken'!$AD$2:$AD$29,0))</f>
        <v>Piramit Portföy</v>
      </c>
      <c r="E16" s="8">
        <f>INDEX('V_Dengeli Değişken'!D$2:D$29,MATCH(LARGE('V_Dengeli Değişken'!$AD$2:$AD$29,ROW()-3),'V_Dengeli Değişken'!$AD$2:$AD$29,0))</f>
        <v>1.575E-2</v>
      </c>
      <c r="F16" s="9">
        <f>INDEX('V_Dengeli Değişken'!E$2:E$29,MATCH(LARGE('V_Dengeli Değişken'!$AD$2:$AD$29,ROW()-3),'V_Dengeli Değişken'!$AD$2:$AD$29,0))</f>
        <v>3.6754520023940529E-2</v>
      </c>
      <c r="G16" s="9">
        <f>INDEX('V_Dengeli Değişken'!F$2:F$29,MATCH(LARGE('V_Dengeli Değişken'!$AD$2:$AD$29,ROW()-3),'V_Dengeli Değişken'!$AD$2:$AD$29,0))</f>
        <v>0.7786948898077295</v>
      </c>
      <c r="H16" s="9">
        <f>INDEX('V_Dengeli Değişken'!G$2:G$29,MATCH(LARGE('V_Dengeli Değişken'!$AD$2:$AD$29,ROW()-3),'V_Dengeli Değişken'!$AD$2:$AD$29,0))</f>
        <v>2.962365477032991</v>
      </c>
      <c r="I16" s="9">
        <f>INDEX('V_Dengeli Değişken'!H$2:H$29,MATCH(LARGE('V_Dengeli Değişken'!$AD$2:$AD$29,ROW()-3),'V_Dengeli Değişken'!$AD$2:$AD$29,0))</f>
        <v>1.581998646642724</v>
      </c>
      <c r="J16" s="9">
        <f>INDEX('V_Dengeli Değişken'!I$2:I$29,MATCH(LARGE('V_Dengeli Değişken'!$AD$2:$AD$29,ROW()-3),'V_Dengeli Değişken'!$AD$2:$AD$29,0))</f>
        <v>25.21229782241792</v>
      </c>
      <c r="K16" s="9">
        <f>INDEX('V_Dengeli Değişken'!J$2:J$29,MATCH(LARGE('V_Dengeli Değişken'!$AD$2:$AD$29,ROW()-3),'V_Dengeli Değişken'!$AD$2:$AD$29,0))</f>
        <v>39.452783115981077</v>
      </c>
      <c r="L16" s="10">
        <f>INDEX('V_Dengeli Değişken'!K$2:K$29,MATCH(LARGE('V_Dengeli Değişken'!$AD$2:$AD$29,ROW()-3),'V_Dengeli Değişken'!$AD$2:$AD$29,0))</f>
        <v>90</v>
      </c>
      <c r="M16" s="10">
        <f>INDEX('V_Dengeli Değişken'!L$2:L$29,MATCH(LARGE('V_Dengeli Değişken'!$AD$2:$AD$29,ROW()-3),'V_Dengeli Değişken'!$AD$2:$AD$29,0))</f>
        <v>94</v>
      </c>
      <c r="N16" s="8">
        <f>INDEX('V_Dengeli Değişken'!M$2:M$29,MATCH(LARGE('V_Dengeli Değişken'!$AD$2:$AD$29,ROW()-3),'V_Dengeli Değişken'!$AD$2:$AD$29,0))</f>
        <v>4.4444444444444509E-2</v>
      </c>
      <c r="O16" s="11">
        <f>INDEX('V_Dengeli Değişken'!N$2:N$29,MATCH(LARGE('V_Dengeli Değişken'!$AD$2:$AD$29,ROW()-3),'V_Dengeli Değişken'!$AD$2:$AD$29,0))</f>
        <v>53799861.810000002</v>
      </c>
      <c r="P16" s="11">
        <f>INDEX('V_Dengeli Değişken'!O$2:O$29,MATCH(LARGE('V_Dengeli Değişken'!$AD$2:$AD$29,ROW()-3),'V_Dengeli Değişken'!$AD$2:$AD$29,0))</f>
        <v>50407015.600000001</v>
      </c>
      <c r="Q16" s="8">
        <f>INDEX('V_Dengeli Değişken'!P$2:P$29,MATCH(LARGE('V_Dengeli Değişken'!$AD$2:$AD$29,ROW()-3),'V_Dengeli Değişken'!$AD$2:$AD$29,0))</f>
        <v>-6.3064217933908484E-2</v>
      </c>
      <c r="R16" s="9">
        <f>INDEX('V_Dengeli Değişken'!Q$2:Q$29,MATCH(LARGE('V_Dengeli Değişken'!$AD$2:$AD$29,ROW()-3),'V_Dengeli Değişken'!$AD$2:$AD$29,0))</f>
        <v>0.22443163136764549</v>
      </c>
      <c r="S16" s="5" t="str">
        <f>INDEX('V_Dengeli Değişken'!R$2:R$29,MATCH(LARGE('V_Dengeli Değişken'!$AD$2:$AD$29,ROW()-3),'V_Dengeli Değişken'!$AD$2:$AD$29,0))</f>
        <v>Görüyor</v>
      </c>
      <c r="T16" s="8">
        <f>INDEX('V_Dengeli Değişken'!S$2:S$29,MATCH(LARGE('V_Dengeli Değişken'!$AD$2:$AD$29,ROW()-3),'V_Dengeli Değişken'!$AD$2:$AD$29,0))</f>
        <v>0</v>
      </c>
      <c r="U16" s="8">
        <f>INDEX('V_Dengeli Değişken'!T$2:T$29,MATCH(LARGE('V_Dengeli Değişken'!$AD$2:$AD$29,ROW()-3),'V_Dengeli Değişken'!$AD$2:$AD$29,0))</f>
        <v>0.2293</v>
      </c>
      <c r="V16" s="8">
        <f>INDEX('V_Dengeli Değişken'!U$2:U$29,MATCH(LARGE('V_Dengeli Değişken'!$AD$2:$AD$29,ROW()-3),'V_Dengeli Değişken'!$AD$2:$AD$29,0))</f>
        <v>0</v>
      </c>
      <c r="W16" s="8">
        <f>INDEX('V_Dengeli Değişken'!V$2:V$29,MATCH(LARGE('V_Dengeli Değişken'!$AD$2:$AD$29,ROW()-3),'V_Dengeli Değişken'!$AD$2:$AD$29,0))</f>
        <v>0.57409999999999994</v>
      </c>
      <c r="X16" s="8">
        <f>INDEX('V_Dengeli Değişken'!W$2:W$29,MATCH(LARGE('V_Dengeli Değişken'!$AD$2:$AD$29,ROW()-3),'V_Dengeli Değişken'!$AD$2:$AD$29,0))</f>
        <v>0</v>
      </c>
      <c r="Y16" s="8">
        <f>INDEX('V_Dengeli Değişken'!X$2:X$29,MATCH(LARGE('V_Dengeli Değişken'!$AD$2:$AD$29,ROW()-3),'V_Dengeli Değişken'!$AD$2:$AD$29,0))</f>
        <v>0.1966</v>
      </c>
      <c r="Z16" s="8">
        <f>INDEX('V_Dengeli Değişken'!Y$2:Y$29,MATCH(LARGE('V_Dengeli Değişken'!$AD$2:$AD$29,ROW()-3),'V_Dengeli Değişken'!$AD$2:$AD$29,0))</f>
        <v>0</v>
      </c>
      <c r="AA16" s="8">
        <f>INDEX('V_Dengeli Değişken'!Z$2:Z$29,MATCH(LARGE('V_Dengeli Değişken'!$AD$2:$AD$29,ROW()-3),'V_Dengeli Değişken'!$AD$2:$AD$29,0))</f>
        <v>0</v>
      </c>
      <c r="AB16" s="8">
        <f>INDEX('V_Dengeli Değişken'!AA$2:AA$29,MATCH(LARGE('V_Dengeli Değişken'!$AD$2:$AD$29,ROW()-3),'V_Dengeli Değişken'!$AD$2:$AD$29,0))</f>
        <v>0</v>
      </c>
      <c r="AC16" s="8">
        <f>INDEX('V_Dengeli Değişken'!AB$2:AB$29,MATCH(LARGE('V_Dengeli Değişken'!$AD$2:$AD$29,ROW()-3),'V_Dengeli Değişken'!$AD$2:$AD$29,0))</f>
        <v>1</v>
      </c>
    </row>
    <row r="17" spans="1:29" x14ac:dyDescent="0.2">
      <c r="A17">
        <v>14</v>
      </c>
      <c r="B17" s="5" t="str">
        <f>INDEX('V_Dengeli Değişken'!A$2:A$29,MATCH(LARGE('V_Dengeli Değişken'!$AD$2:$AD$29,ROW()-3),'V_Dengeli Değişken'!$AD$2:$AD$29,0))</f>
        <v>ICD</v>
      </c>
      <c r="C17" s="5" t="str">
        <f>INDEX('V_Dengeli Değişken'!B$2:B$29,MATCH(LARGE('V_Dengeli Değişken'!$AD$2:$AD$29,ROW()-3),'V_Dengeli Değişken'!$AD$2:$AD$29,0))</f>
        <v>Icbc Turkey Portföy Birinci Değişken Fon</v>
      </c>
      <c r="D17" s="5" t="str">
        <f>INDEX('V_Dengeli Değişken'!C$2:C$29,MATCH(LARGE('V_Dengeli Değişken'!$AD$2:$AD$29,ROW()-3),'V_Dengeli Değişken'!$AD$2:$AD$29,0))</f>
        <v>Icbc Turkey Portföy</v>
      </c>
      <c r="E17" s="8">
        <f>INDEX('V_Dengeli Değişken'!D$2:D$29,MATCH(LARGE('V_Dengeli Değişken'!$AD$2:$AD$29,ROW()-3),'V_Dengeli Değişken'!$AD$2:$AD$29,0))</f>
        <v>1.95E-2</v>
      </c>
      <c r="F17" s="9">
        <f>INDEX('V_Dengeli Değişken'!E$2:E$29,MATCH(LARGE('V_Dengeli Değişken'!$AD$2:$AD$29,ROW()-3),'V_Dengeli Değişken'!$AD$2:$AD$29,0))</f>
        <v>4.1937556756632688E-3</v>
      </c>
      <c r="G17" s="9">
        <f>INDEX('V_Dengeli Değişken'!F$2:F$29,MATCH(LARGE('V_Dengeli Değişken'!$AD$2:$AD$29,ROW()-3),'V_Dengeli Değişken'!$AD$2:$AD$29,0))</f>
        <v>0.37621701107648509</v>
      </c>
      <c r="H17" s="9">
        <f>INDEX('V_Dengeli Değişken'!G$2:G$29,MATCH(LARGE('V_Dengeli Değişken'!$AD$2:$AD$29,ROW()-3),'V_Dengeli Değişken'!$AD$2:$AD$29,0))</f>
        <v>2.5061266486834599</v>
      </c>
      <c r="I17" s="9">
        <f>INDEX('V_Dengeli Değişken'!H$2:H$29,MATCH(LARGE('V_Dengeli Değişken'!$AD$2:$AD$29,ROW()-3),'V_Dengeli Değişken'!$AD$2:$AD$29,0))</f>
        <v>0.97529895964267865</v>
      </c>
      <c r="J17" s="9">
        <f>INDEX('V_Dengeli Değişken'!I$2:I$29,MATCH(LARGE('V_Dengeli Değişken'!$AD$2:$AD$29,ROW()-3),'V_Dengeli Değişken'!$AD$2:$AD$29,0))</f>
        <v>15.72880205457683</v>
      </c>
      <c r="K17" s="9">
        <f>INDEX('V_Dengeli Değişken'!J$2:J$29,MATCH(LARGE('V_Dengeli Değişken'!$AD$2:$AD$29,ROW()-3),'V_Dengeli Değişken'!$AD$2:$AD$29,0))</f>
        <v>38.552227359907661</v>
      </c>
      <c r="L17" s="10">
        <f>INDEX('V_Dengeli Değişken'!K$2:K$29,MATCH(LARGE('V_Dengeli Değişken'!$AD$2:$AD$29,ROW()-3),'V_Dengeli Değişken'!$AD$2:$AD$29,0))</f>
        <v>212</v>
      </c>
      <c r="M17" s="10">
        <f>INDEX('V_Dengeli Değişken'!L$2:L$29,MATCH(LARGE('V_Dengeli Değişken'!$AD$2:$AD$29,ROW()-3),'V_Dengeli Değişken'!$AD$2:$AD$29,0))</f>
        <v>200</v>
      </c>
      <c r="N17" s="8">
        <f>INDEX('V_Dengeli Değişken'!M$2:M$29,MATCH(LARGE('V_Dengeli Değişken'!$AD$2:$AD$29,ROW()-3),'V_Dengeli Değişken'!$AD$2:$AD$29,0))</f>
        <v>-5.6603773584905648E-2</v>
      </c>
      <c r="O17" s="11">
        <f>INDEX('V_Dengeli Değişken'!N$2:N$29,MATCH(LARGE('V_Dengeli Değişken'!$AD$2:$AD$29,ROW()-3),'V_Dengeli Değişken'!$AD$2:$AD$29,0))</f>
        <v>43730546.740000002</v>
      </c>
      <c r="P17" s="11">
        <f>INDEX('V_Dengeli Değişken'!O$2:O$29,MATCH(LARGE('V_Dengeli Değişken'!$AD$2:$AD$29,ROW()-3),'V_Dengeli Değişken'!$AD$2:$AD$29,0))</f>
        <v>43343611.539999999</v>
      </c>
      <c r="Q17" s="8">
        <f>INDEX('V_Dengeli Değişken'!P$2:P$29,MATCH(LARGE('V_Dengeli Değişken'!$AD$2:$AD$29,ROW()-3),'V_Dengeli Değişken'!$AD$2:$AD$29,0))</f>
        <v>-8.848167444613142E-3</v>
      </c>
      <c r="R17" s="9">
        <f>INDEX('V_Dengeli Değişken'!Q$2:Q$29,MATCH(LARGE('V_Dengeli Değişken'!$AD$2:$AD$29,ROW()-3),'V_Dengeli Değişken'!$AD$2:$AD$29,0))</f>
        <v>0.15435353224643261</v>
      </c>
      <c r="S17" s="5" t="str">
        <f>INDEX('V_Dengeli Değişken'!R$2:R$29,MATCH(LARGE('V_Dengeli Değişken'!$AD$2:$AD$29,ROW()-3),'V_Dengeli Değişken'!$AD$2:$AD$29,0))</f>
        <v>Görüyor</v>
      </c>
      <c r="T17" s="8">
        <f>INDEX('V_Dengeli Değişken'!S$2:S$29,MATCH(LARGE('V_Dengeli Değişken'!$AD$2:$AD$29,ROW()-3),'V_Dengeli Değişken'!$AD$2:$AD$29,0))</f>
        <v>0</v>
      </c>
      <c r="U17" s="8">
        <f>INDEX('V_Dengeli Değişken'!T$2:T$29,MATCH(LARGE('V_Dengeli Değişken'!$AD$2:$AD$29,ROW()-3),'V_Dengeli Değişken'!$AD$2:$AD$29,0))</f>
        <v>2.4799999999999999E-2</v>
      </c>
      <c r="V17" s="8">
        <f>INDEX('V_Dengeli Değişken'!U$2:U$29,MATCH(LARGE('V_Dengeli Değişken'!$AD$2:$AD$29,ROW()-3),'V_Dengeli Değişken'!$AD$2:$AD$29,0))</f>
        <v>0.2077</v>
      </c>
      <c r="W17" s="8">
        <f>INDEX('V_Dengeli Değişken'!V$2:V$29,MATCH(LARGE('V_Dengeli Değişken'!$AD$2:$AD$29,ROW()-3),'V_Dengeli Değişken'!$AD$2:$AD$29,0))</f>
        <v>2.6599999999999999E-2</v>
      </c>
      <c r="X17" s="8">
        <f>INDEX('V_Dengeli Değişken'!W$2:W$29,MATCH(LARGE('V_Dengeli Değişken'!$AD$2:$AD$29,ROW()-3),'V_Dengeli Değişken'!$AD$2:$AD$29,0))</f>
        <v>1.7299999999999999E-2</v>
      </c>
      <c r="Y17" s="8">
        <f>INDEX('V_Dengeli Değişken'!X$2:X$29,MATCH(LARGE('V_Dengeli Değişken'!$AD$2:$AD$29,ROW()-3),'V_Dengeli Değişken'!$AD$2:$AD$29,0))</f>
        <v>0</v>
      </c>
      <c r="Z17" s="8">
        <f>INDEX('V_Dengeli Değişken'!Y$2:Y$29,MATCH(LARGE('V_Dengeli Değişken'!$AD$2:$AD$29,ROW()-3),'V_Dengeli Değişken'!$AD$2:$AD$29,0))</f>
        <v>0</v>
      </c>
      <c r="AA17" s="8">
        <f>INDEX('V_Dengeli Değişken'!Z$2:Z$29,MATCH(LARGE('V_Dengeli Değişken'!$AD$2:$AD$29,ROW()-3),'V_Dengeli Değişken'!$AD$2:$AD$29,0))</f>
        <v>0.1535</v>
      </c>
      <c r="AB17" s="8">
        <f>INDEX('V_Dengeli Değişken'!AA$2:AA$29,MATCH(LARGE('V_Dengeli Değişken'!$AD$2:$AD$29,ROW()-3),'V_Dengeli Değişken'!$AD$2:$AD$29,0))</f>
        <v>7.1599999999999997E-2</v>
      </c>
      <c r="AC17" s="8">
        <f>INDEX('V_Dengeli Değişken'!AB$2:AB$29,MATCH(LARGE('V_Dengeli Değişken'!$AD$2:$AD$29,ROW()-3),'V_Dengeli Değişken'!$AD$2:$AD$29,0))</f>
        <v>0.50149999999999995</v>
      </c>
    </row>
    <row r="18" spans="1:29" x14ac:dyDescent="0.2">
      <c r="A18">
        <v>15</v>
      </c>
      <c r="B18" s="5" t="str">
        <f>INDEX('V_Dengeli Değişken'!A$2:A$29,MATCH(LARGE('V_Dengeli Değişken'!$AD$2:$AD$29,ROW()-3),'V_Dengeli Değişken'!$AD$2:$AD$29,0))</f>
        <v>GPB</v>
      </c>
      <c r="C18" s="5" t="str">
        <f>INDEX('V_Dengeli Değişken'!B$2:B$29,MATCH(LARGE('V_Dengeli Değişken'!$AD$2:$AD$29,ROW()-3),'V_Dengeli Değişken'!$AD$2:$AD$29,0))</f>
        <v>Garanti Portföy Birinci Değişken Fon</v>
      </c>
      <c r="D18" s="5" t="str">
        <f>INDEX('V_Dengeli Değişken'!C$2:C$29,MATCH(LARGE('V_Dengeli Değişken'!$AD$2:$AD$29,ROW()-3),'V_Dengeli Değişken'!$AD$2:$AD$29,0))</f>
        <v>Garanti Portföy</v>
      </c>
      <c r="E18" s="8">
        <f>INDEX('V_Dengeli Değişken'!D$2:D$29,MATCH(LARGE('V_Dengeli Değişken'!$AD$2:$AD$29,ROW()-3),'V_Dengeli Değişken'!$AD$2:$AD$29,0))</f>
        <v>2.5000000000000001E-2</v>
      </c>
      <c r="F18" s="9">
        <f>INDEX('V_Dengeli Değişken'!E$2:E$29,MATCH(LARGE('V_Dengeli Değişken'!$AD$2:$AD$29,ROW()-3),'V_Dengeli Değişken'!$AD$2:$AD$29,0))</f>
        <v>-8.9842751209046057E-2</v>
      </c>
      <c r="G18" s="9">
        <f>INDEX('V_Dengeli Değişken'!F$2:F$29,MATCH(LARGE('V_Dengeli Değişken'!$AD$2:$AD$29,ROW()-3),'V_Dengeli Değişken'!$AD$2:$AD$29,0))</f>
        <v>0.18720770799101061</v>
      </c>
      <c r="H18" s="9">
        <f>INDEX('V_Dengeli Değişken'!G$2:G$29,MATCH(LARGE('V_Dengeli Değişken'!$AD$2:$AD$29,ROW()-3),'V_Dengeli Değişken'!$AD$2:$AD$29,0))</f>
        <v>3.3167067057582771</v>
      </c>
      <c r="I18" s="9">
        <f>INDEX('V_Dengeli Değişken'!H$2:H$29,MATCH(LARGE('V_Dengeli Değişken'!$AD$2:$AD$29,ROW()-3),'V_Dengeli Değişken'!$AD$2:$AD$29,0))</f>
        <v>0.84969944383388452</v>
      </c>
      <c r="J18" s="9">
        <f>INDEX('V_Dengeli Değişken'!I$2:I$29,MATCH(LARGE('V_Dengeli Değişken'!$AD$2:$AD$29,ROW()-3),'V_Dengeli Değişken'!$AD$2:$AD$29,0))</f>
        <v>18.14721850484915</v>
      </c>
      <c r="K18" s="9">
        <f>INDEX('V_Dengeli Değişken'!J$2:J$29,MATCH(LARGE('V_Dengeli Değişken'!$AD$2:$AD$29,ROW()-3),'V_Dengeli Değişken'!$AD$2:$AD$29,0))</f>
        <v>39.174665625413382</v>
      </c>
      <c r="L18" s="10">
        <f>INDEX('V_Dengeli Değişken'!K$2:K$29,MATCH(LARGE('V_Dengeli Değişken'!$AD$2:$AD$29,ROW()-3),'V_Dengeli Değişken'!$AD$2:$AD$29,0))</f>
        <v>9693</v>
      </c>
      <c r="M18" s="10">
        <f>INDEX('V_Dengeli Değişken'!L$2:L$29,MATCH(LARGE('V_Dengeli Değişken'!$AD$2:$AD$29,ROW()-3),'V_Dengeli Değişken'!$AD$2:$AD$29,0))</f>
        <v>9630</v>
      </c>
      <c r="N18" s="8">
        <f>INDEX('V_Dengeli Değişken'!M$2:M$29,MATCH(LARGE('V_Dengeli Değişken'!$AD$2:$AD$29,ROW()-3),'V_Dengeli Değişken'!$AD$2:$AD$29,0))</f>
        <v>-6.4995357474466608E-3</v>
      </c>
      <c r="O18" s="11">
        <f>INDEX('V_Dengeli Değişken'!N$2:N$29,MATCH(LARGE('V_Dengeli Değişken'!$AD$2:$AD$29,ROW()-3),'V_Dengeli Değişken'!$AD$2:$AD$29,0))</f>
        <v>1206612830.54</v>
      </c>
      <c r="P18" s="11">
        <f>INDEX('V_Dengeli Değişken'!O$2:O$29,MATCH(LARGE('V_Dengeli Değişken'!$AD$2:$AD$29,ROW()-3),'V_Dengeli Değişken'!$AD$2:$AD$29,0))</f>
        <v>1224069231.77</v>
      </c>
      <c r="Q18" s="8">
        <f>INDEX('V_Dengeli Değişken'!P$2:P$29,MATCH(LARGE('V_Dengeli Değişken'!$AD$2:$AD$29,ROW()-3),'V_Dengeli Değişken'!$AD$2:$AD$29,0))</f>
        <v>1.446727631943689E-2</v>
      </c>
      <c r="R18" s="9">
        <f>INDEX('V_Dengeli Değişken'!Q$2:Q$29,MATCH(LARGE('V_Dengeli Değişken'!$AD$2:$AD$29,ROW()-3),'V_Dengeli Değişken'!$AD$2:$AD$29,0))</f>
        <v>0.1735463532820346</v>
      </c>
      <c r="S18" s="5" t="str">
        <f>INDEX('V_Dengeli Değişken'!R$2:R$29,MATCH(LARGE('V_Dengeli Değişken'!$AD$2:$AD$29,ROW()-3),'V_Dengeli Değişken'!$AD$2:$AD$29,0))</f>
        <v>Görüyor</v>
      </c>
      <c r="T18" s="8">
        <f>INDEX('V_Dengeli Değişken'!S$2:S$29,MATCH(LARGE('V_Dengeli Değişken'!$AD$2:$AD$29,ROW()-3),'V_Dengeli Değişken'!$AD$2:$AD$29,0))</f>
        <v>2.0299999999999999E-2</v>
      </c>
      <c r="U18" s="8">
        <f>INDEX('V_Dengeli Değişken'!T$2:T$29,MATCH(LARGE('V_Dengeli Değişken'!$AD$2:$AD$29,ROW()-3),'V_Dengeli Değişken'!$AD$2:$AD$29,0))</f>
        <v>5.4399999999999997E-2</v>
      </c>
      <c r="V18" s="8">
        <f>INDEX('V_Dengeli Değişken'!U$2:U$29,MATCH(LARGE('V_Dengeli Değişken'!$AD$2:$AD$29,ROW()-3),'V_Dengeli Değişken'!$AD$2:$AD$29,0))</f>
        <v>0.20150000000000001</v>
      </c>
      <c r="W18" s="8">
        <f>INDEX('V_Dengeli Değişken'!V$2:V$29,MATCH(LARGE('V_Dengeli Değişken'!$AD$2:$AD$29,ROW()-3),'V_Dengeli Değişken'!$AD$2:$AD$29,0))</f>
        <v>3.2599999999999997E-2</v>
      </c>
      <c r="X18" s="8">
        <f>INDEX('V_Dengeli Değişken'!W$2:W$29,MATCH(LARGE('V_Dengeli Değişken'!$AD$2:$AD$29,ROW()-3),'V_Dengeli Değişken'!$AD$2:$AD$29,0))</f>
        <v>0</v>
      </c>
      <c r="Y18" s="8">
        <f>INDEX('V_Dengeli Değişken'!X$2:X$29,MATCH(LARGE('V_Dengeli Değişken'!$AD$2:$AD$29,ROW()-3),'V_Dengeli Değişken'!$AD$2:$AD$29,0))</f>
        <v>4.4600000000000001E-2</v>
      </c>
      <c r="Z18" s="8">
        <f>INDEX('V_Dengeli Değişken'!Y$2:Y$29,MATCH(LARGE('V_Dengeli Değişken'!$AD$2:$AD$29,ROW()-3),'V_Dengeli Değişken'!$AD$2:$AD$29,0))</f>
        <v>0.28079999999999999</v>
      </c>
      <c r="AA18" s="8">
        <f>INDEX('V_Dengeli Değişken'!Z$2:Z$29,MATCH(LARGE('V_Dengeli Değişken'!$AD$2:$AD$29,ROW()-3),'V_Dengeli Değişken'!$AD$2:$AD$29,0))</f>
        <v>9.2600000000000002E-2</v>
      </c>
      <c r="AB18" s="8">
        <f>INDEX('V_Dengeli Değişken'!AA$2:AA$29,MATCH(LARGE('V_Dengeli Değişken'!$AD$2:$AD$29,ROW()-3),'V_Dengeli Değişken'!$AD$2:$AD$29,0))</f>
        <v>0</v>
      </c>
      <c r="AC18" s="8">
        <f>INDEX('V_Dengeli Değişken'!AB$2:AB$29,MATCH(LARGE('V_Dengeli Değişken'!$AD$2:$AD$29,ROW()-3),'V_Dengeli Değişken'!$AD$2:$AD$29,0))</f>
        <v>0.7268</v>
      </c>
    </row>
    <row r="19" spans="1:29" x14ac:dyDescent="0.2">
      <c r="A19">
        <v>16</v>
      </c>
      <c r="B19" s="5" t="str">
        <f>INDEX('V_Dengeli Değişken'!A$2:A$29,MATCH(LARGE('V_Dengeli Değişken'!$AD$2:$AD$29,ROW()-3),'V_Dengeli Değişken'!$AD$2:$AD$29,0))</f>
        <v>RKC</v>
      </c>
      <c r="C19" s="5" t="str">
        <f>INDEX('V_Dengeli Değişken'!B$2:B$29,MATCH(LARGE('V_Dengeli Değişken'!$AD$2:$AD$29,ROW()-3),'V_Dengeli Değişken'!$AD$2:$AD$29,0))</f>
        <v>Rota Portföy İkinci Değişken Fon</v>
      </c>
      <c r="D19" s="5" t="str">
        <f>INDEX('V_Dengeli Değişken'!C$2:C$29,MATCH(LARGE('V_Dengeli Değişken'!$AD$2:$AD$29,ROW()-3),'V_Dengeli Değişken'!$AD$2:$AD$29,0))</f>
        <v>Rota Portföy</v>
      </c>
      <c r="E19" s="8">
        <f>INDEX('V_Dengeli Değişken'!D$2:D$29,MATCH(LARGE('V_Dengeli Değişken'!$AD$2:$AD$29,ROW()-3),'V_Dengeli Değişken'!$AD$2:$AD$29,0))</f>
        <v>0.02</v>
      </c>
      <c r="F19" s="9">
        <f>INDEX('V_Dengeli Değişken'!E$2:E$29,MATCH(LARGE('V_Dengeli Değişken'!$AD$2:$AD$29,ROW()-3),'V_Dengeli Değişken'!$AD$2:$AD$29,0))</f>
        <v>-0.1051258486258977</v>
      </c>
      <c r="G19" s="9">
        <f>INDEX('V_Dengeli Değişken'!F$2:F$29,MATCH(LARGE('V_Dengeli Değişken'!$AD$2:$AD$29,ROW()-3),'V_Dengeli Değişken'!$AD$2:$AD$29,0))</f>
        <v>0.2778988017436923</v>
      </c>
      <c r="H19" s="9">
        <f>INDEX('V_Dengeli Değişken'!G$2:G$29,MATCH(LARGE('V_Dengeli Değişken'!$AD$2:$AD$29,ROW()-3),'V_Dengeli Değişken'!$AD$2:$AD$29,0))</f>
        <v>2.934101846766124</v>
      </c>
      <c r="I19" s="9">
        <f>INDEX('V_Dengeli Değişken'!H$2:H$29,MATCH(LARGE('V_Dengeli Değişken'!$AD$2:$AD$29,ROW()-3),'V_Dengeli Değişken'!$AD$2:$AD$29,0))</f>
        <v>1.617163209114802</v>
      </c>
      <c r="J19" s="9">
        <f>INDEX('V_Dengeli Değişken'!I$2:I$29,MATCH(LARGE('V_Dengeli Değişken'!$AD$2:$AD$29,ROW()-3),'V_Dengeli Değişken'!$AD$2:$AD$29,0))</f>
        <v>23.894326580137498</v>
      </c>
      <c r="K19" s="9">
        <f>INDEX('V_Dengeli Değişken'!J$2:J$29,MATCH(LARGE('V_Dengeli Değişken'!$AD$2:$AD$29,ROW()-3),'V_Dengeli Değişken'!$AD$2:$AD$29,0))</f>
        <v>61.008207249290898</v>
      </c>
      <c r="L19" s="10">
        <f>INDEX('V_Dengeli Değişken'!K$2:K$29,MATCH(LARGE('V_Dengeli Değişken'!$AD$2:$AD$29,ROW()-3),'V_Dengeli Değişken'!$AD$2:$AD$29,0))</f>
        <v>354</v>
      </c>
      <c r="M19" s="10">
        <f>INDEX('V_Dengeli Değişken'!L$2:L$29,MATCH(LARGE('V_Dengeli Değişken'!$AD$2:$AD$29,ROW()-3),'V_Dengeli Değişken'!$AD$2:$AD$29,0))</f>
        <v>297</v>
      </c>
      <c r="N19" s="8">
        <f>INDEX('V_Dengeli Değişken'!M$2:M$29,MATCH(LARGE('V_Dengeli Değişken'!$AD$2:$AD$29,ROW()-3),'V_Dengeli Değişken'!$AD$2:$AD$29,0))</f>
        <v>-0.16101694915254239</v>
      </c>
      <c r="O19" s="11">
        <f>INDEX('V_Dengeli Değişken'!N$2:N$29,MATCH(LARGE('V_Dengeli Değişken'!$AD$2:$AD$29,ROW()-3),'V_Dengeli Değişken'!$AD$2:$AD$29,0))</f>
        <v>49888930.619999997</v>
      </c>
      <c r="P19" s="11">
        <f>INDEX('V_Dengeli Değişken'!O$2:O$29,MATCH(LARGE('V_Dengeli Değişken'!$AD$2:$AD$29,ROW()-3),'V_Dengeli Değişken'!$AD$2:$AD$29,0))</f>
        <v>43733143.670000002</v>
      </c>
      <c r="Q19" s="8">
        <f>INDEX('V_Dengeli Değişken'!P$2:P$29,MATCH(LARGE('V_Dengeli Değişken'!$AD$2:$AD$29,ROW()-3),'V_Dengeli Değişken'!$AD$2:$AD$29,0))</f>
        <v>-0.1233898356508808</v>
      </c>
      <c r="R19" s="9">
        <f>INDEX('V_Dengeli Değişken'!Q$2:Q$29,MATCH(LARGE('V_Dengeli Değişken'!$AD$2:$AD$29,ROW()-3),'V_Dengeli Değişken'!$AD$2:$AD$29,0))</f>
        <v>0.42508844198549323</v>
      </c>
      <c r="S19" s="5" t="str">
        <f>INDEX('V_Dengeli Değişken'!R$2:R$29,MATCH(LARGE('V_Dengeli Değişken'!$AD$2:$AD$29,ROW()-3),'V_Dengeli Değişken'!$AD$2:$AD$29,0))</f>
        <v>Görüyor</v>
      </c>
      <c r="T19" s="8">
        <f>INDEX('V_Dengeli Değişken'!S$2:S$29,MATCH(LARGE('V_Dengeli Değişken'!$AD$2:$AD$29,ROW()-3),'V_Dengeli Değişken'!$AD$2:$AD$29,0))</f>
        <v>0</v>
      </c>
      <c r="U19" s="8">
        <f>INDEX('V_Dengeli Değişken'!T$2:T$29,MATCH(LARGE('V_Dengeli Değişken'!$AD$2:$AD$29,ROW()-3),'V_Dengeli Değişken'!$AD$2:$AD$29,0))</f>
        <v>0.16420000000000001</v>
      </c>
      <c r="V19" s="8">
        <f>INDEX('V_Dengeli Değişken'!U$2:U$29,MATCH(LARGE('V_Dengeli Değişken'!$AD$2:$AD$29,ROW()-3),'V_Dengeli Değişken'!$AD$2:$AD$29,0))</f>
        <v>0.56999999999999995</v>
      </c>
      <c r="W19" s="8">
        <f>INDEX('V_Dengeli Değişken'!V$2:V$29,MATCH(LARGE('V_Dengeli Değişken'!$AD$2:$AD$29,ROW()-3),'V_Dengeli Değişken'!$AD$2:$AD$29,0))</f>
        <v>7.8299999999999995E-2</v>
      </c>
      <c r="X19" s="8">
        <f>INDEX('V_Dengeli Değişken'!W$2:W$29,MATCH(LARGE('V_Dengeli Değişken'!$AD$2:$AD$29,ROW()-3),'V_Dengeli Değişken'!$AD$2:$AD$29,0))</f>
        <v>4.4000000000000003E-3</v>
      </c>
      <c r="Y19" s="8">
        <f>INDEX('V_Dengeli Değişken'!X$2:X$29,MATCH(LARGE('V_Dengeli Değişken'!$AD$2:$AD$29,ROW()-3),'V_Dengeli Değişken'!$AD$2:$AD$29,0))</f>
        <v>0.18310000000000001</v>
      </c>
      <c r="Z19" s="8">
        <f>INDEX('V_Dengeli Değişken'!Y$2:Y$29,MATCH(LARGE('V_Dengeli Değişken'!$AD$2:$AD$29,ROW()-3),'V_Dengeli Değişken'!$AD$2:$AD$29,0))</f>
        <v>0</v>
      </c>
      <c r="AA19" s="8">
        <f>INDEX('V_Dengeli Değişken'!Z$2:Z$29,MATCH(LARGE('V_Dengeli Değişken'!$AD$2:$AD$29,ROW()-3),'V_Dengeli Değişken'!$AD$2:$AD$29,0))</f>
        <v>0</v>
      </c>
      <c r="AB19" s="8">
        <f>INDEX('V_Dengeli Değişken'!AA$2:AA$29,MATCH(LARGE('V_Dengeli Değişken'!$AD$2:$AD$29,ROW()-3),'V_Dengeli Değişken'!$AD$2:$AD$29,0))</f>
        <v>0</v>
      </c>
      <c r="AC19" s="8">
        <f>INDEX('V_Dengeli Değişken'!AB$2:AB$29,MATCH(LARGE('V_Dengeli Değişken'!$AD$2:$AD$29,ROW()-3),'V_Dengeli Değişken'!$AD$2:$AD$29,0))</f>
        <v>0.99999999999999989</v>
      </c>
    </row>
    <row r="20" spans="1:29" x14ac:dyDescent="0.2">
      <c r="A20">
        <v>17</v>
      </c>
      <c r="B20" s="5" t="str">
        <f>INDEX('V_Dengeli Değişken'!A$2:A$29,MATCH(LARGE('V_Dengeli Değişken'!$AD$2:$AD$29,ROW()-3),'V_Dengeli Değişken'!$AD$2:$AD$29,0))</f>
        <v>ZDD</v>
      </c>
      <c r="C20" s="5" t="str">
        <f>INDEX('V_Dengeli Değişken'!B$2:B$29,MATCH(LARGE('V_Dengeli Değişken'!$AD$2:$AD$29,ROW()-3),'V_Dengeli Değişken'!$AD$2:$AD$29,0))</f>
        <v>Ziraat Portföy Temkinli Değişken Fon</v>
      </c>
      <c r="D20" s="5" t="str">
        <f>INDEX('V_Dengeli Değişken'!C$2:C$29,MATCH(LARGE('V_Dengeli Değişken'!$AD$2:$AD$29,ROW()-3),'V_Dengeli Değişken'!$AD$2:$AD$29,0))</f>
        <v>Ziraat Portföy</v>
      </c>
      <c r="E20" s="8">
        <f>INDEX('V_Dengeli Değişken'!D$2:D$29,MATCH(LARGE('V_Dengeli Değişken'!$AD$2:$AD$29,ROW()-3),'V_Dengeli Değişken'!$AD$2:$AD$29,0))</f>
        <v>0.02</v>
      </c>
      <c r="F20" s="9">
        <f>INDEX('V_Dengeli Değişken'!E$2:E$29,MATCH(LARGE('V_Dengeli Değişken'!$AD$2:$AD$29,ROW()-3),'V_Dengeli Değişken'!$AD$2:$AD$29,0))</f>
        <v>-0.1214414554631338</v>
      </c>
      <c r="G20" s="9">
        <f>INDEX('V_Dengeli Değişken'!F$2:F$29,MATCH(LARGE('V_Dengeli Değişken'!$AD$2:$AD$29,ROW()-3),'V_Dengeli Değişken'!$AD$2:$AD$29,0))</f>
        <v>-0.2214410340189876</v>
      </c>
      <c r="H20" s="9">
        <f>INDEX('V_Dengeli Değişken'!G$2:G$29,MATCH(LARGE('V_Dengeli Değişken'!$AD$2:$AD$29,ROW()-3),'V_Dengeli Değişken'!$AD$2:$AD$29,0))</f>
        <v>2.8110933751101408</v>
      </c>
      <c r="I20" s="9">
        <f>INDEX('V_Dengeli Değişken'!H$2:H$29,MATCH(LARGE('V_Dengeli Değişken'!$AD$2:$AD$29,ROW()-3),'V_Dengeli Değişken'!$AD$2:$AD$29,0))</f>
        <v>1.22591992697263E-2</v>
      </c>
      <c r="J20" s="9">
        <f>INDEX('V_Dengeli Değişken'!I$2:I$29,MATCH(LARGE('V_Dengeli Değişken'!$AD$2:$AD$29,ROW()-3),'V_Dengeli Değişken'!$AD$2:$AD$29,0))</f>
        <v>17.80875020775834</v>
      </c>
      <c r="K20" s="9">
        <f>INDEX('V_Dengeli Değişken'!J$2:J$29,MATCH(LARGE('V_Dengeli Değişken'!$AD$2:$AD$29,ROW()-3),'V_Dengeli Değişken'!$AD$2:$AD$29,0))</f>
        <v>37.892444476164513</v>
      </c>
      <c r="L20" s="10">
        <f>INDEX('V_Dengeli Değişken'!K$2:K$29,MATCH(LARGE('V_Dengeli Değişken'!$AD$2:$AD$29,ROW()-3),'V_Dengeli Değişken'!$AD$2:$AD$29,0))</f>
        <v>1438</v>
      </c>
      <c r="M20" s="10">
        <f>INDEX('V_Dengeli Değişken'!L$2:L$29,MATCH(LARGE('V_Dengeli Değişken'!$AD$2:$AD$29,ROW()-3),'V_Dengeli Değişken'!$AD$2:$AD$29,0))</f>
        <v>1422</v>
      </c>
      <c r="N20" s="8">
        <f>INDEX('V_Dengeli Değişken'!M$2:M$29,MATCH(LARGE('V_Dengeli Değişken'!$AD$2:$AD$29,ROW()-3),'V_Dengeli Değişken'!$AD$2:$AD$29,0))</f>
        <v>-1.11265646731572E-2</v>
      </c>
      <c r="O20" s="11">
        <f>INDEX('V_Dengeli Değişken'!N$2:N$29,MATCH(LARGE('V_Dengeli Değişken'!$AD$2:$AD$29,ROW()-3),'V_Dengeli Değişken'!$AD$2:$AD$29,0))</f>
        <v>487399383.99000001</v>
      </c>
      <c r="P20" s="11">
        <f>INDEX('V_Dengeli Değişken'!O$2:O$29,MATCH(LARGE('V_Dengeli Değişken'!$AD$2:$AD$29,ROW()-3),'V_Dengeli Değişken'!$AD$2:$AD$29,0))</f>
        <v>499252603.92000002</v>
      </c>
      <c r="Q20" s="8">
        <f>INDEX('V_Dengeli Değişken'!P$2:P$29,MATCH(LARGE('V_Dengeli Değişken'!$AD$2:$AD$29,ROW()-3),'V_Dengeli Değişken'!$AD$2:$AD$29,0))</f>
        <v>2.4319316600209809E-2</v>
      </c>
      <c r="R20" s="9">
        <f>INDEX('V_Dengeli Değişken'!Q$2:Q$29,MATCH(LARGE('V_Dengeli Değişken'!$AD$2:$AD$29,ROW()-3),'V_Dengeli Değişken'!$AD$2:$AD$29,0))</f>
        <v>0.36916120284482112</v>
      </c>
      <c r="S20" s="5" t="str">
        <f>INDEX('V_Dengeli Değişken'!R$2:R$29,MATCH(LARGE('V_Dengeli Değişken'!$AD$2:$AD$29,ROW()-3),'V_Dengeli Değişken'!$AD$2:$AD$29,0))</f>
        <v>Görüyor</v>
      </c>
      <c r="T20" s="8">
        <f>INDEX('V_Dengeli Değişken'!S$2:S$29,MATCH(LARGE('V_Dengeli Değişken'!$AD$2:$AD$29,ROW()-3),'V_Dengeli Değişken'!$AD$2:$AD$29,0))</f>
        <v>0</v>
      </c>
      <c r="U20" s="8">
        <f>INDEX('V_Dengeli Değişken'!T$2:T$29,MATCH(LARGE('V_Dengeli Değişken'!$AD$2:$AD$29,ROW()-3),'V_Dengeli Değişken'!$AD$2:$AD$29,0))</f>
        <v>3.27E-2</v>
      </c>
      <c r="V20" s="8">
        <f>INDEX('V_Dengeli Değişken'!U$2:U$29,MATCH(LARGE('V_Dengeli Değişken'!$AD$2:$AD$29,ROW()-3),'V_Dengeli Değişken'!$AD$2:$AD$29,0))</f>
        <v>3.4799999999999998E-2</v>
      </c>
      <c r="W20" s="8">
        <f>INDEX('V_Dengeli Değişken'!V$2:V$29,MATCH(LARGE('V_Dengeli Değişken'!$AD$2:$AD$29,ROW()-3),'V_Dengeli Değişken'!$AD$2:$AD$29,0))</f>
        <v>0.1225</v>
      </c>
      <c r="X20" s="8">
        <f>INDEX('V_Dengeli Değişken'!W$2:W$29,MATCH(LARGE('V_Dengeli Değişken'!$AD$2:$AD$29,ROW()-3),'V_Dengeli Değişken'!$AD$2:$AD$29,0))</f>
        <v>0</v>
      </c>
      <c r="Y20" s="8">
        <f>INDEX('V_Dengeli Değişken'!X$2:X$29,MATCH(LARGE('V_Dengeli Değişken'!$AD$2:$AD$29,ROW()-3),'V_Dengeli Değişken'!$AD$2:$AD$29,0))</f>
        <v>0.18429999999999999</v>
      </c>
      <c r="Z20" s="8">
        <f>INDEX('V_Dengeli Değişken'!Y$2:Y$29,MATCH(LARGE('V_Dengeli Değişken'!$AD$2:$AD$29,ROW()-3),'V_Dengeli Değişken'!$AD$2:$AD$29,0))</f>
        <v>3.3000000000000002E-2</v>
      </c>
      <c r="AA20" s="8">
        <f>INDEX('V_Dengeli Değişken'!Z$2:Z$29,MATCH(LARGE('V_Dengeli Değişken'!$AD$2:$AD$29,ROW()-3),'V_Dengeli Değişken'!$AD$2:$AD$29,0))</f>
        <v>2.3099999999999999E-2</v>
      </c>
      <c r="AB20" s="8">
        <f>INDEX('V_Dengeli Değişken'!AA$2:AA$29,MATCH(LARGE('V_Dengeli Değişken'!$AD$2:$AD$29,ROW()-3),'V_Dengeli Değişken'!$AD$2:$AD$29,0))</f>
        <v>0</v>
      </c>
      <c r="AC20" s="8">
        <f>INDEX('V_Dengeli Değişken'!AB$2:AB$29,MATCH(LARGE('V_Dengeli Değişken'!$AD$2:$AD$29,ROW()-3),'V_Dengeli Değişken'!$AD$2:$AD$29,0))</f>
        <v>0.4304</v>
      </c>
    </row>
    <row r="21" spans="1:29" x14ac:dyDescent="0.2">
      <c r="A21">
        <v>18</v>
      </c>
      <c r="B21" s="5" t="str">
        <f>INDEX('V_Dengeli Değişken'!A$2:A$29,MATCH(LARGE('V_Dengeli Değişken'!$AD$2:$AD$29,ROW()-3),'V_Dengeli Değişken'!$AD$2:$AD$29,0))</f>
        <v>GAH</v>
      </c>
      <c r="C21" s="5" t="str">
        <f>INDEX('V_Dengeli Değişken'!B$2:B$29,MATCH(LARGE('V_Dengeli Değişken'!$AD$2:$AD$29,ROW()-3),'V_Dengeli Değişken'!$AD$2:$AD$29,0))</f>
        <v>Garanti Portföy Mutlak Getiri Hedefli Değişken Fon</v>
      </c>
      <c r="D21" s="5" t="str">
        <f>INDEX('V_Dengeli Değişken'!C$2:C$29,MATCH(LARGE('V_Dengeli Değişken'!$AD$2:$AD$29,ROW()-3),'V_Dengeli Değişken'!$AD$2:$AD$29,0))</f>
        <v>Garanti Portföy</v>
      </c>
      <c r="E21" s="8">
        <f>INDEX('V_Dengeli Değişken'!D$2:D$29,MATCH(LARGE('V_Dengeli Değişken'!$AD$2:$AD$29,ROW()-3),'V_Dengeli Değişken'!$AD$2:$AD$29,0))</f>
        <v>2.7E-2</v>
      </c>
      <c r="F21" s="9">
        <f>INDEX('V_Dengeli Değişken'!E$2:E$29,MATCH(LARGE('V_Dengeli Değişken'!$AD$2:$AD$29,ROW()-3),'V_Dengeli Değişken'!$AD$2:$AD$29,0))</f>
        <v>-0.26962967572063962</v>
      </c>
      <c r="G21" s="9">
        <f>INDEX('V_Dengeli Değişken'!F$2:F$29,MATCH(LARGE('V_Dengeli Değişken'!$AD$2:$AD$29,ROW()-3),'V_Dengeli Değişken'!$AD$2:$AD$29,0))</f>
        <v>-0.20661212882012719</v>
      </c>
      <c r="H21" s="9">
        <f>INDEX('V_Dengeli Değişken'!G$2:G$29,MATCH(LARGE('V_Dengeli Değişken'!$AD$2:$AD$29,ROW()-3),'V_Dengeli Değişken'!$AD$2:$AD$29,0))</f>
        <v>3.0061402557085342</v>
      </c>
      <c r="I21" s="9">
        <f>INDEX('V_Dengeli Değişken'!H$2:H$29,MATCH(LARGE('V_Dengeli Değişken'!$AD$2:$AD$29,ROW()-3),'V_Dengeli Değişken'!$AD$2:$AD$29,0))</f>
        <v>0.57278606112425301</v>
      </c>
      <c r="J21" s="9">
        <f>INDEX('V_Dengeli Değişken'!I$2:I$29,MATCH(LARGE('V_Dengeli Değişken'!$AD$2:$AD$29,ROW()-3),'V_Dengeli Değişken'!$AD$2:$AD$29,0))</f>
        <v>17.774523566406408</v>
      </c>
      <c r="K21" s="9">
        <f>INDEX('V_Dengeli Değişken'!J$2:J$29,MATCH(LARGE('V_Dengeli Değişken'!$AD$2:$AD$29,ROW()-3),'V_Dengeli Değişken'!$AD$2:$AD$29,0))</f>
        <v>39.326550941200153</v>
      </c>
      <c r="L21" s="10">
        <f>INDEX('V_Dengeli Değişken'!K$2:K$29,MATCH(LARGE('V_Dengeli Değişken'!$AD$2:$AD$29,ROW()-3),'V_Dengeli Değişken'!$AD$2:$AD$29,0))</f>
        <v>2937</v>
      </c>
      <c r="M21" s="10">
        <f>INDEX('V_Dengeli Değişken'!L$2:L$29,MATCH(LARGE('V_Dengeli Değişken'!$AD$2:$AD$29,ROW()-3),'V_Dengeli Değişken'!$AD$2:$AD$29,0))</f>
        <v>2834</v>
      </c>
      <c r="N21" s="8">
        <f>INDEX('V_Dengeli Değişken'!M$2:M$29,MATCH(LARGE('V_Dengeli Değişken'!$AD$2:$AD$29,ROW()-3),'V_Dengeli Değişken'!$AD$2:$AD$29,0))</f>
        <v>-3.506979911474295E-2</v>
      </c>
      <c r="O21" s="11">
        <f>INDEX('V_Dengeli Değişken'!N$2:N$29,MATCH(LARGE('V_Dengeli Değişken'!$AD$2:$AD$29,ROW()-3),'V_Dengeli Değişken'!$AD$2:$AD$29,0))</f>
        <v>393253601.25</v>
      </c>
      <c r="P21" s="11">
        <f>INDEX('V_Dengeli Değişken'!O$2:O$29,MATCH(LARGE('V_Dengeli Değişken'!$AD$2:$AD$29,ROW()-3),'V_Dengeli Değişken'!$AD$2:$AD$29,0))</f>
        <v>384724879.18000001</v>
      </c>
      <c r="Q21" s="8">
        <f>INDEX('V_Dengeli Değişken'!P$2:P$29,MATCH(LARGE('V_Dengeli Değişken'!$AD$2:$AD$29,ROW()-3),'V_Dengeli Değişken'!$AD$2:$AD$29,0))</f>
        <v>-2.168758796585846E-2</v>
      </c>
      <c r="R21" s="9">
        <f>INDEX('V_Dengeli Değişken'!Q$2:Q$29,MATCH(LARGE('V_Dengeli Değişken'!$AD$2:$AD$29,ROW()-3),'V_Dengeli Değişken'!$AD$2:$AD$29,0))</f>
        <v>0.31839428951779403</v>
      </c>
      <c r="S21" s="5" t="str">
        <f>INDEX('V_Dengeli Değişken'!R$2:R$29,MATCH(LARGE('V_Dengeli Değişken'!$AD$2:$AD$29,ROW()-3),'V_Dengeli Değişken'!$AD$2:$AD$29,0))</f>
        <v>Görüyor</v>
      </c>
      <c r="T21" s="8">
        <f>INDEX('V_Dengeli Değişken'!S$2:S$29,MATCH(LARGE('V_Dengeli Değişken'!$AD$2:$AD$29,ROW()-3),'V_Dengeli Değişken'!$AD$2:$AD$29,0))</f>
        <v>2.46E-2</v>
      </c>
      <c r="U21" s="8">
        <f>INDEX('V_Dengeli Değişken'!T$2:T$29,MATCH(LARGE('V_Dengeli Değişken'!$AD$2:$AD$29,ROW()-3),'V_Dengeli Değişken'!$AD$2:$AD$29,0))</f>
        <v>0.12670000000000001</v>
      </c>
      <c r="V21" s="8">
        <f>INDEX('V_Dengeli Değişken'!U$2:U$29,MATCH(LARGE('V_Dengeli Değişken'!$AD$2:$AD$29,ROW()-3),'V_Dengeli Değişken'!$AD$2:$AD$29,0))</f>
        <v>0.21990000000000001</v>
      </c>
      <c r="W21" s="8">
        <f>INDEX('V_Dengeli Değişken'!V$2:V$29,MATCH(LARGE('V_Dengeli Değişken'!$AD$2:$AD$29,ROW()-3),'V_Dengeli Değişken'!$AD$2:$AD$29,0))</f>
        <v>0.10489999999999999</v>
      </c>
      <c r="X21" s="8">
        <f>INDEX('V_Dengeli Değişken'!W$2:W$29,MATCH(LARGE('V_Dengeli Değişken'!$AD$2:$AD$29,ROW()-3),'V_Dengeli Değişken'!$AD$2:$AD$29,0))</f>
        <v>0</v>
      </c>
      <c r="Y21" s="8">
        <f>INDEX('V_Dengeli Değişken'!X$2:X$29,MATCH(LARGE('V_Dengeli Değişken'!$AD$2:$AD$29,ROW()-3),'V_Dengeli Değişken'!$AD$2:$AD$29,0))</f>
        <v>0.12239999999999999</v>
      </c>
      <c r="Z21" s="8">
        <f>INDEX('V_Dengeli Değişken'!Y$2:Y$29,MATCH(LARGE('V_Dengeli Değişken'!$AD$2:$AD$29,ROW()-3),'V_Dengeli Değişken'!$AD$2:$AD$29,0))</f>
        <v>0.1237</v>
      </c>
      <c r="AA21" s="8">
        <f>INDEX('V_Dengeli Değişken'!Z$2:Z$29,MATCH(LARGE('V_Dengeli Değişken'!$AD$2:$AD$29,ROW()-3),'V_Dengeli Değişken'!$AD$2:$AD$29,0))</f>
        <v>5.8500000000000003E-2</v>
      </c>
      <c r="AB21" s="8">
        <f>INDEX('V_Dengeli Değişken'!AA$2:AA$29,MATCH(LARGE('V_Dengeli Değişken'!$AD$2:$AD$29,ROW()-3),'V_Dengeli Değişken'!$AD$2:$AD$29,0))</f>
        <v>0</v>
      </c>
      <c r="AC21" s="8">
        <f>INDEX('V_Dengeli Değişken'!AB$2:AB$29,MATCH(LARGE('V_Dengeli Değişken'!$AD$2:$AD$29,ROW()-3),'V_Dengeli Değişken'!$AD$2:$AD$29,0))</f>
        <v>0.78069999999999995</v>
      </c>
    </row>
    <row r="22" spans="1:29" x14ac:dyDescent="0.2">
      <c r="A22">
        <v>19</v>
      </c>
      <c r="B22" s="5" t="str">
        <f>INDEX('V_Dengeli Değişken'!A$2:A$29,MATCH(LARGE('V_Dengeli Değişken'!$AD$2:$AD$29,ROW()-3),'V_Dengeli Değişken'!$AD$2:$AD$29,0))</f>
        <v>GPI</v>
      </c>
      <c r="C22" s="5" t="str">
        <f>INDEX('V_Dengeli Değişken'!B$2:B$29,MATCH(LARGE('V_Dengeli Değişken'!$AD$2:$AD$29,ROW()-3),'V_Dengeli Değişken'!$AD$2:$AD$29,0))</f>
        <v>Garanti Portföy İkinci Değişken Fon</v>
      </c>
      <c r="D22" s="5" t="str">
        <f>INDEX('V_Dengeli Değişken'!C$2:C$29,MATCH(LARGE('V_Dengeli Değişken'!$AD$2:$AD$29,ROW()-3),'V_Dengeli Değişken'!$AD$2:$AD$29,0))</f>
        <v>Garanti Portföy</v>
      </c>
      <c r="E22" s="8">
        <f>INDEX('V_Dengeli Değişken'!D$2:D$29,MATCH(LARGE('V_Dengeli Değişken'!$AD$2:$AD$29,ROW()-3),'V_Dengeli Değişken'!$AD$2:$AD$29,0))</f>
        <v>2.5000000000000001E-2</v>
      </c>
      <c r="F22" s="9">
        <f>INDEX('V_Dengeli Değişken'!E$2:E$29,MATCH(LARGE('V_Dengeli Değişken'!$AD$2:$AD$29,ROW()-3),'V_Dengeli Değişken'!$AD$2:$AD$29,0))</f>
        <v>-0.28089647009063018</v>
      </c>
      <c r="G22" s="9">
        <f>INDEX('V_Dengeli Değişken'!F$2:F$29,MATCH(LARGE('V_Dengeli Değişken'!$AD$2:$AD$29,ROW()-3),'V_Dengeli Değişken'!$AD$2:$AD$29,0))</f>
        <v>-0.19990672327074849</v>
      </c>
      <c r="H22" s="9">
        <f>INDEX('V_Dengeli Değişken'!G$2:G$29,MATCH(LARGE('V_Dengeli Değişken'!$AD$2:$AD$29,ROW()-3),'V_Dengeli Değişken'!$AD$2:$AD$29,0))</f>
        <v>2.9484991262455962</v>
      </c>
      <c r="I22" s="9">
        <f>INDEX('V_Dengeli Değişken'!H$2:H$29,MATCH(LARGE('V_Dengeli Değişken'!$AD$2:$AD$29,ROW()-3),'V_Dengeli Değişken'!$AD$2:$AD$29,0))</f>
        <v>0.57160449565454297</v>
      </c>
      <c r="J22" s="9">
        <f>INDEX('V_Dengeli Değişken'!I$2:I$29,MATCH(LARGE('V_Dengeli Değişken'!$AD$2:$AD$29,ROW()-3),'V_Dengeli Değişken'!$AD$2:$AD$29,0))</f>
        <v>18.57088189639402</v>
      </c>
      <c r="K22" s="9">
        <f>INDEX('V_Dengeli Değişken'!J$2:J$29,MATCH(LARGE('V_Dengeli Değişken'!$AD$2:$AD$29,ROW()-3),'V_Dengeli Değişken'!$AD$2:$AD$29,0))</f>
        <v>39.704309383251001</v>
      </c>
      <c r="L22" s="10">
        <f>INDEX('V_Dengeli Değişken'!K$2:K$29,MATCH(LARGE('V_Dengeli Değişken'!$AD$2:$AD$29,ROW()-3),'V_Dengeli Değişken'!$AD$2:$AD$29,0))</f>
        <v>2936</v>
      </c>
      <c r="M22" s="10">
        <f>INDEX('V_Dengeli Değişken'!L$2:L$29,MATCH(LARGE('V_Dengeli Değişken'!$AD$2:$AD$29,ROW()-3),'V_Dengeli Değişken'!$AD$2:$AD$29,0))</f>
        <v>2886</v>
      </c>
      <c r="N22" s="8">
        <f>INDEX('V_Dengeli Değişken'!M$2:M$29,MATCH(LARGE('V_Dengeli Değişken'!$AD$2:$AD$29,ROW()-3),'V_Dengeli Değişken'!$AD$2:$AD$29,0))</f>
        <v>-1.7029972752043539E-2</v>
      </c>
      <c r="O22" s="11">
        <f>INDEX('V_Dengeli Değişken'!N$2:N$29,MATCH(LARGE('V_Dengeli Değişken'!$AD$2:$AD$29,ROW()-3),'V_Dengeli Değişken'!$AD$2:$AD$29,0))</f>
        <v>740827802.17999995</v>
      </c>
      <c r="P22" s="11">
        <f>INDEX('V_Dengeli Değişken'!O$2:O$29,MATCH(LARGE('V_Dengeli Değişken'!$AD$2:$AD$29,ROW()-3),'V_Dengeli Değişken'!$AD$2:$AD$29,0))</f>
        <v>746704783.91999996</v>
      </c>
      <c r="Q22" s="8">
        <f>INDEX('V_Dengeli Değişken'!P$2:P$29,MATCH(LARGE('V_Dengeli Değişken'!$AD$2:$AD$29,ROW()-3),'V_Dengeli Değişken'!$AD$2:$AD$29,0))</f>
        <v>7.9329929609905925E-3</v>
      </c>
      <c r="R22" s="9">
        <f>INDEX('V_Dengeli Değişken'!Q$2:Q$29,MATCH(LARGE('V_Dengeli Değişken'!$AD$2:$AD$29,ROW()-3),'V_Dengeli Değişken'!$AD$2:$AD$29,0))</f>
        <v>0.30786705221415872</v>
      </c>
      <c r="S22" s="5" t="str">
        <f>INDEX('V_Dengeli Değişken'!R$2:R$29,MATCH(LARGE('V_Dengeli Değişken'!$AD$2:$AD$29,ROW()-3),'V_Dengeli Değişken'!$AD$2:$AD$29,0))</f>
        <v>Görüyor</v>
      </c>
      <c r="T22" s="8">
        <f>INDEX('V_Dengeli Değişken'!S$2:S$29,MATCH(LARGE('V_Dengeli Değişken'!$AD$2:$AD$29,ROW()-3),'V_Dengeli Değişken'!$AD$2:$AD$29,0))</f>
        <v>2.18E-2</v>
      </c>
      <c r="U22" s="8">
        <f>INDEX('V_Dengeli Değişken'!T$2:T$29,MATCH(LARGE('V_Dengeli Değişken'!$AD$2:$AD$29,ROW()-3),'V_Dengeli Değişken'!$AD$2:$AD$29,0))</f>
        <v>8.43E-2</v>
      </c>
      <c r="V22" s="8">
        <f>INDEX('V_Dengeli Değişken'!U$2:U$29,MATCH(LARGE('V_Dengeli Değişken'!$AD$2:$AD$29,ROW()-3),'V_Dengeli Değişken'!$AD$2:$AD$29,0))</f>
        <v>0.27960000000000002</v>
      </c>
      <c r="W22" s="8">
        <f>INDEX('V_Dengeli Değişken'!V$2:V$29,MATCH(LARGE('V_Dengeli Değişken'!$AD$2:$AD$29,ROW()-3),'V_Dengeli Değişken'!$AD$2:$AD$29,0))</f>
        <v>9.0200000000000002E-2</v>
      </c>
      <c r="X22" s="8">
        <f>INDEX('V_Dengeli Değişken'!W$2:W$29,MATCH(LARGE('V_Dengeli Değişken'!$AD$2:$AD$29,ROW()-3),'V_Dengeli Değişken'!$AD$2:$AD$29,0))</f>
        <v>0</v>
      </c>
      <c r="Y22" s="8">
        <f>INDEX('V_Dengeli Değişken'!X$2:X$29,MATCH(LARGE('V_Dengeli Değişken'!$AD$2:$AD$29,ROW()-3),'V_Dengeli Değişken'!$AD$2:$AD$29,0))</f>
        <v>9.69E-2</v>
      </c>
      <c r="Z22" s="8">
        <f>INDEX('V_Dengeli Değişken'!Y$2:Y$29,MATCH(LARGE('V_Dengeli Değişken'!$AD$2:$AD$29,ROW()-3),'V_Dengeli Değişken'!$AD$2:$AD$29,0))</f>
        <v>0.1472</v>
      </c>
      <c r="AA22" s="8">
        <f>INDEX('V_Dengeli Değişken'!Z$2:Z$29,MATCH(LARGE('V_Dengeli Değişken'!$AD$2:$AD$29,ROW()-3),'V_Dengeli Değişken'!$AD$2:$AD$29,0))</f>
        <v>6.1199999999999997E-2</v>
      </c>
      <c r="AB22" s="8">
        <f>INDEX('V_Dengeli Değişken'!AA$2:AA$29,MATCH(LARGE('V_Dengeli Değişken'!$AD$2:$AD$29,ROW()-3),'V_Dengeli Değişken'!$AD$2:$AD$29,0))</f>
        <v>0</v>
      </c>
      <c r="AC22" s="8">
        <f>INDEX('V_Dengeli Değişken'!AB$2:AB$29,MATCH(LARGE('V_Dengeli Değişken'!$AD$2:$AD$29,ROW()-3),'V_Dengeli Değişken'!$AD$2:$AD$29,0))</f>
        <v>0.78120000000000001</v>
      </c>
    </row>
    <row r="23" spans="1:29" x14ac:dyDescent="0.2">
      <c r="A23">
        <v>20</v>
      </c>
      <c r="B23" s="5" t="str">
        <f>INDEX('V_Dengeli Değişken'!A$2:A$29,MATCH(LARGE('V_Dengeli Değişken'!$AD$2:$AD$29,ROW()-3),'V_Dengeli Değişken'!$AD$2:$AD$29,0))</f>
        <v>FNO</v>
      </c>
      <c r="C23" s="5" t="str">
        <f>INDEX('V_Dengeli Değişken'!B$2:B$29,MATCH(LARGE('V_Dengeli Değişken'!$AD$2:$AD$29,ROW()-3),'V_Dengeli Değişken'!$AD$2:$AD$29,0))</f>
        <v>Qnb Portföy Birinci Değişken Fon</v>
      </c>
      <c r="D23" s="5" t="str">
        <f>INDEX('V_Dengeli Değişken'!C$2:C$29,MATCH(LARGE('V_Dengeli Değişken'!$AD$2:$AD$29,ROW()-3),'V_Dengeli Değişken'!$AD$2:$AD$29,0))</f>
        <v>Qnb Portföy</v>
      </c>
      <c r="E23" s="8">
        <f>INDEX('V_Dengeli Değişken'!D$2:D$29,MATCH(LARGE('V_Dengeli Değişken'!$AD$2:$AD$29,ROW()-3),'V_Dengeli Değişken'!$AD$2:$AD$29,0))</f>
        <v>2.0074999999999999E-2</v>
      </c>
      <c r="F23" s="9">
        <f>INDEX('V_Dengeli Değişken'!E$2:E$29,MATCH(LARGE('V_Dengeli Değişken'!$AD$2:$AD$29,ROW()-3),'V_Dengeli Değişken'!$AD$2:$AD$29,0))</f>
        <v>-0.30438937569839952</v>
      </c>
      <c r="G23" s="9">
        <f>INDEX('V_Dengeli Değişken'!F$2:F$29,MATCH(LARGE('V_Dengeli Değişken'!$AD$2:$AD$29,ROW()-3),'V_Dengeli Değişken'!$AD$2:$AD$29,0))</f>
        <v>-0.112465994234856</v>
      </c>
      <c r="H23" s="9">
        <f>INDEX('V_Dengeli Değişken'!G$2:G$29,MATCH(LARGE('V_Dengeli Değişken'!$AD$2:$AD$29,ROW()-3),'V_Dengeli Değişken'!$AD$2:$AD$29,0))</f>
        <v>2.5772954525354219</v>
      </c>
      <c r="I23" s="9">
        <f>INDEX('V_Dengeli Değişken'!H$2:H$29,MATCH(LARGE('V_Dengeli Değişken'!$AD$2:$AD$29,ROW()-3),'V_Dengeli Değişken'!$AD$2:$AD$29,0))</f>
        <v>8.2737756842377053E-2</v>
      </c>
      <c r="J23" s="9">
        <f>INDEX('V_Dengeli Değişken'!I$2:I$29,MATCH(LARGE('V_Dengeli Değişken'!$AD$2:$AD$29,ROW()-3),'V_Dengeli Değişken'!$AD$2:$AD$29,0))</f>
        <v>12.623449914606089</v>
      </c>
      <c r="K23" s="9">
        <f>INDEX('V_Dengeli Değişken'!J$2:J$29,MATCH(LARGE('V_Dengeli Değişken'!$AD$2:$AD$29,ROW()-3),'V_Dengeli Değişken'!$AD$2:$AD$29,0))</f>
        <v>36.283583430676607</v>
      </c>
      <c r="L23" s="10">
        <f>INDEX('V_Dengeli Değişken'!K$2:K$29,MATCH(LARGE('V_Dengeli Değişken'!$AD$2:$AD$29,ROW()-3),'V_Dengeli Değişken'!$AD$2:$AD$29,0))</f>
        <v>7309</v>
      </c>
      <c r="M23" s="10">
        <f>INDEX('V_Dengeli Değişken'!L$2:L$29,MATCH(LARGE('V_Dengeli Değişken'!$AD$2:$AD$29,ROW()-3),'V_Dengeli Değişken'!$AD$2:$AD$29,0))</f>
        <v>6999</v>
      </c>
      <c r="N23" s="8">
        <f>INDEX('V_Dengeli Değişken'!M$2:M$29,MATCH(LARGE('V_Dengeli Değişken'!$AD$2:$AD$29,ROW()-3),'V_Dengeli Değişken'!$AD$2:$AD$29,0))</f>
        <v>-4.2413462854015593E-2</v>
      </c>
      <c r="O23" s="11">
        <f>INDEX('V_Dengeli Değişken'!N$2:N$29,MATCH(LARGE('V_Dengeli Değişken'!$AD$2:$AD$29,ROW()-3),'V_Dengeli Değişken'!$AD$2:$AD$29,0))</f>
        <v>11782592492.309999</v>
      </c>
      <c r="P23" s="11">
        <f>INDEX('V_Dengeli Değişken'!O$2:O$29,MATCH(LARGE('V_Dengeli Değişken'!$AD$2:$AD$29,ROW()-3),'V_Dengeli Değişken'!$AD$2:$AD$29,0))</f>
        <v>11550547143.440001</v>
      </c>
      <c r="Q23" s="8">
        <f>INDEX('V_Dengeli Değişken'!P$2:P$29,MATCH(LARGE('V_Dengeli Değişken'!$AD$2:$AD$29,ROW()-3),'V_Dengeli Değişken'!$AD$2:$AD$29,0))</f>
        <v>-1.9693912780353259E-2</v>
      </c>
      <c r="R23" s="9">
        <f>INDEX('V_Dengeli Değişken'!Q$2:Q$29,MATCH(LARGE('V_Dengeli Değişken'!$AD$2:$AD$29,ROW()-3),'V_Dengeli Değişken'!$AD$2:$AD$29,0))</f>
        <v>0.34952280683294878</v>
      </c>
      <c r="S23" s="5" t="str">
        <f>INDEX('V_Dengeli Değişken'!R$2:R$29,MATCH(LARGE('V_Dengeli Değişken'!$AD$2:$AD$29,ROW()-3),'V_Dengeli Değişken'!$AD$2:$AD$29,0))</f>
        <v>Görüyor</v>
      </c>
      <c r="T23" s="8">
        <f>INDEX('V_Dengeli Değişken'!S$2:S$29,MATCH(LARGE('V_Dengeli Değişken'!$AD$2:$AD$29,ROW()-3),'V_Dengeli Değişken'!$AD$2:$AD$29,0))</f>
        <v>0</v>
      </c>
      <c r="U23" s="8">
        <f>INDEX('V_Dengeli Değişken'!T$2:T$29,MATCH(LARGE('V_Dengeli Değişken'!$AD$2:$AD$29,ROW()-3),'V_Dengeli Değişken'!$AD$2:$AD$29,0))</f>
        <v>0.21679999999999999</v>
      </c>
      <c r="V23" s="8">
        <f>INDEX('V_Dengeli Değişken'!U$2:U$29,MATCH(LARGE('V_Dengeli Değişken'!$AD$2:$AD$29,ROW()-3),'V_Dengeli Değişken'!$AD$2:$AD$29,0))</f>
        <v>8.6E-3</v>
      </c>
      <c r="W23" s="8">
        <f>INDEX('V_Dengeli Değişken'!V$2:V$29,MATCH(LARGE('V_Dengeli Değişken'!$AD$2:$AD$29,ROW()-3),'V_Dengeli Değişken'!$AD$2:$AD$29,0))</f>
        <v>0.26540000000000002</v>
      </c>
      <c r="X23" s="8">
        <f>INDEX('V_Dengeli Değişken'!W$2:W$29,MATCH(LARGE('V_Dengeli Değişken'!$AD$2:$AD$29,ROW()-3),'V_Dengeli Değişken'!$AD$2:$AD$29,0))</f>
        <v>2.5000000000000001E-3</v>
      </c>
      <c r="Y23" s="8">
        <f>INDEX('V_Dengeli Değişken'!X$2:X$29,MATCH(LARGE('V_Dengeli Değişken'!$AD$2:$AD$29,ROW()-3),'V_Dengeli Değişken'!$AD$2:$AD$29,0))</f>
        <v>4.0000000000000001E-3</v>
      </c>
      <c r="Z23" s="8">
        <f>INDEX('V_Dengeli Değişken'!Y$2:Y$29,MATCH(LARGE('V_Dengeli Değişken'!$AD$2:$AD$29,ROW()-3),'V_Dengeli Değişken'!$AD$2:$AD$29,0))</f>
        <v>0</v>
      </c>
      <c r="AA23" s="8">
        <f>INDEX('V_Dengeli Değişken'!Z$2:Z$29,MATCH(LARGE('V_Dengeli Değişken'!$AD$2:$AD$29,ROW()-3),'V_Dengeli Değişken'!$AD$2:$AD$29,0))</f>
        <v>2.7000000000000001E-3</v>
      </c>
      <c r="AB23" s="8">
        <f>INDEX('V_Dengeli Değişken'!AA$2:AA$29,MATCH(LARGE('V_Dengeli Değişken'!$AD$2:$AD$29,ROW()-3),'V_Dengeli Değişken'!$AD$2:$AD$29,0))</f>
        <v>5.9999999999999995E-4</v>
      </c>
      <c r="AC23" s="8">
        <f>INDEX('V_Dengeli Değişken'!AB$2:AB$29,MATCH(LARGE('V_Dengeli Değişken'!$AD$2:$AD$29,ROW()-3),'V_Dengeli Değişken'!$AD$2:$AD$29,0))</f>
        <v>0.50059999999999993</v>
      </c>
    </row>
    <row r="24" spans="1:29" x14ac:dyDescent="0.2">
      <c r="A24">
        <v>21</v>
      </c>
      <c r="B24" s="5" t="str">
        <f>INDEX('V_Dengeli Değişken'!A$2:A$29,MATCH(LARGE('V_Dengeli Değişken'!$AD$2:$AD$29,ROW()-3),'V_Dengeli Değişken'!$AD$2:$AD$29,0))</f>
        <v>DGF</v>
      </c>
      <c r="C24" s="5" t="str">
        <f>INDEX('V_Dengeli Değişken'!B$2:B$29,MATCH(LARGE('V_Dengeli Değişken'!$AD$2:$AD$29,ROW()-3),'V_Dengeli Değişken'!$AD$2:$AD$29,0))</f>
        <v>A1 Capital Portföy Değişken Fon</v>
      </c>
      <c r="D24" s="5" t="str">
        <f>INDEX('V_Dengeli Değişken'!C$2:C$29,MATCH(LARGE('V_Dengeli Değişken'!$AD$2:$AD$29,ROW()-3),'V_Dengeli Değişken'!$AD$2:$AD$29,0))</f>
        <v>A1 Capital Portföy</v>
      </c>
      <c r="E24" s="8">
        <f>INDEX('V_Dengeli Değişken'!D$2:D$29,MATCH(LARGE('V_Dengeli Değişken'!$AD$2:$AD$29,ROW()-3),'V_Dengeli Değişken'!$AD$2:$AD$29,0))</f>
        <v>1.9E-2</v>
      </c>
      <c r="F24" s="9">
        <f>INDEX('V_Dengeli Değişken'!E$2:E$29,MATCH(LARGE('V_Dengeli Değişken'!$AD$2:$AD$29,ROW()-3),'V_Dengeli Değişken'!$AD$2:$AD$29,0))</f>
        <v>-0.41450556590221233</v>
      </c>
      <c r="G24" s="9">
        <f>INDEX('V_Dengeli Değişken'!F$2:F$29,MATCH(LARGE('V_Dengeli Değişken'!$AD$2:$AD$29,ROW()-3),'V_Dengeli Değişken'!$AD$2:$AD$29,0))</f>
        <v>-2.176967379955808</v>
      </c>
      <c r="H24" s="9">
        <f>INDEX('V_Dengeli Değişken'!G$2:G$29,MATCH(LARGE('V_Dengeli Değişken'!$AD$2:$AD$29,ROW()-3),'V_Dengeli Değişken'!$AD$2:$AD$29,0))</f>
        <v>-1.123186476981985</v>
      </c>
      <c r="I24" s="9">
        <f>INDEX('V_Dengeli Değişken'!H$2:H$29,MATCH(LARGE('V_Dengeli Değişken'!$AD$2:$AD$29,ROW()-3),'V_Dengeli Değişken'!$AD$2:$AD$29,0))</f>
        <v>-1.661016526853609</v>
      </c>
      <c r="J24" s="9">
        <f>INDEX('V_Dengeli Değişken'!I$2:I$29,MATCH(LARGE('V_Dengeli Değişken'!$AD$2:$AD$29,ROW()-3),'V_Dengeli Değişken'!$AD$2:$AD$29,0))</f>
        <v>12.860350840822351</v>
      </c>
      <c r="K24" s="9" t="str">
        <f>INDEX('V_Dengeli Değişken'!J$2:J$29,MATCH(LARGE('V_Dengeli Değişken'!$AD$2:$AD$29,ROW()-3),'V_Dengeli Değişken'!$AD$2:$AD$29,0))</f>
        <v>-</v>
      </c>
      <c r="L24" s="10">
        <f>INDEX('V_Dengeli Değişken'!K$2:K$29,MATCH(LARGE('V_Dengeli Değişken'!$AD$2:$AD$29,ROW()-3),'V_Dengeli Değişken'!$AD$2:$AD$29,0))</f>
        <v>187</v>
      </c>
      <c r="M24" s="10">
        <f>INDEX('V_Dengeli Değişken'!L$2:L$29,MATCH(LARGE('V_Dengeli Değişken'!$AD$2:$AD$29,ROW()-3),'V_Dengeli Değişken'!$AD$2:$AD$29,0))</f>
        <v>160</v>
      </c>
      <c r="N24" s="8">
        <f>INDEX('V_Dengeli Değişken'!M$2:M$29,MATCH(LARGE('V_Dengeli Değişken'!$AD$2:$AD$29,ROW()-3),'V_Dengeli Değişken'!$AD$2:$AD$29,0))</f>
        <v>-0.14438502673796791</v>
      </c>
      <c r="O24" s="11">
        <f>INDEX('V_Dengeli Değişken'!N$2:N$29,MATCH(LARGE('V_Dengeli Değişken'!$AD$2:$AD$29,ROW()-3),'V_Dengeli Değişken'!$AD$2:$AD$29,0))</f>
        <v>18152402.489999998</v>
      </c>
      <c r="P24" s="11">
        <f>INDEX('V_Dengeli Değişken'!O$2:O$29,MATCH(LARGE('V_Dengeli Değişken'!$AD$2:$AD$29,ROW()-3),'V_Dengeli Değişken'!$AD$2:$AD$29,0))</f>
        <v>14323254.42</v>
      </c>
      <c r="Q24" s="8">
        <f>INDEX('V_Dengeli Değişken'!P$2:P$29,MATCH(LARGE('V_Dengeli Değişken'!$AD$2:$AD$29,ROW()-3),'V_Dengeli Değişken'!$AD$2:$AD$29,0))</f>
        <v>-0.21094442303763611</v>
      </c>
      <c r="R24" s="9">
        <f>INDEX('V_Dengeli Değişken'!Q$2:Q$29,MATCH(LARGE('V_Dengeli Değişken'!$AD$2:$AD$29,ROW()-3),'V_Dengeli Değişken'!$AD$2:$AD$29,0))</f>
        <v>0.69249611825167967</v>
      </c>
      <c r="S24" s="5" t="str">
        <f>INDEX('V_Dengeli Değişken'!R$2:R$29,MATCH(LARGE('V_Dengeli Değişken'!$AD$2:$AD$29,ROW()-3),'V_Dengeli Değişken'!$AD$2:$AD$29,0))</f>
        <v>Görüyor</v>
      </c>
      <c r="T24" s="8">
        <f>INDEX('V_Dengeli Değişken'!S$2:S$29,MATCH(LARGE('V_Dengeli Değişken'!$AD$2:$AD$29,ROW()-3),'V_Dengeli Değişken'!$AD$2:$AD$29,0))</f>
        <v>0</v>
      </c>
      <c r="U24" s="8">
        <f>INDEX('V_Dengeli Değişken'!T$2:T$29,MATCH(LARGE('V_Dengeli Değişken'!$AD$2:$AD$29,ROW()-3),'V_Dengeli Değişken'!$AD$2:$AD$29,0))</f>
        <v>0.33329999999999999</v>
      </c>
      <c r="V24" s="8">
        <f>INDEX('V_Dengeli Değişken'!U$2:U$29,MATCH(LARGE('V_Dengeli Değişken'!$AD$2:$AD$29,ROW()-3),'V_Dengeli Değişken'!$AD$2:$AD$29,0))</f>
        <v>0</v>
      </c>
      <c r="W24" s="8">
        <f>INDEX('V_Dengeli Değişken'!V$2:V$29,MATCH(LARGE('V_Dengeli Değişken'!$AD$2:$AD$29,ROW()-3),'V_Dengeli Değişken'!$AD$2:$AD$29,0))</f>
        <v>0.44659999999999989</v>
      </c>
      <c r="X24" s="8">
        <f>INDEX('V_Dengeli Değişken'!W$2:W$29,MATCH(LARGE('V_Dengeli Değişken'!$AD$2:$AD$29,ROW()-3),'V_Dengeli Değişken'!$AD$2:$AD$29,0))</f>
        <v>7.2499999999999995E-2</v>
      </c>
      <c r="Y24" s="8">
        <f>INDEX('V_Dengeli Değişken'!X$2:X$29,MATCH(LARGE('V_Dengeli Değişken'!$AD$2:$AD$29,ROW()-3),'V_Dengeli Değişken'!$AD$2:$AD$29,0))</f>
        <v>5.7099999999999998E-2</v>
      </c>
      <c r="Z24" s="8">
        <f>INDEX('V_Dengeli Değişken'!Y$2:Y$29,MATCH(LARGE('V_Dengeli Değişken'!$AD$2:$AD$29,ROW()-3),'V_Dengeli Değişken'!$AD$2:$AD$29,0))</f>
        <v>0</v>
      </c>
      <c r="AA24" s="8">
        <f>INDEX('V_Dengeli Değişken'!Z$2:Z$29,MATCH(LARGE('V_Dengeli Değişken'!$AD$2:$AD$29,ROW()-3),'V_Dengeli Değişken'!$AD$2:$AD$29,0))</f>
        <v>9.0500000000000011E-2</v>
      </c>
      <c r="AB24" s="8">
        <f>INDEX('V_Dengeli Değişken'!AA$2:AA$29,MATCH(LARGE('V_Dengeli Değişken'!$AD$2:$AD$29,ROW()-3),'V_Dengeli Değişken'!$AD$2:$AD$29,0))</f>
        <v>0</v>
      </c>
      <c r="AC24" s="8">
        <f>INDEX('V_Dengeli Değişken'!AB$2:AB$29,MATCH(LARGE('V_Dengeli Değişken'!$AD$2:$AD$29,ROW()-3),'V_Dengeli Değişken'!$AD$2:$AD$29,0))</f>
        <v>0.99999999999999989</v>
      </c>
    </row>
    <row r="25" spans="1:29" x14ac:dyDescent="0.2">
      <c r="A25">
        <v>22</v>
      </c>
      <c r="B25" s="5" t="str">
        <f>INDEX('V_Dengeli Değişken'!A$2:A$29,MATCH(LARGE('V_Dengeli Değişken'!$AD$2:$AD$29,ROW()-3),'V_Dengeli Değişken'!$AD$2:$AD$29,0))</f>
        <v>RIK</v>
      </c>
      <c r="C25" s="5" t="str">
        <f>INDEX('V_Dengeli Değişken'!B$2:B$29,MATCH(LARGE('V_Dengeli Değişken'!$AD$2:$AD$29,ROW()-3),'V_Dengeli Değişken'!$AD$2:$AD$29,0))</f>
        <v>Re-pıe Portföy İkinci Değişken Fon</v>
      </c>
      <c r="D25" s="5" t="str">
        <f>INDEX('V_Dengeli Değişken'!C$2:C$29,MATCH(LARGE('V_Dengeli Değişken'!$AD$2:$AD$29,ROW()-3),'V_Dengeli Değişken'!$AD$2:$AD$29,0))</f>
        <v>Re-pıe Portföy</v>
      </c>
      <c r="E25" s="8">
        <f>INDEX('V_Dengeli Değişken'!D$2:D$29,MATCH(LARGE('V_Dengeli Değişken'!$AD$2:$AD$29,ROW()-3),'V_Dengeli Değişken'!$AD$2:$AD$29,0))</f>
        <v>1.4999999999999999E-2</v>
      </c>
      <c r="F25" s="9">
        <f>INDEX('V_Dengeli Değişken'!E$2:E$29,MATCH(LARGE('V_Dengeli Değişken'!$AD$2:$AD$29,ROW()-3),'V_Dengeli Değişken'!$AD$2:$AD$29,0))</f>
        <v>-0.51260781396358368</v>
      </c>
      <c r="G25" s="9">
        <f>INDEX('V_Dengeli Değişken'!F$2:F$29,MATCH(LARGE('V_Dengeli Değişken'!$AD$2:$AD$29,ROW()-3),'V_Dengeli Değişken'!$AD$2:$AD$29,0))</f>
        <v>-0.87892300817492552</v>
      </c>
      <c r="H25" s="9">
        <f>INDEX('V_Dengeli Değişken'!G$2:G$29,MATCH(LARGE('V_Dengeli Değişken'!$AD$2:$AD$29,ROW()-3),'V_Dengeli Değişken'!$AD$2:$AD$29,0))</f>
        <v>1.1550289619598471</v>
      </c>
      <c r="I25" s="9">
        <f>INDEX('V_Dengeli Değişken'!H$2:H$29,MATCH(LARGE('V_Dengeli Değişken'!$AD$2:$AD$29,ROW()-3),'V_Dengeli Değişken'!$AD$2:$AD$29,0))</f>
        <v>-0.30330571322519928</v>
      </c>
      <c r="J25" s="9">
        <f>INDEX('V_Dengeli Değişken'!I$2:I$29,MATCH(LARGE('V_Dengeli Değişken'!$AD$2:$AD$29,ROW()-3),'V_Dengeli Değişken'!$AD$2:$AD$29,0))</f>
        <v>19.960938852101531</v>
      </c>
      <c r="K25" s="9">
        <f>INDEX('V_Dengeli Değişken'!J$2:J$29,MATCH(LARGE('V_Dengeli Değişken'!$AD$2:$AD$29,ROW()-3),'V_Dengeli Değişken'!$AD$2:$AD$29,0))</f>
        <v>47.507927545088279</v>
      </c>
      <c r="L25" s="10">
        <f>INDEX('V_Dengeli Değişken'!K$2:K$29,MATCH(LARGE('V_Dengeli Değişken'!$AD$2:$AD$29,ROW()-3),'V_Dengeli Değişken'!$AD$2:$AD$29,0))</f>
        <v>6012</v>
      </c>
      <c r="M25" s="10">
        <f>INDEX('V_Dengeli Değişken'!L$2:L$29,MATCH(LARGE('V_Dengeli Değişken'!$AD$2:$AD$29,ROW()-3),'V_Dengeli Değişken'!$AD$2:$AD$29,0))</f>
        <v>5180</v>
      </c>
      <c r="N25" s="8">
        <f>INDEX('V_Dengeli Değişken'!M$2:M$29,MATCH(LARGE('V_Dengeli Değişken'!$AD$2:$AD$29,ROW()-3),'V_Dengeli Değişken'!$AD$2:$AD$29,0))</f>
        <v>-0.1383898868928809</v>
      </c>
      <c r="O25" s="11">
        <f>INDEX('V_Dengeli Değişken'!N$2:N$29,MATCH(LARGE('V_Dengeli Değişken'!$AD$2:$AD$29,ROW()-3),'V_Dengeli Değişken'!$AD$2:$AD$29,0))</f>
        <v>1218416502.79</v>
      </c>
      <c r="P25" s="11">
        <f>INDEX('V_Dengeli Değişken'!O$2:O$29,MATCH(LARGE('V_Dengeli Değişken'!$AD$2:$AD$29,ROW()-3),'V_Dengeli Değişken'!$AD$2:$AD$29,0))</f>
        <v>983744052.88999999</v>
      </c>
      <c r="Q25" s="8">
        <f>INDEX('V_Dengeli Değişken'!P$2:P$29,MATCH(LARGE('V_Dengeli Değişken'!$AD$2:$AD$29,ROW()-3),'V_Dengeli Değişken'!$AD$2:$AD$29,0))</f>
        <v>-0.19260445780456309</v>
      </c>
      <c r="R25" s="9">
        <f>INDEX('V_Dengeli Değişken'!Q$2:Q$29,MATCH(LARGE('V_Dengeli Değişken'!$AD$2:$AD$29,ROW()-3),'V_Dengeli Değişken'!$AD$2:$AD$29,0))</f>
        <v>0.82567693261269748</v>
      </c>
      <c r="S25" s="5" t="str">
        <f>INDEX('V_Dengeli Değişken'!R$2:R$29,MATCH(LARGE('V_Dengeli Değişken'!$AD$2:$AD$29,ROW()-3),'V_Dengeli Değişken'!$AD$2:$AD$29,0))</f>
        <v>Görüyor</v>
      </c>
      <c r="T25" s="8">
        <f>INDEX('V_Dengeli Değişken'!S$2:S$29,MATCH(LARGE('V_Dengeli Değişken'!$AD$2:$AD$29,ROW()-3),'V_Dengeli Değişken'!$AD$2:$AD$29,0))</f>
        <v>0</v>
      </c>
      <c r="U25" s="8">
        <f>INDEX('V_Dengeli Değişken'!T$2:T$29,MATCH(LARGE('V_Dengeli Değişken'!$AD$2:$AD$29,ROW()-3),'V_Dengeli Değişken'!$AD$2:$AD$29,0))</f>
        <v>1.37E-2</v>
      </c>
      <c r="V25" s="8">
        <f>INDEX('V_Dengeli Değişken'!U$2:U$29,MATCH(LARGE('V_Dengeli Değişken'!$AD$2:$AD$29,ROW()-3),'V_Dengeli Değişken'!$AD$2:$AD$29,0))</f>
        <v>0</v>
      </c>
      <c r="W25" s="8">
        <f>INDEX('V_Dengeli Değişken'!V$2:V$29,MATCH(LARGE('V_Dengeli Değişken'!$AD$2:$AD$29,ROW()-3),'V_Dengeli Değişken'!$AD$2:$AD$29,0))</f>
        <v>0.1739</v>
      </c>
      <c r="X25" s="8">
        <f>INDEX('V_Dengeli Değişken'!W$2:W$29,MATCH(LARGE('V_Dengeli Değişken'!$AD$2:$AD$29,ROW()-3),'V_Dengeli Değişken'!$AD$2:$AD$29,0))</f>
        <v>6.0900000000000003E-2</v>
      </c>
      <c r="Y25" s="8">
        <f>INDEX('V_Dengeli Değişken'!X$2:X$29,MATCH(LARGE('V_Dengeli Değişken'!$AD$2:$AD$29,ROW()-3),'V_Dengeli Değişken'!$AD$2:$AD$29,0))</f>
        <v>0.1396</v>
      </c>
      <c r="Z25" s="8">
        <f>INDEX('V_Dengeli Değişken'!Y$2:Y$29,MATCH(LARGE('V_Dengeli Değişken'!$AD$2:$AD$29,ROW()-3),'V_Dengeli Değişken'!$AD$2:$AD$29,0))</f>
        <v>9.6999999999999989E-2</v>
      </c>
      <c r="AA25" s="8">
        <f>INDEX('V_Dengeli Değişken'!Z$2:Z$29,MATCH(LARGE('V_Dengeli Değişken'!$AD$2:$AD$29,ROW()-3),'V_Dengeli Değişken'!$AD$2:$AD$29,0))</f>
        <v>0.18679999999999999</v>
      </c>
      <c r="AB25" s="8">
        <f>INDEX('V_Dengeli Değişken'!AA$2:AA$29,MATCH(LARGE('V_Dengeli Değişken'!$AD$2:$AD$29,ROW()-3),'V_Dengeli Değişken'!$AD$2:$AD$29,0))</f>
        <v>8.0000000000000002E-3</v>
      </c>
      <c r="AC25" s="8">
        <f>INDEX('V_Dengeli Değişken'!AB$2:AB$29,MATCH(LARGE('V_Dengeli Değişken'!$AD$2:$AD$29,ROW()-3),'V_Dengeli Değişken'!$AD$2:$AD$29,0))</f>
        <v>0.67989999999999995</v>
      </c>
    </row>
    <row r="26" spans="1:29" x14ac:dyDescent="0.2">
      <c r="A26">
        <v>23</v>
      </c>
      <c r="B26" s="5" t="str">
        <f>INDEX('V_Dengeli Değişken'!A$2:A$29,MATCH(LARGE('V_Dengeli Değişken'!$AD$2:$AD$29,ROW()-3),'V_Dengeli Değişken'!$AD$2:$AD$29,0))</f>
        <v>OPL</v>
      </c>
      <c r="C26" s="5" t="str">
        <f>INDEX('V_Dengeli Değişken'!B$2:B$29,MATCH(LARGE('V_Dengeli Değişken'!$AD$2:$AD$29,ROW()-3),'V_Dengeli Değişken'!$AD$2:$AD$29,0))</f>
        <v>Osmanlı Portföy İkinci Değişken Fon</v>
      </c>
      <c r="D26" s="5" t="str">
        <f>INDEX('V_Dengeli Değişken'!C$2:C$29,MATCH(LARGE('V_Dengeli Değişken'!$AD$2:$AD$29,ROW()-3),'V_Dengeli Değişken'!$AD$2:$AD$29,0))</f>
        <v>Osmanlı Portföy</v>
      </c>
      <c r="E26" s="8">
        <f>INDEX('V_Dengeli Değişken'!D$2:D$29,MATCH(LARGE('V_Dengeli Değişken'!$AD$2:$AD$29,ROW()-3),'V_Dengeli Değişken'!$AD$2:$AD$29,0))</f>
        <v>1.4E-2</v>
      </c>
      <c r="F26" s="9">
        <f>INDEX('V_Dengeli Değişken'!E$2:E$29,MATCH(LARGE('V_Dengeli Değişken'!$AD$2:$AD$29,ROW()-3),'V_Dengeli Değişken'!$AD$2:$AD$29,0))</f>
        <v>-0.52531163221430921</v>
      </c>
      <c r="G26" s="9">
        <f>INDEX('V_Dengeli Değişken'!F$2:F$29,MATCH(LARGE('V_Dengeli Değişken'!$AD$2:$AD$29,ROW()-3),'V_Dengeli Değişken'!$AD$2:$AD$29,0))</f>
        <v>-0.46191084081663719</v>
      </c>
      <c r="H26" s="9">
        <f>INDEX('V_Dengeli Değişken'!G$2:G$29,MATCH(LARGE('V_Dengeli Değişken'!$AD$2:$AD$29,ROW()-3),'V_Dengeli Değişken'!$AD$2:$AD$29,0))</f>
        <v>2.652172691841681</v>
      </c>
      <c r="I26" s="9">
        <f>INDEX('V_Dengeli Değişken'!H$2:H$29,MATCH(LARGE('V_Dengeli Değişken'!$AD$2:$AD$29,ROW()-3),'V_Dengeli Değişken'!$AD$2:$AD$29,0))</f>
        <v>1.9345462121619581</v>
      </c>
      <c r="J26" s="9">
        <f>INDEX('V_Dengeli Değişken'!I$2:I$29,MATCH(LARGE('V_Dengeli Değişken'!$AD$2:$AD$29,ROW()-3),'V_Dengeli Değişken'!$AD$2:$AD$29,0))</f>
        <v>10.486108539573991</v>
      </c>
      <c r="K26" s="9">
        <f>INDEX('V_Dengeli Değişken'!J$2:J$29,MATCH(LARGE('V_Dengeli Değişken'!$AD$2:$AD$29,ROW()-3),'V_Dengeli Değişken'!$AD$2:$AD$29,0))</f>
        <v>40.412351473282293</v>
      </c>
      <c r="L26" s="10">
        <f>INDEX('V_Dengeli Değişken'!K$2:K$29,MATCH(LARGE('V_Dengeli Değişken'!$AD$2:$AD$29,ROW()-3),'V_Dengeli Değişken'!$AD$2:$AD$29,0))</f>
        <v>687</v>
      </c>
      <c r="M26" s="10">
        <f>INDEX('V_Dengeli Değişken'!L$2:L$29,MATCH(LARGE('V_Dengeli Değişken'!$AD$2:$AD$29,ROW()-3),'V_Dengeli Değişken'!$AD$2:$AD$29,0))</f>
        <v>583</v>
      </c>
      <c r="N26" s="8">
        <f>INDEX('V_Dengeli Değişken'!M$2:M$29,MATCH(LARGE('V_Dengeli Değişken'!$AD$2:$AD$29,ROW()-3),'V_Dengeli Değişken'!$AD$2:$AD$29,0))</f>
        <v>-0.1513828238719068</v>
      </c>
      <c r="O26" s="11">
        <f>INDEX('V_Dengeli Değişken'!N$2:N$29,MATCH(LARGE('V_Dengeli Değişken'!$AD$2:$AD$29,ROW()-3),'V_Dengeli Değişken'!$AD$2:$AD$29,0))</f>
        <v>53771861.630000003</v>
      </c>
      <c r="P26" s="11">
        <f>INDEX('V_Dengeli Değişken'!O$2:O$29,MATCH(LARGE('V_Dengeli Değişken'!$AD$2:$AD$29,ROW()-3),'V_Dengeli Değişken'!$AD$2:$AD$29,0))</f>
        <v>42751054.780000001</v>
      </c>
      <c r="Q26" s="8">
        <f>INDEX('V_Dengeli Değişken'!P$2:P$29,MATCH(LARGE('V_Dengeli Değişken'!$AD$2:$AD$29,ROW()-3),'V_Dengeli Değişken'!$AD$2:$AD$29,0))</f>
        <v>-0.20495490607770511</v>
      </c>
      <c r="R26" s="9">
        <f>INDEX('V_Dengeli Değişken'!Q$2:Q$29,MATCH(LARGE('V_Dengeli Değişken'!$AD$2:$AD$29,ROW()-3),'V_Dengeli Değişken'!$AD$2:$AD$29,0))</f>
        <v>0.86485137408746982</v>
      </c>
      <c r="S26" s="5" t="str">
        <f>INDEX('V_Dengeli Değişken'!R$2:R$29,MATCH(LARGE('V_Dengeli Değişken'!$AD$2:$AD$29,ROW()-3),'V_Dengeli Değişken'!$AD$2:$AD$29,0))</f>
        <v>Görüyor</v>
      </c>
      <c r="T26" s="8">
        <f>INDEX('V_Dengeli Değişken'!S$2:S$29,MATCH(LARGE('V_Dengeli Değişken'!$AD$2:$AD$29,ROW()-3),'V_Dengeli Değişken'!$AD$2:$AD$29,0))</f>
        <v>7.000000000000001E-4</v>
      </c>
      <c r="U26" s="8">
        <f>INDEX('V_Dengeli Değişken'!T$2:T$29,MATCH(LARGE('V_Dengeli Değişken'!$AD$2:$AD$29,ROW()-3),'V_Dengeli Değişken'!$AD$2:$AD$29,0))</f>
        <v>0</v>
      </c>
      <c r="V26" s="8">
        <f>INDEX('V_Dengeli Değişken'!U$2:U$29,MATCH(LARGE('V_Dengeli Değişken'!$AD$2:$AD$29,ROW()-3),'V_Dengeli Değişken'!$AD$2:$AD$29,0))</f>
        <v>0</v>
      </c>
      <c r="W26" s="8">
        <f>INDEX('V_Dengeli Değişken'!V$2:V$29,MATCH(LARGE('V_Dengeli Değişken'!$AD$2:$AD$29,ROW()-3),'V_Dengeli Değişken'!$AD$2:$AD$29,0))</f>
        <v>1E-4</v>
      </c>
      <c r="X26" s="8">
        <f>INDEX('V_Dengeli Değişken'!W$2:W$29,MATCH(LARGE('V_Dengeli Değişken'!$AD$2:$AD$29,ROW()-3),'V_Dengeli Değişken'!$AD$2:$AD$29,0))</f>
        <v>4.1599999999999998E-2</v>
      </c>
      <c r="Y26" s="8">
        <f>INDEX('V_Dengeli Değişken'!X$2:X$29,MATCH(LARGE('V_Dengeli Değişken'!$AD$2:$AD$29,ROW()-3),'V_Dengeli Değişken'!$AD$2:$AD$29,0))</f>
        <v>3.8899999999999997E-2</v>
      </c>
      <c r="Z26" s="8">
        <f>INDEX('V_Dengeli Değişken'!Y$2:Y$29,MATCH(LARGE('V_Dengeli Değişken'!$AD$2:$AD$29,ROW()-3),'V_Dengeli Değişken'!$AD$2:$AD$29,0))</f>
        <v>1.49E-2</v>
      </c>
      <c r="AA26" s="8">
        <f>INDEX('V_Dengeli Değişken'!Z$2:Z$29,MATCH(LARGE('V_Dengeli Değişken'!$AD$2:$AD$29,ROW()-3),'V_Dengeli Değişken'!$AD$2:$AD$29,0))</f>
        <v>0.1268</v>
      </c>
      <c r="AB26" s="8">
        <f>INDEX('V_Dengeli Değişken'!AA$2:AA$29,MATCH(LARGE('V_Dengeli Değişken'!$AD$2:$AD$29,ROW()-3),'V_Dengeli Değişken'!$AD$2:$AD$29,0))</f>
        <v>0</v>
      </c>
      <c r="AC26" s="8">
        <f>INDEX('V_Dengeli Değişken'!AB$2:AB$29,MATCH(LARGE('V_Dengeli Değişken'!$AD$2:$AD$29,ROW()-3),'V_Dengeli Değişken'!$AD$2:$AD$29,0))</f>
        <v>0.223</v>
      </c>
    </row>
    <row r="27" spans="1:29" x14ac:dyDescent="0.2">
      <c r="A27">
        <v>24</v>
      </c>
      <c r="B27" s="5" t="str">
        <f>INDEX('V_Dengeli Değişken'!A$2:A$29,MATCH(LARGE('V_Dengeli Değişken'!$AD$2:$AD$29,ROW()-3),'V_Dengeli Değişken'!$AD$2:$AD$29,0))</f>
        <v>HVU</v>
      </c>
      <c r="C27" s="5" t="str">
        <f>INDEX('V_Dengeli Değişken'!B$2:B$29,MATCH(LARGE('V_Dengeli Değişken'!$AD$2:$AD$29,ROW()-3),'V_Dengeli Değişken'!$AD$2:$AD$29,0))</f>
        <v>Allbatross Portföy Birinci Değişken Fon</v>
      </c>
      <c r="D27" s="5" t="str">
        <f>INDEX('V_Dengeli Değişken'!C$2:C$29,MATCH(LARGE('V_Dengeli Değişken'!$AD$2:$AD$29,ROW()-3),'V_Dengeli Değişken'!$AD$2:$AD$29,0))</f>
        <v>Allbatross Portföy</v>
      </c>
      <c r="E27" s="8">
        <f>INDEX('V_Dengeli Değişken'!D$2:D$29,MATCH(LARGE('V_Dengeli Değişken'!$AD$2:$AD$29,ROW()-3),'V_Dengeli Değişken'!$AD$2:$AD$29,0))</f>
        <v>2.1000000000000001E-2</v>
      </c>
      <c r="F27" s="9">
        <f>INDEX('V_Dengeli Değişken'!E$2:E$29,MATCH(LARGE('V_Dengeli Değişken'!$AD$2:$AD$29,ROW()-3),'V_Dengeli Değişken'!$AD$2:$AD$29,0))</f>
        <v>-0.52547772676896365</v>
      </c>
      <c r="G27" s="9">
        <f>INDEX('V_Dengeli Değişken'!F$2:F$29,MATCH(LARGE('V_Dengeli Değişken'!$AD$2:$AD$29,ROW()-3),'V_Dengeli Değişken'!$AD$2:$AD$29,0))</f>
        <v>1.5891033533714789</v>
      </c>
      <c r="H27" s="9">
        <f>INDEX('V_Dengeli Değişken'!G$2:G$29,MATCH(LARGE('V_Dengeli Değişken'!$AD$2:$AD$29,ROW()-3),'V_Dengeli Değişken'!$AD$2:$AD$29,0))</f>
        <v>3.788357372756868</v>
      </c>
      <c r="I27" s="9">
        <f>INDEX('V_Dengeli Değişken'!H$2:H$29,MATCH(LARGE('V_Dengeli Değişken'!$AD$2:$AD$29,ROW()-3),'V_Dengeli Değişken'!$AD$2:$AD$29,0))</f>
        <v>1.797221051439801</v>
      </c>
      <c r="J27" s="9">
        <f>INDEX('V_Dengeli Değişken'!I$2:I$29,MATCH(LARGE('V_Dengeli Değişken'!$AD$2:$AD$29,ROW()-3),'V_Dengeli Değişken'!$AD$2:$AD$29,0))</f>
        <v>17.88378035728018</v>
      </c>
      <c r="K27" s="9">
        <f>INDEX('V_Dengeli Değişken'!J$2:J$29,MATCH(LARGE('V_Dengeli Değişken'!$AD$2:$AD$29,ROW()-3),'V_Dengeli Değişken'!$AD$2:$AD$29,0))</f>
        <v>31.91764556509635</v>
      </c>
      <c r="L27" s="10">
        <f>INDEX('V_Dengeli Değişken'!K$2:K$29,MATCH(LARGE('V_Dengeli Değişken'!$AD$2:$AD$29,ROW()-3),'V_Dengeli Değişken'!$AD$2:$AD$29,0))</f>
        <v>869</v>
      </c>
      <c r="M27" s="10">
        <f>INDEX('V_Dengeli Değişken'!L$2:L$29,MATCH(LARGE('V_Dengeli Değişken'!$AD$2:$AD$29,ROW()-3),'V_Dengeli Değişken'!$AD$2:$AD$29,0))</f>
        <v>831</v>
      </c>
      <c r="N27" s="8">
        <f>INDEX('V_Dengeli Değişken'!M$2:M$29,MATCH(LARGE('V_Dengeli Değişken'!$AD$2:$AD$29,ROW()-3),'V_Dengeli Değişken'!$AD$2:$AD$29,0))</f>
        <v>-4.372842347525896E-2</v>
      </c>
      <c r="O27" s="11">
        <f>INDEX('V_Dengeli Değişken'!N$2:N$29,MATCH(LARGE('V_Dengeli Değişken'!$AD$2:$AD$29,ROW()-3),'V_Dengeli Değişken'!$AD$2:$AD$29,0))</f>
        <v>20222693.57</v>
      </c>
      <c r="P27" s="11">
        <f>INDEX('V_Dengeli Değişken'!O$2:O$29,MATCH(LARGE('V_Dengeli Değişken'!$AD$2:$AD$29,ROW()-3),'V_Dengeli Değişken'!$AD$2:$AD$29,0))</f>
        <v>18683325.079999998</v>
      </c>
      <c r="Q27" s="8">
        <f>INDEX('V_Dengeli Değişken'!P$2:P$29,MATCH(LARGE('V_Dengeli Değişken'!$AD$2:$AD$29,ROW()-3),'V_Dengeli Değişken'!$AD$2:$AD$29,0))</f>
        <v>-7.6120843381794923E-2</v>
      </c>
      <c r="R27" s="9">
        <f>INDEX('V_Dengeli Değişken'!Q$2:Q$29,MATCH(LARGE('V_Dengeli Değişken'!$AD$2:$AD$29,ROW()-3),'V_Dengeli Değişken'!$AD$2:$AD$29,0))</f>
        <v>0.63684011934036477</v>
      </c>
      <c r="S27" s="5" t="str">
        <f>INDEX('V_Dengeli Değişken'!R$2:R$29,MATCH(LARGE('V_Dengeli Değişken'!$AD$2:$AD$29,ROW()-3),'V_Dengeli Değişken'!$AD$2:$AD$29,0))</f>
        <v>Görüyor</v>
      </c>
      <c r="T27" s="8">
        <f>INDEX('V_Dengeli Değişken'!S$2:S$29,MATCH(LARGE('V_Dengeli Değişken'!$AD$2:$AD$29,ROW()-3),'V_Dengeli Değişken'!$AD$2:$AD$29,0))</f>
        <v>0</v>
      </c>
      <c r="U27" s="8">
        <f>INDEX('V_Dengeli Değişken'!T$2:T$29,MATCH(LARGE('V_Dengeli Değişken'!$AD$2:$AD$29,ROW()-3),'V_Dengeli Değişken'!$AD$2:$AD$29,0))</f>
        <v>0.16839999999999999</v>
      </c>
      <c r="V27" s="8">
        <f>INDEX('V_Dengeli Değişken'!U$2:U$29,MATCH(LARGE('V_Dengeli Değişken'!$AD$2:$AD$29,ROW()-3),'V_Dengeli Değişken'!$AD$2:$AD$29,0))</f>
        <v>0</v>
      </c>
      <c r="W27" s="8">
        <f>INDEX('V_Dengeli Değişken'!V$2:V$29,MATCH(LARGE('V_Dengeli Değişken'!$AD$2:$AD$29,ROW()-3),'V_Dengeli Değişken'!$AD$2:$AD$29,0))</f>
        <v>0.35820000000000002</v>
      </c>
      <c r="X27" s="8">
        <f>INDEX('V_Dengeli Değişken'!W$2:W$29,MATCH(LARGE('V_Dengeli Değişken'!$AD$2:$AD$29,ROW()-3),'V_Dengeli Değişken'!$AD$2:$AD$29,0))</f>
        <v>0.105</v>
      </c>
      <c r="Y27" s="8">
        <f>INDEX('V_Dengeli Değişken'!X$2:X$29,MATCH(LARGE('V_Dengeli Değişken'!$AD$2:$AD$29,ROW()-3),'V_Dengeli Değişken'!$AD$2:$AD$29,0))</f>
        <v>0.15840000000000001</v>
      </c>
      <c r="Z27" s="8">
        <f>INDEX('V_Dengeli Değişken'!Y$2:Y$29,MATCH(LARGE('V_Dengeli Değişken'!$AD$2:$AD$29,ROW()-3),'V_Dengeli Değişken'!$AD$2:$AD$29,0))</f>
        <v>0</v>
      </c>
      <c r="AA27" s="8">
        <f>INDEX('V_Dengeli Değişken'!Z$2:Z$29,MATCH(LARGE('V_Dengeli Değişken'!$AD$2:$AD$29,ROW()-3),'V_Dengeli Değişken'!$AD$2:$AD$29,0))</f>
        <v>0.13109999999999999</v>
      </c>
      <c r="AB27" s="8">
        <f>INDEX('V_Dengeli Değişken'!AA$2:AA$29,MATCH(LARGE('V_Dengeli Değişken'!$AD$2:$AD$29,ROW()-3),'V_Dengeli Değişken'!$AD$2:$AD$29,0))</f>
        <v>0</v>
      </c>
      <c r="AC27" s="8">
        <f>INDEX('V_Dengeli Değişken'!AB$2:AB$29,MATCH(LARGE('V_Dengeli Değişken'!$AD$2:$AD$29,ROW()-3),'V_Dengeli Değişken'!$AD$2:$AD$29,0))</f>
        <v>0.92110000000000003</v>
      </c>
    </row>
    <row r="28" spans="1:29" x14ac:dyDescent="0.2">
      <c r="A28">
        <v>25</v>
      </c>
      <c r="B28" s="5" t="str">
        <f>INDEX('V_Dengeli Değişken'!A$2:A$29,MATCH(LARGE('V_Dengeli Değişken'!$AD$2:$AD$29,ROW()-3),'V_Dengeli Değişken'!$AD$2:$AD$29,0))</f>
        <v>IYB</v>
      </c>
      <c r="C28" s="5" t="str">
        <f>INDEX('V_Dengeli Değişken'!B$2:B$29,MATCH(LARGE('V_Dengeli Değişken'!$AD$2:$AD$29,ROW()-3),'V_Dengeli Değişken'!$AD$2:$AD$29,0))</f>
        <v>Aura Portföy Değişken Fonu</v>
      </c>
      <c r="D28" s="5" t="str">
        <f>INDEX('V_Dengeli Değişken'!C$2:C$29,MATCH(LARGE('V_Dengeli Değişken'!$AD$2:$AD$29,ROW()-3),'V_Dengeli Değişken'!$AD$2:$AD$29,0))</f>
        <v>Aura Portföy</v>
      </c>
      <c r="E28" s="8">
        <f>INDEX('V_Dengeli Değişken'!D$2:D$29,MATCH(LARGE('V_Dengeli Değişken'!$AD$2:$AD$29,ROW()-3),'V_Dengeli Değişken'!$AD$2:$AD$29,0))</f>
        <v>2.4E-2</v>
      </c>
      <c r="F28" s="9">
        <f>INDEX('V_Dengeli Değişken'!E$2:E$29,MATCH(LARGE('V_Dengeli Değişken'!$AD$2:$AD$29,ROW()-3),'V_Dengeli Değişken'!$AD$2:$AD$29,0))</f>
        <v>-0.54295463027493884</v>
      </c>
      <c r="G28" s="9">
        <f>INDEX('V_Dengeli Değişken'!F$2:F$29,MATCH(LARGE('V_Dengeli Değişken'!$AD$2:$AD$29,ROW()-3),'V_Dengeli Değişken'!$AD$2:$AD$29,0))</f>
        <v>-1.078455819962798</v>
      </c>
      <c r="H28" s="9">
        <f>INDEX('V_Dengeli Değişken'!G$2:G$29,MATCH(LARGE('V_Dengeli Değişken'!$AD$2:$AD$29,ROW()-3),'V_Dengeli Değişken'!$AD$2:$AD$29,0))</f>
        <v>2.8697799952522418</v>
      </c>
      <c r="I28" s="9">
        <f>INDEX('V_Dengeli Değişken'!H$2:H$29,MATCH(LARGE('V_Dengeli Değişken'!$AD$2:$AD$29,ROW()-3),'V_Dengeli Değişken'!$AD$2:$AD$29,0))</f>
        <v>-0.17194872918218079</v>
      </c>
      <c r="J28" s="9">
        <f>INDEX('V_Dengeli Değişken'!I$2:I$29,MATCH(LARGE('V_Dengeli Değişken'!$AD$2:$AD$29,ROW()-3),'V_Dengeli Değişken'!$AD$2:$AD$29,0))</f>
        <v>24.28743792220158</v>
      </c>
      <c r="K28" s="9">
        <f>INDEX('V_Dengeli Değişken'!J$2:J$29,MATCH(LARGE('V_Dengeli Değişken'!$AD$2:$AD$29,ROW()-3),'V_Dengeli Değişken'!$AD$2:$AD$29,0))</f>
        <v>57.08305794227806</v>
      </c>
      <c r="L28" s="10">
        <f>INDEX('V_Dengeli Değişken'!K$2:K$29,MATCH(LARGE('V_Dengeli Değişken'!$AD$2:$AD$29,ROW()-3),'V_Dengeli Değişken'!$AD$2:$AD$29,0))</f>
        <v>476</v>
      </c>
      <c r="M28" s="10">
        <f>INDEX('V_Dengeli Değişken'!L$2:L$29,MATCH(LARGE('V_Dengeli Değişken'!$AD$2:$AD$29,ROW()-3),'V_Dengeli Değişken'!$AD$2:$AD$29,0))</f>
        <v>417</v>
      </c>
      <c r="N28" s="8">
        <f>INDEX('V_Dengeli Değişken'!M$2:M$29,MATCH(LARGE('V_Dengeli Değişken'!$AD$2:$AD$29,ROW()-3),'V_Dengeli Değişken'!$AD$2:$AD$29,0))</f>
        <v>-0.1239495798319328</v>
      </c>
      <c r="O28" s="11">
        <f>INDEX('V_Dengeli Değişken'!N$2:N$29,MATCH(LARGE('V_Dengeli Değişken'!$AD$2:$AD$29,ROW()-3),'V_Dengeli Değişken'!$AD$2:$AD$29,0))</f>
        <v>149690413.36000001</v>
      </c>
      <c r="P28" s="11">
        <f>INDEX('V_Dengeli Değişken'!O$2:O$29,MATCH(LARGE('V_Dengeli Değişken'!$AD$2:$AD$29,ROW()-3),'V_Dengeli Değişken'!$AD$2:$AD$29,0))</f>
        <v>96813712.390000001</v>
      </c>
      <c r="Q28" s="8">
        <f>INDEX('V_Dengeli Değişken'!P$2:P$29,MATCH(LARGE('V_Dengeli Değişken'!$AD$2:$AD$29,ROW()-3),'V_Dengeli Değişken'!$AD$2:$AD$29,0))</f>
        <v>-0.35324039651646538</v>
      </c>
      <c r="R28" s="9">
        <f>INDEX('V_Dengeli Değişken'!Q$2:Q$29,MATCH(LARGE('V_Dengeli Değişken'!$AD$2:$AD$29,ROW()-3),'V_Dengeli Değişken'!$AD$2:$AD$29,0))</f>
        <v>0.44440989291183941</v>
      </c>
      <c r="S28" s="5" t="str">
        <f>INDEX('V_Dengeli Değişken'!R$2:R$29,MATCH(LARGE('V_Dengeli Değişken'!$AD$2:$AD$29,ROW()-3),'V_Dengeli Değişken'!$AD$2:$AD$29,0))</f>
        <v>Görüyor</v>
      </c>
      <c r="T28" s="8">
        <f>INDEX('V_Dengeli Değişken'!S$2:S$29,MATCH(LARGE('V_Dengeli Değişken'!$AD$2:$AD$29,ROW()-3),'V_Dengeli Değişken'!$AD$2:$AD$29,0))</f>
        <v>0</v>
      </c>
      <c r="U28" s="8">
        <f>INDEX('V_Dengeli Değişken'!T$2:T$29,MATCH(LARGE('V_Dengeli Değişken'!$AD$2:$AD$29,ROW()-3),'V_Dengeli Değişken'!$AD$2:$AD$29,0))</f>
        <v>9.3399999999999997E-2</v>
      </c>
      <c r="V28" s="8">
        <f>INDEX('V_Dengeli Değişken'!U$2:U$29,MATCH(LARGE('V_Dengeli Değişken'!$AD$2:$AD$29,ROW()-3),'V_Dengeli Değişken'!$AD$2:$AD$29,0))</f>
        <v>0</v>
      </c>
      <c r="W28" s="8">
        <f>INDEX('V_Dengeli Değişken'!V$2:V$29,MATCH(LARGE('V_Dengeli Değişken'!$AD$2:$AD$29,ROW()-3),'V_Dengeli Değişken'!$AD$2:$AD$29,0))</f>
        <v>0.20979999999999999</v>
      </c>
      <c r="X28" s="8">
        <f>INDEX('V_Dengeli Değişken'!W$2:W$29,MATCH(LARGE('V_Dengeli Değişken'!$AD$2:$AD$29,ROW()-3),'V_Dengeli Değişken'!$AD$2:$AD$29,0))</f>
        <v>0</v>
      </c>
      <c r="Y28" s="8">
        <f>INDEX('V_Dengeli Değişken'!X$2:X$29,MATCH(LARGE('V_Dengeli Değişken'!$AD$2:$AD$29,ROW()-3),'V_Dengeli Değişken'!$AD$2:$AD$29,0))</f>
        <v>8.0799999999999997E-2</v>
      </c>
      <c r="Z28" s="8">
        <f>INDEX('V_Dengeli Değişken'!Y$2:Y$29,MATCH(LARGE('V_Dengeli Değişken'!$AD$2:$AD$29,ROW()-3),'V_Dengeli Değişken'!$AD$2:$AD$29,0))</f>
        <v>0.112</v>
      </c>
      <c r="AA28" s="8">
        <f>INDEX('V_Dengeli Değişken'!Z$2:Z$29,MATCH(LARGE('V_Dengeli Değişken'!$AD$2:$AD$29,ROW()-3),'V_Dengeli Değişken'!$AD$2:$AD$29,0))</f>
        <v>0.48010000000000003</v>
      </c>
      <c r="AB28" s="8">
        <f>INDEX('V_Dengeli Değişken'!AA$2:AA$29,MATCH(LARGE('V_Dengeli Değişken'!$AD$2:$AD$29,ROW()-3),'V_Dengeli Değişken'!$AD$2:$AD$29,0))</f>
        <v>0</v>
      </c>
      <c r="AC28" s="8">
        <f>INDEX('V_Dengeli Değişken'!AB$2:AB$29,MATCH(LARGE('V_Dengeli Değişken'!$AD$2:$AD$29,ROW()-3),'V_Dengeli Değişken'!$AD$2:$AD$29,0))</f>
        <v>0.97609999999999997</v>
      </c>
    </row>
    <row r="29" spans="1:29" x14ac:dyDescent="0.2">
      <c r="A29">
        <v>26</v>
      </c>
      <c r="B29" s="5" t="str">
        <f>INDEX('V_Dengeli Değişken'!A$2:A$29,MATCH(LARGE('V_Dengeli Değişken'!$AD$2:$AD$29,ROW()-3),'V_Dengeli Değişken'!$AD$2:$AD$29,0))</f>
        <v>NKP</v>
      </c>
      <c r="C29" s="5" t="str">
        <f>INDEX('V_Dengeli Değişken'!B$2:B$29,MATCH(LARGE('V_Dengeli Değişken'!$AD$2:$AD$29,ROW()-3),'V_Dengeli Değişken'!$AD$2:$AD$29,0))</f>
        <v>Neo Portföy Kar Payı Ödeyen Değişken Fon</v>
      </c>
      <c r="D29" s="5" t="str">
        <f>INDEX('V_Dengeli Değişken'!C$2:C$29,MATCH(LARGE('V_Dengeli Değişken'!$AD$2:$AD$29,ROW()-3),'V_Dengeli Değişken'!$AD$2:$AD$29,0))</f>
        <v>Neo Portföy</v>
      </c>
      <c r="E29" s="8">
        <f>INDEX('V_Dengeli Değişken'!D$2:D$29,MATCH(LARGE('V_Dengeli Değişken'!$AD$2:$AD$29,ROW()-3),'V_Dengeli Değişken'!$AD$2:$AD$29,0))</f>
        <v>2.2499999999999999E-2</v>
      </c>
      <c r="F29" s="9">
        <f>INDEX('V_Dengeli Değişken'!E$2:E$29,MATCH(LARGE('V_Dengeli Değişken'!$AD$2:$AD$29,ROW()-3),'V_Dengeli Değişken'!$AD$2:$AD$29,0))</f>
        <v>-0.6329551123789523</v>
      </c>
      <c r="G29" s="9">
        <f>INDEX('V_Dengeli Değişken'!F$2:F$29,MATCH(LARGE('V_Dengeli Değişken'!$AD$2:$AD$29,ROW()-3),'V_Dengeli Değişken'!$AD$2:$AD$29,0))</f>
        <v>-0.36709062084745447</v>
      </c>
      <c r="H29" s="9">
        <f>INDEX('V_Dengeli Değişken'!G$2:G$29,MATCH(LARGE('V_Dengeli Değişken'!$AD$2:$AD$29,ROW()-3),'V_Dengeli Değişken'!$AD$2:$AD$29,0))</f>
        <v>0.81714658021041497</v>
      </c>
      <c r="I29" s="9">
        <f>INDEX('V_Dengeli Değişken'!H$2:H$29,MATCH(LARGE('V_Dengeli Değişken'!$AD$2:$AD$29,ROW()-3),'V_Dengeli Değişken'!$AD$2:$AD$29,0))</f>
        <v>-1.44711667774694</v>
      </c>
      <c r="J29" s="9">
        <f>INDEX('V_Dengeli Değişken'!I$2:I$29,MATCH(LARGE('V_Dengeli Değişken'!$AD$2:$AD$29,ROW()-3),'V_Dengeli Değişken'!$AD$2:$AD$29,0))</f>
        <v>8.8072203649403278</v>
      </c>
      <c r="K29" s="9" t="str">
        <f>INDEX('V_Dengeli Değişken'!J$2:J$29,MATCH(LARGE('V_Dengeli Değişken'!$AD$2:$AD$29,ROW()-3),'V_Dengeli Değişken'!$AD$2:$AD$29,0))</f>
        <v>-</v>
      </c>
      <c r="L29" s="10">
        <f>INDEX('V_Dengeli Değişken'!K$2:K$29,MATCH(LARGE('V_Dengeli Değişken'!$AD$2:$AD$29,ROW()-3),'V_Dengeli Değişken'!$AD$2:$AD$29,0))</f>
        <v>3577</v>
      </c>
      <c r="M29" s="10">
        <f>INDEX('V_Dengeli Değişken'!L$2:L$29,MATCH(LARGE('V_Dengeli Değişken'!$AD$2:$AD$29,ROW()-3),'V_Dengeli Değişken'!$AD$2:$AD$29,0))</f>
        <v>3540</v>
      </c>
      <c r="N29" s="8">
        <f>INDEX('V_Dengeli Değişken'!M$2:M$29,MATCH(LARGE('V_Dengeli Değişken'!$AD$2:$AD$29,ROW()-3),'V_Dengeli Değişken'!$AD$2:$AD$29,0))</f>
        <v>-1.0343863572826351E-2</v>
      </c>
      <c r="O29" s="11">
        <f>INDEX('V_Dengeli Değişken'!N$2:N$29,MATCH(LARGE('V_Dengeli Değişken'!$AD$2:$AD$29,ROW()-3),'V_Dengeli Değişken'!$AD$2:$AD$29,0))</f>
        <v>186071654.58000001</v>
      </c>
      <c r="P29" s="11">
        <f>INDEX('V_Dengeli Değişken'!O$2:O$29,MATCH(LARGE('V_Dengeli Değişken'!$AD$2:$AD$29,ROW()-3),'V_Dengeli Değişken'!$AD$2:$AD$29,0))</f>
        <v>191468837.06999999</v>
      </c>
      <c r="Q29" s="8">
        <f>INDEX('V_Dengeli Değişken'!P$2:P$29,MATCH(LARGE('V_Dengeli Değişken'!$AD$2:$AD$29,ROW()-3),'V_Dengeli Değişken'!$AD$2:$AD$29,0))</f>
        <v>2.9005935923891672E-2</v>
      </c>
      <c r="R29" s="9">
        <f>INDEX('V_Dengeli Değişken'!Q$2:Q$29,MATCH(LARGE('V_Dengeli Değişken'!$AD$2:$AD$29,ROW()-3),'V_Dengeli Değişken'!$AD$2:$AD$29,0))</f>
        <v>1.1149181263636621</v>
      </c>
      <c r="S29" s="5" t="str">
        <f>INDEX('V_Dengeli Değişken'!R$2:R$29,MATCH(LARGE('V_Dengeli Değişken'!$AD$2:$AD$29,ROW()-3),'V_Dengeli Değişken'!$AD$2:$AD$29,0))</f>
        <v>Görüyor</v>
      </c>
      <c r="T29" s="8">
        <f>INDEX('V_Dengeli Değişken'!S$2:S$29,MATCH(LARGE('V_Dengeli Değişken'!$AD$2:$AD$29,ROW()-3),'V_Dengeli Değişken'!$AD$2:$AD$29,0))</f>
        <v>0</v>
      </c>
      <c r="U29" s="8">
        <f>INDEX('V_Dengeli Değişken'!T$2:T$29,MATCH(LARGE('V_Dengeli Değişken'!$AD$2:$AD$29,ROW()-3),'V_Dengeli Değişken'!$AD$2:$AD$29,0))</f>
        <v>1.95E-2</v>
      </c>
      <c r="V29" s="8">
        <f>INDEX('V_Dengeli Değişken'!U$2:U$29,MATCH(LARGE('V_Dengeli Değişken'!$AD$2:$AD$29,ROW()-3),'V_Dengeli Değişken'!$AD$2:$AD$29,0))</f>
        <v>0</v>
      </c>
      <c r="W29" s="8">
        <f>INDEX('V_Dengeli Değişken'!V$2:V$29,MATCH(LARGE('V_Dengeli Değişken'!$AD$2:$AD$29,ROW()-3),'V_Dengeli Değişken'!$AD$2:$AD$29,0))</f>
        <v>0.1537</v>
      </c>
      <c r="X29" s="8">
        <f>INDEX('V_Dengeli Değişken'!W$2:W$29,MATCH(LARGE('V_Dengeli Değişken'!$AD$2:$AD$29,ROW()-3),'V_Dengeli Değişken'!$AD$2:$AD$29,0))</f>
        <v>0</v>
      </c>
      <c r="Y29" s="8">
        <f>INDEX('V_Dengeli Değişken'!X$2:X$29,MATCH(LARGE('V_Dengeli Değişken'!$AD$2:$AD$29,ROW()-3),'V_Dengeli Değişken'!$AD$2:$AD$29,0))</f>
        <v>6.9000000000000006E-2</v>
      </c>
      <c r="Z29" s="8">
        <f>INDEX('V_Dengeli Değişken'!Y$2:Y$29,MATCH(LARGE('V_Dengeli Değişken'!$AD$2:$AD$29,ROW()-3),'V_Dengeli Değişken'!$AD$2:$AD$29,0))</f>
        <v>0</v>
      </c>
      <c r="AA29" s="8">
        <f>INDEX('V_Dengeli Değişken'!Z$2:Z$29,MATCH(LARGE('V_Dengeli Değişken'!$AD$2:$AD$29,ROW()-3),'V_Dengeli Değişken'!$AD$2:$AD$29,0))</f>
        <v>8.8699999999999987E-2</v>
      </c>
      <c r="AB29" s="8">
        <f>INDEX('V_Dengeli Değişken'!AA$2:AA$29,MATCH(LARGE('V_Dengeli Değişken'!$AD$2:$AD$29,ROW()-3),'V_Dengeli Değişken'!$AD$2:$AD$29,0))</f>
        <v>0</v>
      </c>
      <c r="AC29" s="8">
        <f>INDEX('V_Dengeli Değişken'!AB$2:AB$29,MATCH(LARGE('V_Dengeli Değişken'!$AD$2:$AD$29,ROW()-3),'V_Dengeli Değişken'!$AD$2:$AD$29,0))</f>
        <v>0.33090000000000003</v>
      </c>
    </row>
    <row r="30" spans="1:29" x14ac:dyDescent="0.2">
      <c r="A30">
        <v>27</v>
      </c>
      <c r="B30" s="5" t="str">
        <f>INDEX('V_Dengeli Değişken'!A$2:A$29,MATCH(LARGE('V_Dengeli Değişken'!$AD$2:$AD$29,ROW()-3),'V_Dengeli Değişken'!$AD$2:$AD$29,0))</f>
        <v>TE3</v>
      </c>
      <c r="C30" s="5" t="str">
        <f>INDEX('V_Dengeli Değişken'!B$2:B$29,MATCH(LARGE('V_Dengeli Değişken'!$AD$2:$AD$29,ROW()-3),'V_Dengeli Değişken'!$AD$2:$AD$29,0))</f>
        <v>Teb Portföy Mutlak Getiri Hedefli Değişken Fon</v>
      </c>
      <c r="D30" s="5" t="str">
        <f>INDEX('V_Dengeli Değişken'!C$2:C$29,MATCH(LARGE('V_Dengeli Değişken'!$AD$2:$AD$29,ROW()-3),'V_Dengeli Değişken'!$AD$2:$AD$29,0))</f>
        <v>Teb Portföy</v>
      </c>
      <c r="E30" s="8">
        <f>INDEX('V_Dengeli Değişken'!D$2:D$29,MATCH(LARGE('V_Dengeli Değişken'!$AD$2:$AD$29,ROW()-3),'V_Dengeli Değişken'!$AD$2:$AD$29,0))</f>
        <v>1.6500000000000001E-2</v>
      </c>
      <c r="F30" s="9">
        <f>INDEX('V_Dengeli Değişken'!E$2:E$29,MATCH(LARGE('V_Dengeli Değişken'!$AD$2:$AD$29,ROW()-3),'V_Dengeli Değişken'!$AD$2:$AD$29,0))</f>
        <v>-0.8817187885252431</v>
      </c>
      <c r="G30" s="9">
        <f>INDEX('V_Dengeli Değişken'!F$2:F$29,MATCH(LARGE('V_Dengeli Değişken'!$AD$2:$AD$29,ROW()-3),'V_Dengeli Değişken'!$AD$2:$AD$29,0))</f>
        <v>-1.1862720888003</v>
      </c>
      <c r="H30" s="9">
        <f>INDEX('V_Dengeli Değişken'!G$2:G$29,MATCH(LARGE('V_Dengeli Değişken'!$AD$2:$AD$29,ROW()-3),'V_Dengeli Değişken'!$AD$2:$AD$29,0))</f>
        <v>3.0852000454267392</v>
      </c>
      <c r="I30" s="9">
        <f>INDEX('V_Dengeli Değişken'!H$2:H$29,MATCH(LARGE('V_Dengeli Değişken'!$AD$2:$AD$29,ROW()-3),'V_Dengeli Değişken'!$AD$2:$AD$29,0))</f>
        <v>0.27179911823747022</v>
      </c>
      <c r="J30" s="9">
        <f>INDEX('V_Dengeli Değişken'!I$2:I$29,MATCH(LARGE('V_Dengeli Değişken'!$AD$2:$AD$29,ROW()-3),'V_Dengeli Değişken'!$AD$2:$AD$29,0))</f>
        <v>25.1814710514384</v>
      </c>
      <c r="K30" s="9">
        <f>INDEX('V_Dengeli Değişken'!J$2:J$29,MATCH(LARGE('V_Dengeli Değişken'!$AD$2:$AD$29,ROW()-3),'V_Dengeli Değişken'!$AD$2:$AD$29,0))</f>
        <v>52.441302632759047</v>
      </c>
      <c r="L30" s="10">
        <f>INDEX('V_Dengeli Değişken'!K$2:K$29,MATCH(LARGE('V_Dengeli Değişken'!$AD$2:$AD$29,ROW()-3),'V_Dengeli Değişken'!$AD$2:$AD$29,0))</f>
        <v>3252</v>
      </c>
      <c r="M30" s="10">
        <f>INDEX('V_Dengeli Değişken'!L$2:L$29,MATCH(LARGE('V_Dengeli Değişken'!$AD$2:$AD$29,ROW()-3),'V_Dengeli Değişken'!$AD$2:$AD$29,0))</f>
        <v>3067</v>
      </c>
      <c r="N30" s="8">
        <f>INDEX('V_Dengeli Değişken'!M$2:M$29,MATCH(LARGE('V_Dengeli Değişken'!$AD$2:$AD$29,ROW()-3),'V_Dengeli Değişken'!$AD$2:$AD$29,0))</f>
        <v>-5.6888068880688758E-2</v>
      </c>
      <c r="O30" s="11">
        <f>INDEX('V_Dengeli Değişken'!N$2:N$29,MATCH(LARGE('V_Dengeli Değişken'!$AD$2:$AD$29,ROW()-3),'V_Dengeli Değişken'!$AD$2:$AD$29,0))</f>
        <v>1206922511.23</v>
      </c>
      <c r="P30" s="11">
        <f>INDEX('V_Dengeli Değişken'!O$2:O$29,MATCH(LARGE('V_Dengeli Değişken'!$AD$2:$AD$29,ROW()-3),'V_Dengeli Değişken'!$AD$2:$AD$29,0))</f>
        <v>1204891930.51</v>
      </c>
      <c r="Q30" s="8">
        <f>INDEX('V_Dengeli Değişken'!P$2:P$29,MATCH(LARGE('V_Dengeli Değişken'!$AD$2:$AD$29,ROW()-3),'V_Dengeli Değişken'!$AD$2:$AD$29,0))</f>
        <v>-1.6824449797780969E-3</v>
      </c>
      <c r="R30" s="9">
        <f>INDEX('V_Dengeli Değişken'!Q$2:Q$29,MATCH(LARGE('V_Dengeli Değişken'!$AD$2:$AD$29,ROW()-3),'V_Dengeli Değişken'!$AD$2:$AD$29,0))</f>
        <v>0.76755802595254652</v>
      </c>
      <c r="S30" s="5" t="str">
        <f>INDEX('V_Dengeli Değişken'!R$2:R$29,MATCH(LARGE('V_Dengeli Değişken'!$AD$2:$AD$29,ROW()-3),'V_Dengeli Değişken'!$AD$2:$AD$29,0))</f>
        <v>Görüyor</v>
      </c>
      <c r="T30" s="8">
        <f>INDEX('V_Dengeli Değişken'!S$2:S$29,MATCH(LARGE('V_Dengeli Değişken'!$AD$2:$AD$29,ROW()-3),'V_Dengeli Değişken'!$AD$2:$AD$29,0))</f>
        <v>1.8599999999999998E-2</v>
      </c>
      <c r="U30" s="8">
        <f>INDEX('V_Dengeli Değişken'!T$2:T$29,MATCH(LARGE('V_Dengeli Değişken'!$AD$2:$AD$29,ROW()-3),'V_Dengeli Değişken'!$AD$2:$AD$29,0))</f>
        <v>0.1074</v>
      </c>
      <c r="V30" s="8">
        <f>INDEX('V_Dengeli Değişken'!U$2:U$29,MATCH(LARGE('V_Dengeli Değişken'!$AD$2:$AD$29,ROW()-3),'V_Dengeli Değişken'!$AD$2:$AD$29,0))</f>
        <v>0.42759999999999998</v>
      </c>
      <c r="W30" s="8">
        <f>INDEX('V_Dengeli Değişken'!V$2:V$29,MATCH(LARGE('V_Dengeli Değişken'!$AD$2:$AD$29,ROW()-3),'V_Dengeli Değişken'!$AD$2:$AD$29,0))</f>
        <v>9.1999999999999998E-3</v>
      </c>
      <c r="X30" s="8">
        <f>INDEX('V_Dengeli Değişken'!W$2:W$29,MATCH(LARGE('V_Dengeli Değişken'!$AD$2:$AD$29,ROW()-3),'V_Dengeli Değişken'!$AD$2:$AD$29,0))</f>
        <v>0</v>
      </c>
      <c r="Y30" s="8">
        <f>INDEX('V_Dengeli Değişken'!X$2:X$29,MATCH(LARGE('V_Dengeli Değişken'!$AD$2:$AD$29,ROW()-3),'V_Dengeli Değişken'!$AD$2:$AD$29,0))</f>
        <v>0.1696</v>
      </c>
      <c r="Z30" s="8">
        <f>INDEX('V_Dengeli Değişken'!Y$2:Y$29,MATCH(LARGE('V_Dengeli Değişken'!$AD$2:$AD$29,ROW()-3),'V_Dengeli Değişken'!$AD$2:$AD$29,0))</f>
        <v>3.1199999999999999E-2</v>
      </c>
      <c r="AA30" s="8">
        <f>INDEX('V_Dengeli Değişken'!Z$2:Z$29,MATCH(LARGE('V_Dengeli Değişken'!$AD$2:$AD$29,ROW()-3),'V_Dengeli Değişken'!$AD$2:$AD$29,0))</f>
        <v>0</v>
      </c>
      <c r="AB30" s="8">
        <f>INDEX('V_Dengeli Değişken'!AA$2:AA$29,MATCH(LARGE('V_Dengeli Değişken'!$AD$2:$AD$29,ROW()-3),'V_Dengeli Değişken'!$AD$2:$AD$29,0))</f>
        <v>0</v>
      </c>
      <c r="AC30" s="8">
        <f>INDEX('V_Dengeli Değişken'!AB$2:AB$29,MATCH(LARGE('V_Dengeli Değişken'!$AD$2:$AD$29,ROW()-3),'V_Dengeli Değişken'!$AD$2:$AD$29,0))</f>
        <v>0.76359999999999995</v>
      </c>
    </row>
    <row r="31" spans="1:29" x14ac:dyDescent="0.2">
      <c r="A31">
        <v>28</v>
      </c>
      <c r="B31" s="5" t="str">
        <f>INDEX('V_Dengeli Değişken'!A$2:A$29,MATCH(LARGE('V_Dengeli Değişken'!$AD$2:$AD$29,ROW()-3),'V_Dengeli Değişken'!$AD$2:$AD$29,0))</f>
        <v>PGD</v>
      </c>
      <c r="C31" s="5" t="str">
        <f>INDEX('V_Dengeli Değişken'!B$2:B$29,MATCH(LARGE('V_Dengeli Değişken'!$AD$2:$AD$29,ROW()-3),'V_Dengeli Değişken'!$AD$2:$AD$29,0))</f>
        <v>Astra Portföy Agresif Değişken Fon</v>
      </c>
      <c r="D31" s="5" t="str">
        <f>INDEX('V_Dengeli Değişken'!C$2:C$29,MATCH(LARGE('V_Dengeli Değişken'!$AD$2:$AD$29,ROW()-3),'V_Dengeli Değişken'!$AD$2:$AD$29,0))</f>
        <v>Astra Portföy</v>
      </c>
      <c r="E31" s="8">
        <f>INDEX('V_Dengeli Değişken'!D$2:D$29,MATCH(LARGE('V_Dengeli Değişken'!$AD$2:$AD$29,ROW()-3),'V_Dengeli Değişken'!$AD$2:$AD$29,0))</f>
        <v>2.1000000000000001E-2</v>
      </c>
      <c r="F31" s="9">
        <f>INDEX('V_Dengeli Değişken'!E$2:E$29,MATCH(LARGE('V_Dengeli Değişken'!$AD$2:$AD$29,ROW()-3),'V_Dengeli Değişken'!$AD$2:$AD$29,0))</f>
        <v>-2.6030398435166751</v>
      </c>
      <c r="G31" s="9">
        <f>INDEX('V_Dengeli Değişken'!F$2:F$29,MATCH(LARGE('V_Dengeli Değişken'!$AD$2:$AD$29,ROW()-3),'V_Dengeli Değişken'!$AD$2:$AD$29,0))</f>
        <v>-2.1290145962409079</v>
      </c>
      <c r="H31" s="9">
        <f>INDEX('V_Dengeli Değişken'!G$2:G$29,MATCH(LARGE('V_Dengeli Değişken'!$AD$2:$AD$29,ROW()-3),'V_Dengeli Değişken'!$AD$2:$AD$29,0))</f>
        <v>0.85314523534674169</v>
      </c>
      <c r="I31" s="9">
        <f>INDEX('V_Dengeli Değişken'!H$2:H$29,MATCH(LARGE('V_Dengeli Değişken'!$AD$2:$AD$29,ROW()-3),'V_Dengeli Değişken'!$AD$2:$AD$29,0))</f>
        <v>-1.4748004003523829</v>
      </c>
      <c r="J31" s="9">
        <f>INDEX('V_Dengeli Değişken'!I$2:I$29,MATCH(LARGE('V_Dengeli Değişken'!$AD$2:$AD$29,ROW()-3),'V_Dengeli Değişken'!$AD$2:$AD$29,0))</f>
        <v>20.11535739213009</v>
      </c>
      <c r="K31" s="9">
        <f>INDEX('V_Dengeli Değişken'!J$2:J$29,MATCH(LARGE('V_Dengeli Değişken'!$AD$2:$AD$29,ROW()-3),'V_Dengeli Değişken'!$AD$2:$AD$29,0))</f>
        <v>39.791354965688022</v>
      </c>
      <c r="L31" s="10">
        <f>INDEX('V_Dengeli Değişken'!K$2:K$29,MATCH(LARGE('V_Dengeli Değişken'!$AD$2:$AD$29,ROW()-3),'V_Dengeli Değişken'!$AD$2:$AD$29,0))</f>
        <v>134</v>
      </c>
      <c r="M31" s="10">
        <f>INDEX('V_Dengeli Değişken'!L$2:L$29,MATCH(LARGE('V_Dengeli Değişken'!$AD$2:$AD$29,ROW()-3),'V_Dengeli Değişken'!$AD$2:$AD$29,0))</f>
        <v>196</v>
      </c>
      <c r="N31" s="8">
        <f>INDEX('V_Dengeli Değişken'!M$2:M$29,MATCH(LARGE('V_Dengeli Değişken'!$AD$2:$AD$29,ROW()-3),'V_Dengeli Değişken'!$AD$2:$AD$29,0))</f>
        <v>0.46268656716417911</v>
      </c>
      <c r="O31" s="11">
        <f>INDEX('V_Dengeli Değişken'!N$2:N$29,MATCH(LARGE('V_Dengeli Değişken'!$AD$2:$AD$29,ROW()-3),'V_Dengeli Değişken'!$AD$2:$AD$29,0))</f>
        <v>157330658.93000001</v>
      </c>
      <c r="P31" s="11">
        <f>INDEX('V_Dengeli Değişken'!O$2:O$29,MATCH(LARGE('V_Dengeli Değişken'!$AD$2:$AD$29,ROW()-3),'V_Dengeli Değişken'!$AD$2:$AD$29,0))</f>
        <v>172625940.03999999</v>
      </c>
      <c r="Q31" s="8">
        <f>INDEX('V_Dengeli Değişken'!P$2:P$29,MATCH(LARGE('V_Dengeli Değişken'!$AD$2:$AD$29,ROW()-3),'V_Dengeli Değişken'!$AD$2:$AD$29,0))</f>
        <v>9.7217422300412526E-2</v>
      </c>
      <c r="R31" s="9">
        <f>INDEX('V_Dengeli Değişken'!Q$2:Q$29,MATCH(LARGE('V_Dengeli Değişken'!$AD$2:$AD$29,ROW()-3),'V_Dengeli Değişken'!$AD$2:$AD$29,0))</f>
        <v>0.64646633442517487</v>
      </c>
      <c r="S31" s="5" t="str">
        <f>INDEX('V_Dengeli Değişken'!R$2:R$29,MATCH(LARGE('V_Dengeli Değişken'!$AD$2:$AD$29,ROW()-3),'V_Dengeli Değişken'!$AD$2:$AD$29,0))</f>
        <v>Görüyor</v>
      </c>
      <c r="T31" s="8">
        <f>INDEX('V_Dengeli Değişken'!S$2:S$29,MATCH(LARGE('V_Dengeli Değişken'!$AD$2:$AD$29,ROW()-3),'V_Dengeli Değişken'!$AD$2:$AD$29,0))</f>
        <v>0</v>
      </c>
      <c r="U31" s="8">
        <f>INDEX('V_Dengeli Değişken'!T$2:T$29,MATCH(LARGE('V_Dengeli Değişken'!$AD$2:$AD$29,ROW()-3),'V_Dengeli Değişken'!$AD$2:$AD$29,0))</f>
        <v>0</v>
      </c>
      <c r="V31" s="8">
        <f>INDEX('V_Dengeli Değişken'!U$2:U$29,MATCH(LARGE('V_Dengeli Değişken'!$AD$2:$AD$29,ROW()-3),'V_Dengeli Değişken'!$AD$2:$AD$29,0))</f>
        <v>0</v>
      </c>
      <c r="W31" s="8">
        <f>INDEX('V_Dengeli Değişken'!V$2:V$29,MATCH(LARGE('V_Dengeli Değişken'!$AD$2:$AD$29,ROW()-3),'V_Dengeli Değişken'!$AD$2:$AD$29,0))</f>
        <v>0.55020000000000002</v>
      </c>
      <c r="X31" s="8">
        <f>INDEX('V_Dengeli Değişken'!W$2:W$29,MATCH(LARGE('V_Dengeli Değişken'!$AD$2:$AD$29,ROW()-3),'V_Dengeli Değişken'!$AD$2:$AD$29,0))</f>
        <v>1E-3</v>
      </c>
      <c r="Y31" s="8">
        <f>INDEX('V_Dengeli Değişken'!X$2:X$29,MATCH(LARGE('V_Dengeli Değişken'!$AD$2:$AD$29,ROW()-3),'V_Dengeli Değişken'!$AD$2:$AD$29,0))</f>
        <v>0.13789999999999999</v>
      </c>
      <c r="Z31" s="8">
        <f>INDEX('V_Dengeli Değişken'!Y$2:Y$29,MATCH(LARGE('V_Dengeli Değişken'!$AD$2:$AD$29,ROW()-3),'V_Dengeli Değişken'!$AD$2:$AD$29,0))</f>
        <v>0.14949999999999999</v>
      </c>
      <c r="AA31" s="8">
        <f>INDEX('V_Dengeli Değişken'!Z$2:Z$29,MATCH(LARGE('V_Dengeli Değişken'!$AD$2:$AD$29,ROW()-3),'V_Dengeli Değişken'!$AD$2:$AD$29,0))</f>
        <v>0</v>
      </c>
      <c r="AB31" s="8">
        <f>INDEX('V_Dengeli Değişken'!AA$2:AA$29,MATCH(LARGE('V_Dengeli Değişken'!$AD$2:$AD$29,ROW()-3),'V_Dengeli Değişken'!$AD$2:$AD$29,0))</f>
        <v>0.1326</v>
      </c>
      <c r="AC31" s="8">
        <f>INDEX('V_Dengeli Değişken'!AB$2:AB$29,MATCH(LARGE('V_Dengeli Değişken'!$AD$2:$AD$29,ROW()-3),'V_Dengeli Değişken'!$AD$2:$AD$29,0))</f>
        <v>0.97119999999999995</v>
      </c>
    </row>
  </sheetData>
  <conditionalFormatting sqref="B4:AC31">
    <cfRule type="expression" dxfId="6" priority="1">
      <formula>OR($B4="BAI",$B4="BHI",$B4="BIS",$B4="BSD",$B4="BTE",$B4="BTK",$B4="BV1",$B4="BVD",$B4="BVF",$B4="BVV",$B4="BVZ",$B4="MTD",$B4="RUT",$B4="SPR")</formula>
    </cfRule>
  </conditionalFormatting>
  <dataValidations count="1">
    <dataValidation type="list" sqref="E2" xr:uid="{00000000-0002-0000-0A00-000000000000}">
      <formula1>"Günlük%,Haftalık,Aylık,Ay Başından Bu güne,Yılbaşına Göre,Yıllık"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48"/>
  <sheetViews>
    <sheetView workbookViewId="0"/>
  </sheetViews>
  <sheetFormatPr baseColWidth="10" defaultColWidth="8.83203125" defaultRowHeight="15" x14ac:dyDescent="0.2"/>
  <sheetData>
    <row r="1" spans="1:29" x14ac:dyDescent="0.2">
      <c r="A1" t="s">
        <v>3</v>
      </c>
      <c r="B1" t="s">
        <v>427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</row>
    <row r="2" spans="1:29" x14ac:dyDescent="0.2">
      <c r="A2" t="s">
        <v>428</v>
      </c>
      <c r="B2" t="s">
        <v>429</v>
      </c>
      <c r="C2" t="s">
        <v>130</v>
      </c>
      <c r="D2">
        <v>0.01</v>
      </c>
      <c r="E2">
        <v>-0.64504630375372685</v>
      </c>
      <c r="F2">
        <v>-1.2981400304566399</v>
      </c>
      <c r="G2">
        <v>1.040516302518202</v>
      </c>
      <c r="H2">
        <v>4.0761461169780846</v>
      </c>
      <c r="I2">
        <v>46.25220880507883</v>
      </c>
      <c r="J2">
        <v>1737</v>
      </c>
      <c r="K2">
        <v>1757</v>
      </c>
      <c r="L2">
        <v>1.151410477835357E-2</v>
      </c>
      <c r="M2">
        <v>1074851929.5999999</v>
      </c>
      <c r="N2">
        <v>1058181477.41</v>
      </c>
      <c r="O2">
        <v>-1.550953366777108E-2</v>
      </c>
      <c r="P2">
        <v>1.202204484627525</v>
      </c>
      <c r="Q2" t="s">
        <v>41</v>
      </c>
      <c r="R2">
        <v>0</v>
      </c>
      <c r="S2">
        <v>0</v>
      </c>
      <c r="T2">
        <v>0</v>
      </c>
      <c r="U2">
        <v>0</v>
      </c>
      <c r="V2">
        <v>0</v>
      </c>
      <c r="W2">
        <v>4.7300000000000002E-2</v>
      </c>
      <c r="X2">
        <v>0</v>
      </c>
      <c r="Y2">
        <v>0</v>
      </c>
      <c r="Z2">
        <v>0</v>
      </c>
      <c r="AA2">
        <v>4.7300000000000002E-2</v>
      </c>
      <c r="AC2">
        <f>IF(ISNUMBER(INDEX($A$2:$AA$48,1,MATCH(Altın!$E$2,$A$1:$AA$1,0))),INDEX($A$2:$AA$48,1,MATCH(Altın!$E$2,$A$1:$AA$1,0)),-1000000000)-ROW()/10000000</f>
        <v>-0.64504650375372685</v>
      </c>
    </row>
    <row r="3" spans="1:29" x14ac:dyDescent="0.2">
      <c r="A3" t="s">
        <v>430</v>
      </c>
      <c r="B3" t="s">
        <v>431</v>
      </c>
      <c r="C3" t="s">
        <v>412</v>
      </c>
      <c r="D3">
        <v>1.4E-2</v>
      </c>
      <c r="E3">
        <v>-0.66172951272813751</v>
      </c>
      <c r="F3">
        <v>-1.853056810579456</v>
      </c>
      <c r="G3">
        <v>7.3072639062288225E-2</v>
      </c>
      <c r="H3">
        <v>0.25340676231906389</v>
      </c>
      <c r="I3" t="s">
        <v>165</v>
      </c>
      <c r="J3">
        <v>633</v>
      </c>
      <c r="K3">
        <v>611</v>
      </c>
      <c r="L3">
        <v>-3.4755134281200577E-2</v>
      </c>
      <c r="M3">
        <v>52988217.770000003</v>
      </c>
      <c r="N3">
        <v>54591211.579999998</v>
      </c>
      <c r="O3">
        <v>3.025189141023632E-2</v>
      </c>
      <c r="P3">
        <v>1.391612416772507</v>
      </c>
      <c r="Q3" t="s">
        <v>41</v>
      </c>
      <c r="R3">
        <v>0</v>
      </c>
      <c r="S3">
        <v>2.53E-2</v>
      </c>
      <c r="T3">
        <v>0</v>
      </c>
      <c r="U3">
        <v>5.6999999999999993E-3</v>
      </c>
      <c r="V3">
        <v>4.5400000000000003E-2</v>
      </c>
      <c r="W3">
        <v>0</v>
      </c>
      <c r="X3">
        <v>0</v>
      </c>
      <c r="Y3">
        <v>0</v>
      </c>
      <c r="Z3">
        <v>0</v>
      </c>
      <c r="AA3">
        <v>7.6399999999999996E-2</v>
      </c>
      <c r="AC3">
        <f>IF(ISNUMBER(INDEX($A$2:$AA$48,2,MATCH(Altın!$E$2,$A$1:$AA$1,0))),INDEX($A$2:$AA$48,2,MATCH(Altın!$E$2,$A$1:$AA$1,0)),-1000000000)-ROW()/10000000</f>
        <v>-0.66172981272813747</v>
      </c>
    </row>
    <row r="4" spans="1:29" x14ac:dyDescent="0.2">
      <c r="A4" t="s">
        <v>432</v>
      </c>
      <c r="B4" t="s">
        <v>433</v>
      </c>
      <c r="C4" t="s">
        <v>59</v>
      </c>
      <c r="D4">
        <v>1.7999999999999999E-2</v>
      </c>
      <c r="E4">
        <v>-0.68362264224152147</v>
      </c>
      <c r="F4">
        <v>-1.666300790977493</v>
      </c>
      <c r="G4">
        <v>0.59949812560335936</v>
      </c>
      <c r="H4">
        <v>-2.8554746959405741</v>
      </c>
      <c r="I4">
        <v>38.552305797030733</v>
      </c>
      <c r="J4">
        <v>11381</v>
      </c>
      <c r="K4">
        <v>10530</v>
      </c>
      <c r="L4">
        <v>-7.4773745716545159E-2</v>
      </c>
      <c r="M4">
        <v>2408988149.1799998</v>
      </c>
      <c r="N4">
        <v>2325885540.54</v>
      </c>
      <c r="O4">
        <v>-3.4496893921328493E-2</v>
      </c>
      <c r="P4">
        <v>1.383531707213203</v>
      </c>
      <c r="Q4" t="s">
        <v>41</v>
      </c>
      <c r="R4">
        <v>0</v>
      </c>
      <c r="S4">
        <v>0</v>
      </c>
      <c r="T4">
        <v>0</v>
      </c>
      <c r="U4">
        <v>0</v>
      </c>
      <c r="V4">
        <v>0</v>
      </c>
      <c r="W4">
        <v>0.1328</v>
      </c>
      <c r="X4">
        <v>0</v>
      </c>
      <c r="Y4">
        <v>0</v>
      </c>
      <c r="Z4">
        <v>1.4E-3</v>
      </c>
      <c r="AA4">
        <v>0.13420000000000001</v>
      </c>
      <c r="AC4">
        <f>IF(ISNUMBER(INDEX($A$2:$AA$48,3,MATCH(Altın!$E$2,$A$1:$AA$1,0))),INDEX($A$2:$AA$48,3,MATCH(Altın!$E$2,$A$1:$AA$1,0)),-1000000000)-ROW()/10000000</f>
        <v>-0.68362304224152148</v>
      </c>
    </row>
    <row r="5" spans="1:29" x14ac:dyDescent="0.2">
      <c r="A5" t="s">
        <v>434</v>
      </c>
      <c r="B5" t="s">
        <v>435</v>
      </c>
      <c r="C5" t="s">
        <v>436</v>
      </c>
      <c r="D5">
        <v>0</v>
      </c>
      <c r="E5">
        <v>-0.69778706300693827</v>
      </c>
      <c r="F5">
        <v>-1.488963796603415</v>
      </c>
      <c r="G5">
        <v>-5.3614069231482482</v>
      </c>
      <c r="H5" t="s">
        <v>165</v>
      </c>
      <c r="I5" t="s">
        <v>165</v>
      </c>
      <c r="J5">
        <v>11</v>
      </c>
      <c r="K5">
        <v>176</v>
      </c>
      <c r="L5">
        <v>15</v>
      </c>
      <c r="M5">
        <v>7088555.3899999997</v>
      </c>
      <c r="N5">
        <v>7610064.9800000004</v>
      </c>
      <c r="O5">
        <v>7.3570644695209353E-2</v>
      </c>
      <c r="P5">
        <v>1.046343234933129</v>
      </c>
      <c r="Q5" t="s">
        <v>41</v>
      </c>
      <c r="R5">
        <v>0</v>
      </c>
      <c r="S5">
        <v>0</v>
      </c>
      <c r="T5">
        <v>0</v>
      </c>
      <c r="U5">
        <v>0</v>
      </c>
      <c r="V5">
        <v>0</v>
      </c>
      <c r="W5">
        <v>2.9600000000000001E-2</v>
      </c>
      <c r="X5">
        <v>0</v>
      </c>
      <c r="Y5">
        <v>0</v>
      </c>
      <c r="Z5">
        <v>0</v>
      </c>
      <c r="AA5">
        <v>2.9600000000000001E-2</v>
      </c>
      <c r="AC5">
        <f>IF(ISNUMBER(INDEX($A$2:$AA$48,4,MATCH(Altın!$E$2,$A$1:$AA$1,0))),INDEX($A$2:$AA$48,4,MATCH(Altın!$E$2,$A$1:$AA$1,0)),-1000000000)-ROW()/10000000</f>
        <v>-0.69778756300693823</v>
      </c>
    </row>
    <row r="6" spans="1:29" x14ac:dyDescent="0.2">
      <c r="A6" t="s">
        <v>437</v>
      </c>
      <c r="B6" t="s">
        <v>438</v>
      </c>
      <c r="C6" t="s">
        <v>59</v>
      </c>
      <c r="D6">
        <v>1.7999999999999999E-2</v>
      </c>
      <c r="E6">
        <v>-0.70289480081788813</v>
      </c>
      <c r="F6">
        <v>-1.883465552694874</v>
      </c>
      <c r="G6">
        <v>0.4039163566744719</v>
      </c>
      <c r="H6" t="s">
        <v>165</v>
      </c>
      <c r="I6" t="s">
        <v>165</v>
      </c>
      <c r="J6">
        <v>171</v>
      </c>
      <c r="K6">
        <v>171</v>
      </c>
      <c r="L6">
        <v>0</v>
      </c>
      <c r="M6">
        <v>126526774.39</v>
      </c>
      <c r="N6">
        <v>113521219.89</v>
      </c>
      <c r="O6">
        <v>-0.1027889516879037</v>
      </c>
      <c r="P6">
        <v>1.375302167914584</v>
      </c>
      <c r="Q6" t="s">
        <v>41</v>
      </c>
      <c r="R6">
        <v>0</v>
      </c>
      <c r="S6">
        <v>0</v>
      </c>
      <c r="T6">
        <v>0</v>
      </c>
      <c r="U6">
        <v>0</v>
      </c>
      <c r="V6">
        <v>0</v>
      </c>
      <c r="W6">
        <v>0.1047</v>
      </c>
      <c r="X6">
        <v>0</v>
      </c>
      <c r="Y6">
        <v>0</v>
      </c>
      <c r="Z6">
        <v>0</v>
      </c>
      <c r="AA6">
        <v>0.1047</v>
      </c>
      <c r="AC6">
        <f>IF(ISNUMBER(INDEX($A$2:$AA$48,5,MATCH(Altın!$E$2,$A$1:$AA$1,0))),INDEX($A$2:$AA$48,5,MATCH(Altın!$E$2,$A$1:$AA$1,0)),-1000000000)-ROW()/10000000</f>
        <v>-0.70289540081788815</v>
      </c>
    </row>
    <row r="7" spans="1:29" x14ac:dyDescent="0.2">
      <c r="A7" t="s">
        <v>439</v>
      </c>
      <c r="B7" t="s">
        <v>440</v>
      </c>
      <c r="C7" t="s">
        <v>190</v>
      </c>
      <c r="D7">
        <v>1.8249999999999999E-2</v>
      </c>
      <c r="E7">
        <v>-0.7039671732954611</v>
      </c>
      <c r="F7">
        <v>-1.4596259448490629</v>
      </c>
      <c r="G7">
        <v>0.686191241702927</v>
      </c>
      <c r="H7">
        <v>1.6257293606319669</v>
      </c>
      <c r="I7">
        <v>42.764716989603649</v>
      </c>
      <c r="J7">
        <v>440</v>
      </c>
      <c r="K7">
        <v>411</v>
      </c>
      <c r="L7">
        <v>-6.5909090909090917E-2</v>
      </c>
      <c r="M7">
        <v>30989354.829999998</v>
      </c>
      <c r="N7">
        <v>30525073.48</v>
      </c>
      <c r="O7">
        <v>-1.4981962436679709E-2</v>
      </c>
      <c r="P7">
        <v>1.286210681329506</v>
      </c>
      <c r="Q7" t="s">
        <v>41</v>
      </c>
      <c r="R7">
        <v>0</v>
      </c>
      <c r="S7">
        <v>1.2699999999999999E-2</v>
      </c>
      <c r="T7">
        <v>0</v>
      </c>
      <c r="U7">
        <v>3.1899999999999998E-2</v>
      </c>
      <c r="V7">
        <v>0</v>
      </c>
      <c r="W7">
        <v>5.3800000000000001E-2</v>
      </c>
      <c r="X7">
        <v>0</v>
      </c>
      <c r="Y7">
        <v>4.6899999999999997E-2</v>
      </c>
      <c r="Z7">
        <v>0</v>
      </c>
      <c r="AA7">
        <v>0.14530000000000001</v>
      </c>
      <c r="AC7">
        <f>IF(ISNUMBER(INDEX($A$2:$AA$48,6,MATCH(Altın!$E$2,$A$1:$AA$1,0))),INDEX($A$2:$AA$48,6,MATCH(Altın!$E$2,$A$1:$AA$1,0)),-1000000000)-ROW()/10000000</f>
        <v>-0.70396787329546107</v>
      </c>
    </row>
    <row r="8" spans="1:29" x14ac:dyDescent="0.2">
      <c r="A8" t="s">
        <v>441</v>
      </c>
      <c r="B8" t="s">
        <v>442</v>
      </c>
      <c r="C8" t="s">
        <v>124</v>
      </c>
      <c r="D8">
        <v>1.4999999999999999E-2</v>
      </c>
      <c r="E8">
        <v>-0.75182937033149155</v>
      </c>
      <c r="F8">
        <v>-1.704187040705218</v>
      </c>
      <c r="G8" t="s">
        <v>165</v>
      </c>
      <c r="H8" t="s">
        <v>165</v>
      </c>
      <c r="I8" t="s">
        <v>165</v>
      </c>
      <c r="J8" t="s">
        <v>165</v>
      </c>
      <c r="K8">
        <v>70</v>
      </c>
      <c r="L8" t="s">
        <v>165</v>
      </c>
      <c r="M8" t="s">
        <v>165</v>
      </c>
      <c r="N8">
        <v>51424745.920000002</v>
      </c>
      <c r="O8" t="s">
        <v>165</v>
      </c>
      <c r="P8">
        <v>0.8908548075427466</v>
      </c>
      <c r="Q8" t="s">
        <v>41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C8">
        <f>IF(ISNUMBER(INDEX($A$2:$AA$48,7,MATCH(Altın!$E$2,$A$1:$AA$1,0))),INDEX($A$2:$AA$48,7,MATCH(Altın!$E$2,$A$1:$AA$1,0)),-1000000000)-ROW()/10000000</f>
        <v>-0.75183017033149158</v>
      </c>
    </row>
    <row r="9" spans="1:29" x14ac:dyDescent="0.2">
      <c r="A9" t="s">
        <v>443</v>
      </c>
      <c r="B9" t="s">
        <v>444</v>
      </c>
      <c r="C9" t="s">
        <v>280</v>
      </c>
      <c r="D9">
        <v>0.01</v>
      </c>
      <c r="E9">
        <v>-0.75287350512024398</v>
      </c>
      <c r="F9">
        <v>-1.701390571855022</v>
      </c>
      <c r="G9">
        <v>0.45504997805907438</v>
      </c>
      <c r="H9">
        <v>-2.1187507378330972</v>
      </c>
      <c r="I9">
        <v>39.470974670053323</v>
      </c>
      <c r="J9">
        <v>1678</v>
      </c>
      <c r="K9">
        <v>1617</v>
      </c>
      <c r="L9">
        <v>-3.6352800953516118E-2</v>
      </c>
      <c r="M9">
        <v>430573535.38999999</v>
      </c>
      <c r="N9">
        <v>401858150.82999998</v>
      </c>
      <c r="O9">
        <v>-6.6691011406426748E-2</v>
      </c>
      <c r="P9">
        <v>1.448099706838202</v>
      </c>
      <c r="Q9" t="s">
        <v>41</v>
      </c>
      <c r="R9">
        <v>0</v>
      </c>
      <c r="S9">
        <v>0</v>
      </c>
      <c r="T9">
        <v>0</v>
      </c>
      <c r="U9">
        <v>0</v>
      </c>
      <c r="V9">
        <v>0</v>
      </c>
      <c r="W9">
        <v>2.6499999999999999E-2</v>
      </c>
      <c r="X9">
        <v>0</v>
      </c>
      <c r="Y9">
        <v>0</v>
      </c>
      <c r="Z9">
        <v>0</v>
      </c>
      <c r="AA9">
        <v>2.6499999999999999E-2</v>
      </c>
      <c r="AC9">
        <f>IF(ISNUMBER(INDEX($A$2:$AA$48,8,MATCH(Altın!$E$2,$A$1:$AA$1,0))),INDEX($A$2:$AA$48,8,MATCH(Altın!$E$2,$A$1:$AA$1,0)),-1000000000)-ROW()/10000000</f>
        <v>-0.75287440512024395</v>
      </c>
    </row>
    <row r="10" spans="1:29" x14ac:dyDescent="0.2">
      <c r="A10" t="s">
        <v>445</v>
      </c>
      <c r="B10" t="s">
        <v>446</v>
      </c>
      <c r="C10" t="s">
        <v>248</v>
      </c>
      <c r="D10">
        <v>1.8249999999999999E-2</v>
      </c>
      <c r="E10">
        <v>-0.75325179004211984</v>
      </c>
      <c r="F10">
        <v>-1.2838612350325569</v>
      </c>
      <c r="G10">
        <v>0.77737198406173658</v>
      </c>
      <c r="H10">
        <v>-0.35304847624307861</v>
      </c>
      <c r="I10">
        <v>35.3944033153617</v>
      </c>
      <c r="J10">
        <v>96</v>
      </c>
      <c r="K10">
        <v>98</v>
      </c>
      <c r="L10">
        <v>2.0833333333333259E-2</v>
      </c>
      <c r="M10">
        <v>62800901.039999999</v>
      </c>
      <c r="N10">
        <v>63583052.219999999</v>
      </c>
      <c r="O10">
        <v>1.2454457930497259E-2</v>
      </c>
      <c r="P10">
        <v>1.437210714614557</v>
      </c>
      <c r="Q10" t="s">
        <v>41</v>
      </c>
      <c r="R10">
        <v>5.5000000000000014E-3</v>
      </c>
      <c r="S10">
        <v>0</v>
      </c>
      <c r="T10">
        <v>0</v>
      </c>
      <c r="U10">
        <v>0</v>
      </c>
      <c r="V10">
        <v>0</v>
      </c>
      <c r="W10">
        <v>3.4799999999999998E-2</v>
      </c>
      <c r="X10">
        <v>0</v>
      </c>
      <c r="Y10">
        <v>0</v>
      </c>
      <c r="Z10">
        <v>0</v>
      </c>
      <c r="AA10">
        <v>4.0300000000000002E-2</v>
      </c>
      <c r="AC10">
        <f>IF(ISNUMBER(INDEX($A$2:$AA$48,9,MATCH(Altın!$E$2,$A$1:$AA$1,0))),INDEX($A$2:$AA$48,9,MATCH(Altın!$E$2,$A$1:$AA$1,0)),-1000000000)-ROW()/10000000</f>
        <v>-0.75325279004211987</v>
      </c>
    </row>
    <row r="11" spans="1:29" x14ac:dyDescent="0.2">
      <c r="A11" t="s">
        <v>447</v>
      </c>
      <c r="B11" t="s">
        <v>448</v>
      </c>
      <c r="C11" t="s">
        <v>65</v>
      </c>
      <c r="D11">
        <v>0.01</v>
      </c>
      <c r="E11">
        <v>-0.76608383873481012</v>
      </c>
      <c r="F11">
        <v>-1.66141534563834</v>
      </c>
      <c r="G11">
        <v>0.61936067538150841</v>
      </c>
      <c r="H11">
        <v>-4.5078914858047714</v>
      </c>
      <c r="I11">
        <v>39.793396420240981</v>
      </c>
      <c r="J11">
        <v>3721</v>
      </c>
      <c r="K11">
        <v>3508</v>
      </c>
      <c r="L11">
        <v>-5.7242676699811867E-2</v>
      </c>
      <c r="M11">
        <v>297646916.20999998</v>
      </c>
      <c r="N11">
        <v>284420674.41000003</v>
      </c>
      <c r="O11">
        <v>-4.443601152806298E-2</v>
      </c>
      <c r="P11">
        <v>1.372794444261904</v>
      </c>
      <c r="Q11" t="s">
        <v>41</v>
      </c>
      <c r="R11">
        <v>1.1999999999999999E-3</v>
      </c>
      <c r="S11">
        <v>2.07E-2</v>
      </c>
      <c r="T11">
        <v>0</v>
      </c>
      <c r="U11">
        <v>0</v>
      </c>
      <c r="V11">
        <v>0</v>
      </c>
      <c r="W11">
        <v>3.44E-2</v>
      </c>
      <c r="X11">
        <v>0</v>
      </c>
      <c r="Y11">
        <v>0</v>
      </c>
      <c r="Z11">
        <v>0</v>
      </c>
      <c r="AA11">
        <v>5.6300000000000003E-2</v>
      </c>
      <c r="AC11">
        <f>IF(ISNUMBER(INDEX($A$2:$AA$48,10,MATCH(Altın!$E$2,$A$1:$AA$1,0))),INDEX($A$2:$AA$48,10,MATCH(Altın!$E$2,$A$1:$AA$1,0)),-1000000000)-ROW()/10000000</f>
        <v>-0.76608493873481009</v>
      </c>
    </row>
    <row r="12" spans="1:29" x14ac:dyDescent="0.2">
      <c r="A12" t="s">
        <v>449</v>
      </c>
      <c r="B12" t="s">
        <v>450</v>
      </c>
      <c r="C12" t="s">
        <v>62</v>
      </c>
      <c r="D12">
        <v>1.4999999999999999E-2</v>
      </c>
      <c r="E12">
        <v>-0.76615130085692096</v>
      </c>
      <c r="F12">
        <v>-1.6816511217488279</v>
      </c>
      <c r="G12">
        <v>0.55994970027799518</v>
      </c>
      <c r="H12">
        <v>-1.4050981223625361</v>
      </c>
      <c r="I12">
        <v>38.012572853414397</v>
      </c>
      <c r="J12">
        <v>12810</v>
      </c>
      <c r="K12">
        <v>12454</v>
      </c>
      <c r="L12">
        <v>-2.779078844652616E-2</v>
      </c>
      <c r="M12">
        <v>2478075996.8400002</v>
      </c>
      <c r="N12">
        <v>2422608778.7800002</v>
      </c>
      <c r="O12">
        <v>-2.2383178776894219E-2</v>
      </c>
      <c r="P12">
        <v>1.3993083803558259</v>
      </c>
      <c r="Q12" t="s">
        <v>41</v>
      </c>
      <c r="R12">
        <v>0</v>
      </c>
      <c r="S12">
        <v>1.8E-3</v>
      </c>
      <c r="T12">
        <v>0</v>
      </c>
      <c r="U12">
        <v>2.5999999999999999E-3</v>
      </c>
      <c r="V12">
        <v>0</v>
      </c>
      <c r="W12">
        <v>6.5500000000000003E-2</v>
      </c>
      <c r="X12">
        <v>0</v>
      </c>
      <c r="Y12">
        <v>0</v>
      </c>
      <c r="Z12">
        <v>0</v>
      </c>
      <c r="AA12">
        <v>6.9900000000000004E-2</v>
      </c>
      <c r="AC12">
        <f>IF(ISNUMBER(INDEX($A$2:$AA$48,11,MATCH(Altın!$E$2,$A$1:$AA$1,0))),INDEX($A$2:$AA$48,11,MATCH(Altın!$E$2,$A$1:$AA$1,0)),-1000000000)-ROW()/10000000</f>
        <v>-0.76615250085692099</v>
      </c>
    </row>
    <row r="13" spans="1:29" x14ac:dyDescent="0.2">
      <c r="A13" t="s">
        <v>451</v>
      </c>
      <c r="B13" t="s">
        <v>452</v>
      </c>
      <c r="C13" t="s">
        <v>453</v>
      </c>
      <c r="D13">
        <v>1.4999999999999999E-2</v>
      </c>
      <c r="E13">
        <v>-0.76639258858731685</v>
      </c>
      <c r="F13">
        <v>-1.7077885898298839</v>
      </c>
      <c r="G13">
        <v>0.78338757258671343</v>
      </c>
      <c r="H13">
        <v>-4.1724756548592872</v>
      </c>
      <c r="I13">
        <v>35.981236896622534</v>
      </c>
      <c r="J13">
        <v>6204</v>
      </c>
      <c r="K13">
        <v>6027</v>
      </c>
      <c r="L13">
        <v>-2.852998065764023E-2</v>
      </c>
      <c r="M13">
        <v>425734454.79000002</v>
      </c>
      <c r="N13">
        <v>415818350.08999997</v>
      </c>
      <c r="O13">
        <v>-2.32917598950062E-2</v>
      </c>
      <c r="P13">
        <v>1.4375439067610281</v>
      </c>
      <c r="Q13" t="s">
        <v>41</v>
      </c>
      <c r="R13">
        <v>0</v>
      </c>
      <c r="S13">
        <v>0</v>
      </c>
      <c r="T13">
        <v>0</v>
      </c>
      <c r="U13">
        <v>0</v>
      </c>
      <c r="V13">
        <v>0</v>
      </c>
      <c r="W13">
        <v>2.41E-2</v>
      </c>
      <c r="X13">
        <v>0</v>
      </c>
      <c r="Y13">
        <v>0</v>
      </c>
      <c r="Z13">
        <v>0</v>
      </c>
      <c r="AA13">
        <v>2.41E-2</v>
      </c>
      <c r="AC13">
        <f>IF(ISNUMBER(INDEX($A$2:$AA$48,12,MATCH(Altın!$E$2,$A$1:$AA$1,0))),INDEX($A$2:$AA$48,12,MATCH(Altın!$E$2,$A$1:$AA$1,0)),-1000000000)-ROW()/10000000</f>
        <v>-0.76639388858731683</v>
      </c>
    </row>
    <row r="14" spans="1:29" x14ac:dyDescent="0.2">
      <c r="A14" t="s">
        <v>454</v>
      </c>
      <c r="B14" t="s">
        <v>455</v>
      </c>
      <c r="C14" t="s">
        <v>138</v>
      </c>
      <c r="D14">
        <v>1.9E-2</v>
      </c>
      <c r="E14">
        <v>-0.76851214424157321</v>
      </c>
      <c r="F14">
        <v>-1.6585522940950059</v>
      </c>
      <c r="G14" t="s">
        <v>165</v>
      </c>
      <c r="H14" t="s">
        <v>165</v>
      </c>
      <c r="I14" t="s">
        <v>165</v>
      </c>
      <c r="J14" t="s">
        <v>165</v>
      </c>
      <c r="K14">
        <v>239</v>
      </c>
      <c r="L14" t="s">
        <v>165</v>
      </c>
      <c r="M14" t="s">
        <v>165</v>
      </c>
      <c r="N14">
        <v>71528779.430000007</v>
      </c>
      <c r="O14" t="s">
        <v>165</v>
      </c>
      <c r="P14">
        <v>1.173178179340943</v>
      </c>
      <c r="Q14" t="s">
        <v>41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C14">
        <f>IF(ISNUMBER(INDEX($A$2:$AA$48,13,MATCH(Altın!$E$2,$A$1:$AA$1,0))),INDEX($A$2:$AA$48,13,MATCH(Altın!$E$2,$A$1:$AA$1,0)),-1000000000)-ROW()/10000000</f>
        <v>-0.76851354424157325</v>
      </c>
    </row>
    <row r="15" spans="1:29" x14ac:dyDescent="0.2">
      <c r="A15" t="s">
        <v>456</v>
      </c>
      <c r="B15" t="s">
        <v>457</v>
      </c>
      <c r="C15" t="s">
        <v>82</v>
      </c>
      <c r="D15">
        <v>1.95E-2</v>
      </c>
      <c r="E15">
        <v>-0.78142885428075237</v>
      </c>
      <c r="F15">
        <v>-1.7388833292928949</v>
      </c>
      <c r="G15">
        <v>0.49296720745788392</v>
      </c>
      <c r="H15">
        <v>-1.923947297200179</v>
      </c>
      <c r="I15">
        <v>36.425785923407503</v>
      </c>
      <c r="J15">
        <v>12758</v>
      </c>
      <c r="K15">
        <v>12276</v>
      </c>
      <c r="L15">
        <v>-3.7780216334848737E-2</v>
      </c>
      <c r="M15">
        <v>4665592482.1899996</v>
      </c>
      <c r="N15">
        <v>4434503448.0299997</v>
      </c>
      <c r="O15">
        <v>-4.953047979268177E-2</v>
      </c>
      <c r="P15">
        <v>1.476505271023911</v>
      </c>
      <c r="Q15" t="s">
        <v>41</v>
      </c>
      <c r="R15">
        <v>0</v>
      </c>
      <c r="S15">
        <v>0</v>
      </c>
      <c r="T15">
        <v>0</v>
      </c>
      <c r="U15">
        <v>0</v>
      </c>
      <c r="V15">
        <v>0</v>
      </c>
      <c r="W15">
        <v>7.6E-3</v>
      </c>
      <c r="X15">
        <v>0</v>
      </c>
      <c r="Y15">
        <v>0</v>
      </c>
      <c r="Z15">
        <v>0</v>
      </c>
      <c r="AA15">
        <v>7.6E-3</v>
      </c>
      <c r="AC15">
        <f>IF(ISNUMBER(INDEX($A$2:$AA$48,14,MATCH(Altın!$E$2,$A$1:$AA$1,0))),INDEX($A$2:$AA$48,14,MATCH(Altın!$E$2,$A$1:$AA$1,0)),-1000000000)-ROW()/10000000</f>
        <v>-0.78143035428075236</v>
      </c>
    </row>
    <row r="16" spans="1:29" x14ac:dyDescent="0.2">
      <c r="A16" t="s">
        <v>458</v>
      </c>
      <c r="B16" t="s">
        <v>459</v>
      </c>
      <c r="C16" t="s">
        <v>460</v>
      </c>
      <c r="D16">
        <v>1.4999999999999999E-2</v>
      </c>
      <c r="E16">
        <v>-0.78288550139899993</v>
      </c>
      <c r="F16">
        <v>-1.700700356610374</v>
      </c>
      <c r="G16">
        <v>0.85236800141934577</v>
      </c>
      <c r="H16" t="s">
        <v>165</v>
      </c>
      <c r="I16" t="s">
        <v>165</v>
      </c>
      <c r="J16">
        <v>128</v>
      </c>
      <c r="K16">
        <v>321</v>
      </c>
      <c r="L16">
        <v>1.5078125</v>
      </c>
      <c r="M16">
        <v>38701797.079999998</v>
      </c>
      <c r="N16">
        <v>52257260.689999998</v>
      </c>
      <c r="O16">
        <v>0.35025411305784249</v>
      </c>
      <c r="P16">
        <v>1.406530681078521</v>
      </c>
      <c r="Q16" t="s">
        <v>41</v>
      </c>
      <c r="R16">
        <v>0</v>
      </c>
      <c r="S16">
        <v>0</v>
      </c>
      <c r="T16">
        <v>0</v>
      </c>
      <c r="U16">
        <v>1.2999999999999999E-2</v>
      </c>
      <c r="V16">
        <v>0</v>
      </c>
      <c r="W16">
        <v>0</v>
      </c>
      <c r="X16">
        <v>0</v>
      </c>
      <c r="Y16">
        <v>0</v>
      </c>
      <c r="Z16">
        <v>0</v>
      </c>
      <c r="AA16">
        <v>1.2999999999999999E-2</v>
      </c>
      <c r="AC16">
        <f>IF(ISNUMBER(INDEX($A$2:$AA$48,15,MATCH(Altın!$E$2,$A$1:$AA$1,0))),INDEX($A$2:$AA$48,15,MATCH(Altın!$E$2,$A$1:$AA$1,0)),-1000000000)-ROW()/10000000</f>
        <v>-0.78288710139899997</v>
      </c>
    </row>
    <row r="17" spans="1:29" x14ac:dyDescent="0.2">
      <c r="A17" t="s">
        <v>461</v>
      </c>
      <c r="B17" t="s">
        <v>462</v>
      </c>
      <c r="C17" t="s">
        <v>274</v>
      </c>
      <c r="D17">
        <v>1.7500000000000002E-2</v>
      </c>
      <c r="E17">
        <v>-0.78357944756075604</v>
      </c>
      <c r="F17">
        <v>-1.7241312132039279</v>
      </c>
      <c r="G17">
        <v>0.55334518693339607</v>
      </c>
      <c r="H17">
        <v>-2.2741582088800389</v>
      </c>
      <c r="I17">
        <v>36.044962486313302</v>
      </c>
      <c r="J17">
        <v>3301</v>
      </c>
      <c r="K17">
        <v>3095</v>
      </c>
      <c r="L17">
        <v>-6.2405331717661272E-2</v>
      </c>
      <c r="M17">
        <v>634278432.33000004</v>
      </c>
      <c r="N17">
        <v>587051125.16999996</v>
      </c>
      <c r="O17">
        <v>-7.4458321066526278E-2</v>
      </c>
      <c r="P17">
        <v>1.4583498595675</v>
      </c>
      <c r="Q17" t="s">
        <v>41</v>
      </c>
      <c r="R17">
        <v>0</v>
      </c>
      <c r="S17">
        <v>3.0999999999999999E-3</v>
      </c>
      <c r="T17">
        <v>8.5000000000000006E-3</v>
      </c>
      <c r="U17">
        <v>0</v>
      </c>
      <c r="V17">
        <v>8.0000000000000004E-4</v>
      </c>
      <c r="W17">
        <v>0</v>
      </c>
      <c r="X17">
        <v>0</v>
      </c>
      <c r="Y17">
        <v>0</v>
      </c>
      <c r="Z17">
        <v>0</v>
      </c>
      <c r="AA17">
        <v>1.24E-2</v>
      </c>
      <c r="AC17">
        <f>IF(ISNUMBER(INDEX($A$2:$AA$48,16,MATCH(Altın!$E$2,$A$1:$AA$1,0))),INDEX($A$2:$AA$48,16,MATCH(Altın!$E$2,$A$1:$AA$1,0)),-1000000000)-ROW()/10000000</f>
        <v>-0.78358114756075603</v>
      </c>
    </row>
    <row r="18" spans="1:29" x14ac:dyDescent="0.2">
      <c r="A18" t="s">
        <v>463</v>
      </c>
      <c r="B18" t="s">
        <v>464</v>
      </c>
      <c r="C18" t="s">
        <v>453</v>
      </c>
      <c r="D18">
        <v>3.0000000000000001E-3</v>
      </c>
      <c r="E18">
        <v>-0.78865750644006027</v>
      </c>
      <c r="F18">
        <v>-1.691619559809487</v>
      </c>
      <c r="G18">
        <v>0.84851593128789649</v>
      </c>
      <c r="H18">
        <v>0.91870729385614691</v>
      </c>
      <c r="I18">
        <v>45.938263939914982</v>
      </c>
      <c r="J18">
        <v>40</v>
      </c>
      <c r="K18">
        <v>38</v>
      </c>
      <c r="L18">
        <v>-5.0000000000000037E-2</v>
      </c>
      <c r="M18">
        <v>5162041621.7200003</v>
      </c>
      <c r="N18">
        <v>4988813224.6099997</v>
      </c>
      <c r="O18">
        <v>-3.3558117079319549E-2</v>
      </c>
      <c r="P18">
        <v>1.533978257861015</v>
      </c>
      <c r="Q18" t="s">
        <v>38</v>
      </c>
      <c r="R18">
        <v>0</v>
      </c>
      <c r="S18">
        <v>0</v>
      </c>
      <c r="T18">
        <v>0</v>
      </c>
      <c r="U18">
        <v>0</v>
      </c>
      <c r="V18">
        <v>0</v>
      </c>
      <c r="W18">
        <v>7.000000000000001E-4</v>
      </c>
      <c r="X18">
        <v>0</v>
      </c>
      <c r="Y18">
        <v>0</v>
      </c>
      <c r="Z18">
        <v>0</v>
      </c>
      <c r="AA18">
        <v>7.000000000000001E-4</v>
      </c>
      <c r="AC18">
        <f>IF(ISNUMBER(INDEX($A$2:$AA$48,17,MATCH(Altın!$E$2,$A$1:$AA$1,0))),INDEX($A$2:$AA$48,17,MATCH(Altın!$E$2,$A$1:$AA$1,0)),-1000000000)-ROW()/10000000</f>
        <v>-0.78865930644006033</v>
      </c>
    </row>
    <row r="19" spans="1:29" x14ac:dyDescent="0.2">
      <c r="A19" t="s">
        <v>465</v>
      </c>
      <c r="B19" t="s">
        <v>466</v>
      </c>
      <c r="C19" t="s">
        <v>74</v>
      </c>
      <c r="D19">
        <v>1.7999999999999999E-2</v>
      </c>
      <c r="E19">
        <v>-0.79080112223983701</v>
      </c>
      <c r="F19">
        <v>-1.450933627131223</v>
      </c>
      <c r="G19">
        <v>0.74388208388205257</v>
      </c>
      <c r="H19">
        <v>-0.37599159180200509</v>
      </c>
      <c r="I19">
        <v>44.365603263465843</v>
      </c>
      <c r="J19">
        <v>1557</v>
      </c>
      <c r="K19">
        <v>1513</v>
      </c>
      <c r="L19">
        <v>-2.825947334617851E-2</v>
      </c>
      <c r="M19">
        <v>1148171844.46</v>
      </c>
      <c r="N19">
        <v>1206121994.8</v>
      </c>
      <c r="O19">
        <v>5.047166991562535E-2</v>
      </c>
      <c r="P19">
        <v>1.1980653083999611</v>
      </c>
      <c r="Q19" t="s">
        <v>41</v>
      </c>
      <c r="R19">
        <v>0</v>
      </c>
      <c r="S19">
        <v>0</v>
      </c>
      <c r="T19">
        <v>0.14330000000000001</v>
      </c>
      <c r="U19">
        <v>4.2299999999999997E-2</v>
      </c>
      <c r="V19">
        <v>5.0000000000000001E-4</v>
      </c>
      <c r="W19">
        <v>8.929999999999999E-2</v>
      </c>
      <c r="X19">
        <v>0</v>
      </c>
      <c r="Y19">
        <v>0</v>
      </c>
      <c r="Z19">
        <v>0</v>
      </c>
      <c r="AA19">
        <v>0.27539999999999998</v>
      </c>
      <c r="AC19">
        <f>IF(ISNUMBER(INDEX($A$2:$AA$48,18,MATCH(Altın!$E$2,$A$1:$AA$1,0))),INDEX($A$2:$AA$48,18,MATCH(Altın!$E$2,$A$1:$AA$1,0)),-1000000000)-ROW()/10000000</f>
        <v>-0.79080302223983701</v>
      </c>
    </row>
    <row r="20" spans="1:29" x14ac:dyDescent="0.2">
      <c r="A20" t="s">
        <v>467</v>
      </c>
      <c r="B20" t="s">
        <v>468</v>
      </c>
      <c r="C20" t="s">
        <v>100</v>
      </c>
      <c r="D20">
        <v>2.0074999999999999E-2</v>
      </c>
      <c r="E20">
        <v>-0.79462283083462371</v>
      </c>
      <c r="F20">
        <v>-1.80493023833258</v>
      </c>
      <c r="G20">
        <v>0.44060432138344208</v>
      </c>
      <c r="H20">
        <v>-0.50183578906863868</v>
      </c>
      <c r="I20">
        <v>36.90201648415983</v>
      </c>
      <c r="J20">
        <v>90817</v>
      </c>
      <c r="K20">
        <v>88717</v>
      </c>
      <c r="L20">
        <v>-2.3123424028540951E-2</v>
      </c>
      <c r="M20">
        <v>31282503815.16</v>
      </c>
      <c r="N20">
        <v>31002970572.919998</v>
      </c>
      <c r="O20">
        <v>-8.9357694605166627E-3</v>
      </c>
      <c r="P20">
        <v>1.4667521035985129</v>
      </c>
      <c r="Q20" t="s">
        <v>41</v>
      </c>
      <c r="R20">
        <v>0</v>
      </c>
      <c r="S20">
        <v>1.9800000000000002E-2</v>
      </c>
      <c r="T20">
        <v>0</v>
      </c>
      <c r="U20">
        <v>0</v>
      </c>
      <c r="V20">
        <v>0</v>
      </c>
      <c r="W20">
        <v>4.3400000000000001E-2</v>
      </c>
      <c r="X20">
        <v>0</v>
      </c>
      <c r="Y20">
        <v>0</v>
      </c>
      <c r="Z20">
        <v>0</v>
      </c>
      <c r="AA20">
        <v>6.3200000000000006E-2</v>
      </c>
      <c r="AC20">
        <f>IF(ISNUMBER(INDEX($A$2:$AA$48,19,MATCH(Altın!$E$2,$A$1:$AA$1,0))),INDEX($A$2:$AA$48,19,MATCH(Altın!$E$2,$A$1:$AA$1,0)),-1000000000)-ROW()/10000000</f>
        <v>-0.79462483083462365</v>
      </c>
    </row>
    <row r="21" spans="1:29" x14ac:dyDescent="0.2">
      <c r="A21" t="s">
        <v>469</v>
      </c>
      <c r="B21" t="s">
        <v>470</v>
      </c>
      <c r="C21" t="s">
        <v>453</v>
      </c>
      <c r="D21">
        <v>3.0000000000000001E-3</v>
      </c>
      <c r="E21">
        <v>-0.7950682590139091</v>
      </c>
      <c r="F21">
        <v>-1.7219895197846391</v>
      </c>
      <c r="G21">
        <v>0.71333092505416751</v>
      </c>
      <c r="H21">
        <v>-5.7467052535076217E-2</v>
      </c>
      <c r="I21">
        <v>43.61065990043906</v>
      </c>
      <c r="J21">
        <v>67201</v>
      </c>
      <c r="K21">
        <v>66132</v>
      </c>
      <c r="L21">
        <v>-1.590750137646757E-2</v>
      </c>
      <c r="M21">
        <v>82211865482.869995</v>
      </c>
      <c r="N21">
        <v>85446644201.139999</v>
      </c>
      <c r="O21">
        <v>3.9346859474244773E-2</v>
      </c>
      <c r="P21">
        <v>1.5341793461885811</v>
      </c>
      <c r="Q21" t="s">
        <v>41</v>
      </c>
      <c r="R21">
        <v>0</v>
      </c>
      <c r="S21">
        <v>0</v>
      </c>
      <c r="T21">
        <v>0</v>
      </c>
      <c r="U21">
        <v>0</v>
      </c>
      <c r="V21">
        <v>0</v>
      </c>
      <c r="W21">
        <v>5.9999999999999995E-4</v>
      </c>
      <c r="X21">
        <v>0</v>
      </c>
      <c r="Y21">
        <v>0</v>
      </c>
      <c r="Z21">
        <v>0</v>
      </c>
      <c r="AA21">
        <v>5.9999999999999995E-4</v>
      </c>
      <c r="AC21">
        <f>IF(ISNUMBER(INDEX($A$2:$AA$48,20,MATCH(Altın!$E$2,$A$1:$AA$1,0))),INDEX($A$2:$AA$48,20,MATCH(Altın!$E$2,$A$1:$AA$1,0)),-1000000000)-ROW()/10000000</f>
        <v>-0.7950703590139091</v>
      </c>
    </row>
    <row r="22" spans="1:29" x14ac:dyDescent="0.2">
      <c r="A22" t="s">
        <v>471</v>
      </c>
      <c r="B22" t="s">
        <v>472</v>
      </c>
      <c r="C22" t="s">
        <v>138</v>
      </c>
      <c r="D22">
        <v>1.9E-2</v>
      </c>
      <c r="E22">
        <v>-0.8175296626954931</v>
      </c>
      <c r="F22">
        <v>-1.6076193744905429</v>
      </c>
      <c r="G22">
        <v>0.7744076379160969</v>
      </c>
      <c r="H22">
        <v>-6.4455282536439951</v>
      </c>
      <c r="I22">
        <v>32.690198147659594</v>
      </c>
      <c r="J22">
        <v>219447</v>
      </c>
      <c r="K22">
        <v>222059</v>
      </c>
      <c r="L22">
        <v>1.1902646197031521E-2</v>
      </c>
      <c r="M22">
        <v>25456977330.200001</v>
      </c>
      <c r="N22">
        <v>25119577958.869999</v>
      </c>
      <c r="O22">
        <v>-1.32537090697622E-2</v>
      </c>
      <c r="P22">
        <v>1.393953990914736</v>
      </c>
      <c r="Q22" t="s">
        <v>41</v>
      </c>
      <c r="R22">
        <v>0</v>
      </c>
      <c r="S22">
        <v>2.6599999999999999E-2</v>
      </c>
      <c r="T22">
        <v>5.9999999999999995E-4</v>
      </c>
      <c r="U22">
        <v>0</v>
      </c>
      <c r="V22">
        <v>0</v>
      </c>
      <c r="W22">
        <v>7.3700000000000002E-2</v>
      </c>
      <c r="X22">
        <v>0</v>
      </c>
      <c r="Y22">
        <v>0</v>
      </c>
      <c r="Z22">
        <v>0</v>
      </c>
      <c r="AA22">
        <v>0.1009</v>
      </c>
      <c r="AC22">
        <f>IF(ISNUMBER(INDEX($A$2:$AA$48,21,MATCH(Altın!$E$2,$A$1:$AA$1,0))),INDEX($A$2:$AA$48,21,MATCH(Altın!$E$2,$A$1:$AA$1,0)),-1000000000)-ROW()/10000000</f>
        <v>-0.81753186269549305</v>
      </c>
    </row>
    <row r="23" spans="1:29" x14ac:dyDescent="0.2">
      <c r="A23" t="s">
        <v>473</v>
      </c>
      <c r="B23" t="s">
        <v>474</v>
      </c>
      <c r="C23" t="s">
        <v>168</v>
      </c>
      <c r="D23">
        <v>9.4999999999999998E-3</v>
      </c>
      <c r="E23">
        <v>-0.84857109334722791</v>
      </c>
      <c r="F23">
        <v>-1.7168585009642361</v>
      </c>
      <c r="G23">
        <v>0.68849905672372369</v>
      </c>
      <c r="H23">
        <v>-3.7532816252800689</v>
      </c>
      <c r="I23">
        <v>38.851204171000099</v>
      </c>
      <c r="J23">
        <v>588</v>
      </c>
      <c r="K23">
        <v>576</v>
      </c>
      <c r="L23">
        <v>-2.0408163265306149E-2</v>
      </c>
      <c r="M23">
        <v>105135183.79000001</v>
      </c>
      <c r="N23">
        <v>93707728.620000005</v>
      </c>
      <c r="O23">
        <v>-0.108692968025105</v>
      </c>
      <c r="P23">
        <v>1.429392865780162</v>
      </c>
      <c r="Q23" t="s">
        <v>41</v>
      </c>
      <c r="R23">
        <v>0</v>
      </c>
      <c r="S23">
        <v>0</v>
      </c>
      <c r="T23">
        <v>0</v>
      </c>
      <c r="U23">
        <v>0</v>
      </c>
      <c r="V23">
        <v>0</v>
      </c>
      <c r="W23">
        <v>2.76E-2</v>
      </c>
      <c r="X23">
        <v>0</v>
      </c>
      <c r="Y23">
        <v>0</v>
      </c>
      <c r="Z23">
        <v>0</v>
      </c>
      <c r="AA23">
        <v>2.76E-2</v>
      </c>
      <c r="AC23">
        <f>IF(ISNUMBER(INDEX($A$2:$AA$48,22,MATCH(Altın!$E$2,$A$1:$AA$1,0))),INDEX($A$2:$AA$48,22,MATCH(Altın!$E$2,$A$1:$AA$1,0)),-1000000000)-ROW()/10000000</f>
        <v>-0.84857339334722792</v>
      </c>
    </row>
    <row r="24" spans="1:29" x14ac:dyDescent="0.2">
      <c r="A24" t="s">
        <v>475</v>
      </c>
      <c r="B24" t="s">
        <v>476</v>
      </c>
      <c r="C24" t="s">
        <v>121</v>
      </c>
      <c r="D24">
        <v>1.6905E-2</v>
      </c>
      <c r="E24">
        <v>-0.85082368066734526</v>
      </c>
      <c r="F24">
        <v>-1.6570422907219551</v>
      </c>
      <c r="G24">
        <v>1.130975438041748E-2</v>
      </c>
      <c r="H24">
        <v>2.4645939126731959</v>
      </c>
      <c r="I24">
        <v>41.882620983071433</v>
      </c>
      <c r="J24">
        <v>2481</v>
      </c>
      <c r="K24">
        <v>2321</v>
      </c>
      <c r="L24">
        <v>-6.4490124949617145E-2</v>
      </c>
      <c r="M24">
        <v>1629352004.77</v>
      </c>
      <c r="N24">
        <v>1405271974.2</v>
      </c>
      <c r="O24">
        <v>-0.1375270843341376</v>
      </c>
      <c r="P24">
        <v>1.1865798023950049</v>
      </c>
      <c r="Q24" t="s">
        <v>41</v>
      </c>
      <c r="R24">
        <v>0</v>
      </c>
      <c r="S24">
        <v>0</v>
      </c>
      <c r="T24">
        <v>0</v>
      </c>
      <c r="U24">
        <v>7.3800000000000004E-2</v>
      </c>
      <c r="V24">
        <v>0</v>
      </c>
      <c r="W24">
        <v>9.5000000000000001E-2</v>
      </c>
      <c r="X24">
        <v>0</v>
      </c>
      <c r="Y24">
        <v>0</v>
      </c>
      <c r="Z24">
        <v>0</v>
      </c>
      <c r="AA24">
        <v>0.16880000000000001</v>
      </c>
      <c r="AC24">
        <f>IF(ISNUMBER(INDEX($A$2:$AA$48,23,MATCH(Altın!$E$2,$A$1:$AA$1,0))),INDEX($A$2:$AA$48,23,MATCH(Altın!$E$2,$A$1:$AA$1,0)),-1000000000)-ROW()/10000000</f>
        <v>-0.85082608066734522</v>
      </c>
    </row>
    <row r="25" spans="1:29" x14ac:dyDescent="0.2">
      <c r="A25" t="s">
        <v>477</v>
      </c>
      <c r="B25" t="s">
        <v>478</v>
      </c>
      <c r="C25" t="s">
        <v>228</v>
      </c>
      <c r="D25">
        <v>1.8499999999999999E-2</v>
      </c>
      <c r="E25">
        <v>-0.8527023054783478</v>
      </c>
      <c r="F25">
        <v>-1.723373342662782</v>
      </c>
      <c r="G25">
        <v>0.83242261873668344</v>
      </c>
      <c r="H25">
        <v>1.3852363977203459</v>
      </c>
      <c r="I25">
        <v>43.07550692289395</v>
      </c>
      <c r="J25">
        <v>29349</v>
      </c>
      <c r="K25">
        <v>28529</v>
      </c>
      <c r="L25">
        <v>-2.7939623155814549E-2</v>
      </c>
      <c r="M25">
        <v>44780006805.410004</v>
      </c>
      <c r="N25">
        <v>43494672312.040001</v>
      </c>
      <c r="O25">
        <v>-2.87033117023715E-2</v>
      </c>
      <c r="P25">
        <v>1.4128211223446629</v>
      </c>
      <c r="Q25" t="s">
        <v>41</v>
      </c>
      <c r="R25">
        <v>0</v>
      </c>
      <c r="S25">
        <v>2.76E-2</v>
      </c>
      <c r="T25">
        <v>3.5000000000000001E-3</v>
      </c>
      <c r="U25">
        <v>1.6999999999999999E-3</v>
      </c>
      <c r="V25">
        <v>8.9999999999999998E-4</v>
      </c>
      <c r="W25">
        <v>0</v>
      </c>
      <c r="X25">
        <v>0</v>
      </c>
      <c r="Y25">
        <v>0</v>
      </c>
      <c r="Z25">
        <v>0</v>
      </c>
      <c r="AA25">
        <v>3.3700000000000001E-2</v>
      </c>
      <c r="AC25">
        <f>IF(ISNUMBER(INDEX($A$2:$AA$48,24,MATCH(Altın!$E$2,$A$1:$AA$1,0))),INDEX($A$2:$AA$48,24,MATCH(Altın!$E$2,$A$1:$AA$1,0)),-1000000000)-ROW()/10000000</f>
        <v>-0.85270480547834782</v>
      </c>
    </row>
    <row r="26" spans="1:29" x14ac:dyDescent="0.2">
      <c r="A26" t="s">
        <v>479</v>
      </c>
      <c r="B26" t="s">
        <v>480</v>
      </c>
      <c r="C26" t="s">
        <v>124</v>
      </c>
      <c r="D26">
        <v>2.0400000000000001E-2</v>
      </c>
      <c r="E26">
        <v>-0.85951788696528864</v>
      </c>
      <c r="F26">
        <v>-1.7617459196675569</v>
      </c>
      <c r="G26">
        <v>0.45562699336809681</v>
      </c>
      <c r="H26">
        <v>-1.602665717179697</v>
      </c>
      <c r="I26">
        <v>38.970143341810243</v>
      </c>
      <c r="J26">
        <v>84485</v>
      </c>
      <c r="K26">
        <v>82813</v>
      </c>
      <c r="L26">
        <v>-1.9790495354204851E-2</v>
      </c>
      <c r="M26">
        <v>19252202308.400002</v>
      </c>
      <c r="N26">
        <v>18359083057.57</v>
      </c>
      <c r="O26">
        <v>-4.6390497903729289E-2</v>
      </c>
      <c r="P26">
        <v>1.4547531069301041</v>
      </c>
      <c r="Q26" t="s">
        <v>41</v>
      </c>
      <c r="R26">
        <v>0</v>
      </c>
      <c r="S26">
        <v>0</v>
      </c>
      <c r="T26">
        <v>0</v>
      </c>
      <c r="U26">
        <v>0</v>
      </c>
      <c r="V26">
        <v>0</v>
      </c>
      <c r="W26">
        <v>2.7799999999999998E-2</v>
      </c>
      <c r="X26">
        <v>0</v>
      </c>
      <c r="Y26">
        <v>0</v>
      </c>
      <c r="Z26">
        <v>0</v>
      </c>
      <c r="AA26">
        <v>2.7799999999999998E-2</v>
      </c>
      <c r="AC26">
        <f>IF(ISNUMBER(INDEX($A$2:$AA$48,25,MATCH(Altın!$E$2,$A$1:$AA$1,0))),INDEX($A$2:$AA$48,25,MATCH(Altın!$E$2,$A$1:$AA$1,0)),-1000000000)-ROW()/10000000</f>
        <v>-0.8595204869652886</v>
      </c>
    </row>
    <row r="27" spans="1:29" x14ac:dyDescent="0.2">
      <c r="A27" t="s">
        <v>481</v>
      </c>
      <c r="B27" t="s">
        <v>482</v>
      </c>
      <c r="C27" t="s">
        <v>71</v>
      </c>
      <c r="D27">
        <v>0.02</v>
      </c>
      <c r="E27">
        <v>-0.86282834724545898</v>
      </c>
      <c r="F27">
        <v>-1.7296198848555819</v>
      </c>
      <c r="G27">
        <v>0.55217043296422741</v>
      </c>
      <c r="H27">
        <v>0.50111440759272874</v>
      </c>
      <c r="I27">
        <v>41.339275705881597</v>
      </c>
      <c r="J27">
        <v>26583</v>
      </c>
      <c r="K27">
        <v>25967</v>
      </c>
      <c r="L27">
        <v>-2.3172704359929241E-2</v>
      </c>
      <c r="M27">
        <v>9930717514.5900002</v>
      </c>
      <c r="N27">
        <v>9567050908.9300003</v>
      </c>
      <c r="O27">
        <v>-3.6620375630029622E-2</v>
      </c>
      <c r="P27">
        <v>1.4205828387403701</v>
      </c>
      <c r="Q27" t="s">
        <v>41</v>
      </c>
      <c r="R27">
        <v>0</v>
      </c>
      <c r="S27">
        <v>7.1000000000000004E-3</v>
      </c>
      <c r="T27">
        <v>2.9700000000000001E-2</v>
      </c>
      <c r="U27">
        <v>0</v>
      </c>
      <c r="V27">
        <v>0</v>
      </c>
      <c r="W27">
        <v>6.7999999999999996E-3</v>
      </c>
      <c r="X27">
        <v>0</v>
      </c>
      <c r="Y27">
        <v>0</v>
      </c>
      <c r="Z27">
        <v>0</v>
      </c>
      <c r="AA27">
        <v>4.36E-2</v>
      </c>
      <c r="AC27">
        <f>IF(ISNUMBER(INDEX($A$2:$AA$48,26,MATCH(Altın!$E$2,$A$1:$AA$1,0))),INDEX($A$2:$AA$48,26,MATCH(Altın!$E$2,$A$1:$AA$1,0)),-1000000000)-ROW()/10000000</f>
        <v>-0.862831047245459</v>
      </c>
    </row>
    <row r="28" spans="1:29" x14ac:dyDescent="0.2">
      <c r="A28" t="s">
        <v>483</v>
      </c>
      <c r="B28" t="s">
        <v>484</v>
      </c>
      <c r="C28" t="s">
        <v>306</v>
      </c>
      <c r="D28">
        <v>1.4999999999999999E-2</v>
      </c>
      <c r="E28">
        <v>-0.86716139819125182</v>
      </c>
      <c r="F28">
        <v>1.4897566989806379</v>
      </c>
      <c r="G28">
        <v>6.9797054316895526</v>
      </c>
      <c r="H28">
        <v>4.3834849049776192</v>
      </c>
      <c r="I28">
        <v>67.508377612434316</v>
      </c>
      <c r="J28">
        <v>2721</v>
      </c>
      <c r="K28">
        <v>2697</v>
      </c>
      <c r="L28">
        <v>-8.8202866593164453E-3</v>
      </c>
      <c r="M28">
        <v>302680587.66000003</v>
      </c>
      <c r="N28">
        <v>295118972.58999997</v>
      </c>
      <c r="O28">
        <v>-2.498216066137016E-2</v>
      </c>
      <c r="P28">
        <v>1.5423443289261241</v>
      </c>
      <c r="Q28" t="s">
        <v>41</v>
      </c>
      <c r="R28">
        <v>0</v>
      </c>
      <c r="S28">
        <v>5.21E-2</v>
      </c>
      <c r="T28">
        <v>0</v>
      </c>
      <c r="U28">
        <v>4.3E-3</v>
      </c>
      <c r="V28">
        <v>0.1691</v>
      </c>
      <c r="W28">
        <v>1.0999999999999999E-2</v>
      </c>
      <c r="X28">
        <v>0</v>
      </c>
      <c r="Y28">
        <v>0</v>
      </c>
      <c r="Z28">
        <v>0</v>
      </c>
      <c r="AA28">
        <v>0.23649999999999999</v>
      </c>
      <c r="AC28">
        <f>IF(ISNUMBER(INDEX($A$2:$AA$48,27,MATCH(Altın!$E$2,$A$1:$AA$1,0))),INDEX($A$2:$AA$48,27,MATCH(Altın!$E$2,$A$1:$AA$1,0)),-1000000000)-ROW()/10000000</f>
        <v>-0.86716419819125179</v>
      </c>
    </row>
    <row r="29" spans="1:29" x14ac:dyDescent="0.2">
      <c r="A29" t="s">
        <v>485</v>
      </c>
      <c r="B29" t="s">
        <v>486</v>
      </c>
      <c r="C29" t="s">
        <v>62</v>
      </c>
      <c r="D29">
        <v>1.4999999999999999E-2</v>
      </c>
      <c r="E29">
        <v>-0.88044602720027676</v>
      </c>
      <c r="F29">
        <v>-1.7967545267542631</v>
      </c>
      <c r="G29">
        <v>-1.092477491326793E-3</v>
      </c>
      <c r="H29">
        <v>-2.4652717346906221</v>
      </c>
      <c r="I29">
        <v>36.864502237861217</v>
      </c>
      <c r="J29">
        <v>207</v>
      </c>
      <c r="K29">
        <v>202</v>
      </c>
      <c r="L29">
        <v>-2.4154589371980669E-2</v>
      </c>
      <c r="M29">
        <v>45210478.659999996</v>
      </c>
      <c r="N29">
        <v>44835942.609999999</v>
      </c>
      <c r="O29">
        <v>-8.2842752631895333E-3</v>
      </c>
      <c r="P29">
        <v>1.359661302788042</v>
      </c>
      <c r="Q29" t="s">
        <v>41</v>
      </c>
      <c r="R29">
        <v>0</v>
      </c>
      <c r="S29">
        <v>0</v>
      </c>
      <c r="T29">
        <v>0</v>
      </c>
      <c r="U29">
        <v>7.1800000000000003E-2</v>
      </c>
      <c r="V29">
        <v>0</v>
      </c>
      <c r="W29">
        <v>4.7399999999999998E-2</v>
      </c>
      <c r="X29">
        <v>0</v>
      </c>
      <c r="Y29">
        <v>0</v>
      </c>
      <c r="Z29">
        <v>0</v>
      </c>
      <c r="AA29">
        <v>0.1192</v>
      </c>
      <c r="AC29">
        <f>IF(ISNUMBER(INDEX($A$2:$AA$48,28,MATCH(Altın!$E$2,$A$1:$AA$1,0))),INDEX($A$2:$AA$48,28,MATCH(Altın!$E$2,$A$1:$AA$1,0)),-1000000000)-ROW()/10000000</f>
        <v>-0.88044892720027679</v>
      </c>
    </row>
    <row r="30" spans="1:29" x14ac:dyDescent="0.2">
      <c r="A30" t="s">
        <v>487</v>
      </c>
      <c r="B30" t="s">
        <v>488</v>
      </c>
      <c r="C30" t="s">
        <v>68</v>
      </c>
      <c r="D30">
        <v>1.7520000000000001E-2</v>
      </c>
      <c r="E30">
        <v>-0.89098227679037523</v>
      </c>
      <c r="F30">
        <v>-1.8591132169240241</v>
      </c>
      <c r="G30">
        <v>0.36288877983869933</v>
      </c>
      <c r="H30">
        <v>-0.59940074833777501</v>
      </c>
      <c r="I30">
        <v>39.445148717889737</v>
      </c>
      <c r="J30">
        <v>3282</v>
      </c>
      <c r="K30">
        <v>3222</v>
      </c>
      <c r="L30">
        <v>-1.8281535648994481E-2</v>
      </c>
      <c r="M30">
        <v>733690728.10000002</v>
      </c>
      <c r="N30">
        <v>728035092.33000004</v>
      </c>
      <c r="O30">
        <v>-7.7084738206329986E-3</v>
      </c>
      <c r="P30">
        <v>1.357900063169883</v>
      </c>
      <c r="Q30" t="s">
        <v>41</v>
      </c>
      <c r="R30">
        <v>0</v>
      </c>
      <c r="S30">
        <v>0</v>
      </c>
      <c r="T30">
        <v>0</v>
      </c>
      <c r="U30">
        <v>0</v>
      </c>
      <c r="V30">
        <v>0</v>
      </c>
      <c r="W30">
        <v>3.7000000000000002E-3</v>
      </c>
      <c r="X30">
        <v>0</v>
      </c>
      <c r="Y30">
        <v>0</v>
      </c>
      <c r="Z30">
        <v>0</v>
      </c>
      <c r="AA30">
        <v>3.7000000000000002E-3</v>
      </c>
      <c r="AC30">
        <f>IF(ISNUMBER(INDEX($A$2:$AA$48,29,MATCH(Altın!$E$2,$A$1:$AA$1,0))),INDEX($A$2:$AA$48,29,MATCH(Altın!$E$2,$A$1:$AA$1,0)),-1000000000)-ROW()/10000000</f>
        <v>-0.8909852767903752</v>
      </c>
    </row>
    <row r="31" spans="1:29" x14ac:dyDescent="0.2">
      <c r="A31" t="s">
        <v>489</v>
      </c>
      <c r="B31" t="s">
        <v>490</v>
      </c>
      <c r="C31" t="s">
        <v>97</v>
      </c>
      <c r="D31">
        <v>1.575E-2</v>
      </c>
      <c r="E31">
        <v>-0.89730428990227873</v>
      </c>
      <c r="F31">
        <v>-1.70108588099358</v>
      </c>
      <c r="G31">
        <v>0.61434075983013425</v>
      </c>
      <c r="H31">
        <v>1.91887648659812</v>
      </c>
      <c r="I31">
        <v>51.564244050419603</v>
      </c>
      <c r="J31">
        <v>1112</v>
      </c>
      <c r="K31">
        <v>992</v>
      </c>
      <c r="L31">
        <v>-0.1079136690647482</v>
      </c>
      <c r="M31">
        <v>133016042.41</v>
      </c>
      <c r="N31">
        <v>116205886.59999999</v>
      </c>
      <c r="O31">
        <v>-0.12637690541254759</v>
      </c>
      <c r="P31">
        <v>1.3915329843866899</v>
      </c>
      <c r="Q31" t="s">
        <v>41</v>
      </c>
      <c r="R31">
        <v>0</v>
      </c>
      <c r="S31">
        <v>2E-3</v>
      </c>
      <c r="T31">
        <v>0</v>
      </c>
      <c r="U31">
        <v>5.9299999999999999E-2</v>
      </c>
      <c r="V31">
        <v>0</v>
      </c>
      <c r="W31">
        <v>2.6700000000000002E-2</v>
      </c>
      <c r="X31">
        <v>0</v>
      </c>
      <c r="Y31">
        <v>0</v>
      </c>
      <c r="Z31">
        <v>0</v>
      </c>
      <c r="AA31">
        <v>8.7999999999999995E-2</v>
      </c>
      <c r="AC31">
        <f>IF(ISNUMBER(INDEX($A$2:$AA$48,30,MATCH(Altın!$E$2,$A$1:$AA$1,0))),INDEX($A$2:$AA$48,30,MATCH(Altın!$E$2,$A$1:$AA$1,0)),-1000000000)-ROW()/10000000</f>
        <v>-0.89730738990227876</v>
      </c>
    </row>
    <row r="32" spans="1:29" x14ac:dyDescent="0.2">
      <c r="A32" t="s">
        <v>491</v>
      </c>
      <c r="B32" t="s">
        <v>492</v>
      </c>
      <c r="C32" t="s">
        <v>82</v>
      </c>
      <c r="D32">
        <v>1.95E-2</v>
      </c>
      <c r="E32">
        <v>-0.90249740532845069</v>
      </c>
      <c r="F32">
        <v>-1.790040476509414</v>
      </c>
      <c r="G32">
        <v>0.60405419662514781</v>
      </c>
      <c r="H32">
        <v>-1.1291501962222059</v>
      </c>
      <c r="I32">
        <v>37.634843772257767</v>
      </c>
      <c r="J32">
        <v>78829</v>
      </c>
      <c r="K32">
        <v>76553</v>
      </c>
      <c r="L32">
        <v>-2.8872623019447149E-2</v>
      </c>
      <c r="M32">
        <v>23839589375.330002</v>
      </c>
      <c r="N32">
        <v>22860767788.029999</v>
      </c>
      <c r="O32">
        <v>-4.1058659689538153E-2</v>
      </c>
      <c r="P32">
        <v>1.437104120383409</v>
      </c>
      <c r="Q32" t="s">
        <v>41</v>
      </c>
      <c r="R32">
        <v>0</v>
      </c>
      <c r="S32">
        <v>1.1999999999999999E-3</v>
      </c>
      <c r="T32">
        <v>0</v>
      </c>
      <c r="U32">
        <v>0</v>
      </c>
      <c r="V32">
        <v>2.7000000000000001E-3</v>
      </c>
      <c r="W32">
        <v>0</v>
      </c>
      <c r="X32">
        <v>0</v>
      </c>
      <c r="Y32">
        <v>0</v>
      </c>
      <c r="Z32">
        <v>0</v>
      </c>
      <c r="AA32">
        <v>3.8999999999999998E-3</v>
      </c>
      <c r="AC32">
        <f>IF(ISNUMBER(INDEX($A$2:$AA$48,31,MATCH(Altın!$E$2,$A$1:$AA$1,0))),INDEX($A$2:$AA$48,31,MATCH(Altın!$E$2,$A$1:$AA$1,0)),-1000000000)-ROW()/10000000</f>
        <v>-0.90250060532845067</v>
      </c>
    </row>
    <row r="33" spans="1:29" x14ac:dyDescent="0.2">
      <c r="A33" t="s">
        <v>493</v>
      </c>
      <c r="B33" t="s">
        <v>494</v>
      </c>
      <c r="C33" t="s">
        <v>152</v>
      </c>
      <c r="D33">
        <v>1.7999999999999999E-2</v>
      </c>
      <c r="E33">
        <v>-0.90728878327743789</v>
      </c>
      <c r="F33">
        <v>-1.620107079495825</v>
      </c>
      <c r="G33">
        <v>-0.46882265364712739</v>
      </c>
      <c r="H33" t="s">
        <v>165</v>
      </c>
      <c r="I33" t="s">
        <v>165</v>
      </c>
      <c r="J33">
        <v>168</v>
      </c>
      <c r="K33">
        <v>1157</v>
      </c>
      <c r="L33">
        <v>5.8869047619047619</v>
      </c>
      <c r="M33">
        <v>20587189.989999998</v>
      </c>
      <c r="N33">
        <v>41410445.119999997</v>
      </c>
      <c r="O33">
        <v>1.0114666032671129</v>
      </c>
      <c r="P33">
        <v>1.3280349105716129</v>
      </c>
      <c r="Q33" t="s">
        <v>41</v>
      </c>
      <c r="R33">
        <v>0</v>
      </c>
      <c r="S33">
        <v>0</v>
      </c>
      <c r="T33">
        <v>0</v>
      </c>
      <c r="U33">
        <v>8.8800000000000004E-2</v>
      </c>
      <c r="V33">
        <v>0</v>
      </c>
      <c r="W33">
        <v>0</v>
      </c>
      <c r="X33">
        <v>0</v>
      </c>
      <c r="Y33">
        <v>0</v>
      </c>
      <c r="Z33">
        <v>0</v>
      </c>
      <c r="AA33">
        <v>8.8800000000000004E-2</v>
      </c>
      <c r="AC33">
        <f>IF(ISNUMBER(INDEX($A$2:$AA$48,32,MATCH(Altın!$E$2,$A$1:$AA$1,0))),INDEX($A$2:$AA$48,32,MATCH(Altın!$E$2,$A$1:$AA$1,0)),-1000000000)-ROW()/10000000</f>
        <v>-0.90729208327743793</v>
      </c>
    </row>
    <row r="34" spans="1:29" x14ac:dyDescent="0.2">
      <c r="A34" t="s">
        <v>495</v>
      </c>
      <c r="B34" t="s">
        <v>496</v>
      </c>
      <c r="C34" t="s">
        <v>87</v>
      </c>
      <c r="D34">
        <v>1.95E-2</v>
      </c>
      <c r="E34">
        <v>-0.91712280576226046</v>
      </c>
      <c r="F34">
        <v>-1.8542539831835401</v>
      </c>
      <c r="G34">
        <v>0.29249030941957971</v>
      </c>
      <c r="H34">
        <v>-1.731791170880959</v>
      </c>
      <c r="I34">
        <v>37.733606854608936</v>
      </c>
      <c r="J34">
        <v>33398</v>
      </c>
      <c r="K34">
        <v>32497</v>
      </c>
      <c r="L34">
        <v>-2.6977663333133669E-2</v>
      </c>
      <c r="M34">
        <v>15478121377.950001</v>
      </c>
      <c r="N34">
        <v>14411276206.389999</v>
      </c>
      <c r="O34">
        <v>-6.8926011465436643E-2</v>
      </c>
      <c r="P34">
        <v>1.4162157587104529</v>
      </c>
      <c r="Q34" t="s">
        <v>41</v>
      </c>
      <c r="R34">
        <v>1.7299999999999999E-2</v>
      </c>
      <c r="S34">
        <v>5.4000000000000003E-3</v>
      </c>
      <c r="T34">
        <v>0</v>
      </c>
      <c r="U34">
        <v>2.0999999999999999E-3</v>
      </c>
      <c r="V34">
        <v>0</v>
      </c>
      <c r="W34">
        <v>5.3199999999999997E-2</v>
      </c>
      <c r="X34">
        <v>0</v>
      </c>
      <c r="Y34">
        <v>0</v>
      </c>
      <c r="Z34">
        <v>0</v>
      </c>
      <c r="AA34">
        <v>7.8E-2</v>
      </c>
      <c r="AC34">
        <f>IF(ISNUMBER(INDEX($A$2:$AA$48,33,MATCH(Altın!$E$2,$A$1:$AA$1,0))),INDEX($A$2:$AA$48,33,MATCH(Altın!$E$2,$A$1:$AA$1,0)),-1000000000)-ROW()/10000000</f>
        <v>-0.91712620576226045</v>
      </c>
    </row>
    <row r="35" spans="1:29" x14ac:dyDescent="0.2">
      <c r="A35" t="s">
        <v>497</v>
      </c>
      <c r="B35" t="s">
        <v>498</v>
      </c>
      <c r="C35" t="s">
        <v>90</v>
      </c>
      <c r="D35">
        <v>1.7999999999999999E-2</v>
      </c>
      <c r="E35">
        <v>-0.91929468656796187</v>
      </c>
      <c r="F35">
        <v>-1.810214331496274</v>
      </c>
      <c r="G35">
        <v>0.43464881764732072</v>
      </c>
      <c r="H35">
        <v>-0.72503829247524409</v>
      </c>
      <c r="I35">
        <v>41.967729027709133</v>
      </c>
      <c r="J35">
        <v>11949</v>
      </c>
      <c r="K35">
        <v>11382</v>
      </c>
      <c r="L35">
        <v>-4.7451669595782058E-2</v>
      </c>
      <c r="M35">
        <v>6177366578.8999996</v>
      </c>
      <c r="N35">
        <v>6021342020.7600002</v>
      </c>
      <c r="O35">
        <v>-2.52574549603275E-2</v>
      </c>
      <c r="P35">
        <v>1.3325451541055171</v>
      </c>
      <c r="Q35" t="s">
        <v>41</v>
      </c>
      <c r="R35">
        <v>0</v>
      </c>
      <c r="S35">
        <v>1.37E-2</v>
      </c>
      <c r="T35">
        <v>0</v>
      </c>
      <c r="U35">
        <v>0</v>
      </c>
      <c r="V35">
        <v>6.1500000000000013E-2</v>
      </c>
      <c r="W35">
        <v>0</v>
      </c>
      <c r="X35">
        <v>0</v>
      </c>
      <c r="Y35">
        <v>0</v>
      </c>
      <c r="Z35">
        <v>0</v>
      </c>
      <c r="AA35">
        <v>7.5200000000000003E-2</v>
      </c>
      <c r="AC35">
        <f>IF(ISNUMBER(INDEX($A$2:$AA$48,34,MATCH(Altın!$E$2,$A$1:$AA$1,0))),INDEX($A$2:$AA$48,34,MATCH(Altın!$E$2,$A$1:$AA$1,0)),-1000000000)-ROW()/10000000</f>
        <v>-0.91929818656796192</v>
      </c>
    </row>
    <row r="36" spans="1:29" x14ac:dyDescent="0.2">
      <c r="A36" t="s">
        <v>499</v>
      </c>
      <c r="B36" t="s">
        <v>500</v>
      </c>
      <c r="C36" t="s">
        <v>50</v>
      </c>
      <c r="D36">
        <v>1.72E-2</v>
      </c>
      <c r="E36">
        <v>-0.92119751687598228</v>
      </c>
      <c r="F36" t="s">
        <v>165</v>
      </c>
      <c r="G36" t="s">
        <v>165</v>
      </c>
      <c r="H36" t="s">
        <v>165</v>
      </c>
      <c r="I36" t="s">
        <v>165</v>
      </c>
      <c r="J36" t="s">
        <v>165</v>
      </c>
      <c r="K36">
        <v>15</v>
      </c>
      <c r="L36" t="s">
        <v>165</v>
      </c>
      <c r="M36" t="s">
        <v>165</v>
      </c>
      <c r="N36">
        <v>32885587.850000001</v>
      </c>
      <c r="O36" t="s">
        <v>165</v>
      </c>
      <c r="P36" t="s">
        <v>165</v>
      </c>
      <c r="Q36" t="s">
        <v>41</v>
      </c>
      <c r="R36">
        <v>0</v>
      </c>
      <c r="S36">
        <v>0</v>
      </c>
      <c r="T36">
        <v>0</v>
      </c>
      <c r="U36">
        <v>6.2699999999999992E-2</v>
      </c>
      <c r="V36">
        <v>0</v>
      </c>
      <c r="W36">
        <v>0</v>
      </c>
      <c r="X36">
        <v>0</v>
      </c>
      <c r="Y36">
        <v>0</v>
      </c>
      <c r="Z36">
        <v>0</v>
      </c>
      <c r="AA36">
        <v>6.2699999999999992E-2</v>
      </c>
      <c r="AC36">
        <f>IF(ISNUMBER(INDEX($A$2:$AA$48,35,MATCH(Altın!$E$2,$A$1:$AA$1,0))),INDEX($A$2:$AA$48,35,MATCH(Altın!$E$2,$A$1:$AA$1,0)),-1000000000)-ROW()/10000000</f>
        <v>-0.92120111687598227</v>
      </c>
    </row>
    <row r="37" spans="1:29" x14ac:dyDescent="0.2">
      <c r="A37" t="s">
        <v>501</v>
      </c>
      <c r="B37" t="s">
        <v>502</v>
      </c>
      <c r="C37" t="s">
        <v>103</v>
      </c>
      <c r="D37">
        <v>1.4999999999999999E-2</v>
      </c>
      <c r="E37">
        <v>-0.93522612555743123</v>
      </c>
      <c r="F37">
        <v>-1.872974981352959</v>
      </c>
      <c r="G37">
        <v>0.33976783479037209</v>
      </c>
      <c r="H37">
        <v>0.52404676043822374</v>
      </c>
      <c r="I37">
        <v>46.869807592866387</v>
      </c>
      <c r="J37">
        <v>8289</v>
      </c>
      <c r="K37">
        <v>7742</v>
      </c>
      <c r="L37">
        <v>-6.5991072505730441E-2</v>
      </c>
      <c r="M37">
        <v>1534236093.73</v>
      </c>
      <c r="N37">
        <v>1486998688.9300001</v>
      </c>
      <c r="O37">
        <v>-3.0788875970944929E-2</v>
      </c>
      <c r="P37">
        <v>1.4624519696288689</v>
      </c>
      <c r="Q37" t="s">
        <v>41</v>
      </c>
      <c r="R37">
        <v>0</v>
      </c>
      <c r="S37">
        <v>0</v>
      </c>
      <c r="T37">
        <v>0</v>
      </c>
      <c r="U37">
        <v>0</v>
      </c>
      <c r="V37">
        <v>0</v>
      </c>
      <c r="W37">
        <v>1.0800000000000001E-2</v>
      </c>
      <c r="X37">
        <v>0</v>
      </c>
      <c r="Y37">
        <v>0</v>
      </c>
      <c r="Z37">
        <v>0</v>
      </c>
      <c r="AA37">
        <v>1.0800000000000001E-2</v>
      </c>
      <c r="AC37">
        <f>IF(ISNUMBER(INDEX($A$2:$AA$48,36,MATCH(Altın!$E$2,$A$1:$AA$1,0))),INDEX($A$2:$AA$48,36,MATCH(Altın!$E$2,$A$1:$AA$1,0)),-1000000000)-ROW()/10000000</f>
        <v>-0.93522982555743128</v>
      </c>
    </row>
    <row r="38" spans="1:29" x14ac:dyDescent="0.2">
      <c r="A38" t="s">
        <v>503</v>
      </c>
      <c r="B38" t="s">
        <v>504</v>
      </c>
      <c r="C38" t="s">
        <v>142</v>
      </c>
      <c r="D38">
        <v>1.2500000000000001E-2</v>
      </c>
      <c r="E38">
        <v>-0.9522009980194146</v>
      </c>
      <c r="F38">
        <v>-1.7054165654602831</v>
      </c>
      <c r="G38" t="s">
        <v>165</v>
      </c>
      <c r="H38" t="s">
        <v>165</v>
      </c>
      <c r="I38" t="s">
        <v>165</v>
      </c>
      <c r="J38" t="s">
        <v>165</v>
      </c>
      <c r="K38">
        <v>278</v>
      </c>
      <c r="L38" t="s">
        <v>165</v>
      </c>
      <c r="M38" t="s">
        <v>165</v>
      </c>
      <c r="N38">
        <v>28439604.07</v>
      </c>
      <c r="O38" t="s">
        <v>165</v>
      </c>
      <c r="P38">
        <v>0.7535196294863522</v>
      </c>
      <c r="Q38" t="s">
        <v>41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f>IF(ISNUMBER(INDEX($A$2:$AA$48,37,MATCH(Altın!$E$2,$A$1:$AA$1,0))),INDEX($A$2:$AA$48,37,MATCH(Altın!$E$2,$A$1:$AA$1,0)),-1000000000)-ROW()/10000000</f>
        <v>-0.9522047980194146</v>
      </c>
    </row>
    <row r="39" spans="1:29" x14ac:dyDescent="0.2">
      <c r="A39" t="s">
        <v>505</v>
      </c>
      <c r="B39" t="s">
        <v>506</v>
      </c>
      <c r="C39" t="s">
        <v>507</v>
      </c>
      <c r="D39">
        <v>0.01</v>
      </c>
      <c r="E39">
        <v>-0.97739557593865545</v>
      </c>
      <c r="F39">
        <v>-2.0305211561591152</v>
      </c>
      <c r="G39">
        <v>-0.56267470361758276</v>
      </c>
      <c r="H39">
        <v>-2.1379774290337878</v>
      </c>
      <c r="I39">
        <v>40.198937410586453</v>
      </c>
      <c r="J39">
        <v>5940</v>
      </c>
      <c r="K39">
        <v>5629</v>
      </c>
      <c r="L39">
        <v>-5.2356902356902379E-2</v>
      </c>
      <c r="M39">
        <v>1980004015.0999999</v>
      </c>
      <c r="N39">
        <v>1788922822.4200001</v>
      </c>
      <c r="O39">
        <v>-9.6505457172191278E-2</v>
      </c>
      <c r="P39">
        <v>1.4410722235364171</v>
      </c>
      <c r="Q39" t="s">
        <v>41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C39">
        <f>IF(ISNUMBER(INDEX($A$2:$AA$48,38,MATCH(Altın!$E$2,$A$1:$AA$1,0))),INDEX($A$2:$AA$48,38,MATCH(Altın!$E$2,$A$1:$AA$1,0)),-1000000000)-ROW()/10000000</f>
        <v>-0.97739947593865539</v>
      </c>
    </row>
    <row r="40" spans="1:29" x14ac:dyDescent="0.2">
      <c r="A40" t="s">
        <v>508</v>
      </c>
      <c r="B40" t="s">
        <v>509</v>
      </c>
      <c r="C40" t="s">
        <v>262</v>
      </c>
      <c r="D40">
        <v>1.4999999999999999E-2</v>
      </c>
      <c r="E40">
        <v>-1.0007040236999829</v>
      </c>
      <c r="F40">
        <v>-1.940190606986647</v>
      </c>
      <c r="G40">
        <v>0.25859117955515648</v>
      </c>
      <c r="H40">
        <v>-2.081350258411963</v>
      </c>
      <c r="I40">
        <v>37.643720309277427</v>
      </c>
      <c r="J40">
        <v>13052</v>
      </c>
      <c r="K40">
        <v>12688</v>
      </c>
      <c r="L40">
        <v>-2.7888446215139421E-2</v>
      </c>
      <c r="M40">
        <v>5129822173.2799997</v>
      </c>
      <c r="N40">
        <v>4799661288.5299997</v>
      </c>
      <c r="O40">
        <v>-6.436107794724899E-2</v>
      </c>
      <c r="P40">
        <v>1.5100737785380689</v>
      </c>
      <c r="Q40" t="s">
        <v>41</v>
      </c>
      <c r="R40">
        <v>1.1999999999999999E-3</v>
      </c>
      <c r="S40">
        <v>0</v>
      </c>
      <c r="T40">
        <v>0</v>
      </c>
      <c r="U40">
        <v>4.6500000000000007E-2</v>
      </c>
      <c r="V40">
        <v>0</v>
      </c>
      <c r="W40">
        <v>1.0500000000000001E-2</v>
      </c>
      <c r="X40">
        <v>0</v>
      </c>
      <c r="Y40">
        <v>0</v>
      </c>
      <c r="Z40">
        <v>0</v>
      </c>
      <c r="AA40">
        <v>5.8200000000000009E-2</v>
      </c>
      <c r="AC40">
        <f>IF(ISNUMBER(INDEX($A$2:$AA$48,39,MATCH(Altın!$E$2,$A$1:$AA$1,0))),INDEX($A$2:$AA$48,39,MATCH(Altın!$E$2,$A$1:$AA$1,0)),-1000000000)-ROW()/10000000</f>
        <v>-1.0007080236999828</v>
      </c>
    </row>
    <row r="41" spans="1:29" x14ac:dyDescent="0.2">
      <c r="A41" t="s">
        <v>510</v>
      </c>
      <c r="B41" t="s">
        <v>511</v>
      </c>
      <c r="C41" t="s">
        <v>265</v>
      </c>
      <c r="D41">
        <v>2.1000000000000001E-2</v>
      </c>
      <c r="E41">
        <v>-1.0082548661630499</v>
      </c>
      <c r="F41">
        <v>-1.6907046619516359</v>
      </c>
      <c r="G41">
        <v>0.48527317568036737</v>
      </c>
      <c r="H41">
        <v>2.429283402388438</v>
      </c>
      <c r="I41">
        <v>47.187102458630939</v>
      </c>
      <c r="J41">
        <v>907</v>
      </c>
      <c r="K41">
        <v>871</v>
      </c>
      <c r="L41">
        <v>-3.9691289966923948E-2</v>
      </c>
      <c r="M41">
        <v>608462239.30999994</v>
      </c>
      <c r="N41">
        <v>563869558.26999998</v>
      </c>
      <c r="O41">
        <v>-7.3287507685880993E-2</v>
      </c>
      <c r="P41">
        <v>1.2850566220017741</v>
      </c>
      <c r="Q41" t="s">
        <v>41</v>
      </c>
      <c r="R41">
        <v>0</v>
      </c>
      <c r="S41">
        <v>0</v>
      </c>
      <c r="T41">
        <v>0</v>
      </c>
      <c r="U41">
        <v>0</v>
      </c>
      <c r="V41">
        <v>0</v>
      </c>
      <c r="W41">
        <v>9.64E-2</v>
      </c>
      <c r="X41">
        <v>0</v>
      </c>
      <c r="Y41">
        <v>0</v>
      </c>
      <c r="Z41">
        <v>0</v>
      </c>
      <c r="AA41">
        <v>9.64E-2</v>
      </c>
      <c r="AC41">
        <f>IF(ISNUMBER(INDEX($A$2:$AA$48,40,MATCH(Altın!$E$2,$A$1:$AA$1,0))),INDEX($A$2:$AA$48,40,MATCH(Altın!$E$2,$A$1:$AA$1,0)),-1000000000)-ROW()/10000000</f>
        <v>-1.0082589661630499</v>
      </c>
    </row>
    <row r="42" spans="1:29" x14ac:dyDescent="0.2">
      <c r="A42" t="s">
        <v>512</v>
      </c>
      <c r="B42" t="s">
        <v>513</v>
      </c>
      <c r="C42" t="s">
        <v>147</v>
      </c>
      <c r="D42">
        <v>1.4999999999999999E-2</v>
      </c>
      <c r="E42">
        <v>-1.019202281243869</v>
      </c>
      <c r="F42">
        <v>-1.7778731091259381</v>
      </c>
      <c r="G42">
        <v>0.56138655644668578</v>
      </c>
      <c r="H42">
        <v>0.23703163745827369</v>
      </c>
      <c r="I42">
        <v>40.251610698518483</v>
      </c>
      <c r="J42">
        <v>8796</v>
      </c>
      <c r="K42">
        <v>8534</v>
      </c>
      <c r="L42">
        <v>-2.9786266484765789E-2</v>
      </c>
      <c r="M42">
        <v>1515912788.76</v>
      </c>
      <c r="N42">
        <v>1484432468.3499999</v>
      </c>
      <c r="O42">
        <v>-2.0766577499323421E-2</v>
      </c>
      <c r="P42">
        <v>1.3817174858828261</v>
      </c>
      <c r="Q42" t="s">
        <v>41</v>
      </c>
      <c r="R42">
        <v>0</v>
      </c>
      <c r="S42">
        <v>0</v>
      </c>
      <c r="T42">
        <v>0</v>
      </c>
      <c r="U42">
        <v>1.24E-2</v>
      </c>
      <c r="V42">
        <v>0</v>
      </c>
      <c r="W42">
        <v>2.24E-2</v>
      </c>
      <c r="X42">
        <v>0</v>
      </c>
      <c r="Y42">
        <v>0</v>
      </c>
      <c r="Z42">
        <v>0</v>
      </c>
      <c r="AA42">
        <v>3.4799999999999998E-2</v>
      </c>
      <c r="AC42">
        <f>IF(ISNUMBER(INDEX($A$2:$AA$48,41,MATCH(Altın!$E$2,$A$1:$AA$1,0))),INDEX($A$2:$AA$48,41,MATCH(Altın!$E$2,$A$1:$AA$1,0)),-1000000000)-ROW()/10000000</f>
        <v>-1.019206481243869</v>
      </c>
    </row>
    <row r="43" spans="1:29" x14ac:dyDescent="0.2">
      <c r="A43" t="s">
        <v>514</v>
      </c>
      <c r="B43" t="s">
        <v>515</v>
      </c>
      <c r="C43" t="s">
        <v>155</v>
      </c>
      <c r="D43">
        <v>1.4999999999999999E-2</v>
      </c>
      <c r="E43">
        <v>-1.0202749824470001</v>
      </c>
      <c r="F43">
        <v>-2.156482134564452</v>
      </c>
      <c r="G43">
        <v>-0.66008996635631423</v>
      </c>
      <c r="H43">
        <v>-2.5887874151008679</v>
      </c>
      <c r="I43">
        <v>33.322795752560651</v>
      </c>
      <c r="J43">
        <v>782</v>
      </c>
      <c r="K43">
        <v>752</v>
      </c>
      <c r="L43">
        <v>-3.8363171355498722E-2</v>
      </c>
      <c r="M43">
        <v>32986944.120000001</v>
      </c>
      <c r="N43">
        <v>32771897.890000001</v>
      </c>
      <c r="O43">
        <v>-6.5191316060592142E-3</v>
      </c>
      <c r="P43">
        <v>1.415424771716616</v>
      </c>
      <c r="Q43" t="s">
        <v>41</v>
      </c>
      <c r="R43">
        <v>0</v>
      </c>
      <c r="S43">
        <v>0</v>
      </c>
      <c r="T43">
        <v>0</v>
      </c>
      <c r="U43">
        <v>0.14960000000000001</v>
      </c>
      <c r="V43">
        <v>0</v>
      </c>
      <c r="W43">
        <v>7.0699999999999999E-2</v>
      </c>
      <c r="X43">
        <v>0</v>
      </c>
      <c r="Y43">
        <v>0</v>
      </c>
      <c r="Z43">
        <v>0</v>
      </c>
      <c r="AA43">
        <v>0.2203</v>
      </c>
      <c r="AC43">
        <f>IF(ISNUMBER(INDEX($A$2:$AA$48,42,MATCH(Altın!$E$2,$A$1:$AA$1,0))),INDEX($A$2:$AA$48,42,MATCH(Altın!$E$2,$A$1:$AA$1,0)),-1000000000)-ROW()/10000000</f>
        <v>-1.0202792824470002</v>
      </c>
    </row>
    <row r="44" spans="1:29" x14ac:dyDescent="0.2">
      <c r="A44" t="s">
        <v>516</v>
      </c>
      <c r="B44" t="s">
        <v>517</v>
      </c>
      <c r="C44" t="s">
        <v>79</v>
      </c>
      <c r="D44">
        <v>1.2E-2</v>
      </c>
      <c r="E44">
        <v>-1.0375647186674939</v>
      </c>
      <c r="F44">
        <v>-2.034722402125944</v>
      </c>
      <c r="G44">
        <v>-0.96376773638636726</v>
      </c>
      <c r="H44">
        <v>-10.720578550393279</v>
      </c>
      <c r="I44">
        <v>26.373498807488541</v>
      </c>
      <c r="J44">
        <v>48263</v>
      </c>
      <c r="K44">
        <v>46833</v>
      </c>
      <c r="L44">
        <v>-2.962932266953977E-2</v>
      </c>
      <c r="M44">
        <v>13505723397.52</v>
      </c>
      <c r="N44">
        <v>13091940562.91</v>
      </c>
      <c r="O44">
        <v>-3.063759137003963E-2</v>
      </c>
      <c r="P44">
        <v>1.4324302250058789</v>
      </c>
      <c r="Q44" t="s">
        <v>41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0.21429999999999999</v>
      </c>
      <c r="AA44">
        <v>0.21429999999999999</v>
      </c>
      <c r="AC44">
        <f>IF(ISNUMBER(INDEX($A$2:$AA$48,43,MATCH(Altın!$E$2,$A$1:$AA$1,0))),INDEX($A$2:$AA$48,43,MATCH(Altın!$E$2,$A$1:$AA$1,0)),-1000000000)-ROW()/10000000</f>
        <v>-1.0375691186674938</v>
      </c>
    </row>
    <row r="45" spans="1:29" x14ac:dyDescent="0.2">
      <c r="A45" t="s">
        <v>518</v>
      </c>
      <c r="B45" t="s">
        <v>519</v>
      </c>
      <c r="C45" t="s">
        <v>323</v>
      </c>
      <c r="D45">
        <v>1E-3</v>
      </c>
      <c r="E45">
        <v>-1.0685337763259199</v>
      </c>
      <c r="F45">
        <v>-1.9481721348565411</v>
      </c>
      <c r="G45">
        <v>0.3728012067187203</v>
      </c>
      <c r="H45">
        <v>3.1394710903646978</v>
      </c>
      <c r="I45">
        <v>11.41428729722611</v>
      </c>
      <c r="J45">
        <v>685</v>
      </c>
      <c r="K45">
        <v>664</v>
      </c>
      <c r="L45">
        <v>-3.065693430656935E-2</v>
      </c>
      <c r="M45">
        <v>45631053.229999997</v>
      </c>
      <c r="N45">
        <v>41988901.369999997</v>
      </c>
      <c r="O45">
        <v>-7.9817396316539058E-2</v>
      </c>
      <c r="P45">
        <v>1.3919504273490659</v>
      </c>
      <c r="Q45" t="s">
        <v>41</v>
      </c>
      <c r="R45">
        <v>0</v>
      </c>
      <c r="S45">
        <v>2.1700000000000001E-2</v>
      </c>
      <c r="T45">
        <v>2.2800000000000001E-2</v>
      </c>
      <c r="U45">
        <v>0</v>
      </c>
      <c r="V45">
        <v>0</v>
      </c>
      <c r="W45">
        <v>0.89900000000000002</v>
      </c>
      <c r="X45">
        <v>0</v>
      </c>
      <c r="Y45">
        <v>0</v>
      </c>
      <c r="Z45">
        <v>0</v>
      </c>
      <c r="AA45">
        <v>0.94350000000000001</v>
      </c>
      <c r="AC45">
        <f>IF(ISNUMBER(INDEX($A$2:$AA$48,44,MATCH(Altın!$E$2,$A$1:$AA$1,0))),INDEX($A$2:$AA$48,44,MATCH(Altın!$E$2,$A$1:$AA$1,0)),-1000000000)-ROW()/10000000</f>
        <v>-1.0685382763259199</v>
      </c>
    </row>
    <row r="46" spans="1:29" x14ac:dyDescent="0.2">
      <c r="A46" t="s">
        <v>520</v>
      </c>
      <c r="B46" t="s">
        <v>521</v>
      </c>
      <c r="C46" t="s">
        <v>135</v>
      </c>
      <c r="D46">
        <v>0.02</v>
      </c>
      <c r="E46">
        <v>-1.180504509802216</v>
      </c>
      <c r="F46">
        <v>-1.8305417314203101</v>
      </c>
      <c r="G46">
        <v>-9.8701925430644266E-2</v>
      </c>
      <c r="H46">
        <v>0.90037986017048599</v>
      </c>
      <c r="I46" t="s">
        <v>165</v>
      </c>
      <c r="J46">
        <v>782</v>
      </c>
      <c r="K46">
        <v>726</v>
      </c>
      <c r="L46">
        <v>-7.1611253196930957E-2</v>
      </c>
      <c r="M46">
        <v>325960402.05000001</v>
      </c>
      <c r="N46">
        <v>319787468.81999999</v>
      </c>
      <c r="O46">
        <v>-1.893767829214155E-2</v>
      </c>
      <c r="P46">
        <v>1.314457617835322</v>
      </c>
      <c r="Q46" t="s">
        <v>41</v>
      </c>
      <c r="R46">
        <v>0</v>
      </c>
      <c r="S46">
        <v>1.49E-2</v>
      </c>
      <c r="T46">
        <v>5.2999999999999999E-2</v>
      </c>
      <c r="U46">
        <v>4.8300000000000003E-2</v>
      </c>
      <c r="V46">
        <v>0</v>
      </c>
      <c r="W46">
        <v>0.12959999999999999</v>
      </c>
      <c r="X46">
        <v>0</v>
      </c>
      <c r="Y46">
        <v>0</v>
      </c>
      <c r="Z46">
        <v>0</v>
      </c>
      <c r="AA46">
        <v>0.24579999999999999</v>
      </c>
      <c r="AC46">
        <f>IF(ISNUMBER(INDEX($A$2:$AA$48,45,MATCH(Altın!$E$2,$A$1:$AA$1,0))),INDEX($A$2:$AA$48,45,MATCH(Altın!$E$2,$A$1:$AA$1,0)),-1000000000)-ROW()/10000000</f>
        <v>-1.180509109802216</v>
      </c>
    </row>
    <row r="47" spans="1:29" x14ac:dyDescent="0.2">
      <c r="A47" t="s">
        <v>522</v>
      </c>
      <c r="B47" t="s">
        <v>523</v>
      </c>
      <c r="C47" t="s">
        <v>235</v>
      </c>
      <c r="D47">
        <v>1.6E-2</v>
      </c>
      <c r="E47">
        <v>-1.2513403692694161</v>
      </c>
      <c r="F47">
        <v>-2.0294228804090149</v>
      </c>
      <c r="G47">
        <v>0.20795078587509949</v>
      </c>
      <c r="H47">
        <v>-0.86266395499551285</v>
      </c>
      <c r="I47">
        <v>40.604994863374301</v>
      </c>
      <c r="J47">
        <v>1581</v>
      </c>
      <c r="K47">
        <v>1501</v>
      </c>
      <c r="L47">
        <v>-5.0600885515496567E-2</v>
      </c>
      <c r="M47">
        <v>1010727249.23</v>
      </c>
      <c r="N47">
        <v>889521949.84000003</v>
      </c>
      <c r="O47">
        <v>-0.1199188994680193</v>
      </c>
      <c r="P47">
        <v>1.321559862112287</v>
      </c>
      <c r="Q47" t="s">
        <v>41</v>
      </c>
      <c r="R47">
        <v>0</v>
      </c>
      <c r="S47">
        <v>1.9E-3</v>
      </c>
      <c r="T47">
        <v>0</v>
      </c>
      <c r="U47">
        <v>0</v>
      </c>
      <c r="V47">
        <v>0</v>
      </c>
      <c r="W47">
        <v>-3.2000000000000002E-3</v>
      </c>
      <c r="X47">
        <v>0</v>
      </c>
      <c r="Y47">
        <v>0</v>
      </c>
      <c r="Z47">
        <v>0</v>
      </c>
      <c r="AA47">
        <v>-1.2999999999999999E-3</v>
      </c>
      <c r="AC47">
        <f>IF(ISNUMBER(INDEX($A$2:$AA$48,46,MATCH(Altın!$E$2,$A$1:$AA$1,0))),INDEX($A$2:$AA$48,46,MATCH(Altın!$E$2,$A$1:$AA$1,0)),-1000000000)-ROW()/10000000</f>
        <v>-1.2513450692694161</v>
      </c>
    </row>
    <row r="48" spans="1:29" x14ac:dyDescent="0.2">
      <c r="A48" t="s">
        <v>524</v>
      </c>
      <c r="B48" t="s">
        <v>525</v>
      </c>
      <c r="C48" t="s">
        <v>277</v>
      </c>
      <c r="D48">
        <v>1.2E-2</v>
      </c>
      <c r="E48">
        <v>-1.612372949586494</v>
      </c>
      <c r="F48">
        <v>-2.783410362245176</v>
      </c>
      <c r="G48">
        <v>-2.8686295395752959</v>
      </c>
      <c r="H48">
        <v>-19.979955429838</v>
      </c>
      <c r="I48" t="s">
        <v>165</v>
      </c>
      <c r="J48">
        <v>392</v>
      </c>
      <c r="K48">
        <v>385</v>
      </c>
      <c r="L48">
        <v>-1.7857142857142901E-2</v>
      </c>
      <c r="M48">
        <v>26687829.469999999</v>
      </c>
      <c r="N48">
        <v>25265143.309999999</v>
      </c>
      <c r="O48">
        <v>-5.330842516058687E-2</v>
      </c>
      <c r="P48">
        <v>1.53594479257952</v>
      </c>
      <c r="Q48" t="s">
        <v>41</v>
      </c>
      <c r="R48">
        <v>0</v>
      </c>
      <c r="S48">
        <v>0</v>
      </c>
      <c r="T48">
        <v>0</v>
      </c>
      <c r="U48">
        <v>0.81769999999999998</v>
      </c>
      <c r="V48">
        <v>0</v>
      </c>
      <c r="W48">
        <v>0</v>
      </c>
      <c r="X48">
        <v>0</v>
      </c>
      <c r="Y48">
        <v>0</v>
      </c>
      <c r="Z48">
        <v>0</v>
      </c>
      <c r="AA48">
        <v>0.81769999999999998</v>
      </c>
      <c r="AC48">
        <f>IF(ISNUMBER(INDEX($A$2:$AA$48,47,MATCH(Altın!$E$2,$A$1:$AA$1,0))),INDEX($A$2:$AA$48,47,MATCH(Altın!$E$2,$A$1:$AA$1,0)),-1000000000)-ROW()/10000000</f>
        <v>-1.6123777495864939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50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2" max="2" width="9" customWidth="1"/>
    <col min="3" max="3" width="68" customWidth="1"/>
    <col min="4" max="4" width="26" customWidth="1"/>
    <col min="5" max="28" width="13" customWidth="1"/>
  </cols>
  <sheetData>
    <row r="1" spans="1:28" x14ac:dyDescent="0.2">
      <c r="F1" s="6">
        <v>46216</v>
      </c>
      <c r="G1" s="6">
        <v>46210</v>
      </c>
      <c r="H1" s="6">
        <v>46185</v>
      </c>
      <c r="I1" s="6">
        <v>46022</v>
      </c>
      <c r="J1" s="6">
        <v>45852</v>
      </c>
    </row>
    <row r="2" spans="1:28" x14ac:dyDescent="0.2">
      <c r="B2" s="3" t="s">
        <v>75</v>
      </c>
      <c r="D2" s="7" t="s">
        <v>0</v>
      </c>
      <c r="E2" s="2" t="s">
        <v>13</v>
      </c>
    </row>
    <row r="3" spans="1:28" ht="48" x14ac:dyDescent="0.2">
      <c r="B3" s="4" t="s">
        <v>3</v>
      </c>
      <c r="C3" s="4" t="s">
        <v>427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6</v>
      </c>
      <c r="J3" s="4" t="s">
        <v>16</v>
      </c>
      <c r="K3" s="4" t="s">
        <v>17</v>
      </c>
      <c r="L3" s="4" t="s">
        <v>18</v>
      </c>
      <c r="M3" s="4" t="s">
        <v>19</v>
      </c>
      <c r="N3" s="4" t="s">
        <v>20</v>
      </c>
      <c r="O3" s="4" t="s">
        <v>21</v>
      </c>
      <c r="P3" s="4" t="s">
        <v>22</v>
      </c>
      <c r="Q3" s="4" t="s">
        <v>23</v>
      </c>
      <c r="R3" s="4" t="s">
        <v>24</v>
      </c>
      <c r="S3" s="4" t="s">
        <v>25</v>
      </c>
      <c r="T3" s="4" t="s">
        <v>26</v>
      </c>
      <c r="U3" s="4" t="s">
        <v>27</v>
      </c>
      <c r="V3" s="4" t="s">
        <v>28</v>
      </c>
      <c r="W3" s="4" t="s">
        <v>29</v>
      </c>
      <c r="X3" s="4" t="s">
        <v>30</v>
      </c>
      <c r="Y3" s="4" t="s">
        <v>31</v>
      </c>
      <c r="Z3" s="4" t="s">
        <v>32</v>
      </c>
      <c r="AA3" s="4" t="s">
        <v>33</v>
      </c>
      <c r="AB3" s="4" t="s">
        <v>34</v>
      </c>
    </row>
    <row r="4" spans="1:28" x14ac:dyDescent="0.2">
      <c r="A4">
        <v>1</v>
      </c>
      <c r="B4" s="5" t="str">
        <f>INDEX(V_Altın!A$2:A$48,MATCH(LARGE(V_Altın!$AC$2:$AC$48,ROW()-3),V_Altın!$AC$2:$AC$48,0))</f>
        <v>NJF</v>
      </c>
      <c r="C4" s="5" t="str">
        <f>INDEX(V_Altın!B$2:B$48,MATCH(LARGE(V_Altın!$AC$2:$AC$48,ROW()-3),V_Altın!$AC$2:$AC$48,0))</f>
        <v>Nurol Portföy Altın Katılım Fonu</v>
      </c>
      <c r="D4" s="5" t="str">
        <f>INDEX(V_Altın!C$2:C$48,MATCH(LARGE(V_Altın!$AC$2:$AC$48,ROW()-3),V_Altın!$AC$2:$AC$48,0))</f>
        <v>Nurol Portföy</v>
      </c>
      <c r="E4" s="8">
        <f>INDEX(V_Altın!D$2:D$48,MATCH(LARGE(V_Altın!$AC$2:$AC$48,ROW()-3),V_Altın!$AC$2:$AC$48,0))</f>
        <v>0.01</v>
      </c>
      <c r="F4" s="9">
        <f>INDEX(V_Altın!E$2:E$48,MATCH(LARGE(V_Altın!$AC$2:$AC$48,ROW()-3),V_Altın!$AC$2:$AC$48,0))</f>
        <v>-0.64504630375372685</v>
      </c>
      <c r="G4" s="9">
        <f>INDEX(V_Altın!F$2:F$48,MATCH(LARGE(V_Altın!$AC$2:$AC$48,ROW()-3),V_Altın!$AC$2:$AC$48,0))</f>
        <v>-1.2981400304566399</v>
      </c>
      <c r="H4" s="9">
        <f>INDEX(V_Altın!G$2:G$48,MATCH(LARGE(V_Altın!$AC$2:$AC$48,ROW()-3),V_Altın!$AC$2:$AC$48,0))</f>
        <v>1.040516302518202</v>
      </c>
      <c r="I4" s="9">
        <f>INDEX(V_Altın!H$2:H$48,MATCH(LARGE(V_Altın!$AC$2:$AC$48,ROW()-3),V_Altın!$AC$2:$AC$48,0))</f>
        <v>4.0761461169780846</v>
      </c>
      <c r="J4" s="9">
        <f>INDEX(V_Altın!I$2:I$48,MATCH(LARGE(V_Altın!$AC$2:$AC$48,ROW()-3),V_Altın!$AC$2:$AC$48,0))</f>
        <v>46.25220880507883</v>
      </c>
      <c r="K4" s="10">
        <f>INDEX(V_Altın!J$2:J$48,MATCH(LARGE(V_Altın!$AC$2:$AC$48,ROW()-3),V_Altın!$AC$2:$AC$48,0))</f>
        <v>1737</v>
      </c>
      <c r="L4" s="10">
        <f>INDEX(V_Altın!K$2:K$48,MATCH(LARGE(V_Altın!$AC$2:$AC$48,ROW()-3),V_Altın!$AC$2:$AC$48,0))</f>
        <v>1757</v>
      </c>
      <c r="M4" s="8">
        <f>INDEX(V_Altın!L$2:L$48,MATCH(LARGE(V_Altın!$AC$2:$AC$48,ROW()-3),V_Altın!$AC$2:$AC$48,0))</f>
        <v>1.151410477835357E-2</v>
      </c>
      <c r="N4" s="11">
        <f>INDEX(V_Altın!M$2:M$48,MATCH(LARGE(V_Altın!$AC$2:$AC$48,ROW()-3),V_Altın!$AC$2:$AC$48,0))</f>
        <v>1074851929.5999999</v>
      </c>
      <c r="O4" s="11">
        <f>INDEX(V_Altın!N$2:N$48,MATCH(LARGE(V_Altın!$AC$2:$AC$48,ROW()-3),V_Altın!$AC$2:$AC$48,0))</f>
        <v>1058181477.41</v>
      </c>
      <c r="P4" s="8">
        <f>INDEX(V_Altın!O$2:O$48,MATCH(LARGE(V_Altın!$AC$2:$AC$48,ROW()-3),V_Altın!$AC$2:$AC$48,0))</f>
        <v>-1.550953366777108E-2</v>
      </c>
      <c r="Q4" s="9">
        <f>INDEX(V_Altın!P$2:P$48,MATCH(LARGE(V_Altın!$AC$2:$AC$48,ROW()-3),V_Altın!$AC$2:$AC$48,0))</f>
        <v>1.202204484627525</v>
      </c>
      <c r="R4" s="5" t="str">
        <f>INDEX(V_Altın!Q$2:Q$48,MATCH(LARGE(V_Altın!$AC$2:$AC$48,ROW()-3),V_Altın!$AC$2:$AC$48,0))</f>
        <v>Görüyor</v>
      </c>
      <c r="S4" s="8">
        <f>INDEX(V_Altın!R$2:R$48,MATCH(LARGE(V_Altın!$AC$2:$AC$48,ROW()-3),V_Altın!$AC$2:$AC$48,0))</f>
        <v>0</v>
      </c>
      <c r="T4" s="8">
        <f>INDEX(V_Altın!S$2:S$48,MATCH(LARGE(V_Altın!$AC$2:$AC$48,ROW()-3),V_Altın!$AC$2:$AC$48,0))</f>
        <v>0</v>
      </c>
      <c r="U4" s="8">
        <f>INDEX(V_Altın!T$2:T$48,MATCH(LARGE(V_Altın!$AC$2:$AC$48,ROW()-3),V_Altın!$AC$2:$AC$48,0))</f>
        <v>0</v>
      </c>
      <c r="V4" s="8">
        <f>INDEX(V_Altın!U$2:U$48,MATCH(LARGE(V_Altın!$AC$2:$AC$48,ROW()-3),V_Altın!$AC$2:$AC$48,0))</f>
        <v>0</v>
      </c>
      <c r="W4" s="8">
        <f>INDEX(V_Altın!V$2:V$48,MATCH(LARGE(V_Altın!$AC$2:$AC$48,ROW()-3),V_Altın!$AC$2:$AC$48,0))</f>
        <v>0</v>
      </c>
      <c r="X4" s="8">
        <f>INDEX(V_Altın!W$2:W$48,MATCH(LARGE(V_Altın!$AC$2:$AC$48,ROW()-3),V_Altın!$AC$2:$AC$48,0))</f>
        <v>4.7300000000000002E-2</v>
      </c>
      <c r="Y4" s="8">
        <f>INDEX(V_Altın!X$2:X$48,MATCH(LARGE(V_Altın!$AC$2:$AC$48,ROW()-3),V_Altın!$AC$2:$AC$48,0))</f>
        <v>0</v>
      </c>
      <c r="Z4" s="8">
        <f>INDEX(V_Altın!Y$2:Y$48,MATCH(LARGE(V_Altın!$AC$2:$AC$48,ROW()-3),V_Altın!$AC$2:$AC$48,0))</f>
        <v>0</v>
      </c>
      <c r="AA4" s="8">
        <f>INDEX(V_Altın!Z$2:Z$48,MATCH(LARGE(V_Altın!$AC$2:$AC$48,ROW()-3),V_Altın!$AC$2:$AC$48,0))</f>
        <v>0</v>
      </c>
      <c r="AB4" s="8">
        <f>INDEX(V_Altın!AA$2:AA$48,MATCH(LARGE(V_Altın!$AC$2:$AC$48,ROW()-3),V_Altın!$AC$2:$AC$48,0))</f>
        <v>4.7300000000000002E-2</v>
      </c>
    </row>
    <row r="5" spans="1:28" x14ac:dyDescent="0.2">
      <c r="A5">
        <v>2</v>
      </c>
      <c r="B5" s="5" t="str">
        <f>INDEX(V_Altın!A$2:A$48,MATCH(LARGE(V_Altın!$AC$2:$AC$48,ROW()-3),V_Altın!$AC$2:$AC$48,0))</f>
        <v>AU1</v>
      </c>
      <c r="C5" s="5" t="str">
        <f>INDEX(V_Altın!B$2:B$48,MATCH(LARGE(V_Altın!$AC$2:$AC$48,ROW()-3),V_Altın!$AC$2:$AC$48,0))</f>
        <v>A1 Capital Portföy Altın Fonu</v>
      </c>
      <c r="D5" s="5" t="str">
        <f>INDEX(V_Altın!C$2:C$48,MATCH(LARGE(V_Altın!$AC$2:$AC$48,ROW()-3),V_Altın!$AC$2:$AC$48,0))</f>
        <v>A1 Capital Portföy</v>
      </c>
      <c r="E5" s="8">
        <f>INDEX(V_Altın!D$2:D$48,MATCH(LARGE(V_Altın!$AC$2:$AC$48,ROW()-3),V_Altın!$AC$2:$AC$48,0))</f>
        <v>1.4E-2</v>
      </c>
      <c r="F5" s="9">
        <f>INDEX(V_Altın!E$2:E$48,MATCH(LARGE(V_Altın!$AC$2:$AC$48,ROW()-3),V_Altın!$AC$2:$AC$48,0))</f>
        <v>-0.66172951272813751</v>
      </c>
      <c r="G5" s="9">
        <f>INDEX(V_Altın!F$2:F$48,MATCH(LARGE(V_Altın!$AC$2:$AC$48,ROW()-3),V_Altın!$AC$2:$AC$48,0))</f>
        <v>-1.853056810579456</v>
      </c>
      <c r="H5" s="9">
        <f>INDEX(V_Altın!G$2:G$48,MATCH(LARGE(V_Altın!$AC$2:$AC$48,ROW()-3),V_Altın!$AC$2:$AC$48,0))</f>
        <v>7.3072639062288225E-2</v>
      </c>
      <c r="I5" s="9">
        <f>INDEX(V_Altın!H$2:H$48,MATCH(LARGE(V_Altın!$AC$2:$AC$48,ROW()-3),V_Altın!$AC$2:$AC$48,0))</f>
        <v>0.25340676231906389</v>
      </c>
      <c r="J5" s="9" t="str">
        <f>INDEX(V_Altın!I$2:I$48,MATCH(LARGE(V_Altın!$AC$2:$AC$48,ROW()-3),V_Altın!$AC$2:$AC$48,0))</f>
        <v>-</v>
      </c>
      <c r="K5" s="10">
        <f>INDEX(V_Altın!J$2:J$48,MATCH(LARGE(V_Altın!$AC$2:$AC$48,ROW()-3),V_Altın!$AC$2:$AC$48,0))</f>
        <v>633</v>
      </c>
      <c r="L5" s="10">
        <f>INDEX(V_Altın!K$2:K$48,MATCH(LARGE(V_Altın!$AC$2:$AC$48,ROW()-3),V_Altın!$AC$2:$AC$48,0))</f>
        <v>611</v>
      </c>
      <c r="M5" s="8">
        <f>INDEX(V_Altın!L$2:L$48,MATCH(LARGE(V_Altın!$AC$2:$AC$48,ROW()-3),V_Altın!$AC$2:$AC$48,0))</f>
        <v>-3.4755134281200577E-2</v>
      </c>
      <c r="N5" s="11">
        <f>INDEX(V_Altın!M$2:M$48,MATCH(LARGE(V_Altın!$AC$2:$AC$48,ROW()-3),V_Altın!$AC$2:$AC$48,0))</f>
        <v>52988217.770000003</v>
      </c>
      <c r="O5" s="11">
        <f>INDEX(V_Altın!N$2:N$48,MATCH(LARGE(V_Altın!$AC$2:$AC$48,ROW()-3),V_Altın!$AC$2:$AC$48,0))</f>
        <v>54591211.579999998</v>
      </c>
      <c r="P5" s="8">
        <f>INDEX(V_Altın!O$2:O$48,MATCH(LARGE(V_Altın!$AC$2:$AC$48,ROW()-3),V_Altın!$AC$2:$AC$48,0))</f>
        <v>3.025189141023632E-2</v>
      </c>
      <c r="Q5" s="9">
        <f>INDEX(V_Altın!P$2:P$48,MATCH(LARGE(V_Altın!$AC$2:$AC$48,ROW()-3),V_Altın!$AC$2:$AC$48,0))</f>
        <v>1.391612416772507</v>
      </c>
      <c r="R5" s="5" t="str">
        <f>INDEX(V_Altın!Q$2:Q$48,MATCH(LARGE(V_Altın!$AC$2:$AC$48,ROW()-3),V_Altın!$AC$2:$AC$48,0))</f>
        <v>Görüyor</v>
      </c>
      <c r="S5" s="8">
        <f>INDEX(V_Altın!R$2:R$48,MATCH(LARGE(V_Altın!$AC$2:$AC$48,ROW()-3),V_Altın!$AC$2:$AC$48,0))</f>
        <v>0</v>
      </c>
      <c r="T5" s="8">
        <f>INDEX(V_Altın!S$2:S$48,MATCH(LARGE(V_Altın!$AC$2:$AC$48,ROW()-3),V_Altın!$AC$2:$AC$48,0))</f>
        <v>2.53E-2</v>
      </c>
      <c r="U5" s="8">
        <f>INDEX(V_Altın!T$2:T$48,MATCH(LARGE(V_Altın!$AC$2:$AC$48,ROW()-3),V_Altın!$AC$2:$AC$48,0))</f>
        <v>0</v>
      </c>
      <c r="V5" s="8">
        <f>INDEX(V_Altın!U$2:U$48,MATCH(LARGE(V_Altın!$AC$2:$AC$48,ROW()-3),V_Altın!$AC$2:$AC$48,0))</f>
        <v>5.6999999999999993E-3</v>
      </c>
      <c r="W5" s="8">
        <f>INDEX(V_Altın!V$2:V$48,MATCH(LARGE(V_Altın!$AC$2:$AC$48,ROW()-3),V_Altın!$AC$2:$AC$48,0))</f>
        <v>4.5400000000000003E-2</v>
      </c>
      <c r="X5" s="8">
        <f>INDEX(V_Altın!W$2:W$48,MATCH(LARGE(V_Altın!$AC$2:$AC$48,ROW()-3),V_Altın!$AC$2:$AC$48,0))</f>
        <v>0</v>
      </c>
      <c r="Y5" s="8">
        <f>INDEX(V_Altın!X$2:X$48,MATCH(LARGE(V_Altın!$AC$2:$AC$48,ROW()-3),V_Altın!$AC$2:$AC$48,0))</f>
        <v>0</v>
      </c>
      <c r="Z5" s="8">
        <f>INDEX(V_Altın!Y$2:Y$48,MATCH(LARGE(V_Altın!$AC$2:$AC$48,ROW()-3),V_Altın!$AC$2:$AC$48,0))</f>
        <v>0</v>
      </c>
      <c r="AA5" s="8">
        <f>INDEX(V_Altın!Z$2:Z$48,MATCH(LARGE(V_Altın!$AC$2:$AC$48,ROW()-3),V_Altın!$AC$2:$AC$48,0))</f>
        <v>0</v>
      </c>
      <c r="AB5" s="8">
        <f>INDEX(V_Altın!AA$2:AA$48,MATCH(LARGE(V_Altın!$AC$2:$AC$48,ROW()-3),V_Altın!$AC$2:$AC$48,0))</f>
        <v>7.6399999999999996E-2</v>
      </c>
    </row>
    <row r="6" spans="1:28" x14ac:dyDescent="0.2">
      <c r="A6">
        <v>3</v>
      </c>
      <c r="B6" s="5" t="str">
        <f>INDEX(V_Altın!A$2:A$48,MATCH(LARGE(V_Altın!$AC$2:$AC$48,ROW()-3),V_Altın!$AC$2:$AC$48,0))</f>
        <v>NAU</v>
      </c>
      <c r="C6" s="5" t="str">
        <f>INDEX(V_Altın!B$2:B$48,MATCH(LARGE(V_Altın!$AC$2:$AC$48,ROW()-3),V_Altın!$AC$2:$AC$48,0))</f>
        <v>Neo Portföy Altın Fonu</v>
      </c>
      <c r="D6" s="5" t="str">
        <f>INDEX(V_Altın!C$2:C$48,MATCH(LARGE(V_Altın!$AC$2:$AC$48,ROW()-3),V_Altın!$AC$2:$AC$48,0))</f>
        <v>Neo Portföy</v>
      </c>
      <c r="E6" s="8">
        <f>INDEX(V_Altın!D$2:D$48,MATCH(LARGE(V_Altın!$AC$2:$AC$48,ROW()-3),V_Altın!$AC$2:$AC$48,0))</f>
        <v>1.7999999999999999E-2</v>
      </c>
      <c r="F6" s="9">
        <f>INDEX(V_Altın!E$2:E$48,MATCH(LARGE(V_Altın!$AC$2:$AC$48,ROW()-3),V_Altın!$AC$2:$AC$48,0))</f>
        <v>-0.68362264224152147</v>
      </c>
      <c r="G6" s="9">
        <f>INDEX(V_Altın!F$2:F$48,MATCH(LARGE(V_Altın!$AC$2:$AC$48,ROW()-3),V_Altın!$AC$2:$AC$48,0))</f>
        <v>-1.666300790977493</v>
      </c>
      <c r="H6" s="9">
        <f>INDEX(V_Altın!G$2:G$48,MATCH(LARGE(V_Altın!$AC$2:$AC$48,ROW()-3),V_Altın!$AC$2:$AC$48,0))</f>
        <v>0.59949812560335936</v>
      </c>
      <c r="I6" s="9">
        <f>INDEX(V_Altın!H$2:H$48,MATCH(LARGE(V_Altın!$AC$2:$AC$48,ROW()-3),V_Altın!$AC$2:$AC$48,0))</f>
        <v>-2.8554746959405741</v>
      </c>
      <c r="J6" s="9">
        <f>INDEX(V_Altın!I$2:I$48,MATCH(LARGE(V_Altın!$AC$2:$AC$48,ROW()-3),V_Altın!$AC$2:$AC$48,0))</f>
        <v>38.552305797030733</v>
      </c>
      <c r="K6" s="10">
        <f>INDEX(V_Altın!J$2:J$48,MATCH(LARGE(V_Altın!$AC$2:$AC$48,ROW()-3),V_Altın!$AC$2:$AC$48,0))</f>
        <v>11381</v>
      </c>
      <c r="L6" s="10">
        <f>INDEX(V_Altın!K$2:K$48,MATCH(LARGE(V_Altın!$AC$2:$AC$48,ROW()-3),V_Altın!$AC$2:$AC$48,0))</f>
        <v>10530</v>
      </c>
      <c r="M6" s="8">
        <f>INDEX(V_Altın!L$2:L$48,MATCH(LARGE(V_Altın!$AC$2:$AC$48,ROW()-3),V_Altın!$AC$2:$AC$48,0))</f>
        <v>-7.4773745716545159E-2</v>
      </c>
      <c r="N6" s="11">
        <f>INDEX(V_Altın!M$2:M$48,MATCH(LARGE(V_Altın!$AC$2:$AC$48,ROW()-3),V_Altın!$AC$2:$AC$48,0))</f>
        <v>2408988149.1799998</v>
      </c>
      <c r="O6" s="11">
        <f>INDEX(V_Altın!N$2:N$48,MATCH(LARGE(V_Altın!$AC$2:$AC$48,ROW()-3),V_Altın!$AC$2:$AC$48,0))</f>
        <v>2325885540.54</v>
      </c>
      <c r="P6" s="8">
        <f>INDEX(V_Altın!O$2:O$48,MATCH(LARGE(V_Altın!$AC$2:$AC$48,ROW()-3),V_Altın!$AC$2:$AC$48,0))</f>
        <v>-3.4496893921328493E-2</v>
      </c>
      <c r="Q6" s="9">
        <f>INDEX(V_Altın!P$2:P$48,MATCH(LARGE(V_Altın!$AC$2:$AC$48,ROW()-3),V_Altın!$AC$2:$AC$48,0))</f>
        <v>1.383531707213203</v>
      </c>
      <c r="R6" s="5" t="str">
        <f>INDEX(V_Altın!Q$2:Q$48,MATCH(LARGE(V_Altın!$AC$2:$AC$48,ROW()-3),V_Altın!$AC$2:$AC$48,0))</f>
        <v>Görüyor</v>
      </c>
      <c r="S6" s="8">
        <f>INDEX(V_Altın!R$2:R$48,MATCH(LARGE(V_Altın!$AC$2:$AC$48,ROW()-3),V_Altın!$AC$2:$AC$48,0))</f>
        <v>0</v>
      </c>
      <c r="T6" s="8">
        <f>INDEX(V_Altın!S$2:S$48,MATCH(LARGE(V_Altın!$AC$2:$AC$48,ROW()-3),V_Altın!$AC$2:$AC$48,0))</f>
        <v>0</v>
      </c>
      <c r="U6" s="8">
        <f>INDEX(V_Altın!T$2:T$48,MATCH(LARGE(V_Altın!$AC$2:$AC$48,ROW()-3),V_Altın!$AC$2:$AC$48,0))</f>
        <v>0</v>
      </c>
      <c r="V6" s="8">
        <f>INDEX(V_Altın!U$2:U$48,MATCH(LARGE(V_Altın!$AC$2:$AC$48,ROW()-3),V_Altın!$AC$2:$AC$48,0))</f>
        <v>0</v>
      </c>
      <c r="W6" s="8">
        <f>INDEX(V_Altın!V$2:V$48,MATCH(LARGE(V_Altın!$AC$2:$AC$48,ROW()-3),V_Altın!$AC$2:$AC$48,0))</f>
        <v>0</v>
      </c>
      <c r="X6" s="8">
        <f>INDEX(V_Altın!W$2:W$48,MATCH(LARGE(V_Altın!$AC$2:$AC$48,ROW()-3),V_Altın!$AC$2:$AC$48,0))</f>
        <v>0.1328</v>
      </c>
      <c r="Y6" s="8">
        <f>INDEX(V_Altın!X$2:X$48,MATCH(LARGE(V_Altın!$AC$2:$AC$48,ROW()-3),V_Altın!$AC$2:$AC$48,0))</f>
        <v>0</v>
      </c>
      <c r="Z6" s="8">
        <f>INDEX(V_Altın!Y$2:Y$48,MATCH(LARGE(V_Altın!$AC$2:$AC$48,ROW()-3),V_Altın!$AC$2:$AC$48,0))</f>
        <v>0</v>
      </c>
      <c r="AA6" s="8">
        <f>INDEX(V_Altın!Z$2:Z$48,MATCH(LARGE(V_Altın!$AC$2:$AC$48,ROW()-3),V_Altın!$AC$2:$AC$48,0))</f>
        <v>1.4E-3</v>
      </c>
      <c r="AB6" s="8">
        <f>INDEX(V_Altın!AA$2:AA$48,MATCH(LARGE(V_Altın!$AC$2:$AC$48,ROW()-3),V_Altın!$AC$2:$AC$48,0))</f>
        <v>0.13420000000000001</v>
      </c>
    </row>
    <row r="7" spans="1:28" x14ac:dyDescent="0.2">
      <c r="A7">
        <v>4</v>
      </c>
      <c r="B7" s="5" t="str">
        <f>INDEX(V_Altın!A$2:A$48,MATCH(LARGE(V_Altın!$AC$2:$AC$48,ROW()-3),V_Altın!$AC$2:$AC$48,0))</f>
        <v>HAI</v>
      </c>
      <c r="C7" s="5" t="str">
        <f>INDEX(V_Altın!B$2:B$48,MATCH(LARGE(V_Altın!$AC$2:$AC$48,ROW()-3),V_Altın!$AC$2:$AC$48,0))</f>
        <v>Ahlatcı Portföy Altın Fonu</v>
      </c>
      <c r="D7" s="5" t="str">
        <f>INDEX(V_Altın!C$2:C$48,MATCH(LARGE(V_Altın!$AC$2:$AC$48,ROW()-3),V_Altın!$AC$2:$AC$48,0))</f>
        <v>Ahlatcı Portföy</v>
      </c>
      <c r="E7" s="8">
        <f>INDEX(V_Altın!D$2:D$48,MATCH(LARGE(V_Altın!$AC$2:$AC$48,ROW()-3),V_Altın!$AC$2:$AC$48,0))</f>
        <v>0</v>
      </c>
      <c r="F7" s="9">
        <f>INDEX(V_Altın!E$2:E$48,MATCH(LARGE(V_Altın!$AC$2:$AC$48,ROW()-3),V_Altın!$AC$2:$AC$48,0))</f>
        <v>-0.69778706300693827</v>
      </c>
      <c r="G7" s="9">
        <f>INDEX(V_Altın!F$2:F$48,MATCH(LARGE(V_Altın!$AC$2:$AC$48,ROW()-3),V_Altın!$AC$2:$AC$48,0))</f>
        <v>-1.488963796603415</v>
      </c>
      <c r="H7" s="9">
        <f>INDEX(V_Altın!G$2:G$48,MATCH(LARGE(V_Altın!$AC$2:$AC$48,ROW()-3),V_Altın!$AC$2:$AC$48,0))</f>
        <v>-5.3614069231482482</v>
      </c>
      <c r="I7" s="9" t="str">
        <f>INDEX(V_Altın!H$2:H$48,MATCH(LARGE(V_Altın!$AC$2:$AC$48,ROW()-3),V_Altın!$AC$2:$AC$48,0))</f>
        <v>-</v>
      </c>
      <c r="J7" s="9" t="str">
        <f>INDEX(V_Altın!I$2:I$48,MATCH(LARGE(V_Altın!$AC$2:$AC$48,ROW()-3),V_Altın!$AC$2:$AC$48,0))</f>
        <v>-</v>
      </c>
      <c r="K7" s="10">
        <f>INDEX(V_Altın!J$2:J$48,MATCH(LARGE(V_Altın!$AC$2:$AC$48,ROW()-3),V_Altın!$AC$2:$AC$48,0))</f>
        <v>11</v>
      </c>
      <c r="L7" s="10">
        <f>INDEX(V_Altın!K$2:K$48,MATCH(LARGE(V_Altın!$AC$2:$AC$48,ROW()-3),V_Altın!$AC$2:$AC$48,0))</f>
        <v>176</v>
      </c>
      <c r="M7" s="8">
        <f>INDEX(V_Altın!L$2:L$48,MATCH(LARGE(V_Altın!$AC$2:$AC$48,ROW()-3),V_Altın!$AC$2:$AC$48,0))</f>
        <v>15</v>
      </c>
      <c r="N7" s="11">
        <f>INDEX(V_Altın!M$2:M$48,MATCH(LARGE(V_Altın!$AC$2:$AC$48,ROW()-3),V_Altın!$AC$2:$AC$48,0))</f>
        <v>7088555.3899999997</v>
      </c>
      <c r="O7" s="11">
        <f>INDEX(V_Altın!N$2:N$48,MATCH(LARGE(V_Altın!$AC$2:$AC$48,ROW()-3),V_Altın!$AC$2:$AC$48,0))</f>
        <v>7610064.9800000004</v>
      </c>
      <c r="P7" s="8">
        <f>INDEX(V_Altın!O$2:O$48,MATCH(LARGE(V_Altın!$AC$2:$AC$48,ROW()-3),V_Altın!$AC$2:$AC$48,0))</f>
        <v>7.3570644695209353E-2</v>
      </c>
      <c r="Q7" s="9">
        <f>INDEX(V_Altın!P$2:P$48,MATCH(LARGE(V_Altın!$AC$2:$AC$48,ROW()-3),V_Altın!$AC$2:$AC$48,0))</f>
        <v>1.046343234933129</v>
      </c>
      <c r="R7" s="5" t="str">
        <f>INDEX(V_Altın!Q$2:Q$48,MATCH(LARGE(V_Altın!$AC$2:$AC$48,ROW()-3),V_Altın!$AC$2:$AC$48,0))</f>
        <v>Görüyor</v>
      </c>
      <c r="S7" s="8">
        <f>INDEX(V_Altın!R$2:R$48,MATCH(LARGE(V_Altın!$AC$2:$AC$48,ROW()-3),V_Altın!$AC$2:$AC$48,0))</f>
        <v>0</v>
      </c>
      <c r="T7" s="8">
        <f>INDEX(V_Altın!S$2:S$48,MATCH(LARGE(V_Altın!$AC$2:$AC$48,ROW()-3),V_Altın!$AC$2:$AC$48,0))</f>
        <v>0</v>
      </c>
      <c r="U7" s="8">
        <f>INDEX(V_Altın!T$2:T$48,MATCH(LARGE(V_Altın!$AC$2:$AC$48,ROW()-3),V_Altın!$AC$2:$AC$48,0))</f>
        <v>0</v>
      </c>
      <c r="V7" s="8">
        <f>INDEX(V_Altın!U$2:U$48,MATCH(LARGE(V_Altın!$AC$2:$AC$48,ROW()-3),V_Altın!$AC$2:$AC$48,0))</f>
        <v>0</v>
      </c>
      <c r="W7" s="8">
        <f>INDEX(V_Altın!V$2:V$48,MATCH(LARGE(V_Altın!$AC$2:$AC$48,ROW()-3),V_Altın!$AC$2:$AC$48,0))</f>
        <v>0</v>
      </c>
      <c r="X7" s="8">
        <f>INDEX(V_Altın!W$2:W$48,MATCH(LARGE(V_Altın!$AC$2:$AC$48,ROW()-3),V_Altın!$AC$2:$AC$48,0))</f>
        <v>2.9600000000000001E-2</v>
      </c>
      <c r="Y7" s="8">
        <f>INDEX(V_Altın!X$2:X$48,MATCH(LARGE(V_Altın!$AC$2:$AC$48,ROW()-3),V_Altın!$AC$2:$AC$48,0))</f>
        <v>0</v>
      </c>
      <c r="Z7" s="8">
        <f>INDEX(V_Altın!Y$2:Y$48,MATCH(LARGE(V_Altın!$AC$2:$AC$48,ROW()-3),V_Altın!$AC$2:$AC$48,0))</f>
        <v>0</v>
      </c>
      <c r="AA7" s="8">
        <f>INDEX(V_Altın!Z$2:Z$48,MATCH(LARGE(V_Altın!$AC$2:$AC$48,ROW()-3),V_Altın!$AC$2:$AC$48,0))</f>
        <v>0</v>
      </c>
      <c r="AB7" s="8">
        <f>INDEX(V_Altın!AA$2:AA$48,MATCH(LARGE(V_Altın!$AC$2:$AC$48,ROW()-3),V_Altın!$AC$2:$AC$48,0))</f>
        <v>2.9600000000000001E-2</v>
      </c>
    </row>
    <row r="8" spans="1:28" x14ac:dyDescent="0.2">
      <c r="A8">
        <v>5</v>
      </c>
      <c r="B8" s="5" t="str">
        <f>INDEX(V_Altın!A$2:A$48,MATCH(LARGE(V_Altın!$AC$2:$AC$48,ROW()-3),V_Altın!$AC$2:$AC$48,0))</f>
        <v>NAK</v>
      </c>
      <c r="C8" s="5" t="str">
        <f>INDEX(V_Altın!B$2:B$48,MATCH(LARGE(V_Altın!$AC$2:$AC$48,ROW()-3),V_Altın!$AC$2:$AC$48,0))</f>
        <v>Neo Portföy Altın Katılım Fonu</v>
      </c>
      <c r="D8" s="5" t="str">
        <f>INDEX(V_Altın!C$2:C$48,MATCH(LARGE(V_Altın!$AC$2:$AC$48,ROW()-3),V_Altın!$AC$2:$AC$48,0))</f>
        <v>Neo Portföy</v>
      </c>
      <c r="E8" s="8">
        <f>INDEX(V_Altın!D$2:D$48,MATCH(LARGE(V_Altın!$AC$2:$AC$48,ROW()-3),V_Altın!$AC$2:$AC$48,0))</f>
        <v>1.7999999999999999E-2</v>
      </c>
      <c r="F8" s="9">
        <f>INDEX(V_Altın!E$2:E$48,MATCH(LARGE(V_Altın!$AC$2:$AC$48,ROW()-3),V_Altın!$AC$2:$AC$48,0))</f>
        <v>-0.70289480081788813</v>
      </c>
      <c r="G8" s="9">
        <f>INDEX(V_Altın!F$2:F$48,MATCH(LARGE(V_Altın!$AC$2:$AC$48,ROW()-3),V_Altın!$AC$2:$AC$48,0))</f>
        <v>-1.883465552694874</v>
      </c>
      <c r="H8" s="9">
        <f>INDEX(V_Altın!G$2:G$48,MATCH(LARGE(V_Altın!$AC$2:$AC$48,ROW()-3),V_Altın!$AC$2:$AC$48,0))</f>
        <v>0.4039163566744719</v>
      </c>
      <c r="I8" s="9" t="str">
        <f>INDEX(V_Altın!H$2:H$48,MATCH(LARGE(V_Altın!$AC$2:$AC$48,ROW()-3),V_Altın!$AC$2:$AC$48,0))</f>
        <v>-</v>
      </c>
      <c r="J8" s="9" t="str">
        <f>INDEX(V_Altın!I$2:I$48,MATCH(LARGE(V_Altın!$AC$2:$AC$48,ROW()-3),V_Altın!$AC$2:$AC$48,0))</f>
        <v>-</v>
      </c>
      <c r="K8" s="10">
        <f>INDEX(V_Altın!J$2:J$48,MATCH(LARGE(V_Altın!$AC$2:$AC$48,ROW()-3),V_Altın!$AC$2:$AC$48,0))</f>
        <v>171</v>
      </c>
      <c r="L8" s="10">
        <f>INDEX(V_Altın!K$2:K$48,MATCH(LARGE(V_Altın!$AC$2:$AC$48,ROW()-3),V_Altın!$AC$2:$AC$48,0))</f>
        <v>171</v>
      </c>
      <c r="M8" s="8">
        <f>INDEX(V_Altın!L$2:L$48,MATCH(LARGE(V_Altın!$AC$2:$AC$48,ROW()-3),V_Altın!$AC$2:$AC$48,0))</f>
        <v>0</v>
      </c>
      <c r="N8" s="11">
        <f>INDEX(V_Altın!M$2:M$48,MATCH(LARGE(V_Altın!$AC$2:$AC$48,ROW()-3),V_Altın!$AC$2:$AC$48,0))</f>
        <v>126526774.39</v>
      </c>
      <c r="O8" s="11">
        <f>INDEX(V_Altın!N$2:N$48,MATCH(LARGE(V_Altın!$AC$2:$AC$48,ROW()-3),V_Altın!$AC$2:$AC$48,0))</f>
        <v>113521219.89</v>
      </c>
      <c r="P8" s="8">
        <f>INDEX(V_Altın!O$2:O$48,MATCH(LARGE(V_Altın!$AC$2:$AC$48,ROW()-3),V_Altın!$AC$2:$AC$48,0))</f>
        <v>-0.1027889516879037</v>
      </c>
      <c r="Q8" s="9">
        <f>INDEX(V_Altın!P$2:P$48,MATCH(LARGE(V_Altın!$AC$2:$AC$48,ROW()-3),V_Altın!$AC$2:$AC$48,0))</f>
        <v>1.375302167914584</v>
      </c>
      <c r="R8" s="5" t="str">
        <f>INDEX(V_Altın!Q$2:Q$48,MATCH(LARGE(V_Altın!$AC$2:$AC$48,ROW()-3),V_Altın!$AC$2:$AC$48,0))</f>
        <v>Görüyor</v>
      </c>
      <c r="S8" s="8">
        <f>INDEX(V_Altın!R$2:R$48,MATCH(LARGE(V_Altın!$AC$2:$AC$48,ROW()-3),V_Altın!$AC$2:$AC$48,0))</f>
        <v>0</v>
      </c>
      <c r="T8" s="8">
        <f>INDEX(V_Altın!S$2:S$48,MATCH(LARGE(V_Altın!$AC$2:$AC$48,ROW()-3),V_Altın!$AC$2:$AC$48,0))</f>
        <v>0</v>
      </c>
      <c r="U8" s="8">
        <f>INDEX(V_Altın!T$2:T$48,MATCH(LARGE(V_Altın!$AC$2:$AC$48,ROW()-3),V_Altın!$AC$2:$AC$48,0))</f>
        <v>0</v>
      </c>
      <c r="V8" s="8">
        <f>INDEX(V_Altın!U$2:U$48,MATCH(LARGE(V_Altın!$AC$2:$AC$48,ROW()-3),V_Altın!$AC$2:$AC$48,0))</f>
        <v>0</v>
      </c>
      <c r="W8" s="8">
        <f>INDEX(V_Altın!V$2:V$48,MATCH(LARGE(V_Altın!$AC$2:$AC$48,ROW()-3),V_Altın!$AC$2:$AC$48,0))</f>
        <v>0</v>
      </c>
      <c r="X8" s="8">
        <f>INDEX(V_Altın!W$2:W$48,MATCH(LARGE(V_Altın!$AC$2:$AC$48,ROW()-3),V_Altın!$AC$2:$AC$48,0))</f>
        <v>0.1047</v>
      </c>
      <c r="Y8" s="8">
        <f>INDEX(V_Altın!X$2:X$48,MATCH(LARGE(V_Altın!$AC$2:$AC$48,ROW()-3),V_Altın!$AC$2:$AC$48,0))</f>
        <v>0</v>
      </c>
      <c r="Z8" s="8">
        <f>INDEX(V_Altın!Y$2:Y$48,MATCH(LARGE(V_Altın!$AC$2:$AC$48,ROW()-3),V_Altın!$AC$2:$AC$48,0))</f>
        <v>0</v>
      </c>
      <c r="AA8" s="8">
        <f>INDEX(V_Altın!Z$2:Z$48,MATCH(LARGE(V_Altın!$AC$2:$AC$48,ROW()-3),V_Altın!$AC$2:$AC$48,0))</f>
        <v>0</v>
      </c>
      <c r="AB8" s="8">
        <f>INDEX(V_Altın!AA$2:AA$48,MATCH(LARGE(V_Altın!$AC$2:$AC$48,ROW()-3),V_Altın!$AC$2:$AC$48,0))</f>
        <v>0.1047</v>
      </c>
    </row>
    <row r="9" spans="1:28" x14ac:dyDescent="0.2">
      <c r="A9">
        <v>6</v>
      </c>
      <c r="B9" s="5" t="str">
        <f>INDEX(V_Altın!A$2:A$48,MATCH(LARGE(V_Altın!$AC$2:$AC$48,ROW()-3),V_Altın!$AC$2:$AC$48,0))</f>
        <v>TRO</v>
      </c>
      <c r="C9" s="5" t="str">
        <f>INDEX(V_Altın!B$2:B$48,MATCH(LARGE(V_Altın!$AC$2:$AC$48,ROW()-3),V_Altın!$AC$2:$AC$48,0))</f>
        <v>Trıve Portföy Altın Fonu</v>
      </c>
      <c r="D9" s="5" t="str">
        <f>INDEX(V_Altın!C$2:C$48,MATCH(LARGE(V_Altın!$AC$2:$AC$48,ROW()-3),V_Altın!$AC$2:$AC$48,0))</f>
        <v>Trıve Portföy</v>
      </c>
      <c r="E9" s="8">
        <f>INDEX(V_Altın!D$2:D$48,MATCH(LARGE(V_Altın!$AC$2:$AC$48,ROW()-3),V_Altın!$AC$2:$AC$48,0))</f>
        <v>1.8249999999999999E-2</v>
      </c>
      <c r="F9" s="9">
        <f>INDEX(V_Altın!E$2:E$48,MATCH(LARGE(V_Altın!$AC$2:$AC$48,ROW()-3),V_Altın!$AC$2:$AC$48,0))</f>
        <v>-0.7039671732954611</v>
      </c>
      <c r="G9" s="9">
        <f>INDEX(V_Altın!F$2:F$48,MATCH(LARGE(V_Altın!$AC$2:$AC$48,ROW()-3),V_Altın!$AC$2:$AC$48,0))</f>
        <v>-1.4596259448490629</v>
      </c>
      <c r="H9" s="9">
        <f>INDEX(V_Altın!G$2:G$48,MATCH(LARGE(V_Altın!$AC$2:$AC$48,ROW()-3),V_Altın!$AC$2:$AC$48,0))</f>
        <v>0.686191241702927</v>
      </c>
      <c r="I9" s="9">
        <f>INDEX(V_Altın!H$2:H$48,MATCH(LARGE(V_Altın!$AC$2:$AC$48,ROW()-3),V_Altın!$AC$2:$AC$48,0))</f>
        <v>1.6257293606319669</v>
      </c>
      <c r="J9" s="9">
        <f>INDEX(V_Altın!I$2:I$48,MATCH(LARGE(V_Altın!$AC$2:$AC$48,ROW()-3),V_Altın!$AC$2:$AC$48,0))</f>
        <v>42.764716989603649</v>
      </c>
      <c r="K9" s="10">
        <f>INDEX(V_Altın!J$2:J$48,MATCH(LARGE(V_Altın!$AC$2:$AC$48,ROW()-3),V_Altın!$AC$2:$AC$48,0))</f>
        <v>440</v>
      </c>
      <c r="L9" s="10">
        <f>INDEX(V_Altın!K$2:K$48,MATCH(LARGE(V_Altın!$AC$2:$AC$48,ROW()-3),V_Altın!$AC$2:$AC$48,0))</f>
        <v>411</v>
      </c>
      <c r="M9" s="8">
        <f>INDEX(V_Altın!L$2:L$48,MATCH(LARGE(V_Altın!$AC$2:$AC$48,ROW()-3),V_Altın!$AC$2:$AC$48,0))</f>
        <v>-6.5909090909090917E-2</v>
      </c>
      <c r="N9" s="11">
        <f>INDEX(V_Altın!M$2:M$48,MATCH(LARGE(V_Altın!$AC$2:$AC$48,ROW()-3),V_Altın!$AC$2:$AC$48,0))</f>
        <v>30989354.829999998</v>
      </c>
      <c r="O9" s="11">
        <f>INDEX(V_Altın!N$2:N$48,MATCH(LARGE(V_Altın!$AC$2:$AC$48,ROW()-3),V_Altın!$AC$2:$AC$48,0))</f>
        <v>30525073.48</v>
      </c>
      <c r="P9" s="8">
        <f>INDEX(V_Altın!O$2:O$48,MATCH(LARGE(V_Altın!$AC$2:$AC$48,ROW()-3),V_Altın!$AC$2:$AC$48,0))</f>
        <v>-1.4981962436679709E-2</v>
      </c>
      <c r="Q9" s="9">
        <f>INDEX(V_Altın!P$2:P$48,MATCH(LARGE(V_Altın!$AC$2:$AC$48,ROW()-3),V_Altın!$AC$2:$AC$48,0))</f>
        <v>1.286210681329506</v>
      </c>
      <c r="R9" s="5" t="str">
        <f>INDEX(V_Altın!Q$2:Q$48,MATCH(LARGE(V_Altın!$AC$2:$AC$48,ROW()-3),V_Altın!$AC$2:$AC$48,0))</f>
        <v>Görüyor</v>
      </c>
      <c r="S9" s="8">
        <f>INDEX(V_Altın!R$2:R$48,MATCH(LARGE(V_Altın!$AC$2:$AC$48,ROW()-3),V_Altın!$AC$2:$AC$48,0))</f>
        <v>0</v>
      </c>
      <c r="T9" s="8">
        <f>INDEX(V_Altın!S$2:S$48,MATCH(LARGE(V_Altın!$AC$2:$AC$48,ROW()-3),V_Altın!$AC$2:$AC$48,0))</f>
        <v>1.2699999999999999E-2</v>
      </c>
      <c r="U9" s="8">
        <f>INDEX(V_Altın!T$2:T$48,MATCH(LARGE(V_Altın!$AC$2:$AC$48,ROW()-3),V_Altın!$AC$2:$AC$48,0))</f>
        <v>0</v>
      </c>
      <c r="V9" s="8">
        <f>INDEX(V_Altın!U$2:U$48,MATCH(LARGE(V_Altın!$AC$2:$AC$48,ROW()-3),V_Altın!$AC$2:$AC$48,0))</f>
        <v>3.1899999999999998E-2</v>
      </c>
      <c r="W9" s="8">
        <f>INDEX(V_Altın!V$2:V$48,MATCH(LARGE(V_Altın!$AC$2:$AC$48,ROW()-3),V_Altın!$AC$2:$AC$48,0))</f>
        <v>0</v>
      </c>
      <c r="X9" s="8">
        <f>INDEX(V_Altın!W$2:W$48,MATCH(LARGE(V_Altın!$AC$2:$AC$48,ROW()-3),V_Altın!$AC$2:$AC$48,0))</f>
        <v>5.3800000000000001E-2</v>
      </c>
      <c r="Y9" s="8">
        <f>INDEX(V_Altın!X$2:X$48,MATCH(LARGE(V_Altın!$AC$2:$AC$48,ROW()-3),V_Altın!$AC$2:$AC$48,0))</f>
        <v>0</v>
      </c>
      <c r="Z9" s="8">
        <f>INDEX(V_Altın!Y$2:Y$48,MATCH(LARGE(V_Altın!$AC$2:$AC$48,ROW()-3),V_Altın!$AC$2:$AC$48,0))</f>
        <v>4.6899999999999997E-2</v>
      </c>
      <c r="AA9" s="8">
        <f>INDEX(V_Altın!Z$2:Z$48,MATCH(LARGE(V_Altın!$AC$2:$AC$48,ROW()-3),V_Altın!$AC$2:$AC$48,0))</f>
        <v>0</v>
      </c>
      <c r="AB9" s="8">
        <f>INDEX(V_Altın!AA$2:AA$48,MATCH(LARGE(V_Altın!$AC$2:$AC$48,ROW()-3),V_Altın!$AC$2:$AC$48,0))</f>
        <v>0.14530000000000001</v>
      </c>
    </row>
    <row r="10" spans="1:28" x14ac:dyDescent="0.2">
      <c r="A10">
        <v>7</v>
      </c>
      <c r="B10" s="5" t="str">
        <f>INDEX(V_Altın!A$2:A$48,MATCH(LARGE(V_Altın!$AC$2:$AC$48,ROW()-3),V_Altın!$AC$2:$AC$48,0))</f>
        <v>KCR</v>
      </c>
      <c r="C10" s="5" t="str">
        <f>INDEX(V_Altın!B$2:B$48,MATCH(LARGE(V_Altın!$AC$2:$AC$48,ROW()-3),V_Altın!$AC$2:$AC$48,0))</f>
        <v>AK Portföy Külçe Altın Katılım Fonu</v>
      </c>
      <c r="D10" s="5" t="str">
        <f>INDEX(V_Altın!C$2:C$48,MATCH(LARGE(V_Altın!$AC$2:$AC$48,ROW()-3),V_Altın!$AC$2:$AC$48,0))</f>
        <v>AK Portföy</v>
      </c>
      <c r="E10" s="8">
        <f>INDEX(V_Altın!D$2:D$48,MATCH(LARGE(V_Altın!$AC$2:$AC$48,ROW()-3),V_Altın!$AC$2:$AC$48,0))</f>
        <v>1.4999999999999999E-2</v>
      </c>
      <c r="F10" s="9">
        <f>INDEX(V_Altın!E$2:E$48,MATCH(LARGE(V_Altın!$AC$2:$AC$48,ROW()-3),V_Altın!$AC$2:$AC$48,0))</f>
        <v>-0.75182937033149155</v>
      </c>
      <c r="G10" s="9">
        <f>INDEX(V_Altın!F$2:F$48,MATCH(LARGE(V_Altın!$AC$2:$AC$48,ROW()-3),V_Altın!$AC$2:$AC$48,0))</f>
        <v>-1.704187040705218</v>
      </c>
      <c r="H10" s="9" t="str">
        <f>INDEX(V_Altın!G$2:G$48,MATCH(LARGE(V_Altın!$AC$2:$AC$48,ROW()-3),V_Altın!$AC$2:$AC$48,0))</f>
        <v>-</v>
      </c>
      <c r="I10" s="9" t="str">
        <f>INDEX(V_Altın!H$2:H$48,MATCH(LARGE(V_Altın!$AC$2:$AC$48,ROW()-3),V_Altın!$AC$2:$AC$48,0))</f>
        <v>-</v>
      </c>
      <c r="J10" s="9" t="str">
        <f>INDEX(V_Altın!I$2:I$48,MATCH(LARGE(V_Altın!$AC$2:$AC$48,ROW()-3),V_Altın!$AC$2:$AC$48,0))</f>
        <v>-</v>
      </c>
      <c r="K10" s="10" t="str">
        <f>INDEX(V_Altın!J$2:J$48,MATCH(LARGE(V_Altın!$AC$2:$AC$48,ROW()-3),V_Altın!$AC$2:$AC$48,0))</f>
        <v>-</v>
      </c>
      <c r="L10" s="10">
        <f>INDEX(V_Altın!K$2:K$48,MATCH(LARGE(V_Altın!$AC$2:$AC$48,ROW()-3),V_Altın!$AC$2:$AC$48,0))</f>
        <v>70</v>
      </c>
      <c r="M10" s="8" t="str">
        <f>INDEX(V_Altın!L$2:L$48,MATCH(LARGE(V_Altın!$AC$2:$AC$48,ROW()-3),V_Altın!$AC$2:$AC$48,0))</f>
        <v>-</v>
      </c>
      <c r="N10" s="11" t="str">
        <f>INDEX(V_Altın!M$2:M$48,MATCH(LARGE(V_Altın!$AC$2:$AC$48,ROW()-3),V_Altın!$AC$2:$AC$48,0))</f>
        <v>-</v>
      </c>
      <c r="O10" s="11">
        <f>INDEX(V_Altın!N$2:N$48,MATCH(LARGE(V_Altın!$AC$2:$AC$48,ROW()-3),V_Altın!$AC$2:$AC$48,0))</f>
        <v>51424745.920000002</v>
      </c>
      <c r="P10" s="8" t="str">
        <f>INDEX(V_Altın!O$2:O$48,MATCH(LARGE(V_Altın!$AC$2:$AC$48,ROW()-3),V_Altın!$AC$2:$AC$48,0))</f>
        <v>-</v>
      </c>
      <c r="Q10" s="9">
        <f>INDEX(V_Altın!P$2:P$48,MATCH(LARGE(V_Altın!$AC$2:$AC$48,ROW()-3),V_Altın!$AC$2:$AC$48,0))</f>
        <v>0.8908548075427466</v>
      </c>
      <c r="R10" s="5" t="str">
        <f>INDEX(V_Altın!Q$2:Q$48,MATCH(LARGE(V_Altın!$AC$2:$AC$48,ROW()-3),V_Altın!$AC$2:$AC$48,0))</f>
        <v>Görüyor</v>
      </c>
      <c r="S10" s="8">
        <f>INDEX(V_Altın!R$2:R$48,MATCH(LARGE(V_Altın!$AC$2:$AC$48,ROW()-3),V_Altın!$AC$2:$AC$48,0))</f>
        <v>0</v>
      </c>
      <c r="T10" s="8">
        <f>INDEX(V_Altın!S$2:S$48,MATCH(LARGE(V_Altın!$AC$2:$AC$48,ROW()-3),V_Altın!$AC$2:$AC$48,0))</f>
        <v>0</v>
      </c>
      <c r="U10" s="8">
        <f>INDEX(V_Altın!T$2:T$48,MATCH(LARGE(V_Altın!$AC$2:$AC$48,ROW()-3),V_Altın!$AC$2:$AC$48,0))</f>
        <v>0</v>
      </c>
      <c r="V10" s="8">
        <f>INDEX(V_Altın!U$2:U$48,MATCH(LARGE(V_Altın!$AC$2:$AC$48,ROW()-3),V_Altın!$AC$2:$AC$48,0))</f>
        <v>0</v>
      </c>
      <c r="W10" s="8">
        <f>INDEX(V_Altın!V$2:V$48,MATCH(LARGE(V_Altın!$AC$2:$AC$48,ROW()-3),V_Altın!$AC$2:$AC$48,0))</f>
        <v>0</v>
      </c>
      <c r="X10" s="8">
        <f>INDEX(V_Altın!W$2:W$48,MATCH(LARGE(V_Altın!$AC$2:$AC$48,ROW()-3),V_Altın!$AC$2:$AC$48,0))</f>
        <v>0</v>
      </c>
      <c r="Y10" s="8">
        <f>INDEX(V_Altın!X$2:X$48,MATCH(LARGE(V_Altın!$AC$2:$AC$48,ROW()-3),V_Altın!$AC$2:$AC$48,0))</f>
        <v>0</v>
      </c>
      <c r="Z10" s="8">
        <f>INDEX(V_Altın!Y$2:Y$48,MATCH(LARGE(V_Altın!$AC$2:$AC$48,ROW()-3),V_Altın!$AC$2:$AC$48,0))</f>
        <v>0</v>
      </c>
      <c r="AA10" s="8">
        <f>INDEX(V_Altın!Z$2:Z$48,MATCH(LARGE(V_Altın!$AC$2:$AC$48,ROW()-3),V_Altın!$AC$2:$AC$48,0))</f>
        <v>0</v>
      </c>
      <c r="AB10" s="8">
        <f>INDEX(V_Altın!AA$2:AA$48,MATCH(LARGE(V_Altın!$AC$2:$AC$48,ROW()-3),V_Altın!$AC$2:$AC$48,0))</f>
        <v>0</v>
      </c>
    </row>
    <row r="11" spans="1:28" x14ac:dyDescent="0.2">
      <c r="A11">
        <v>8</v>
      </c>
      <c r="B11" s="5" t="str">
        <f>INDEX(V_Altın!A$2:A$48,MATCH(LARGE(V_Altın!$AC$2:$AC$48,ROW()-3),V_Altın!$AC$2:$AC$48,0))</f>
        <v>PKF</v>
      </c>
      <c r="C11" s="5" t="str">
        <f>INDEX(V_Altın!B$2:B$48,MATCH(LARGE(V_Altın!$AC$2:$AC$48,ROW()-3),V_Altın!$AC$2:$AC$48,0))</f>
        <v>Ata Portföy Altın Katılım Fonu</v>
      </c>
      <c r="D11" s="5" t="str">
        <f>INDEX(V_Altın!C$2:C$48,MATCH(LARGE(V_Altın!$AC$2:$AC$48,ROW()-3),V_Altın!$AC$2:$AC$48,0))</f>
        <v>Ata Portföy</v>
      </c>
      <c r="E11" s="8">
        <f>INDEX(V_Altın!D$2:D$48,MATCH(LARGE(V_Altın!$AC$2:$AC$48,ROW()-3),V_Altın!$AC$2:$AC$48,0))</f>
        <v>0.01</v>
      </c>
      <c r="F11" s="9">
        <f>INDEX(V_Altın!E$2:E$48,MATCH(LARGE(V_Altın!$AC$2:$AC$48,ROW()-3),V_Altın!$AC$2:$AC$48,0))</f>
        <v>-0.75287350512024398</v>
      </c>
      <c r="G11" s="9">
        <f>INDEX(V_Altın!F$2:F$48,MATCH(LARGE(V_Altın!$AC$2:$AC$48,ROW()-3),V_Altın!$AC$2:$AC$48,0))</f>
        <v>-1.701390571855022</v>
      </c>
      <c r="H11" s="9">
        <f>INDEX(V_Altın!G$2:G$48,MATCH(LARGE(V_Altın!$AC$2:$AC$48,ROW()-3),V_Altın!$AC$2:$AC$48,0))</f>
        <v>0.45504997805907438</v>
      </c>
      <c r="I11" s="9">
        <f>INDEX(V_Altın!H$2:H$48,MATCH(LARGE(V_Altın!$AC$2:$AC$48,ROW()-3),V_Altın!$AC$2:$AC$48,0))</f>
        <v>-2.1187507378330972</v>
      </c>
      <c r="J11" s="9">
        <f>INDEX(V_Altın!I$2:I$48,MATCH(LARGE(V_Altın!$AC$2:$AC$48,ROW()-3),V_Altın!$AC$2:$AC$48,0))</f>
        <v>39.470974670053323</v>
      </c>
      <c r="K11" s="10">
        <f>INDEX(V_Altın!J$2:J$48,MATCH(LARGE(V_Altın!$AC$2:$AC$48,ROW()-3),V_Altın!$AC$2:$AC$48,0))</f>
        <v>1678</v>
      </c>
      <c r="L11" s="10">
        <f>INDEX(V_Altın!K$2:K$48,MATCH(LARGE(V_Altın!$AC$2:$AC$48,ROW()-3),V_Altın!$AC$2:$AC$48,0))</f>
        <v>1617</v>
      </c>
      <c r="M11" s="8">
        <f>INDEX(V_Altın!L$2:L$48,MATCH(LARGE(V_Altın!$AC$2:$AC$48,ROW()-3),V_Altın!$AC$2:$AC$48,0))</f>
        <v>-3.6352800953516118E-2</v>
      </c>
      <c r="N11" s="11">
        <f>INDEX(V_Altın!M$2:M$48,MATCH(LARGE(V_Altın!$AC$2:$AC$48,ROW()-3),V_Altın!$AC$2:$AC$48,0))</f>
        <v>430573535.38999999</v>
      </c>
      <c r="O11" s="11">
        <f>INDEX(V_Altın!N$2:N$48,MATCH(LARGE(V_Altın!$AC$2:$AC$48,ROW()-3),V_Altın!$AC$2:$AC$48,0))</f>
        <v>401858150.82999998</v>
      </c>
      <c r="P11" s="8">
        <f>INDEX(V_Altın!O$2:O$48,MATCH(LARGE(V_Altın!$AC$2:$AC$48,ROW()-3),V_Altın!$AC$2:$AC$48,0))</f>
        <v>-6.6691011406426748E-2</v>
      </c>
      <c r="Q11" s="9">
        <f>INDEX(V_Altın!P$2:P$48,MATCH(LARGE(V_Altın!$AC$2:$AC$48,ROW()-3),V_Altın!$AC$2:$AC$48,0))</f>
        <v>1.448099706838202</v>
      </c>
      <c r="R11" s="5" t="str">
        <f>INDEX(V_Altın!Q$2:Q$48,MATCH(LARGE(V_Altın!$AC$2:$AC$48,ROW()-3),V_Altın!$AC$2:$AC$48,0))</f>
        <v>Görüyor</v>
      </c>
      <c r="S11" s="8">
        <f>INDEX(V_Altın!R$2:R$48,MATCH(LARGE(V_Altın!$AC$2:$AC$48,ROW()-3),V_Altın!$AC$2:$AC$48,0))</f>
        <v>0</v>
      </c>
      <c r="T11" s="8">
        <f>INDEX(V_Altın!S$2:S$48,MATCH(LARGE(V_Altın!$AC$2:$AC$48,ROW()-3),V_Altın!$AC$2:$AC$48,0))</f>
        <v>0</v>
      </c>
      <c r="U11" s="8">
        <f>INDEX(V_Altın!T$2:T$48,MATCH(LARGE(V_Altın!$AC$2:$AC$48,ROW()-3),V_Altın!$AC$2:$AC$48,0))</f>
        <v>0</v>
      </c>
      <c r="V11" s="8">
        <f>INDEX(V_Altın!U$2:U$48,MATCH(LARGE(V_Altın!$AC$2:$AC$48,ROW()-3),V_Altın!$AC$2:$AC$48,0))</f>
        <v>0</v>
      </c>
      <c r="W11" s="8">
        <f>INDEX(V_Altın!V$2:V$48,MATCH(LARGE(V_Altın!$AC$2:$AC$48,ROW()-3),V_Altın!$AC$2:$AC$48,0))</f>
        <v>0</v>
      </c>
      <c r="X11" s="8">
        <f>INDEX(V_Altın!W$2:W$48,MATCH(LARGE(V_Altın!$AC$2:$AC$48,ROW()-3),V_Altın!$AC$2:$AC$48,0))</f>
        <v>2.6499999999999999E-2</v>
      </c>
      <c r="Y11" s="8">
        <f>INDEX(V_Altın!X$2:X$48,MATCH(LARGE(V_Altın!$AC$2:$AC$48,ROW()-3),V_Altın!$AC$2:$AC$48,0))</f>
        <v>0</v>
      </c>
      <c r="Z11" s="8">
        <f>INDEX(V_Altın!Y$2:Y$48,MATCH(LARGE(V_Altın!$AC$2:$AC$48,ROW()-3),V_Altın!$AC$2:$AC$48,0))</f>
        <v>0</v>
      </c>
      <c r="AA11" s="8">
        <f>INDEX(V_Altın!Z$2:Z$48,MATCH(LARGE(V_Altın!$AC$2:$AC$48,ROW()-3),V_Altın!$AC$2:$AC$48,0))</f>
        <v>0</v>
      </c>
      <c r="AB11" s="8">
        <f>INDEX(V_Altın!AA$2:AA$48,MATCH(LARGE(V_Altın!$AC$2:$AC$48,ROW()-3),V_Altın!$AC$2:$AC$48,0))</f>
        <v>2.6499999999999999E-2</v>
      </c>
    </row>
    <row r="12" spans="1:28" x14ac:dyDescent="0.2">
      <c r="A12">
        <v>9</v>
      </c>
      <c r="B12" s="5" t="str">
        <f>INDEX(V_Altın!A$2:A$48,MATCH(LARGE(V_Altın!$AC$2:$AC$48,ROW()-3),V_Altın!$AC$2:$AC$48,0))</f>
        <v>PEA</v>
      </c>
      <c r="C12" s="5" t="str">
        <f>INDEX(V_Altın!B$2:B$48,MATCH(LARGE(V_Altın!$AC$2:$AC$48,ROW()-3),V_Altın!$AC$2:$AC$48,0))</f>
        <v>Perform Portföy Altın Fonu</v>
      </c>
      <c r="D12" s="5" t="str">
        <f>INDEX(V_Altın!C$2:C$48,MATCH(LARGE(V_Altın!$AC$2:$AC$48,ROW()-3),V_Altın!$AC$2:$AC$48,0))</f>
        <v>Perform Portföy</v>
      </c>
      <c r="E12" s="8">
        <f>INDEX(V_Altın!D$2:D$48,MATCH(LARGE(V_Altın!$AC$2:$AC$48,ROW()-3),V_Altın!$AC$2:$AC$48,0))</f>
        <v>1.8249999999999999E-2</v>
      </c>
      <c r="F12" s="9">
        <f>INDEX(V_Altın!E$2:E$48,MATCH(LARGE(V_Altın!$AC$2:$AC$48,ROW()-3),V_Altın!$AC$2:$AC$48,0))</f>
        <v>-0.75325179004211984</v>
      </c>
      <c r="G12" s="9">
        <f>INDEX(V_Altın!F$2:F$48,MATCH(LARGE(V_Altın!$AC$2:$AC$48,ROW()-3),V_Altın!$AC$2:$AC$48,0))</f>
        <v>-1.2838612350325569</v>
      </c>
      <c r="H12" s="9">
        <f>INDEX(V_Altın!G$2:G$48,MATCH(LARGE(V_Altın!$AC$2:$AC$48,ROW()-3),V_Altın!$AC$2:$AC$48,0))</f>
        <v>0.77737198406173658</v>
      </c>
      <c r="I12" s="9">
        <f>INDEX(V_Altın!H$2:H$48,MATCH(LARGE(V_Altın!$AC$2:$AC$48,ROW()-3),V_Altın!$AC$2:$AC$48,0))</f>
        <v>-0.35304847624307861</v>
      </c>
      <c r="J12" s="9">
        <f>INDEX(V_Altın!I$2:I$48,MATCH(LARGE(V_Altın!$AC$2:$AC$48,ROW()-3),V_Altın!$AC$2:$AC$48,0))</f>
        <v>35.3944033153617</v>
      </c>
      <c r="K12" s="10">
        <f>INDEX(V_Altın!J$2:J$48,MATCH(LARGE(V_Altın!$AC$2:$AC$48,ROW()-3),V_Altın!$AC$2:$AC$48,0))</f>
        <v>96</v>
      </c>
      <c r="L12" s="10">
        <f>INDEX(V_Altın!K$2:K$48,MATCH(LARGE(V_Altın!$AC$2:$AC$48,ROW()-3),V_Altın!$AC$2:$AC$48,0))</f>
        <v>98</v>
      </c>
      <c r="M12" s="8">
        <f>INDEX(V_Altın!L$2:L$48,MATCH(LARGE(V_Altın!$AC$2:$AC$48,ROW()-3),V_Altın!$AC$2:$AC$48,0))</f>
        <v>2.0833333333333259E-2</v>
      </c>
      <c r="N12" s="11">
        <f>INDEX(V_Altın!M$2:M$48,MATCH(LARGE(V_Altın!$AC$2:$AC$48,ROW()-3),V_Altın!$AC$2:$AC$48,0))</f>
        <v>62800901.039999999</v>
      </c>
      <c r="O12" s="11">
        <f>INDEX(V_Altın!N$2:N$48,MATCH(LARGE(V_Altın!$AC$2:$AC$48,ROW()-3),V_Altın!$AC$2:$AC$48,0))</f>
        <v>63583052.219999999</v>
      </c>
      <c r="P12" s="8">
        <f>INDEX(V_Altın!O$2:O$48,MATCH(LARGE(V_Altın!$AC$2:$AC$48,ROW()-3),V_Altın!$AC$2:$AC$48,0))</f>
        <v>1.2454457930497259E-2</v>
      </c>
      <c r="Q12" s="9">
        <f>INDEX(V_Altın!P$2:P$48,MATCH(LARGE(V_Altın!$AC$2:$AC$48,ROW()-3),V_Altın!$AC$2:$AC$48,0))</f>
        <v>1.437210714614557</v>
      </c>
      <c r="R12" s="5" t="str">
        <f>INDEX(V_Altın!Q$2:Q$48,MATCH(LARGE(V_Altın!$AC$2:$AC$48,ROW()-3),V_Altın!$AC$2:$AC$48,0))</f>
        <v>Görüyor</v>
      </c>
      <c r="S12" s="8">
        <f>INDEX(V_Altın!R$2:R$48,MATCH(LARGE(V_Altın!$AC$2:$AC$48,ROW()-3),V_Altın!$AC$2:$AC$48,0))</f>
        <v>5.5000000000000014E-3</v>
      </c>
      <c r="T12" s="8">
        <f>INDEX(V_Altın!S$2:S$48,MATCH(LARGE(V_Altın!$AC$2:$AC$48,ROW()-3),V_Altın!$AC$2:$AC$48,0))</f>
        <v>0</v>
      </c>
      <c r="U12" s="8">
        <f>INDEX(V_Altın!T$2:T$48,MATCH(LARGE(V_Altın!$AC$2:$AC$48,ROW()-3),V_Altın!$AC$2:$AC$48,0))</f>
        <v>0</v>
      </c>
      <c r="V12" s="8">
        <f>INDEX(V_Altın!U$2:U$48,MATCH(LARGE(V_Altın!$AC$2:$AC$48,ROW()-3),V_Altın!$AC$2:$AC$48,0))</f>
        <v>0</v>
      </c>
      <c r="W12" s="8">
        <f>INDEX(V_Altın!V$2:V$48,MATCH(LARGE(V_Altın!$AC$2:$AC$48,ROW()-3),V_Altın!$AC$2:$AC$48,0))</f>
        <v>0</v>
      </c>
      <c r="X12" s="8">
        <f>INDEX(V_Altın!W$2:W$48,MATCH(LARGE(V_Altın!$AC$2:$AC$48,ROW()-3),V_Altın!$AC$2:$AC$48,0))</f>
        <v>3.4799999999999998E-2</v>
      </c>
      <c r="Y12" s="8">
        <f>INDEX(V_Altın!X$2:X$48,MATCH(LARGE(V_Altın!$AC$2:$AC$48,ROW()-3),V_Altın!$AC$2:$AC$48,0))</f>
        <v>0</v>
      </c>
      <c r="Z12" s="8">
        <f>INDEX(V_Altın!Y$2:Y$48,MATCH(LARGE(V_Altın!$AC$2:$AC$48,ROW()-3),V_Altın!$AC$2:$AC$48,0))</f>
        <v>0</v>
      </c>
      <c r="AA12" s="8">
        <f>INDEX(V_Altın!Z$2:Z$48,MATCH(LARGE(V_Altın!$AC$2:$AC$48,ROW()-3),V_Altın!$AC$2:$AC$48,0))</f>
        <v>0</v>
      </c>
      <c r="AB12" s="8">
        <f>INDEX(V_Altın!AA$2:AA$48,MATCH(LARGE(V_Altın!$AC$2:$AC$48,ROW()-3),V_Altın!$AC$2:$AC$48,0))</f>
        <v>4.0300000000000002E-2</v>
      </c>
    </row>
    <row r="13" spans="1:28" x14ac:dyDescent="0.2">
      <c r="A13">
        <v>10</v>
      </c>
      <c r="B13" s="5" t="str">
        <f>INDEX(V_Altın!A$2:A$48,MATCH(LARGE(V_Altın!$AC$2:$AC$48,ROW()-3),V_Altın!$AC$2:$AC$48,0))</f>
        <v>PAF</v>
      </c>
      <c r="C13" s="5" t="str">
        <f>INDEX(V_Altın!B$2:B$48,MATCH(LARGE(V_Altın!$AC$2:$AC$48,ROW()-3),V_Altın!$AC$2:$AC$48,0))</f>
        <v>Pardus Portföy Altın Fonu</v>
      </c>
      <c r="D13" s="5" t="str">
        <f>INDEX(V_Altın!C$2:C$48,MATCH(LARGE(V_Altın!$AC$2:$AC$48,ROW()-3),V_Altın!$AC$2:$AC$48,0))</f>
        <v>Pardus Portföy</v>
      </c>
      <c r="E13" s="8">
        <f>INDEX(V_Altın!D$2:D$48,MATCH(LARGE(V_Altın!$AC$2:$AC$48,ROW()-3),V_Altın!$AC$2:$AC$48,0))</f>
        <v>0.01</v>
      </c>
      <c r="F13" s="9">
        <f>INDEX(V_Altın!E$2:E$48,MATCH(LARGE(V_Altın!$AC$2:$AC$48,ROW()-3),V_Altın!$AC$2:$AC$48,0))</f>
        <v>-0.76608383873481012</v>
      </c>
      <c r="G13" s="9">
        <f>INDEX(V_Altın!F$2:F$48,MATCH(LARGE(V_Altın!$AC$2:$AC$48,ROW()-3),V_Altın!$AC$2:$AC$48,0))</f>
        <v>-1.66141534563834</v>
      </c>
      <c r="H13" s="9">
        <f>INDEX(V_Altın!G$2:G$48,MATCH(LARGE(V_Altın!$AC$2:$AC$48,ROW()-3),V_Altın!$AC$2:$AC$48,0))</f>
        <v>0.61936067538150841</v>
      </c>
      <c r="I13" s="9">
        <f>INDEX(V_Altın!H$2:H$48,MATCH(LARGE(V_Altın!$AC$2:$AC$48,ROW()-3),V_Altın!$AC$2:$AC$48,0))</f>
        <v>-4.5078914858047714</v>
      </c>
      <c r="J13" s="9">
        <f>INDEX(V_Altın!I$2:I$48,MATCH(LARGE(V_Altın!$AC$2:$AC$48,ROW()-3),V_Altın!$AC$2:$AC$48,0))</f>
        <v>39.793396420240981</v>
      </c>
      <c r="K13" s="10">
        <f>INDEX(V_Altın!J$2:J$48,MATCH(LARGE(V_Altın!$AC$2:$AC$48,ROW()-3),V_Altın!$AC$2:$AC$48,0))</f>
        <v>3721</v>
      </c>
      <c r="L13" s="10">
        <f>INDEX(V_Altın!K$2:K$48,MATCH(LARGE(V_Altın!$AC$2:$AC$48,ROW()-3),V_Altın!$AC$2:$AC$48,0))</f>
        <v>3508</v>
      </c>
      <c r="M13" s="8">
        <f>INDEX(V_Altın!L$2:L$48,MATCH(LARGE(V_Altın!$AC$2:$AC$48,ROW()-3),V_Altın!$AC$2:$AC$48,0))</f>
        <v>-5.7242676699811867E-2</v>
      </c>
      <c r="N13" s="11">
        <f>INDEX(V_Altın!M$2:M$48,MATCH(LARGE(V_Altın!$AC$2:$AC$48,ROW()-3),V_Altın!$AC$2:$AC$48,0))</f>
        <v>297646916.20999998</v>
      </c>
      <c r="O13" s="11">
        <f>INDEX(V_Altın!N$2:N$48,MATCH(LARGE(V_Altın!$AC$2:$AC$48,ROW()-3),V_Altın!$AC$2:$AC$48,0))</f>
        <v>284420674.41000003</v>
      </c>
      <c r="P13" s="8">
        <f>INDEX(V_Altın!O$2:O$48,MATCH(LARGE(V_Altın!$AC$2:$AC$48,ROW()-3),V_Altın!$AC$2:$AC$48,0))</f>
        <v>-4.443601152806298E-2</v>
      </c>
      <c r="Q13" s="9">
        <f>INDEX(V_Altın!P$2:P$48,MATCH(LARGE(V_Altın!$AC$2:$AC$48,ROW()-3),V_Altın!$AC$2:$AC$48,0))</f>
        <v>1.372794444261904</v>
      </c>
      <c r="R13" s="5" t="str">
        <f>INDEX(V_Altın!Q$2:Q$48,MATCH(LARGE(V_Altın!$AC$2:$AC$48,ROW()-3),V_Altın!$AC$2:$AC$48,0))</f>
        <v>Görüyor</v>
      </c>
      <c r="S13" s="8">
        <f>INDEX(V_Altın!R$2:R$48,MATCH(LARGE(V_Altın!$AC$2:$AC$48,ROW()-3),V_Altın!$AC$2:$AC$48,0))</f>
        <v>1.1999999999999999E-3</v>
      </c>
      <c r="T13" s="8">
        <f>INDEX(V_Altın!S$2:S$48,MATCH(LARGE(V_Altın!$AC$2:$AC$48,ROW()-3),V_Altın!$AC$2:$AC$48,0))</f>
        <v>2.07E-2</v>
      </c>
      <c r="U13" s="8">
        <f>INDEX(V_Altın!T$2:T$48,MATCH(LARGE(V_Altın!$AC$2:$AC$48,ROW()-3),V_Altın!$AC$2:$AC$48,0))</f>
        <v>0</v>
      </c>
      <c r="V13" s="8">
        <f>INDEX(V_Altın!U$2:U$48,MATCH(LARGE(V_Altın!$AC$2:$AC$48,ROW()-3),V_Altın!$AC$2:$AC$48,0))</f>
        <v>0</v>
      </c>
      <c r="W13" s="8">
        <f>INDEX(V_Altın!V$2:V$48,MATCH(LARGE(V_Altın!$AC$2:$AC$48,ROW()-3),V_Altın!$AC$2:$AC$48,0))</f>
        <v>0</v>
      </c>
      <c r="X13" s="8">
        <f>INDEX(V_Altın!W$2:W$48,MATCH(LARGE(V_Altın!$AC$2:$AC$48,ROW()-3),V_Altın!$AC$2:$AC$48,0))</f>
        <v>3.44E-2</v>
      </c>
      <c r="Y13" s="8">
        <f>INDEX(V_Altın!X$2:X$48,MATCH(LARGE(V_Altın!$AC$2:$AC$48,ROW()-3),V_Altın!$AC$2:$AC$48,0))</f>
        <v>0</v>
      </c>
      <c r="Z13" s="8">
        <f>INDEX(V_Altın!Y$2:Y$48,MATCH(LARGE(V_Altın!$AC$2:$AC$48,ROW()-3),V_Altın!$AC$2:$AC$48,0))</f>
        <v>0</v>
      </c>
      <c r="AA13" s="8">
        <f>INDEX(V_Altın!Z$2:Z$48,MATCH(LARGE(V_Altın!$AC$2:$AC$48,ROW()-3),V_Altın!$AC$2:$AC$48,0))</f>
        <v>0</v>
      </c>
      <c r="AB13" s="8">
        <f>INDEX(V_Altın!AA$2:AA$48,MATCH(LARGE(V_Altın!$AC$2:$AC$48,ROW()-3),V_Altın!$AC$2:$AC$48,0))</f>
        <v>5.6300000000000003E-2</v>
      </c>
    </row>
    <row r="14" spans="1:28" x14ac:dyDescent="0.2">
      <c r="A14">
        <v>11</v>
      </c>
      <c r="B14" s="5" t="str">
        <f>INDEX(V_Altın!A$2:A$48,MATCH(LARGE(V_Altın!$AC$2:$AC$48,ROW()-3),V_Altın!$AC$2:$AC$48,0))</f>
        <v>GGK</v>
      </c>
      <c r="C14" s="5" t="str">
        <f>INDEX(V_Altın!B$2:B$48,MATCH(LARGE(V_Altın!$AC$2:$AC$48,ROW()-3),V_Altın!$AC$2:$AC$48,0))</f>
        <v>Inveo Portföy Altın Fon</v>
      </c>
      <c r="D14" s="5" t="str">
        <f>INDEX(V_Altın!C$2:C$48,MATCH(LARGE(V_Altın!$AC$2:$AC$48,ROW()-3),V_Altın!$AC$2:$AC$48,0))</f>
        <v>Inveo Portföy</v>
      </c>
      <c r="E14" s="8">
        <f>INDEX(V_Altın!D$2:D$48,MATCH(LARGE(V_Altın!$AC$2:$AC$48,ROW()-3),V_Altın!$AC$2:$AC$48,0))</f>
        <v>1.4999999999999999E-2</v>
      </c>
      <c r="F14" s="9">
        <f>INDEX(V_Altın!E$2:E$48,MATCH(LARGE(V_Altın!$AC$2:$AC$48,ROW()-3),V_Altın!$AC$2:$AC$48,0))</f>
        <v>-0.76615130085692096</v>
      </c>
      <c r="G14" s="9">
        <f>INDEX(V_Altın!F$2:F$48,MATCH(LARGE(V_Altın!$AC$2:$AC$48,ROW()-3),V_Altın!$AC$2:$AC$48,0))</f>
        <v>-1.6816511217488279</v>
      </c>
      <c r="H14" s="9">
        <f>INDEX(V_Altın!G$2:G$48,MATCH(LARGE(V_Altın!$AC$2:$AC$48,ROW()-3),V_Altın!$AC$2:$AC$48,0))</f>
        <v>0.55994970027799518</v>
      </c>
      <c r="I14" s="9">
        <f>INDEX(V_Altın!H$2:H$48,MATCH(LARGE(V_Altın!$AC$2:$AC$48,ROW()-3),V_Altın!$AC$2:$AC$48,0))</f>
        <v>-1.4050981223625361</v>
      </c>
      <c r="J14" s="9">
        <f>INDEX(V_Altın!I$2:I$48,MATCH(LARGE(V_Altın!$AC$2:$AC$48,ROW()-3),V_Altın!$AC$2:$AC$48,0))</f>
        <v>38.012572853414397</v>
      </c>
      <c r="K14" s="10">
        <f>INDEX(V_Altın!J$2:J$48,MATCH(LARGE(V_Altın!$AC$2:$AC$48,ROW()-3),V_Altın!$AC$2:$AC$48,0))</f>
        <v>12810</v>
      </c>
      <c r="L14" s="10">
        <f>INDEX(V_Altın!K$2:K$48,MATCH(LARGE(V_Altın!$AC$2:$AC$48,ROW()-3),V_Altın!$AC$2:$AC$48,0))</f>
        <v>12454</v>
      </c>
      <c r="M14" s="8">
        <f>INDEX(V_Altın!L$2:L$48,MATCH(LARGE(V_Altın!$AC$2:$AC$48,ROW()-3),V_Altın!$AC$2:$AC$48,0))</f>
        <v>-2.779078844652616E-2</v>
      </c>
      <c r="N14" s="11">
        <f>INDEX(V_Altın!M$2:M$48,MATCH(LARGE(V_Altın!$AC$2:$AC$48,ROW()-3),V_Altın!$AC$2:$AC$48,0))</f>
        <v>2478075996.8400002</v>
      </c>
      <c r="O14" s="11">
        <f>INDEX(V_Altın!N$2:N$48,MATCH(LARGE(V_Altın!$AC$2:$AC$48,ROW()-3),V_Altın!$AC$2:$AC$48,0))</f>
        <v>2422608778.7800002</v>
      </c>
      <c r="P14" s="8">
        <f>INDEX(V_Altın!O$2:O$48,MATCH(LARGE(V_Altın!$AC$2:$AC$48,ROW()-3),V_Altın!$AC$2:$AC$48,0))</f>
        <v>-2.2383178776894219E-2</v>
      </c>
      <c r="Q14" s="9">
        <f>INDEX(V_Altın!P$2:P$48,MATCH(LARGE(V_Altın!$AC$2:$AC$48,ROW()-3),V_Altın!$AC$2:$AC$48,0))</f>
        <v>1.3993083803558259</v>
      </c>
      <c r="R14" s="5" t="str">
        <f>INDEX(V_Altın!Q$2:Q$48,MATCH(LARGE(V_Altın!$AC$2:$AC$48,ROW()-3),V_Altın!$AC$2:$AC$48,0))</f>
        <v>Görüyor</v>
      </c>
      <c r="S14" s="8">
        <f>INDEX(V_Altın!R$2:R$48,MATCH(LARGE(V_Altın!$AC$2:$AC$48,ROW()-3),V_Altın!$AC$2:$AC$48,0))</f>
        <v>0</v>
      </c>
      <c r="T14" s="8">
        <f>INDEX(V_Altın!S$2:S$48,MATCH(LARGE(V_Altın!$AC$2:$AC$48,ROW()-3),V_Altın!$AC$2:$AC$48,0))</f>
        <v>1.8E-3</v>
      </c>
      <c r="U14" s="8">
        <f>INDEX(V_Altın!T$2:T$48,MATCH(LARGE(V_Altın!$AC$2:$AC$48,ROW()-3),V_Altın!$AC$2:$AC$48,0))</f>
        <v>0</v>
      </c>
      <c r="V14" s="8">
        <f>INDEX(V_Altın!U$2:U$48,MATCH(LARGE(V_Altın!$AC$2:$AC$48,ROW()-3),V_Altın!$AC$2:$AC$48,0))</f>
        <v>2.5999999999999999E-3</v>
      </c>
      <c r="W14" s="8">
        <f>INDEX(V_Altın!V$2:V$48,MATCH(LARGE(V_Altın!$AC$2:$AC$48,ROW()-3),V_Altın!$AC$2:$AC$48,0))</f>
        <v>0</v>
      </c>
      <c r="X14" s="8">
        <f>INDEX(V_Altın!W$2:W$48,MATCH(LARGE(V_Altın!$AC$2:$AC$48,ROW()-3),V_Altın!$AC$2:$AC$48,0))</f>
        <v>6.5500000000000003E-2</v>
      </c>
      <c r="Y14" s="8">
        <f>INDEX(V_Altın!X$2:X$48,MATCH(LARGE(V_Altın!$AC$2:$AC$48,ROW()-3),V_Altın!$AC$2:$AC$48,0))</f>
        <v>0</v>
      </c>
      <c r="Z14" s="8">
        <f>INDEX(V_Altın!Y$2:Y$48,MATCH(LARGE(V_Altın!$AC$2:$AC$48,ROW()-3),V_Altın!$AC$2:$AC$48,0))</f>
        <v>0</v>
      </c>
      <c r="AA14" s="8">
        <f>INDEX(V_Altın!Z$2:Z$48,MATCH(LARGE(V_Altın!$AC$2:$AC$48,ROW()-3),V_Altın!$AC$2:$AC$48,0))</f>
        <v>0</v>
      </c>
      <c r="AB14" s="8">
        <f>INDEX(V_Altın!AA$2:AA$48,MATCH(LARGE(V_Altın!$AC$2:$AC$48,ROW()-3),V_Altın!$AC$2:$AC$48,0))</f>
        <v>6.9900000000000004E-2</v>
      </c>
    </row>
    <row r="15" spans="1:28" x14ac:dyDescent="0.2">
      <c r="A15">
        <v>12</v>
      </c>
      <c r="B15" s="5" t="str">
        <f>INDEX(V_Altın!A$2:A$48,MATCH(LARGE(V_Altın!$AC$2:$AC$48,ROW()-3),V_Altın!$AC$2:$AC$48,0))</f>
        <v>KZU</v>
      </c>
      <c r="C15" s="5" t="str">
        <f>INDEX(V_Altın!B$2:B$48,MATCH(LARGE(V_Altın!$AC$2:$AC$48,ROW()-3),V_Altın!$AC$2:$AC$48,0))</f>
        <v>Kuveyt Türk Portföy İkinci Altın Katılım Fonu</v>
      </c>
      <c r="D15" s="5" t="str">
        <f>INDEX(V_Altın!C$2:C$48,MATCH(LARGE(V_Altın!$AC$2:$AC$48,ROW()-3),V_Altın!$AC$2:$AC$48,0))</f>
        <v>Kuveyt Türk Portföy</v>
      </c>
      <c r="E15" s="8">
        <f>INDEX(V_Altın!D$2:D$48,MATCH(LARGE(V_Altın!$AC$2:$AC$48,ROW()-3),V_Altın!$AC$2:$AC$48,0))</f>
        <v>1.4999999999999999E-2</v>
      </c>
      <c r="F15" s="9">
        <f>INDEX(V_Altın!E$2:E$48,MATCH(LARGE(V_Altın!$AC$2:$AC$48,ROW()-3),V_Altın!$AC$2:$AC$48,0))</f>
        <v>-0.76639258858731685</v>
      </c>
      <c r="G15" s="9">
        <f>INDEX(V_Altın!F$2:F$48,MATCH(LARGE(V_Altın!$AC$2:$AC$48,ROW()-3),V_Altın!$AC$2:$AC$48,0))</f>
        <v>-1.7077885898298839</v>
      </c>
      <c r="H15" s="9">
        <f>INDEX(V_Altın!G$2:G$48,MATCH(LARGE(V_Altın!$AC$2:$AC$48,ROW()-3),V_Altın!$AC$2:$AC$48,0))</f>
        <v>0.78338757258671343</v>
      </c>
      <c r="I15" s="9">
        <f>INDEX(V_Altın!H$2:H$48,MATCH(LARGE(V_Altın!$AC$2:$AC$48,ROW()-3),V_Altın!$AC$2:$AC$48,0))</f>
        <v>-4.1724756548592872</v>
      </c>
      <c r="J15" s="9">
        <f>INDEX(V_Altın!I$2:I$48,MATCH(LARGE(V_Altın!$AC$2:$AC$48,ROW()-3),V_Altın!$AC$2:$AC$48,0))</f>
        <v>35.981236896622534</v>
      </c>
      <c r="K15" s="10">
        <f>INDEX(V_Altın!J$2:J$48,MATCH(LARGE(V_Altın!$AC$2:$AC$48,ROW()-3),V_Altın!$AC$2:$AC$48,0))</f>
        <v>6204</v>
      </c>
      <c r="L15" s="10">
        <f>INDEX(V_Altın!K$2:K$48,MATCH(LARGE(V_Altın!$AC$2:$AC$48,ROW()-3),V_Altın!$AC$2:$AC$48,0))</f>
        <v>6027</v>
      </c>
      <c r="M15" s="8">
        <f>INDEX(V_Altın!L$2:L$48,MATCH(LARGE(V_Altın!$AC$2:$AC$48,ROW()-3),V_Altın!$AC$2:$AC$48,0))</f>
        <v>-2.852998065764023E-2</v>
      </c>
      <c r="N15" s="11">
        <f>INDEX(V_Altın!M$2:M$48,MATCH(LARGE(V_Altın!$AC$2:$AC$48,ROW()-3),V_Altın!$AC$2:$AC$48,0))</f>
        <v>425734454.79000002</v>
      </c>
      <c r="O15" s="11">
        <f>INDEX(V_Altın!N$2:N$48,MATCH(LARGE(V_Altın!$AC$2:$AC$48,ROW()-3),V_Altın!$AC$2:$AC$48,0))</f>
        <v>415818350.08999997</v>
      </c>
      <c r="P15" s="8">
        <f>INDEX(V_Altın!O$2:O$48,MATCH(LARGE(V_Altın!$AC$2:$AC$48,ROW()-3),V_Altın!$AC$2:$AC$48,0))</f>
        <v>-2.32917598950062E-2</v>
      </c>
      <c r="Q15" s="9">
        <f>INDEX(V_Altın!P$2:P$48,MATCH(LARGE(V_Altın!$AC$2:$AC$48,ROW()-3),V_Altın!$AC$2:$AC$48,0))</f>
        <v>1.4375439067610281</v>
      </c>
      <c r="R15" s="5" t="str">
        <f>INDEX(V_Altın!Q$2:Q$48,MATCH(LARGE(V_Altın!$AC$2:$AC$48,ROW()-3),V_Altın!$AC$2:$AC$48,0))</f>
        <v>Görüyor</v>
      </c>
      <c r="S15" s="8">
        <f>INDEX(V_Altın!R$2:R$48,MATCH(LARGE(V_Altın!$AC$2:$AC$48,ROW()-3),V_Altın!$AC$2:$AC$48,0))</f>
        <v>0</v>
      </c>
      <c r="T15" s="8">
        <f>INDEX(V_Altın!S$2:S$48,MATCH(LARGE(V_Altın!$AC$2:$AC$48,ROW()-3),V_Altın!$AC$2:$AC$48,0))</f>
        <v>0</v>
      </c>
      <c r="U15" s="8">
        <f>INDEX(V_Altın!T$2:T$48,MATCH(LARGE(V_Altın!$AC$2:$AC$48,ROW()-3),V_Altın!$AC$2:$AC$48,0))</f>
        <v>0</v>
      </c>
      <c r="V15" s="8">
        <f>INDEX(V_Altın!U$2:U$48,MATCH(LARGE(V_Altın!$AC$2:$AC$48,ROW()-3),V_Altın!$AC$2:$AC$48,0))</f>
        <v>0</v>
      </c>
      <c r="W15" s="8">
        <f>INDEX(V_Altın!V$2:V$48,MATCH(LARGE(V_Altın!$AC$2:$AC$48,ROW()-3),V_Altın!$AC$2:$AC$48,0))</f>
        <v>0</v>
      </c>
      <c r="X15" s="8">
        <f>INDEX(V_Altın!W$2:W$48,MATCH(LARGE(V_Altın!$AC$2:$AC$48,ROW()-3),V_Altın!$AC$2:$AC$48,0))</f>
        <v>2.41E-2</v>
      </c>
      <c r="Y15" s="8">
        <f>INDEX(V_Altın!X$2:X$48,MATCH(LARGE(V_Altın!$AC$2:$AC$48,ROW()-3),V_Altın!$AC$2:$AC$48,0))</f>
        <v>0</v>
      </c>
      <c r="Z15" s="8">
        <f>INDEX(V_Altın!Y$2:Y$48,MATCH(LARGE(V_Altın!$AC$2:$AC$48,ROW()-3),V_Altın!$AC$2:$AC$48,0))</f>
        <v>0</v>
      </c>
      <c r="AA15" s="8">
        <f>INDEX(V_Altın!Z$2:Z$48,MATCH(LARGE(V_Altın!$AC$2:$AC$48,ROW()-3),V_Altın!$AC$2:$AC$48,0))</f>
        <v>0</v>
      </c>
      <c r="AB15" s="8">
        <f>INDEX(V_Altın!AA$2:AA$48,MATCH(LARGE(V_Altın!$AC$2:$AC$48,ROW()-3),V_Altın!$AC$2:$AC$48,0))</f>
        <v>2.41E-2</v>
      </c>
    </row>
    <row r="16" spans="1:28" x14ac:dyDescent="0.2">
      <c r="A16">
        <v>13</v>
      </c>
      <c r="B16" s="5" t="str">
        <f>INDEX(V_Altın!A$2:A$48,MATCH(LARGE(V_Altın!$AC$2:$AC$48,ROW()-3),V_Altın!$AC$2:$AC$48,0))</f>
        <v>LKF</v>
      </c>
      <c r="C16" s="5" t="str">
        <f>INDEX(V_Altın!B$2:B$48,MATCH(LARGE(V_Altın!$AC$2:$AC$48,ROW()-3),V_Altın!$AC$2:$AC$48,0))</f>
        <v>İŞ Portföy Altın Katılım Fonu</v>
      </c>
      <c r="D16" s="5" t="str">
        <f>INDEX(V_Altın!C$2:C$48,MATCH(LARGE(V_Altın!$AC$2:$AC$48,ROW()-3),V_Altın!$AC$2:$AC$48,0))</f>
        <v>İŞ Portföy</v>
      </c>
      <c r="E16" s="8">
        <f>INDEX(V_Altın!D$2:D$48,MATCH(LARGE(V_Altın!$AC$2:$AC$48,ROW()-3),V_Altın!$AC$2:$AC$48,0))</f>
        <v>1.9E-2</v>
      </c>
      <c r="F16" s="9">
        <f>INDEX(V_Altın!E$2:E$48,MATCH(LARGE(V_Altın!$AC$2:$AC$48,ROW()-3),V_Altın!$AC$2:$AC$48,0))</f>
        <v>-0.76851214424157321</v>
      </c>
      <c r="G16" s="9">
        <f>INDEX(V_Altın!F$2:F$48,MATCH(LARGE(V_Altın!$AC$2:$AC$48,ROW()-3),V_Altın!$AC$2:$AC$48,0))</f>
        <v>-1.6585522940950059</v>
      </c>
      <c r="H16" s="9" t="str">
        <f>INDEX(V_Altın!G$2:G$48,MATCH(LARGE(V_Altın!$AC$2:$AC$48,ROW()-3),V_Altın!$AC$2:$AC$48,0))</f>
        <v>-</v>
      </c>
      <c r="I16" s="9" t="str">
        <f>INDEX(V_Altın!H$2:H$48,MATCH(LARGE(V_Altın!$AC$2:$AC$48,ROW()-3),V_Altın!$AC$2:$AC$48,0))</f>
        <v>-</v>
      </c>
      <c r="J16" s="9" t="str">
        <f>INDEX(V_Altın!I$2:I$48,MATCH(LARGE(V_Altın!$AC$2:$AC$48,ROW()-3),V_Altın!$AC$2:$AC$48,0))</f>
        <v>-</v>
      </c>
      <c r="K16" s="10" t="str">
        <f>INDEX(V_Altın!J$2:J$48,MATCH(LARGE(V_Altın!$AC$2:$AC$48,ROW()-3),V_Altın!$AC$2:$AC$48,0))</f>
        <v>-</v>
      </c>
      <c r="L16" s="10">
        <f>INDEX(V_Altın!K$2:K$48,MATCH(LARGE(V_Altın!$AC$2:$AC$48,ROW()-3),V_Altın!$AC$2:$AC$48,0))</f>
        <v>239</v>
      </c>
      <c r="M16" s="8" t="str">
        <f>INDEX(V_Altın!L$2:L$48,MATCH(LARGE(V_Altın!$AC$2:$AC$48,ROW()-3),V_Altın!$AC$2:$AC$48,0))</f>
        <v>-</v>
      </c>
      <c r="N16" s="11" t="str">
        <f>INDEX(V_Altın!M$2:M$48,MATCH(LARGE(V_Altın!$AC$2:$AC$48,ROW()-3),V_Altın!$AC$2:$AC$48,0))</f>
        <v>-</v>
      </c>
      <c r="O16" s="11">
        <f>INDEX(V_Altın!N$2:N$48,MATCH(LARGE(V_Altın!$AC$2:$AC$48,ROW()-3),V_Altın!$AC$2:$AC$48,0))</f>
        <v>71528779.430000007</v>
      </c>
      <c r="P16" s="8" t="str">
        <f>INDEX(V_Altın!O$2:O$48,MATCH(LARGE(V_Altın!$AC$2:$AC$48,ROW()-3),V_Altın!$AC$2:$AC$48,0))</f>
        <v>-</v>
      </c>
      <c r="Q16" s="9">
        <f>INDEX(V_Altın!P$2:P$48,MATCH(LARGE(V_Altın!$AC$2:$AC$48,ROW()-3),V_Altın!$AC$2:$AC$48,0))</f>
        <v>1.173178179340943</v>
      </c>
      <c r="R16" s="5" t="str">
        <f>INDEX(V_Altın!Q$2:Q$48,MATCH(LARGE(V_Altın!$AC$2:$AC$48,ROW()-3),V_Altın!$AC$2:$AC$48,0))</f>
        <v>Görüyor</v>
      </c>
      <c r="S16" s="8">
        <f>INDEX(V_Altın!R$2:R$48,MATCH(LARGE(V_Altın!$AC$2:$AC$48,ROW()-3),V_Altın!$AC$2:$AC$48,0))</f>
        <v>0</v>
      </c>
      <c r="T16" s="8">
        <f>INDEX(V_Altın!S$2:S$48,MATCH(LARGE(V_Altın!$AC$2:$AC$48,ROW()-3),V_Altın!$AC$2:$AC$48,0))</f>
        <v>0</v>
      </c>
      <c r="U16" s="8">
        <f>INDEX(V_Altın!T$2:T$48,MATCH(LARGE(V_Altın!$AC$2:$AC$48,ROW()-3),V_Altın!$AC$2:$AC$48,0))</f>
        <v>0</v>
      </c>
      <c r="V16" s="8">
        <f>INDEX(V_Altın!U$2:U$48,MATCH(LARGE(V_Altın!$AC$2:$AC$48,ROW()-3),V_Altın!$AC$2:$AC$48,0))</f>
        <v>0</v>
      </c>
      <c r="W16" s="8">
        <f>INDEX(V_Altın!V$2:V$48,MATCH(LARGE(V_Altın!$AC$2:$AC$48,ROW()-3),V_Altın!$AC$2:$AC$48,0))</f>
        <v>0</v>
      </c>
      <c r="X16" s="8">
        <f>INDEX(V_Altın!W$2:W$48,MATCH(LARGE(V_Altın!$AC$2:$AC$48,ROW()-3),V_Altın!$AC$2:$AC$48,0))</f>
        <v>0</v>
      </c>
      <c r="Y16" s="8">
        <f>INDEX(V_Altın!X$2:X$48,MATCH(LARGE(V_Altın!$AC$2:$AC$48,ROW()-3),V_Altın!$AC$2:$AC$48,0))</f>
        <v>0</v>
      </c>
      <c r="Z16" s="8">
        <f>INDEX(V_Altın!Y$2:Y$48,MATCH(LARGE(V_Altın!$AC$2:$AC$48,ROW()-3),V_Altın!$AC$2:$AC$48,0))</f>
        <v>0</v>
      </c>
      <c r="AA16" s="8">
        <f>INDEX(V_Altın!Z$2:Z$48,MATCH(LARGE(V_Altın!$AC$2:$AC$48,ROW()-3),V_Altın!$AC$2:$AC$48,0))</f>
        <v>0</v>
      </c>
      <c r="AB16" s="8">
        <f>INDEX(V_Altın!AA$2:AA$48,MATCH(LARGE(V_Altın!$AC$2:$AC$48,ROW()-3),V_Altın!$AC$2:$AC$48,0))</f>
        <v>0</v>
      </c>
    </row>
    <row r="17" spans="1:28" x14ac:dyDescent="0.2">
      <c r="A17">
        <v>14</v>
      </c>
      <c r="B17" s="5" t="str">
        <f>INDEX(V_Altın!A$2:A$48,MATCH(LARGE(V_Altın!$AC$2:$AC$48,ROW()-3),V_Altın!$AC$2:$AC$48,0))</f>
        <v>GOL</v>
      </c>
      <c r="C17" s="5" t="str">
        <f>INDEX(V_Altın!B$2:B$48,MATCH(LARGE(V_Altın!$AC$2:$AC$48,ROW()-3),V_Altın!$AC$2:$AC$48,0))</f>
        <v>Garanti Portföy Altın Katılım Fonu</v>
      </c>
      <c r="D17" s="5" t="str">
        <f>INDEX(V_Altın!C$2:C$48,MATCH(LARGE(V_Altın!$AC$2:$AC$48,ROW()-3),V_Altın!$AC$2:$AC$48,0))</f>
        <v>Garanti Portföy</v>
      </c>
      <c r="E17" s="8">
        <f>INDEX(V_Altın!D$2:D$48,MATCH(LARGE(V_Altın!$AC$2:$AC$48,ROW()-3),V_Altın!$AC$2:$AC$48,0))</f>
        <v>1.95E-2</v>
      </c>
      <c r="F17" s="9">
        <f>INDEX(V_Altın!E$2:E$48,MATCH(LARGE(V_Altın!$AC$2:$AC$48,ROW()-3),V_Altın!$AC$2:$AC$48,0))</f>
        <v>-0.78142885428075237</v>
      </c>
      <c r="G17" s="9">
        <f>INDEX(V_Altın!F$2:F$48,MATCH(LARGE(V_Altın!$AC$2:$AC$48,ROW()-3),V_Altın!$AC$2:$AC$48,0))</f>
        <v>-1.7388833292928949</v>
      </c>
      <c r="H17" s="9">
        <f>INDEX(V_Altın!G$2:G$48,MATCH(LARGE(V_Altın!$AC$2:$AC$48,ROW()-3),V_Altın!$AC$2:$AC$48,0))</f>
        <v>0.49296720745788392</v>
      </c>
      <c r="I17" s="9">
        <f>INDEX(V_Altın!H$2:H$48,MATCH(LARGE(V_Altın!$AC$2:$AC$48,ROW()-3),V_Altın!$AC$2:$AC$48,0))</f>
        <v>-1.923947297200179</v>
      </c>
      <c r="J17" s="9">
        <f>INDEX(V_Altın!I$2:I$48,MATCH(LARGE(V_Altın!$AC$2:$AC$48,ROW()-3),V_Altın!$AC$2:$AC$48,0))</f>
        <v>36.425785923407503</v>
      </c>
      <c r="K17" s="10">
        <f>INDEX(V_Altın!J$2:J$48,MATCH(LARGE(V_Altın!$AC$2:$AC$48,ROW()-3),V_Altın!$AC$2:$AC$48,0))</f>
        <v>12758</v>
      </c>
      <c r="L17" s="10">
        <f>INDEX(V_Altın!K$2:K$48,MATCH(LARGE(V_Altın!$AC$2:$AC$48,ROW()-3),V_Altın!$AC$2:$AC$48,0))</f>
        <v>12276</v>
      </c>
      <c r="M17" s="8">
        <f>INDEX(V_Altın!L$2:L$48,MATCH(LARGE(V_Altın!$AC$2:$AC$48,ROW()-3),V_Altın!$AC$2:$AC$48,0))</f>
        <v>-3.7780216334848737E-2</v>
      </c>
      <c r="N17" s="11">
        <f>INDEX(V_Altın!M$2:M$48,MATCH(LARGE(V_Altın!$AC$2:$AC$48,ROW()-3),V_Altın!$AC$2:$AC$48,0))</f>
        <v>4665592482.1899996</v>
      </c>
      <c r="O17" s="11">
        <f>INDEX(V_Altın!N$2:N$48,MATCH(LARGE(V_Altın!$AC$2:$AC$48,ROW()-3),V_Altın!$AC$2:$AC$48,0))</f>
        <v>4434503448.0299997</v>
      </c>
      <c r="P17" s="8">
        <f>INDEX(V_Altın!O$2:O$48,MATCH(LARGE(V_Altın!$AC$2:$AC$48,ROW()-3),V_Altın!$AC$2:$AC$48,0))</f>
        <v>-4.953047979268177E-2</v>
      </c>
      <c r="Q17" s="9">
        <f>INDEX(V_Altın!P$2:P$48,MATCH(LARGE(V_Altın!$AC$2:$AC$48,ROW()-3),V_Altın!$AC$2:$AC$48,0))</f>
        <v>1.476505271023911</v>
      </c>
      <c r="R17" s="5" t="str">
        <f>INDEX(V_Altın!Q$2:Q$48,MATCH(LARGE(V_Altın!$AC$2:$AC$48,ROW()-3),V_Altın!$AC$2:$AC$48,0))</f>
        <v>Görüyor</v>
      </c>
      <c r="S17" s="8">
        <f>INDEX(V_Altın!R$2:R$48,MATCH(LARGE(V_Altın!$AC$2:$AC$48,ROW()-3),V_Altın!$AC$2:$AC$48,0))</f>
        <v>0</v>
      </c>
      <c r="T17" s="8">
        <f>INDEX(V_Altın!S$2:S$48,MATCH(LARGE(V_Altın!$AC$2:$AC$48,ROW()-3),V_Altın!$AC$2:$AC$48,0))</f>
        <v>0</v>
      </c>
      <c r="U17" s="8">
        <f>INDEX(V_Altın!T$2:T$48,MATCH(LARGE(V_Altın!$AC$2:$AC$48,ROW()-3),V_Altın!$AC$2:$AC$48,0))</f>
        <v>0</v>
      </c>
      <c r="V17" s="8">
        <f>INDEX(V_Altın!U$2:U$48,MATCH(LARGE(V_Altın!$AC$2:$AC$48,ROW()-3),V_Altın!$AC$2:$AC$48,0))</f>
        <v>0</v>
      </c>
      <c r="W17" s="8">
        <f>INDEX(V_Altın!V$2:V$48,MATCH(LARGE(V_Altın!$AC$2:$AC$48,ROW()-3),V_Altın!$AC$2:$AC$48,0))</f>
        <v>0</v>
      </c>
      <c r="X17" s="8">
        <f>INDEX(V_Altın!W$2:W$48,MATCH(LARGE(V_Altın!$AC$2:$AC$48,ROW()-3),V_Altın!$AC$2:$AC$48,0))</f>
        <v>7.6E-3</v>
      </c>
      <c r="Y17" s="8">
        <f>INDEX(V_Altın!X$2:X$48,MATCH(LARGE(V_Altın!$AC$2:$AC$48,ROW()-3),V_Altın!$AC$2:$AC$48,0))</f>
        <v>0</v>
      </c>
      <c r="Z17" s="8">
        <f>INDEX(V_Altın!Y$2:Y$48,MATCH(LARGE(V_Altın!$AC$2:$AC$48,ROW()-3),V_Altın!$AC$2:$AC$48,0))</f>
        <v>0</v>
      </c>
      <c r="AA17" s="8">
        <f>INDEX(V_Altın!Z$2:Z$48,MATCH(LARGE(V_Altın!$AC$2:$AC$48,ROW()-3),V_Altın!$AC$2:$AC$48,0))</f>
        <v>0</v>
      </c>
      <c r="AB17" s="8">
        <f>INDEX(V_Altın!AA$2:AA$48,MATCH(LARGE(V_Altın!$AC$2:$AC$48,ROW()-3),V_Altın!$AC$2:$AC$48,0))</f>
        <v>7.6E-3</v>
      </c>
    </row>
    <row r="18" spans="1:28" x14ac:dyDescent="0.2">
      <c r="A18">
        <v>15</v>
      </c>
      <c r="B18" s="5" t="str">
        <f>INDEX(V_Altın!A$2:A$48,MATCH(LARGE(V_Altın!$AC$2:$AC$48,ROW()-3),V_Altın!$AC$2:$AC$48,0))</f>
        <v>VLT</v>
      </c>
      <c r="C18" s="5" t="str">
        <f>INDEX(V_Altın!B$2:B$48,MATCH(LARGE(V_Altın!$AC$2:$AC$48,ROW()-3),V_Altın!$AC$2:$AC$48,0))</f>
        <v>Vakıf Katılım Portföy Altın Katılım Fonu</v>
      </c>
      <c r="D18" s="5" t="str">
        <f>INDEX(V_Altın!C$2:C$48,MATCH(LARGE(V_Altın!$AC$2:$AC$48,ROW()-3),V_Altın!$AC$2:$AC$48,0))</f>
        <v>Vakıf Katılım Portföy</v>
      </c>
      <c r="E18" s="8">
        <f>INDEX(V_Altın!D$2:D$48,MATCH(LARGE(V_Altın!$AC$2:$AC$48,ROW()-3),V_Altın!$AC$2:$AC$48,0))</f>
        <v>1.4999999999999999E-2</v>
      </c>
      <c r="F18" s="9">
        <f>INDEX(V_Altın!E$2:E$48,MATCH(LARGE(V_Altın!$AC$2:$AC$48,ROW()-3),V_Altın!$AC$2:$AC$48,0))</f>
        <v>-0.78288550139899993</v>
      </c>
      <c r="G18" s="9">
        <f>INDEX(V_Altın!F$2:F$48,MATCH(LARGE(V_Altın!$AC$2:$AC$48,ROW()-3),V_Altın!$AC$2:$AC$48,0))</f>
        <v>-1.700700356610374</v>
      </c>
      <c r="H18" s="9">
        <f>INDEX(V_Altın!G$2:G$48,MATCH(LARGE(V_Altın!$AC$2:$AC$48,ROW()-3),V_Altın!$AC$2:$AC$48,0))</f>
        <v>0.85236800141934577</v>
      </c>
      <c r="I18" s="9" t="str">
        <f>INDEX(V_Altın!H$2:H$48,MATCH(LARGE(V_Altın!$AC$2:$AC$48,ROW()-3),V_Altın!$AC$2:$AC$48,0))</f>
        <v>-</v>
      </c>
      <c r="J18" s="9" t="str">
        <f>INDEX(V_Altın!I$2:I$48,MATCH(LARGE(V_Altın!$AC$2:$AC$48,ROW()-3),V_Altın!$AC$2:$AC$48,0))</f>
        <v>-</v>
      </c>
      <c r="K18" s="10">
        <f>INDEX(V_Altın!J$2:J$48,MATCH(LARGE(V_Altın!$AC$2:$AC$48,ROW()-3),V_Altın!$AC$2:$AC$48,0))</f>
        <v>128</v>
      </c>
      <c r="L18" s="10">
        <f>INDEX(V_Altın!K$2:K$48,MATCH(LARGE(V_Altın!$AC$2:$AC$48,ROW()-3),V_Altın!$AC$2:$AC$48,0))</f>
        <v>321</v>
      </c>
      <c r="M18" s="8">
        <f>INDEX(V_Altın!L$2:L$48,MATCH(LARGE(V_Altın!$AC$2:$AC$48,ROW()-3),V_Altın!$AC$2:$AC$48,0))</f>
        <v>1.5078125</v>
      </c>
      <c r="N18" s="11">
        <f>INDEX(V_Altın!M$2:M$48,MATCH(LARGE(V_Altın!$AC$2:$AC$48,ROW()-3),V_Altın!$AC$2:$AC$48,0))</f>
        <v>38701797.079999998</v>
      </c>
      <c r="O18" s="11">
        <f>INDEX(V_Altın!N$2:N$48,MATCH(LARGE(V_Altın!$AC$2:$AC$48,ROW()-3),V_Altın!$AC$2:$AC$48,0))</f>
        <v>52257260.689999998</v>
      </c>
      <c r="P18" s="8">
        <f>INDEX(V_Altın!O$2:O$48,MATCH(LARGE(V_Altın!$AC$2:$AC$48,ROW()-3),V_Altın!$AC$2:$AC$48,0))</f>
        <v>0.35025411305784249</v>
      </c>
      <c r="Q18" s="9">
        <f>INDEX(V_Altın!P$2:P$48,MATCH(LARGE(V_Altın!$AC$2:$AC$48,ROW()-3),V_Altın!$AC$2:$AC$48,0))</f>
        <v>1.406530681078521</v>
      </c>
      <c r="R18" s="5" t="str">
        <f>INDEX(V_Altın!Q$2:Q$48,MATCH(LARGE(V_Altın!$AC$2:$AC$48,ROW()-3),V_Altın!$AC$2:$AC$48,0))</f>
        <v>Görüyor</v>
      </c>
      <c r="S18" s="8">
        <f>INDEX(V_Altın!R$2:R$48,MATCH(LARGE(V_Altın!$AC$2:$AC$48,ROW()-3),V_Altın!$AC$2:$AC$48,0))</f>
        <v>0</v>
      </c>
      <c r="T18" s="8">
        <f>INDEX(V_Altın!S$2:S$48,MATCH(LARGE(V_Altın!$AC$2:$AC$48,ROW()-3),V_Altın!$AC$2:$AC$48,0))</f>
        <v>0</v>
      </c>
      <c r="U18" s="8">
        <f>INDEX(V_Altın!T$2:T$48,MATCH(LARGE(V_Altın!$AC$2:$AC$48,ROW()-3),V_Altın!$AC$2:$AC$48,0))</f>
        <v>0</v>
      </c>
      <c r="V18" s="8">
        <f>INDEX(V_Altın!U$2:U$48,MATCH(LARGE(V_Altın!$AC$2:$AC$48,ROW()-3),V_Altın!$AC$2:$AC$48,0))</f>
        <v>1.2999999999999999E-2</v>
      </c>
      <c r="W18" s="8">
        <f>INDEX(V_Altın!V$2:V$48,MATCH(LARGE(V_Altın!$AC$2:$AC$48,ROW()-3),V_Altın!$AC$2:$AC$48,0))</f>
        <v>0</v>
      </c>
      <c r="X18" s="8">
        <f>INDEX(V_Altın!W$2:W$48,MATCH(LARGE(V_Altın!$AC$2:$AC$48,ROW()-3),V_Altın!$AC$2:$AC$48,0))</f>
        <v>0</v>
      </c>
      <c r="Y18" s="8">
        <f>INDEX(V_Altın!X$2:X$48,MATCH(LARGE(V_Altın!$AC$2:$AC$48,ROW()-3),V_Altın!$AC$2:$AC$48,0))</f>
        <v>0</v>
      </c>
      <c r="Z18" s="8">
        <f>INDEX(V_Altın!Y$2:Y$48,MATCH(LARGE(V_Altın!$AC$2:$AC$48,ROW()-3),V_Altın!$AC$2:$AC$48,0))</f>
        <v>0</v>
      </c>
      <c r="AA18" s="8">
        <f>INDEX(V_Altın!Z$2:Z$48,MATCH(LARGE(V_Altın!$AC$2:$AC$48,ROW()-3),V_Altın!$AC$2:$AC$48,0))</f>
        <v>0</v>
      </c>
      <c r="AB18" s="8">
        <f>INDEX(V_Altın!AA$2:AA$48,MATCH(LARGE(V_Altın!$AC$2:$AC$48,ROW()-3),V_Altın!$AC$2:$AC$48,0))</f>
        <v>1.2999999999999999E-2</v>
      </c>
    </row>
    <row r="19" spans="1:28" x14ac:dyDescent="0.2">
      <c r="A19">
        <v>16</v>
      </c>
      <c r="B19" s="5" t="str">
        <f>INDEX(V_Altın!A$2:A$48,MATCH(LARGE(V_Altın!$AC$2:$AC$48,ROW()-3),V_Altın!$AC$2:$AC$48,0))</f>
        <v>ICA</v>
      </c>
      <c r="C19" s="5" t="str">
        <f>INDEX(V_Altın!B$2:B$48,MATCH(LARGE(V_Altın!$AC$2:$AC$48,ROW()-3),V_Altın!$AC$2:$AC$48,0))</f>
        <v>Icbc Turkey Portföy Altın Fonu</v>
      </c>
      <c r="D19" s="5" t="str">
        <f>INDEX(V_Altın!C$2:C$48,MATCH(LARGE(V_Altın!$AC$2:$AC$48,ROW()-3),V_Altın!$AC$2:$AC$48,0))</f>
        <v>Icbc Turkey Portföy</v>
      </c>
      <c r="E19" s="8">
        <f>INDEX(V_Altın!D$2:D$48,MATCH(LARGE(V_Altın!$AC$2:$AC$48,ROW()-3),V_Altın!$AC$2:$AC$48,0))</f>
        <v>1.7500000000000002E-2</v>
      </c>
      <c r="F19" s="9">
        <f>INDEX(V_Altın!E$2:E$48,MATCH(LARGE(V_Altın!$AC$2:$AC$48,ROW()-3),V_Altın!$AC$2:$AC$48,0))</f>
        <v>-0.78357944756075604</v>
      </c>
      <c r="G19" s="9">
        <f>INDEX(V_Altın!F$2:F$48,MATCH(LARGE(V_Altın!$AC$2:$AC$48,ROW()-3),V_Altın!$AC$2:$AC$48,0))</f>
        <v>-1.7241312132039279</v>
      </c>
      <c r="H19" s="9">
        <f>INDEX(V_Altın!G$2:G$48,MATCH(LARGE(V_Altın!$AC$2:$AC$48,ROW()-3),V_Altın!$AC$2:$AC$48,0))</f>
        <v>0.55334518693339607</v>
      </c>
      <c r="I19" s="9">
        <f>INDEX(V_Altın!H$2:H$48,MATCH(LARGE(V_Altın!$AC$2:$AC$48,ROW()-3),V_Altın!$AC$2:$AC$48,0))</f>
        <v>-2.2741582088800389</v>
      </c>
      <c r="J19" s="9">
        <f>INDEX(V_Altın!I$2:I$48,MATCH(LARGE(V_Altın!$AC$2:$AC$48,ROW()-3),V_Altın!$AC$2:$AC$48,0))</f>
        <v>36.044962486313302</v>
      </c>
      <c r="K19" s="10">
        <f>INDEX(V_Altın!J$2:J$48,MATCH(LARGE(V_Altın!$AC$2:$AC$48,ROW()-3),V_Altın!$AC$2:$AC$48,0))</f>
        <v>3301</v>
      </c>
      <c r="L19" s="10">
        <f>INDEX(V_Altın!K$2:K$48,MATCH(LARGE(V_Altın!$AC$2:$AC$48,ROW()-3),V_Altın!$AC$2:$AC$48,0))</f>
        <v>3095</v>
      </c>
      <c r="M19" s="8">
        <f>INDEX(V_Altın!L$2:L$48,MATCH(LARGE(V_Altın!$AC$2:$AC$48,ROW()-3),V_Altın!$AC$2:$AC$48,0))</f>
        <v>-6.2405331717661272E-2</v>
      </c>
      <c r="N19" s="11">
        <f>INDEX(V_Altın!M$2:M$48,MATCH(LARGE(V_Altın!$AC$2:$AC$48,ROW()-3),V_Altın!$AC$2:$AC$48,0))</f>
        <v>634278432.33000004</v>
      </c>
      <c r="O19" s="11">
        <f>INDEX(V_Altın!N$2:N$48,MATCH(LARGE(V_Altın!$AC$2:$AC$48,ROW()-3),V_Altın!$AC$2:$AC$48,0))</f>
        <v>587051125.16999996</v>
      </c>
      <c r="P19" s="8">
        <f>INDEX(V_Altın!O$2:O$48,MATCH(LARGE(V_Altın!$AC$2:$AC$48,ROW()-3),V_Altın!$AC$2:$AC$48,0))</f>
        <v>-7.4458321066526278E-2</v>
      </c>
      <c r="Q19" s="9">
        <f>INDEX(V_Altın!P$2:P$48,MATCH(LARGE(V_Altın!$AC$2:$AC$48,ROW()-3),V_Altın!$AC$2:$AC$48,0))</f>
        <v>1.4583498595675</v>
      </c>
      <c r="R19" s="5" t="str">
        <f>INDEX(V_Altın!Q$2:Q$48,MATCH(LARGE(V_Altın!$AC$2:$AC$48,ROW()-3),V_Altın!$AC$2:$AC$48,0))</f>
        <v>Görüyor</v>
      </c>
      <c r="S19" s="8">
        <f>INDEX(V_Altın!R$2:R$48,MATCH(LARGE(V_Altın!$AC$2:$AC$48,ROW()-3),V_Altın!$AC$2:$AC$48,0))</f>
        <v>0</v>
      </c>
      <c r="T19" s="8">
        <f>INDEX(V_Altın!S$2:S$48,MATCH(LARGE(V_Altın!$AC$2:$AC$48,ROW()-3),V_Altın!$AC$2:$AC$48,0))</f>
        <v>3.0999999999999999E-3</v>
      </c>
      <c r="U19" s="8">
        <f>INDEX(V_Altın!T$2:T$48,MATCH(LARGE(V_Altın!$AC$2:$AC$48,ROW()-3),V_Altın!$AC$2:$AC$48,0))</f>
        <v>8.5000000000000006E-3</v>
      </c>
      <c r="V19" s="8">
        <f>INDEX(V_Altın!U$2:U$48,MATCH(LARGE(V_Altın!$AC$2:$AC$48,ROW()-3),V_Altın!$AC$2:$AC$48,0))</f>
        <v>0</v>
      </c>
      <c r="W19" s="8">
        <f>INDEX(V_Altın!V$2:V$48,MATCH(LARGE(V_Altın!$AC$2:$AC$48,ROW()-3),V_Altın!$AC$2:$AC$48,0))</f>
        <v>8.0000000000000004E-4</v>
      </c>
      <c r="X19" s="8">
        <f>INDEX(V_Altın!W$2:W$48,MATCH(LARGE(V_Altın!$AC$2:$AC$48,ROW()-3),V_Altın!$AC$2:$AC$48,0))</f>
        <v>0</v>
      </c>
      <c r="Y19" s="8">
        <f>INDEX(V_Altın!X$2:X$48,MATCH(LARGE(V_Altın!$AC$2:$AC$48,ROW()-3),V_Altın!$AC$2:$AC$48,0))</f>
        <v>0</v>
      </c>
      <c r="Z19" s="8">
        <f>INDEX(V_Altın!Y$2:Y$48,MATCH(LARGE(V_Altın!$AC$2:$AC$48,ROW()-3),V_Altın!$AC$2:$AC$48,0))</f>
        <v>0</v>
      </c>
      <c r="AA19" s="8">
        <f>INDEX(V_Altın!Z$2:Z$48,MATCH(LARGE(V_Altın!$AC$2:$AC$48,ROW()-3),V_Altın!$AC$2:$AC$48,0))</f>
        <v>0</v>
      </c>
      <c r="AB19" s="8">
        <f>INDEX(V_Altın!AA$2:AA$48,MATCH(LARGE(V_Altın!$AC$2:$AC$48,ROW()-3),V_Altın!$AC$2:$AC$48,0))</f>
        <v>1.24E-2</v>
      </c>
    </row>
    <row r="20" spans="1:28" x14ac:dyDescent="0.2">
      <c r="A20">
        <v>17</v>
      </c>
      <c r="B20" s="5" t="str">
        <f>INDEX(V_Altın!A$2:A$48,MATCH(LARGE(V_Altın!$AC$2:$AC$48,ROW()-3),V_Altın!$AC$2:$AC$48,0))</f>
        <v>KAN</v>
      </c>
      <c r="C20" s="5" t="str">
        <f>INDEX(V_Altın!B$2:B$48,MATCH(LARGE(V_Altın!$AC$2:$AC$48,ROW()-3),V_Altın!$AC$2:$AC$48,0))</f>
        <v>Kuveyt Türk Portföy Altın Katılım Serbest Fon</v>
      </c>
      <c r="D20" s="5" t="str">
        <f>INDEX(V_Altın!C$2:C$48,MATCH(LARGE(V_Altın!$AC$2:$AC$48,ROW()-3),V_Altın!$AC$2:$AC$48,0))</f>
        <v>Kuveyt Türk Portföy</v>
      </c>
      <c r="E20" s="8">
        <f>INDEX(V_Altın!D$2:D$48,MATCH(LARGE(V_Altın!$AC$2:$AC$48,ROW()-3),V_Altın!$AC$2:$AC$48,0))</f>
        <v>3.0000000000000001E-3</v>
      </c>
      <c r="F20" s="9">
        <f>INDEX(V_Altın!E$2:E$48,MATCH(LARGE(V_Altın!$AC$2:$AC$48,ROW()-3),V_Altın!$AC$2:$AC$48,0))</f>
        <v>-0.78865750644006027</v>
      </c>
      <c r="G20" s="9">
        <f>INDEX(V_Altın!F$2:F$48,MATCH(LARGE(V_Altın!$AC$2:$AC$48,ROW()-3),V_Altın!$AC$2:$AC$48,0))</f>
        <v>-1.691619559809487</v>
      </c>
      <c r="H20" s="9">
        <f>INDEX(V_Altın!G$2:G$48,MATCH(LARGE(V_Altın!$AC$2:$AC$48,ROW()-3),V_Altın!$AC$2:$AC$48,0))</f>
        <v>0.84851593128789649</v>
      </c>
      <c r="I20" s="9">
        <f>INDEX(V_Altın!H$2:H$48,MATCH(LARGE(V_Altın!$AC$2:$AC$48,ROW()-3),V_Altın!$AC$2:$AC$48,0))</f>
        <v>0.91870729385614691</v>
      </c>
      <c r="J20" s="9">
        <f>INDEX(V_Altın!I$2:I$48,MATCH(LARGE(V_Altın!$AC$2:$AC$48,ROW()-3),V_Altın!$AC$2:$AC$48,0))</f>
        <v>45.938263939914982</v>
      </c>
      <c r="K20" s="10">
        <f>INDEX(V_Altın!J$2:J$48,MATCH(LARGE(V_Altın!$AC$2:$AC$48,ROW()-3),V_Altın!$AC$2:$AC$48,0))</f>
        <v>40</v>
      </c>
      <c r="L20" s="10">
        <f>INDEX(V_Altın!K$2:K$48,MATCH(LARGE(V_Altın!$AC$2:$AC$48,ROW()-3),V_Altın!$AC$2:$AC$48,0))</f>
        <v>38</v>
      </c>
      <c r="M20" s="8">
        <f>INDEX(V_Altın!L$2:L$48,MATCH(LARGE(V_Altın!$AC$2:$AC$48,ROW()-3),V_Altın!$AC$2:$AC$48,0))</f>
        <v>-5.0000000000000037E-2</v>
      </c>
      <c r="N20" s="11">
        <f>INDEX(V_Altın!M$2:M$48,MATCH(LARGE(V_Altın!$AC$2:$AC$48,ROW()-3),V_Altın!$AC$2:$AC$48,0))</f>
        <v>5162041621.7200003</v>
      </c>
      <c r="O20" s="11">
        <f>INDEX(V_Altın!N$2:N$48,MATCH(LARGE(V_Altın!$AC$2:$AC$48,ROW()-3),V_Altın!$AC$2:$AC$48,0))</f>
        <v>4988813224.6099997</v>
      </c>
      <c r="P20" s="8">
        <f>INDEX(V_Altın!O$2:O$48,MATCH(LARGE(V_Altın!$AC$2:$AC$48,ROW()-3),V_Altın!$AC$2:$AC$48,0))</f>
        <v>-3.3558117079319549E-2</v>
      </c>
      <c r="Q20" s="9">
        <f>INDEX(V_Altın!P$2:P$48,MATCH(LARGE(V_Altın!$AC$2:$AC$48,ROW()-3),V_Altın!$AC$2:$AC$48,0))</f>
        <v>1.533978257861015</v>
      </c>
      <c r="R20" s="5" t="str">
        <f>INDEX(V_Altın!Q$2:Q$48,MATCH(LARGE(V_Altın!$AC$2:$AC$48,ROW()-3),V_Altın!$AC$2:$AC$48,0))</f>
        <v>Görmüyor</v>
      </c>
      <c r="S20" s="8">
        <f>INDEX(V_Altın!R$2:R$48,MATCH(LARGE(V_Altın!$AC$2:$AC$48,ROW()-3),V_Altın!$AC$2:$AC$48,0))</f>
        <v>0</v>
      </c>
      <c r="T20" s="8">
        <f>INDEX(V_Altın!S$2:S$48,MATCH(LARGE(V_Altın!$AC$2:$AC$48,ROW()-3),V_Altın!$AC$2:$AC$48,0))</f>
        <v>0</v>
      </c>
      <c r="U20" s="8">
        <f>INDEX(V_Altın!T$2:T$48,MATCH(LARGE(V_Altın!$AC$2:$AC$48,ROW()-3),V_Altın!$AC$2:$AC$48,0))</f>
        <v>0</v>
      </c>
      <c r="V20" s="8">
        <f>INDEX(V_Altın!U$2:U$48,MATCH(LARGE(V_Altın!$AC$2:$AC$48,ROW()-3),V_Altın!$AC$2:$AC$48,0))</f>
        <v>0</v>
      </c>
      <c r="W20" s="8">
        <f>INDEX(V_Altın!V$2:V$48,MATCH(LARGE(V_Altın!$AC$2:$AC$48,ROW()-3),V_Altın!$AC$2:$AC$48,0))</f>
        <v>0</v>
      </c>
      <c r="X20" s="8">
        <f>INDEX(V_Altın!W$2:W$48,MATCH(LARGE(V_Altın!$AC$2:$AC$48,ROW()-3),V_Altın!$AC$2:$AC$48,0))</f>
        <v>7.000000000000001E-4</v>
      </c>
      <c r="Y20" s="8">
        <f>INDEX(V_Altın!X$2:X$48,MATCH(LARGE(V_Altın!$AC$2:$AC$48,ROW()-3),V_Altın!$AC$2:$AC$48,0))</f>
        <v>0</v>
      </c>
      <c r="Z20" s="8">
        <f>INDEX(V_Altın!Y$2:Y$48,MATCH(LARGE(V_Altın!$AC$2:$AC$48,ROW()-3),V_Altın!$AC$2:$AC$48,0))</f>
        <v>0</v>
      </c>
      <c r="AA20" s="8">
        <f>INDEX(V_Altın!Z$2:Z$48,MATCH(LARGE(V_Altın!$AC$2:$AC$48,ROW()-3),V_Altın!$AC$2:$AC$48,0))</f>
        <v>0</v>
      </c>
      <c r="AB20" s="8">
        <f>INDEX(V_Altın!AA$2:AA$48,MATCH(LARGE(V_Altın!$AC$2:$AC$48,ROW()-3),V_Altın!$AC$2:$AC$48,0))</f>
        <v>7.000000000000001E-4</v>
      </c>
    </row>
    <row r="21" spans="1:28" x14ac:dyDescent="0.2">
      <c r="A21">
        <v>18</v>
      </c>
      <c r="B21" s="5" t="str">
        <f>INDEX(V_Altın!A$2:A$48,MATCH(LARGE(V_Altın!$AC$2:$AC$48,ROW()-3),V_Altın!$AC$2:$AC$48,0))</f>
        <v>UP1</v>
      </c>
      <c r="C21" s="5" t="str">
        <f>INDEX(V_Altın!B$2:B$48,MATCH(LARGE(V_Altın!$AC$2:$AC$48,ROW()-3),V_Altın!$AC$2:$AC$48,0))</f>
        <v>Ünlü Portföy Altın Fonu</v>
      </c>
      <c r="D21" s="5" t="str">
        <f>INDEX(V_Altın!C$2:C$48,MATCH(LARGE(V_Altın!$AC$2:$AC$48,ROW()-3),V_Altın!$AC$2:$AC$48,0))</f>
        <v>Ünlü Portföy</v>
      </c>
      <c r="E21" s="8">
        <f>INDEX(V_Altın!D$2:D$48,MATCH(LARGE(V_Altın!$AC$2:$AC$48,ROW()-3),V_Altın!$AC$2:$AC$48,0))</f>
        <v>1.7999999999999999E-2</v>
      </c>
      <c r="F21" s="9">
        <f>INDEX(V_Altın!E$2:E$48,MATCH(LARGE(V_Altın!$AC$2:$AC$48,ROW()-3),V_Altın!$AC$2:$AC$48,0))</f>
        <v>-0.79080112223983701</v>
      </c>
      <c r="G21" s="9">
        <f>INDEX(V_Altın!F$2:F$48,MATCH(LARGE(V_Altın!$AC$2:$AC$48,ROW()-3),V_Altın!$AC$2:$AC$48,0))</f>
        <v>-1.450933627131223</v>
      </c>
      <c r="H21" s="9">
        <f>INDEX(V_Altın!G$2:G$48,MATCH(LARGE(V_Altın!$AC$2:$AC$48,ROW()-3),V_Altın!$AC$2:$AC$48,0))</f>
        <v>0.74388208388205257</v>
      </c>
      <c r="I21" s="9">
        <f>INDEX(V_Altın!H$2:H$48,MATCH(LARGE(V_Altın!$AC$2:$AC$48,ROW()-3),V_Altın!$AC$2:$AC$48,0))</f>
        <v>-0.37599159180200509</v>
      </c>
      <c r="J21" s="9">
        <f>INDEX(V_Altın!I$2:I$48,MATCH(LARGE(V_Altın!$AC$2:$AC$48,ROW()-3),V_Altın!$AC$2:$AC$48,0))</f>
        <v>44.365603263465843</v>
      </c>
      <c r="K21" s="10">
        <f>INDEX(V_Altın!J$2:J$48,MATCH(LARGE(V_Altın!$AC$2:$AC$48,ROW()-3),V_Altın!$AC$2:$AC$48,0))</f>
        <v>1557</v>
      </c>
      <c r="L21" s="10">
        <f>INDEX(V_Altın!K$2:K$48,MATCH(LARGE(V_Altın!$AC$2:$AC$48,ROW()-3),V_Altın!$AC$2:$AC$48,0))</f>
        <v>1513</v>
      </c>
      <c r="M21" s="8">
        <f>INDEX(V_Altın!L$2:L$48,MATCH(LARGE(V_Altın!$AC$2:$AC$48,ROW()-3),V_Altın!$AC$2:$AC$48,0))</f>
        <v>-2.825947334617851E-2</v>
      </c>
      <c r="N21" s="11">
        <f>INDEX(V_Altın!M$2:M$48,MATCH(LARGE(V_Altın!$AC$2:$AC$48,ROW()-3),V_Altın!$AC$2:$AC$48,0))</f>
        <v>1148171844.46</v>
      </c>
      <c r="O21" s="11">
        <f>INDEX(V_Altın!N$2:N$48,MATCH(LARGE(V_Altın!$AC$2:$AC$48,ROW()-3),V_Altın!$AC$2:$AC$48,0))</f>
        <v>1206121994.8</v>
      </c>
      <c r="P21" s="8">
        <f>INDEX(V_Altın!O$2:O$48,MATCH(LARGE(V_Altın!$AC$2:$AC$48,ROW()-3),V_Altın!$AC$2:$AC$48,0))</f>
        <v>5.047166991562535E-2</v>
      </c>
      <c r="Q21" s="9">
        <f>INDEX(V_Altın!P$2:P$48,MATCH(LARGE(V_Altın!$AC$2:$AC$48,ROW()-3),V_Altın!$AC$2:$AC$48,0))</f>
        <v>1.1980653083999611</v>
      </c>
      <c r="R21" s="5" t="str">
        <f>INDEX(V_Altın!Q$2:Q$48,MATCH(LARGE(V_Altın!$AC$2:$AC$48,ROW()-3),V_Altın!$AC$2:$AC$48,0))</f>
        <v>Görüyor</v>
      </c>
      <c r="S21" s="8">
        <f>INDEX(V_Altın!R$2:R$48,MATCH(LARGE(V_Altın!$AC$2:$AC$48,ROW()-3),V_Altın!$AC$2:$AC$48,0))</f>
        <v>0</v>
      </c>
      <c r="T21" s="8">
        <f>INDEX(V_Altın!S$2:S$48,MATCH(LARGE(V_Altın!$AC$2:$AC$48,ROW()-3),V_Altın!$AC$2:$AC$48,0))</f>
        <v>0</v>
      </c>
      <c r="U21" s="8">
        <f>INDEX(V_Altın!T$2:T$48,MATCH(LARGE(V_Altın!$AC$2:$AC$48,ROW()-3),V_Altın!$AC$2:$AC$48,0))</f>
        <v>0.14330000000000001</v>
      </c>
      <c r="V21" s="8">
        <f>INDEX(V_Altın!U$2:U$48,MATCH(LARGE(V_Altın!$AC$2:$AC$48,ROW()-3),V_Altın!$AC$2:$AC$48,0))</f>
        <v>4.2299999999999997E-2</v>
      </c>
      <c r="W21" s="8">
        <f>INDEX(V_Altın!V$2:V$48,MATCH(LARGE(V_Altın!$AC$2:$AC$48,ROW()-3),V_Altın!$AC$2:$AC$48,0))</f>
        <v>5.0000000000000001E-4</v>
      </c>
      <c r="X21" s="8">
        <f>INDEX(V_Altın!W$2:W$48,MATCH(LARGE(V_Altın!$AC$2:$AC$48,ROW()-3),V_Altın!$AC$2:$AC$48,0))</f>
        <v>8.929999999999999E-2</v>
      </c>
      <c r="Y21" s="8">
        <f>INDEX(V_Altın!X$2:X$48,MATCH(LARGE(V_Altın!$AC$2:$AC$48,ROW()-3),V_Altın!$AC$2:$AC$48,0))</f>
        <v>0</v>
      </c>
      <c r="Z21" s="8">
        <f>INDEX(V_Altın!Y$2:Y$48,MATCH(LARGE(V_Altın!$AC$2:$AC$48,ROW()-3),V_Altın!$AC$2:$AC$48,0))</f>
        <v>0</v>
      </c>
      <c r="AA21" s="8">
        <f>INDEX(V_Altın!Z$2:Z$48,MATCH(LARGE(V_Altın!$AC$2:$AC$48,ROW()-3),V_Altın!$AC$2:$AC$48,0))</f>
        <v>0</v>
      </c>
      <c r="AB21" s="8">
        <f>INDEX(V_Altın!AA$2:AA$48,MATCH(LARGE(V_Altın!$AC$2:$AC$48,ROW()-3),V_Altın!$AC$2:$AC$48,0))</f>
        <v>0.27539999999999998</v>
      </c>
    </row>
    <row r="22" spans="1:28" x14ac:dyDescent="0.2">
      <c r="A22">
        <v>19</v>
      </c>
      <c r="B22" s="5" t="str">
        <f>INDEX(V_Altın!A$2:A$48,MATCH(LARGE(V_Altın!$AC$2:$AC$48,ROW()-3),V_Altın!$AC$2:$AC$48,0))</f>
        <v>YKT</v>
      </c>
      <c r="C22" s="5" t="str">
        <f>INDEX(V_Altın!B$2:B$48,MATCH(LARGE(V_Altın!$AC$2:$AC$48,ROW()-3),V_Altın!$AC$2:$AC$48,0))</f>
        <v>Yapı Kredi Portföy Altın Fonu</v>
      </c>
      <c r="D22" s="5" t="str">
        <f>INDEX(V_Altın!C$2:C$48,MATCH(LARGE(V_Altın!$AC$2:$AC$48,ROW()-3),V_Altın!$AC$2:$AC$48,0))</f>
        <v>Yapı Kredi Portföy</v>
      </c>
      <c r="E22" s="8">
        <f>INDEX(V_Altın!D$2:D$48,MATCH(LARGE(V_Altın!$AC$2:$AC$48,ROW()-3),V_Altın!$AC$2:$AC$48,0))</f>
        <v>2.0074999999999999E-2</v>
      </c>
      <c r="F22" s="9">
        <f>INDEX(V_Altın!E$2:E$48,MATCH(LARGE(V_Altın!$AC$2:$AC$48,ROW()-3),V_Altın!$AC$2:$AC$48,0))</f>
        <v>-0.79462283083462371</v>
      </c>
      <c r="G22" s="9">
        <f>INDEX(V_Altın!F$2:F$48,MATCH(LARGE(V_Altın!$AC$2:$AC$48,ROW()-3),V_Altın!$AC$2:$AC$48,0))</f>
        <v>-1.80493023833258</v>
      </c>
      <c r="H22" s="9">
        <f>INDEX(V_Altın!G$2:G$48,MATCH(LARGE(V_Altın!$AC$2:$AC$48,ROW()-3),V_Altın!$AC$2:$AC$48,0))</f>
        <v>0.44060432138344208</v>
      </c>
      <c r="I22" s="9">
        <f>INDEX(V_Altın!H$2:H$48,MATCH(LARGE(V_Altın!$AC$2:$AC$48,ROW()-3),V_Altın!$AC$2:$AC$48,0))</f>
        <v>-0.50183578906863868</v>
      </c>
      <c r="J22" s="9">
        <f>INDEX(V_Altın!I$2:I$48,MATCH(LARGE(V_Altın!$AC$2:$AC$48,ROW()-3),V_Altın!$AC$2:$AC$48,0))</f>
        <v>36.90201648415983</v>
      </c>
      <c r="K22" s="10">
        <f>INDEX(V_Altın!J$2:J$48,MATCH(LARGE(V_Altın!$AC$2:$AC$48,ROW()-3),V_Altın!$AC$2:$AC$48,0))</f>
        <v>90817</v>
      </c>
      <c r="L22" s="10">
        <f>INDEX(V_Altın!K$2:K$48,MATCH(LARGE(V_Altın!$AC$2:$AC$48,ROW()-3),V_Altın!$AC$2:$AC$48,0))</f>
        <v>88717</v>
      </c>
      <c r="M22" s="8">
        <f>INDEX(V_Altın!L$2:L$48,MATCH(LARGE(V_Altın!$AC$2:$AC$48,ROW()-3),V_Altın!$AC$2:$AC$48,0))</f>
        <v>-2.3123424028540951E-2</v>
      </c>
      <c r="N22" s="11">
        <f>INDEX(V_Altın!M$2:M$48,MATCH(LARGE(V_Altın!$AC$2:$AC$48,ROW()-3),V_Altın!$AC$2:$AC$48,0))</f>
        <v>31282503815.16</v>
      </c>
      <c r="O22" s="11">
        <f>INDEX(V_Altın!N$2:N$48,MATCH(LARGE(V_Altın!$AC$2:$AC$48,ROW()-3),V_Altın!$AC$2:$AC$48,0))</f>
        <v>31002970572.919998</v>
      </c>
      <c r="P22" s="8">
        <f>INDEX(V_Altın!O$2:O$48,MATCH(LARGE(V_Altın!$AC$2:$AC$48,ROW()-3),V_Altın!$AC$2:$AC$48,0))</f>
        <v>-8.9357694605166627E-3</v>
      </c>
      <c r="Q22" s="9">
        <f>INDEX(V_Altın!P$2:P$48,MATCH(LARGE(V_Altın!$AC$2:$AC$48,ROW()-3),V_Altın!$AC$2:$AC$48,0))</f>
        <v>1.4667521035985129</v>
      </c>
      <c r="R22" s="5" t="str">
        <f>INDEX(V_Altın!Q$2:Q$48,MATCH(LARGE(V_Altın!$AC$2:$AC$48,ROW()-3),V_Altın!$AC$2:$AC$48,0))</f>
        <v>Görüyor</v>
      </c>
      <c r="S22" s="8">
        <f>INDEX(V_Altın!R$2:R$48,MATCH(LARGE(V_Altın!$AC$2:$AC$48,ROW()-3),V_Altın!$AC$2:$AC$48,0))</f>
        <v>0</v>
      </c>
      <c r="T22" s="8">
        <f>INDEX(V_Altın!S$2:S$48,MATCH(LARGE(V_Altın!$AC$2:$AC$48,ROW()-3),V_Altın!$AC$2:$AC$48,0))</f>
        <v>1.9800000000000002E-2</v>
      </c>
      <c r="U22" s="8">
        <f>INDEX(V_Altın!T$2:T$48,MATCH(LARGE(V_Altın!$AC$2:$AC$48,ROW()-3),V_Altın!$AC$2:$AC$48,0))</f>
        <v>0</v>
      </c>
      <c r="V22" s="8">
        <f>INDEX(V_Altın!U$2:U$48,MATCH(LARGE(V_Altın!$AC$2:$AC$48,ROW()-3),V_Altın!$AC$2:$AC$48,0))</f>
        <v>0</v>
      </c>
      <c r="W22" s="8">
        <f>INDEX(V_Altın!V$2:V$48,MATCH(LARGE(V_Altın!$AC$2:$AC$48,ROW()-3),V_Altın!$AC$2:$AC$48,0))</f>
        <v>0</v>
      </c>
      <c r="X22" s="8">
        <f>INDEX(V_Altın!W$2:W$48,MATCH(LARGE(V_Altın!$AC$2:$AC$48,ROW()-3),V_Altın!$AC$2:$AC$48,0))</f>
        <v>4.3400000000000001E-2</v>
      </c>
      <c r="Y22" s="8">
        <f>INDEX(V_Altın!X$2:X$48,MATCH(LARGE(V_Altın!$AC$2:$AC$48,ROW()-3),V_Altın!$AC$2:$AC$48,0))</f>
        <v>0</v>
      </c>
      <c r="Z22" s="8">
        <f>INDEX(V_Altın!Y$2:Y$48,MATCH(LARGE(V_Altın!$AC$2:$AC$48,ROW()-3),V_Altın!$AC$2:$AC$48,0))</f>
        <v>0</v>
      </c>
      <c r="AA22" s="8">
        <f>INDEX(V_Altın!Z$2:Z$48,MATCH(LARGE(V_Altın!$AC$2:$AC$48,ROW()-3),V_Altın!$AC$2:$AC$48,0))</f>
        <v>0</v>
      </c>
      <c r="AB22" s="8">
        <f>INDEX(V_Altın!AA$2:AA$48,MATCH(LARGE(V_Altın!$AC$2:$AC$48,ROW()-3),V_Altın!$AC$2:$AC$48,0))</f>
        <v>6.3200000000000006E-2</v>
      </c>
    </row>
    <row r="23" spans="1:28" x14ac:dyDescent="0.2">
      <c r="A23">
        <v>20</v>
      </c>
      <c r="B23" s="5" t="str">
        <f>INDEX(V_Altın!A$2:A$48,MATCH(LARGE(V_Altın!$AC$2:$AC$48,ROW()-3),V_Altın!$AC$2:$AC$48,0))</f>
        <v>KZL</v>
      </c>
      <c r="C23" s="5" t="str">
        <f>INDEX(V_Altın!B$2:B$48,MATCH(LARGE(V_Altın!$AC$2:$AC$48,ROW()-3),V_Altın!$AC$2:$AC$48,0))</f>
        <v>Kuveyt Türk Portföy Altın Katılım Fonu</v>
      </c>
      <c r="D23" s="5" t="str">
        <f>INDEX(V_Altın!C$2:C$48,MATCH(LARGE(V_Altın!$AC$2:$AC$48,ROW()-3),V_Altın!$AC$2:$AC$48,0))</f>
        <v>Kuveyt Türk Portföy</v>
      </c>
      <c r="E23" s="8">
        <f>INDEX(V_Altın!D$2:D$48,MATCH(LARGE(V_Altın!$AC$2:$AC$48,ROW()-3),V_Altın!$AC$2:$AC$48,0))</f>
        <v>3.0000000000000001E-3</v>
      </c>
      <c r="F23" s="9">
        <f>INDEX(V_Altın!E$2:E$48,MATCH(LARGE(V_Altın!$AC$2:$AC$48,ROW()-3),V_Altın!$AC$2:$AC$48,0))</f>
        <v>-0.7950682590139091</v>
      </c>
      <c r="G23" s="9">
        <f>INDEX(V_Altın!F$2:F$48,MATCH(LARGE(V_Altın!$AC$2:$AC$48,ROW()-3),V_Altın!$AC$2:$AC$48,0))</f>
        <v>-1.7219895197846391</v>
      </c>
      <c r="H23" s="9">
        <f>INDEX(V_Altın!G$2:G$48,MATCH(LARGE(V_Altın!$AC$2:$AC$48,ROW()-3),V_Altın!$AC$2:$AC$48,0))</f>
        <v>0.71333092505416751</v>
      </c>
      <c r="I23" s="9">
        <f>INDEX(V_Altın!H$2:H$48,MATCH(LARGE(V_Altın!$AC$2:$AC$48,ROW()-3),V_Altın!$AC$2:$AC$48,0))</f>
        <v>-5.7467052535076217E-2</v>
      </c>
      <c r="J23" s="9">
        <f>INDEX(V_Altın!I$2:I$48,MATCH(LARGE(V_Altın!$AC$2:$AC$48,ROW()-3),V_Altın!$AC$2:$AC$48,0))</f>
        <v>43.61065990043906</v>
      </c>
      <c r="K23" s="10">
        <f>INDEX(V_Altın!J$2:J$48,MATCH(LARGE(V_Altın!$AC$2:$AC$48,ROW()-3),V_Altın!$AC$2:$AC$48,0))</f>
        <v>67201</v>
      </c>
      <c r="L23" s="10">
        <f>INDEX(V_Altın!K$2:K$48,MATCH(LARGE(V_Altın!$AC$2:$AC$48,ROW()-3),V_Altın!$AC$2:$AC$48,0))</f>
        <v>66132</v>
      </c>
      <c r="M23" s="8">
        <f>INDEX(V_Altın!L$2:L$48,MATCH(LARGE(V_Altın!$AC$2:$AC$48,ROW()-3),V_Altın!$AC$2:$AC$48,0))</f>
        <v>-1.590750137646757E-2</v>
      </c>
      <c r="N23" s="11">
        <f>INDEX(V_Altın!M$2:M$48,MATCH(LARGE(V_Altın!$AC$2:$AC$48,ROW()-3),V_Altın!$AC$2:$AC$48,0))</f>
        <v>82211865482.869995</v>
      </c>
      <c r="O23" s="11">
        <f>INDEX(V_Altın!N$2:N$48,MATCH(LARGE(V_Altın!$AC$2:$AC$48,ROW()-3),V_Altın!$AC$2:$AC$48,0))</f>
        <v>85446644201.139999</v>
      </c>
      <c r="P23" s="8">
        <f>INDEX(V_Altın!O$2:O$48,MATCH(LARGE(V_Altın!$AC$2:$AC$48,ROW()-3),V_Altın!$AC$2:$AC$48,0))</f>
        <v>3.9346859474244773E-2</v>
      </c>
      <c r="Q23" s="9">
        <f>INDEX(V_Altın!P$2:P$48,MATCH(LARGE(V_Altın!$AC$2:$AC$48,ROW()-3),V_Altın!$AC$2:$AC$48,0))</f>
        <v>1.5341793461885811</v>
      </c>
      <c r="R23" s="5" t="str">
        <f>INDEX(V_Altın!Q$2:Q$48,MATCH(LARGE(V_Altın!$AC$2:$AC$48,ROW()-3),V_Altın!$AC$2:$AC$48,0))</f>
        <v>Görüyor</v>
      </c>
      <c r="S23" s="8">
        <f>INDEX(V_Altın!R$2:R$48,MATCH(LARGE(V_Altın!$AC$2:$AC$48,ROW()-3),V_Altın!$AC$2:$AC$48,0))</f>
        <v>0</v>
      </c>
      <c r="T23" s="8">
        <f>INDEX(V_Altın!S$2:S$48,MATCH(LARGE(V_Altın!$AC$2:$AC$48,ROW()-3),V_Altın!$AC$2:$AC$48,0))</f>
        <v>0</v>
      </c>
      <c r="U23" s="8">
        <f>INDEX(V_Altın!T$2:T$48,MATCH(LARGE(V_Altın!$AC$2:$AC$48,ROW()-3),V_Altın!$AC$2:$AC$48,0))</f>
        <v>0</v>
      </c>
      <c r="V23" s="8">
        <f>INDEX(V_Altın!U$2:U$48,MATCH(LARGE(V_Altın!$AC$2:$AC$48,ROW()-3),V_Altın!$AC$2:$AC$48,0))</f>
        <v>0</v>
      </c>
      <c r="W23" s="8">
        <f>INDEX(V_Altın!V$2:V$48,MATCH(LARGE(V_Altın!$AC$2:$AC$48,ROW()-3),V_Altın!$AC$2:$AC$48,0))</f>
        <v>0</v>
      </c>
      <c r="X23" s="8">
        <f>INDEX(V_Altın!W$2:W$48,MATCH(LARGE(V_Altın!$AC$2:$AC$48,ROW()-3),V_Altın!$AC$2:$AC$48,0))</f>
        <v>5.9999999999999995E-4</v>
      </c>
      <c r="Y23" s="8">
        <f>INDEX(V_Altın!X$2:X$48,MATCH(LARGE(V_Altın!$AC$2:$AC$48,ROW()-3),V_Altın!$AC$2:$AC$48,0))</f>
        <v>0</v>
      </c>
      <c r="Z23" s="8">
        <f>INDEX(V_Altın!Y$2:Y$48,MATCH(LARGE(V_Altın!$AC$2:$AC$48,ROW()-3),V_Altın!$AC$2:$AC$48,0))</f>
        <v>0</v>
      </c>
      <c r="AA23" s="8">
        <f>INDEX(V_Altın!Z$2:Z$48,MATCH(LARGE(V_Altın!$AC$2:$AC$48,ROW()-3),V_Altın!$AC$2:$AC$48,0))</f>
        <v>0</v>
      </c>
      <c r="AB23" s="8">
        <f>INDEX(V_Altın!AA$2:AA$48,MATCH(LARGE(V_Altın!$AC$2:$AC$48,ROW()-3),V_Altın!$AC$2:$AC$48,0))</f>
        <v>5.9999999999999995E-4</v>
      </c>
    </row>
    <row r="24" spans="1:28" x14ac:dyDescent="0.2">
      <c r="A24">
        <v>21</v>
      </c>
      <c r="B24" s="5" t="str">
        <f>INDEX(V_Altın!A$2:A$48,MATCH(LARGE(V_Altın!$AC$2:$AC$48,ROW()-3),V_Altın!$AC$2:$AC$48,0))</f>
        <v>TTA</v>
      </c>
      <c r="C24" s="5" t="str">
        <f>INDEX(V_Altın!B$2:B$48,MATCH(LARGE(V_Altın!$AC$2:$AC$48,ROW()-3),V_Altın!$AC$2:$AC$48,0))</f>
        <v>İŞ Portföy Altın Fonu</v>
      </c>
      <c r="D24" s="5" t="str">
        <f>INDEX(V_Altın!C$2:C$48,MATCH(LARGE(V_Altın!$AC$2:$AC$48,ROW()-3),V_Altın!$AC$2:$AC$48,0))</f>
        <v>İŞ Portföy</v>
      </c>
      <c r="E24" s="8">
        <f>INDEX(V_Altın!D$2:D$48,MATCH(LARGE(V_Altın!$AC$2:$AC$48,ROW()-3),V_Altın!$AC$2:$AC$48,0))</f>
        <v>1.9E-2</v>
      </c>
      <c r="F24" s="9">
        <f>INDEX(V_Altın!E$2:E$48,MATCH(LARGE(V_Altın!$AC$2:$AC$48,ROW()-3),V_Altın!$AC$2:$AC$48,0))</f>
        <v>-0.8175296626954931</v>
      </c>
      <c r="G24" s="9">
        <f>INDEX(V_Altın!F$2:F$48,MATCH(LARGE(V_Altın!$AC$2:$AC$48,ROW()-3),V_Altın!$AC$2:$AC$48,0))</f>
        <v>-1.6076193744905429</v>
      </c>
      <c r="H24" s="9">
        <f>INDEX(V_Altın!G$2:G$48,MATCH(LARGE(V_Altın!$AC$2:$AC$48,ROW()-3),V_Altın!$AC$2:$AC$48,0))</f>
        <v>0.7744076379160969</v>
      </c>
      <c r="I24" s="9">
        <f>INDEX(V_Altın!H$2:H$48,MATCH(LARGE(V_Altın!$AC$2:$AC$48,ROW()-3),V_Altın!$AC$2:$AC$48,0))</f>
        <v>-6.4455282536439951</v>
      </c>
      <c r="J24" s="9">
        <f>INDEX(V_Altın!I$2:I$48,MATCH(LARGE(V_Altın!$AC$2:$AC$48,ROW()-3),V_Altın!$AC$2:$AC$48,0))</f>
        <v>32.690198147659594</v>
      </c>
      <c r="K24" s="10">
        <f>INDEX(V_Altın!J$2:J$48,MATCH(LARGE(V_Altın!$AC$2:$AC$48,ROW()-3),V_Altın!$AC$2:$AC$48,0))</f>
        <v>219447</v>
      </c>
      <c r="L24" s="10">
        <f>INDEX(V_Altın!K$2:K$48,MATCH(LARGE(V_Altın!$AC$2:$AC$48,ROW()-3),V_Altın!$AC$2:$AC$48,0))</f>
        <v>222059</v>
      </c>
      <c r="M24" s="8">
        <f>INDEX(V_Altın!L$2:L$48,MATCH(LARGE(V_Altın!$AC$2:$AC$48,ROW()-3),V_Altın!$AC$2:$AC$48,0))</f>
        <v>1.1902646197031521E-2</v>
      </c>
      <c r="N24" s="11">
        <f>INDEX(V_Altın!M$2:M$48,MATCH(LARGE(V_Altın!$AC$2:$AC$48,ROW()-3),V_Altın!$AC$2:$AC$48,0))</f>
        <v>25456977330.200001</v>
      </c>
      <c r="O24" s="11">
        <f>INDEX(V_Altın!N$2:N$48,MATCH(LARGE(V_Altın!$AC$2:$AC$48,ROW()-3),V_Altın!$AC$2:$AC$48,0))</f>
        <v>25119577958.869999</v>
      </c>
      <c r="P24" s="8">
        <f>INDEX(V_Altın!O$2:O$48,MATCH(LARGE(V_Altın!$AC$2:$AC$48,ROW()-3),V_Altın!$AC$2:$AC$48,0))</f>
        <v>-1.32537090697622E-2</v>
      </c>
      <c r="Q24" s="9">
        <f>INDEX(V_Altın!P$2:P$48,MATCH(LARGE(V_Altın!$AC$2:$AC$48,ROW()-3),V_Altın!$AC$2:$AC$48,0))</f>
        <v>1.393953990914736</v>
      </c>
      <c r="R24" s="5" t="str">
        <f>INDEX(V_Altın!Q$2:Q$48,MATCH(LARGE(V_Altın!$AC$2:$AC$48,ROW()-3),V_Altın!$AC$2:$AC$48,0))</f>
        <v>Görüyor</v>
      </c>
      <c r="S24" s="8">
        <f>INDEX(V_Altın!R$2:R$48,MATCH(LARGE(V_Altın!$AC$2:$AC$48,ROW()-3),V_Altın!$AC$2:$AC$48,0))</f>
        <v>0</v>
      </c>
      <c r="T24" s="8">
        <f>INDEX(V_Altın!S$2:S$48,MATCH(LARGE(V_Altın!$AC$2:$AC$48,ROW()-3),V_Altın!$AC$2:$AC$48,0))</f>
        <v>2.6599999999999999E-2</v>
      </c>
      <c r="U24" s="8">
        <f>INDEX(V_Altın!T$2:T$48,MATCH(LARGE(V_Altın!$AC$2:$AC$48,ROW()-3),V_Altın!$AC$2:$AC$48,0))</f>
        <v>5.9999999999999995E-4</v>
      </c>
      <c r="V24" s="8">
        <f>INDEX(V_Altın!U$2:U$48,MATCH(LARGE(V_Altın!$AC$2:$AC$48,ROW()-3),V_Altın!$AC$2:$AC$48,0))</f>
        <v>0</v>
      </c>
      <c r="W24" s="8">
        <f>INDEX(V_Altın!V$2:V$48,MATCH(LARGE(V_Altın!$AC$2:$AC$48,ROW()-3),V_Altın!$AC$2:$AC$48,0))</f>
        <v>0</v>
      </c>
      <c r="X24" s="8">
        <f>INDEX(V_Altın!W$2:W$48,MATCH(LARGE(V_Altın!$AC$2:$AC$48,ROW()-3),V_Altın!$AC$2:$AC$48,0))</f>
        <v>7.3700000000000002E-2</v>
      </c>
      <c r="Y24" s="8">
        <f>INDEX(V_Altın!X$2:X$48,MATCH(LARGE(V_Altın!$AC$2:$AC$48,ROW()-3),V_Altın!$AC$2:$AC$48,0))</f>
        <v>0</v>
      </c>
      <c r="Z24" s="8">
        <f>INDEX(V_Altın!Y$2:Y$48,MATCH(LARGE(V_Altın!$AC$2:$AC$48,ROW()-3),V_Altın!$AC$2:$AC$48,0))</f>
        <v>0</v>
      </c>
      <c r="AA24" s="8">
        <f>INDEX(V_Altın!Z$2:Z$48,MATCH(LARGE(V_Altın!$AC$2:$AC$48,ROW()-3),V_Altın!$AC$2:$AC$48,0))</f>
        <v>0</v>
      </c>
      <c r="AB24" s="8">
        <f>INDEX(V_Altın!AA$2:AA$48,MATCH(LARGE(V_Altın!$AC$2:$AC$48,ROW()-3),V_Altın!$AC$2:$AC$48,0))</f>
        <v>0.1009</v>
      </c>
    </row>
    <row r="25" spans="1:28" x14ac:dyDescent="0.2">
      <c r="A25">
        <v>22</v>
      </c>
      <c r="B25" s="5" t="str">
        <f>INDEX(V_Altın!A$2:A$48,MATCH(LARGE(V_Altın!$AC$2:$AC$48,ROW()-3),V_Altın!$AC$2:$AC$48,0))</f>
        <v>RJG</v>
      </c>
      <c r="C25" s="5" t="str">
        <f>INDEX(V_Altın!B$2:B$48,MATCH(LARGE(V_Altın!$AC$2:$AC$48,ROW()-3),V_Altın!$AC$2:$AC$48,0))</f>
        <v>Re-pıe Portföy Altın Katılım Fonu</v>
      </c>
      <c r="D25" s="5" t="str">
        <f>INDEX(V_Altın!C$2:C$48,MATCH(LARGE(V_Altın!$AC$2:$AC$48,ROW()-3),V_Altın!$AC$2:$AC$48,0))</f>
        <v>Re-pıe Portföy</v>
      </c>
      <c r="E25" s="8">
        <f>INDEX(V_Altın!D$2:D$48,MATCH(LARGE(V_Altın!$AC$2:$AC$48,ROW()-3),V_Altın!$AC$2:$AC$48,0))</f>
        <v>9.4999999999999998E-3</v>
      </c>
      <c r="F25" s="9">
        <f>INDEX(V_Altın!E$2:E$48,MATCH(LARGE(V_Altın!$AC$2:$AC$48,ROW()-3),V_Altın!$AC$2:$AC$48,0))</f>
        <v>-0.84857109334722791</v>
      </c>
      <c r="G25" s="9">
        <f>INDEX(V_Altın!F$2:F$48,MATCH(LARGE(V_Altın!$AC$2:$AC$48,ROW()-3),V_Altın!$AC$2:$AC$48,0))</f>
        <v>-1.7168585009642361</v>
      </c>
      <c r="H25" s="9">
        <f>INDEX(V_Altın!G$2:G$48,MATCH(LARGE(V_Altın!$AC$2:$AC$48,ROW()-3),V_Altın!$AC$2:$AC$48,0))</f>
        <v>0.68849905672372369</v>
      </c>
      <c r="I25" s="9">
        <f>INDEX(V_Altın!H$2:H$48,MATCH(LARGE(V_Altın!$AC$2:$AC$48,ROW()-3),V_Altın!$AC$2:$AC$48,0))</f>
        <v>-3.7532816252800689</v>
      </c>
      <c r="J25" s="9">
        <f>INDEX(V_Altın!I$2:I$48,MATCH(LARGE(V_Altın!$AC$2:$AC$48,ROW()-3),V_Altın!$AC$2:$AC$48,0))</f>
        <v>38.851204171000099</v>
      </c>
      <c r="K25" s="10">
        <f>INDEX(V_Altın!J$2:J$48,MATCH(LARGE(V_Altın!$AC$2:$AC$48,ROW()-3),V_Altın!$AC$2:$AC$48,0))</f>
        <v>588</v>
      </c>
      <c r="L25" s="10">
        <f>INDEX(V_Altın!K$2:K$48,MATCH(LARGE(V_Altın!$AC$2:$AC$48,ROW()-3),V_Altın!$AC$2:$AC$48,0))</f>
        <v>576</v>
      </c>
      <c r="M25" s="8">
        <f>INDEX(V_Altın!L$2:L$48,MATCH(LARGE(V_Altın!$AC$2:$AC$48,ROW()-3),V_Altın!$AC$2:$AC$48,0))</f>
        <v>-2.0408163265306149E-2</v>
      </c>
      <c r="N25" s="11">
        <f>INDEX(V_Altın!M$2:M$48,MATCH(LARGE(V_Altın!$AC$2:$AC$48,ROW()-3),V_Altın!$AC$2:$AC$48,0))</f>
        <v>105135183.79000001</v>
      </c>
      <c r="O25" s="11">
        <f>INDEX(V_Altın!N$2:N$48,MATCH(LARGE(V_Altın!$AC$2:$AC$48,ROW()-3),V_Altın!$AC$2:$AC$48,0))</f>
        <v>93707728.620000005</v>
      </c>
      <c r="P25" s="8">
        <f>INDEX(V_Altın!O$2:O$48,MATCH(LARGE(V_Altın!$AC$2:$AC$48,ROW()-3),V_Altın!$AC$2:$AC$48,0))</f>
        <v>-0.108692968025105</v>
      </c>
      <c r="Q25" s="9">
        <f>INDEX(V_Altın!P$2:P$48,MATCH(LARGE(V_Altın!$AC$2:$AC$48,ROW()-3),V_Altın!$AC$2:$AC$48,0))</f>
        <v>1.429392865780162</v>
      </c>
      <c r="R25" s="5" t="str">
        <f>INDEX(V_Altın!Q$2:Q$48,MATCH(LARGE(V_Altın!$AC$2:$AC$48,ROW()-3),V_Altın!$AC$2:$AC$48,0))</f>
        <v>Görüyor</v>
      </c>
      <c r="S25" s="8">
        <f>INDEX(V_Altın!R$2:R$48,MATCH(LARGE(V_Altın!$AC$2:$AC$48,ROW()-3),V_Altın!$AC$2:$AC$48,0))</f>
        <v>0</v>
      </c>
      <c r="T25" s="8">
        <f>INDEX(V_Altın!S$2:S$48,MATCH(LARGE(V_Altın!$AC$2:$AC$48,ROW()-3),V_Altın!$AC$2:$AC$48,0))</f>
        <v>0</v>
      </c>
      <c r="U25" s="8">
        <f>INDEX(V_Altın!T$2:T$48,MATCH(LARGE(V_Altın!$AC$2:$AC$48,ROW()-3),V_Altın!$AC$2:$AC$48,0))</f>
        <v>0</v>
      </c>
      <c r="V25" s="8">
        <f>INDEX(V_Altın!U$2:U$48,MATCH(LARGE(V_Altın!$AC$2:$AC$48,ROW()-3),V_Altın!$AC$2:$AC$48,0))</f>
        <v>0</v>
      </c>
      <c r="W25" s="8">
        <f>INDEX(V_Altın!V$2:V$48,MATCH(LARGE(V_Altın!$AC$2:$AC$48,ROW()-3),V_Altın!$AC$2:$AC$48,0))</f>
        <v>0</v>
      </c>
      <c r="X25" s="8">
        <f>INDEX(V_Altın!W$2:W$48,MATCH(LARGE(V_Altın!$AC$2:$AC$48,ROW()-3),V_Altın!$AC$2:$AC$48,0))</f>
        <v>2.76E-2</v>
      </c>
      <c r="Y25" s="8">
        <f>INDEX(V_Altın!X$2:X$48,MATCH(LARGE(V_Altın!$AC$2:$AC$48,ROW()-3),V_Altın!$AC$2:$AC$48,0))</f>
        <v>0</v>
      </c>
      <c r="Z25" s="8">
        <f>INDEX(V_Altın!Y$2:Y$48,MATCH(LARGE(V_Altın!$AC$2:$AC$48,ROW()-3),V_Altın!$AC$2:$AC$48,0))</f>
        <v>0</v>
      </c>
      <c r="AA25" s="8">
        <f>INDEX(V_Altın!Z$2:Z$48,MATCH(LARGE(V_Altın!$AC$2:$AC$48,ROW()-3),V_Altın!$AC$2:$AC$48,0))</f>
        <v>0</v>
      </c>
      <c r="AB25" s="8">
        <f>INDEX(V_Altın!AA$2:AA$48,MATCH(LARGE(V_Altın!$AC$2:$AC$48,ROW()-3),V_Altın!$AC$2:$AC$48,0))</f>
        <v>2.76E-2</v>
      </c>
    </row>
    <row r="26" spans="1:28" x14ac:dyDescent="0.2">
      <c r="A26">
        <v>23</v>
      </c>
      <c r="B26" s="5" t="str">
        <f>INDEX(V_Altın!A$2:A$48,MATCH(LARGE(V_Altın!$AC$2:$AC$48,ROW()-3),V_Altın!$AC$2:$AC$48,0))</f>
        <v>KMF</v>
      </c>
      <c r="C26" s="5" t="str">
        <f>INDEX(V_Altın!B$2:B$48,MATCH(LARGE(V_Altın!$AC$2:$AC$48,ROW()-3),V_Altın!$AC$2:$AC$48,0))</f>
        <v>Azimut Portföy Altın Katılım Fonu</v>
      </c>
      <c r="D26" s="5" t="str">
        <f>INDEX(V_Altın!C$2:C$48,MATCH(LARGE(V_Altın!$AC$2:$AC$48,ROW()-3),V_Altın!$AC$2:$AC$48,0))</f>
        <v>Azimut Portföy</v>
      </c>
      <c r="E26" s="8">
        <f>INDEX(V_Altın!D$2:D$48,MATCH(LARGE(V_Altın!$AC$2:$AC$48,ROW()-3),V_Altın!$AC$2:$AC$48,0))</f>
        <v>1.6905E-2</v>
      </c>
      <c r="F26" s="9">
        <f>INDEX(V_Altın!E$2:E$48,MATCH(LARGE(V_Altın!$AC$2:$AC$48,ROW()-3),V_Altın!$AC$2:$AC$48,0))</f>
        <v>-0.85082368066734526</v>
      </c>
      <c r="G26" s="9">
        <f>INDEX(V_Altın!F$2:F$48,MATCH(LARGE(V_Altın!$AC$2:$AC$48,ROW()-3),V_Altın!$AC$2:$AC$48,0))</f>
        <v>-1.6570422907219551</v>
      </c>
      <c r="H26" s="9">
        <f>INDEX(V_Altın!G$2:G$48,MATCH(LARGE(V_Altın!$AC$2:$AC$48,ROW()-3),V_Altın!$AC$2:$AC$48,0))</f>
        <v>1.130975438041748E-2</v>
      </c>
      <c r="I26" s="9">
        <f>INDEX(V_Altın!H$2:H$48,MATCH(LARGE(V_Altın!$AC$2:$AC$48,ROW()-3),V_Altın!$AC$2:$AC$48,0))</f>
        <v>2.4645939126731959</v>
      </c>
      <c r="J26" s="9">
        <f>INDEX(V_Altın!I$2:I$48,MATCH(LARGE(V_Altın!$AC$2:$AC$48,ROW()-3),V_Altın!$AC$2:$AC$48,0))</f>
        <v>41.882620983071433</v>
      </c>
      <c r="K26" s="10">
        <f>INDEX(V_Altın!J$2:J$48,MATCH(LARGE(V_Altın!$AC$2:$AC$48,ROW()-3),V_Altın!$AC$2:$AC$48,0))</f>
        <v>2481</v>
      </c>
      <c r="L26" s="10">
        <f>INDEX(V_Altın!K$2:K$48,MATCH(LARGE(V_Altın!$AC$2:$AC$48,ROW()-3),V_Altın!$AC$2:$AC$48,0))</f>
        <v>2321</v>
      </c>
      <c r="M26" s="8">
        <f>INDEX(V_Altın!L$2:L$48,MATCH(LARGE(V_Altın!$AC$2:$AC$48,ROW()-3),V_Altın!$AC$2:$AC$48,0))</f>
        <v>-6.4490124949617145E-2</v>
      </c>
      <c r="N26" s="11">
        <f>INDEX(V_Altın!M$2:M$48,MATCH(LARGE(V_Altın!$AC$2:$AC$48,ROW()-3),V_Altın!$AC$2:$AC$48,0))</f>
        <v>1629352004.77</v>
      </c>
      <c r="O26" s="11">
        <f>INDEX(V_Altın!N$2:N$48,MATCH(LARGE(V_Altın!$AC$2:$AC$48,ROW()-3),V_Altın!$AC$2:$AC$48,0))</f>
        <v>1405271974.2</v>
      </c>
      <c r="P26" s="8">
        <f>INDEX(V_Altın!O$2:O$48,MATCH(LARGE(V_Altın!$AC$2:$AC$48,ROW()-3),V_Altın!$AC$2:$AC$48,0))</f>
        <v>-0.1375270843341376</v>
      </c>
      <c r="Q26" s="9">
        <f>INDEX(V_Altın!P$2:P$48,MATCH(LARGE(V_Altın!$AC$2:$AC$48,ROW()-3),V_Altın!$AC$2:$AC$48,0))</f>
        <v>1.1865798023950049</v>
      </c>
      <c r="R26" s="5" t="str">
        <f>INDEX(V_Altın!Q$2:Q$48,MATCH(LARGE(V_Altın!$AC$2:$AC$48,ROW()-3),V_Altın!$AC$2:$AC$48,0))</f>
        <v>Görüyor</v>
      </c>
      <c r="S26" s="8">
        <f>INDEX(V_Altın!R$2:R$48,MATCH(LARGE(V_Altın!$AC$2:$AC$48,ROW()-3),V_Altın!$AC$2:$AC$48,0))</f>
        <v>0</v>
      </c>
      <c r="T26" s="8">
        <f>INDEX(V_Altın!S$2:S$48,MATCH(LARGE(V_Altın!$AC$2:$AC$48,ROW()-3),V_Altın!$AC$2:$AC$48,0))</f>
        <v>0</v>
      </c>
      <c r="U26" s="8">
        <f>INDEX(V_Altın!T$2:T$48,MATCH(LARGE(V_Altın!$AC$2:$AC$48,ROW()-3),V_Altın!$AC$2:$AC$48,0))</f>
        <v>0</v>
      </c>
      <c r="V26" s="8">
        <f>INDEX(V_Altın!U$2:U$48,MATCH(LARGE(V_Altın!$AC$2:$AC$48,ROW()-3),V_Altın!$AC$2:$AC$48,0))</f>
        <v>7.3800000000000004E-2</v>
      </c>
      <c r="W26" s="8">
        <f>INDEX(V_Altın!V$2:V$48,MATCH(LARGE(V_Altın!$AC$2:$AC$48,ROW()-3),V_Altın!$AC$2:$AC$48,0))</f>
        <v>0</v>
      </c>
      <c r="X26" s="8">
        <f>INDEX(V_Altın!W$2:W$48,MATCH(LARGE(V_Altın!$AC$2:$AC$48,ROW()-3),V_Altın!$AC$2:$AC$48,0))</f>
        <v>9.5000000000000001E-2</v>
      </c>
      <c r="Y26" s="8">
        <f>INDEX(V_Altın!X$2:X$48,MATCH(LARGE(V_Altın!$AC$2:$AC$48,ROW()-3),V_Altın!$AC$2:$AC$48,0))</f>
        <v>0</v>
      </c>
      <c r="Z26" s="8">
        <f>INDEX(V_Altın!Y$2:Y$48,MATCH(LARGE(V_Altın!$AC$2:$AC$48,ROW()-3),V_Altın!$AC$2:$AC$48,0))</f>
        <v>0</v>
      </c>
      <c r="AA26" s="8">
        <f>INDEX(V_Altın!Z$2:Z$48,MATCH(LARGE(V_Altın!$AC$2:$AC$48,ROW()-3),V_Altın!$AC$2:$AC$48,0))</f>
        <v>0</v>
      </c>
      <c r="AB26" s="8">
        <f>INDEX(V_Altın!AA$2:AA$48,MATCH(LARGE(V_Altın!$AC$2:$AC$48,ROW()-3),V_Altın!$AC$2:$AC$48,0))</f>
        <v>0.16880000000000001</v>
      </c>
    </row>
    <row r="27" spans="1:28" x14ac:dyDescent="0.2">
      <c r="A27">
        <v>24</v>
      </c>
      <c r="B27" s="5" t="str">
        <f>INDEX(V_Altın!A$2:A$48,MATCH(LARGE(V_Altın!$AC$2:$AC$48,ROW()-3),V_Altın!$AC$2:$AC$48,0))</f>
        <v>OJK</v>
      </c>
      <c r="C27" s="5" t="str">
        <f>INDEX(V_Altın!B$2:B$48,MATCH(LARGE(V_Altın!$AC$2:$AC$48,ROW()-3),V_Altın!$AC$2:$AC$48,0))</f>
        <v>Qnb Portföy Altın Fonu</v>
      </c>
      <c r="D27" s="5" t="str">
        <f>INDEX(V_Altın!C$2:C$48,MATCH(LARGE(V_Altın!$AC$2:$AC$48,ROW()-3),V_Altın!$AC$2:$AC$48,0))</f>
        <v>Qnb Portföy</v>
      </c>
      <c r="E27" s="8">
        <f>INDEX(V_Altın!D$2:D$48,MATCH(LARGE(V_Altın!$AC$2:$AC$48,ROW()-3),V_Altın!$AC$2:$AC$48,0))</f>
        <v>1.8499999999999999E-2</v>
      </c>
      <c r="F27" s="9">
        <f>INDEX(V_Altın!E$2:E$48,MATCH(LARGE(V_Altın!$AC$2:$AC$48,ROW()-3),V_Altın!$AC$2:$AC$48,0))</f>
        <v>-0.8527023054783478</v>
      </c>
      <c r="G27" s="9">
        <f>INDEX(V_Altın!F$2:F$48,MATCH(LARGE(V_Altın!$AC$2:$AC$48,ROW()-3),V_Altın!$AC$2:$AC$48,0))</f>
        <v>-1.723373342662782</v>
      </c>
      <c r="H27" s="9">
        <f>INDEX(V_Altın!G$2:G$48,MATCH(LARGE(V_Altın!$AC$2:$AC$48,ROW()-3),V_Altın!$AC$2:$AC$48,0))</f>
        <v>0.83242261873668344</v>
      </c>
      <c r="I27" s="9">
        <f>INDEX(V_Altın!H$2:H$48,MATCH(LARGE(V_Altın!$AC$2:$AC$48,ROW()-3),V_Altın!$AC$2:$AC$48,0))</f>
        <v>1.3852363977203459</v>
      </c>
      <c r="J27" s="9">
        <f>INDEX(V_Altın!I$2:I$48,MATCH(LARGE(V_Altın!$AC$2:$AC$48,ROW()-3),V_Altın!$AC$2:$AC$48,0))</f>
        <v>43.07550692289395</v>
      </c>
      <c r="K27" s="10">
        <f>INDEX(V_Altın!J$2:J$48,MATCH(LARGE(V_Altın!$AC$2:$AC$48,ROW()-3),V_Altın!$AC$2:$AC$48,0))</f>
        <v>29349</v>
      </c>
      <c r="L27" s="10">
        <f>INDEX(V_Altın!K$2:K$48,MATCH(LARGE(V_Altın!$AC$2:$AC$48,ROW()-3),V_Altın!$AC$2:$AC$48,0))</f>
        <v>28529</v>
      </c>
      <c r="M27" s="8">
        <f>INDEX(V_Altın!L$2:L$48,MATCH(LARGE(V_Altın!$AC$2:$AC$48,ROW()-3),V_Altın!$AC$2:$AC$48,0))</f>
        <v>-2.7939623155814549E-2</v>
      </c>
      <c r="N27" s="11">
        <f>INDEX(V_Altın!M$2:M$48,MATCH(LARGE(V_Altın!$AC$2:$AC$48,ROW()-3),V_Altın!$AC$2:$AC$48,0))</f>
        <v>44780006805.410004</v>
      </c>
      <c r="O27" s="11">
        <f>INDEX(V_Altın!N$2:N$48,MATCH(LARGE(V_Altın!$AC$2:$AC$48,ROW()-3),V_Altın!$AC$2:$AC$48,0))</f>
        <v>43494672312.040001</v>
      </c>
      <c r="P27" s="8">
        <f>INDEX(V_Altın!O$2:O$48,MATCH(LARGE(V_Altın!$AC$2:$AC$48,ROW()-3),V_Altın!$AC$2:$AC$48,0))</f>
        <v>-2.87033117023715E-2</v>
      </c>
      <c r="Q27" s="9">
        <f>INDEX(V_Altın!P$2:P$48,MATCH(LARGE(V_Altın!$AC$2:$AC$48,ROW()-3),V_Altın!$AC$2:$AC$48,0))</f>
        <v>1.4128211223446629</v>
      </c>
      <c r="R27" s="5" t="str">
        <f>INDEX(V_Altın!Q$2:Q$48,MATCH(LARGE(V_Altın!$AC$2:$AC$48,ROW()-3),V_Altın!$AC$2:$AC$48,0))</f>
        <v>Görüyor</v>
      </c>
      <c r="S27" s="8">
        <f>INDEX(V_Altın!R$2:R$48,MATCH(LARGE(V_Altın!$AC$2:$AC$48,ROW()-3),V_Altın!$AC$2:$AC$48,0))</f>
        <v>0</v>
      </c>
      <c r="T27" s="8">
        <f>INDEX(V_Altın!S$2:S$48,MATCH(LARGE(V_Altın!$AC$2:$AC$48,ROW()-3),V_Altın!$AC$2:$AC$48,0))</f>
        <v>2.76E-2</v>
      </c>
      <c r="U27" s="8">
        <f>INDEX(V_Altın!T$2:T$48,MATCH(LARGE(V_Altın!$AC$2:$AC$48,ROW()-3),V_Altın!$AC$2:$AC$48,0))</f>
        <v>3.5000000000000001E-3</v>
      </c>
      <c r="V27" s="8">
        <f>INDEX(V_Altın!U$2:U$48,MATCH(LARGE(V_Altın!$AC$2:$AC$48,ROW()-3),V_Altın!$AC$2:$AC$48,0))</f>
        <v>1.6999999999999999E-3</v>
      </c>
      <c r="W27" s="8">
        <f>INDEX(V_Altın!V$2:V$48,MATCH(LARGE(V_Altın!$AC$2:$AC$48,ROW()-3),V_Altın!$AC$2:$AC$48,0))</f>
        <v>8.9999999999999998E-4</v>
      </c>
      <c r="X27" s="8">
        <f>INDEX(V_Altın!W$2:W$48,MATCH(LARGE(V_Altın!$AC$2:$AC$48,ROW()-3),V_Altın!$AC$2:$AC$48,0))</f>
        <v>0</v>
      </c>
      <c r="Y27" s="8">
        <f>INDEX(V_Altın!X$2:X$48,MATCH(LARGE(V_Altın!$AC$2:$AC$48,ROW()-3),V_Altın!$AC$2:$AC$48,0))</f>
        <v>0</v>
      </c>
      <c r="Z27" s="8">
        <f>INDEX(V_Altın!Y$2:Y$48,MATCH(LARGE(V_Altın!$AC$2:$AC$48,ROW()-3),V_Altın!$AC$2:$AC$48,0))</f>
        <v>0</v>
      </c>
      <c r="AA27" s="8">
        <f>INDEX(V_Altın!Z$2:Z$48,MATCH(LARGE(V_Altın!$AC$2:$AC$48,ROW()-3),V_Altın!$AC$2:$AC$48,0))</f>
        <v>0</v>
      </c>
      <c r="AB27" s="8">
        <f>INDEX(V_Altın!AA$2:AA$48,MATCH(LARGE(V_Altın!$AC$2:$AC$48,ROW()-3),V_Altın!$AC$2:$AC$48,0))</f>
        <v>3.3700000000000001E-2</v>
      </c>
    </row>
    <row r="28" spans="1:28" x14ac:dyDescent="0.2">
      <c r="A28">
        <v>25</v>
      </c>
      <c r="B28" s="5" t="str">
        <f>INDEX(V_Altın!A$2:A$48,MATCH(LARGE(V_Altın!$AC$2:$AC$48,ROW()-3),V_Altın!$AC$2:$AC$48,0))</f>
        <v>AFO</v>
      </c>
      <c r="C28" s="5" t="str">
        <f>INDEX(V_Altın!B$2:B$48,MATCH(LARGE(V_Altın!$AC$2:$AC$48,ROW()-3),V_Altın!$AC$2:$AC$48,0))</f>
        <v>AK Portföy Altın Fonu</v>
      </c>
      <c r="D28" s="5" t="str">
        <f>INDEX(V_Altın!C$2:C$48,MATCH(LARGE(V_Altın!$AC$2:$AC$48,ROW()-3),V_Altın!$AC$2:$AC$48,0))</f>
        <v>AK Portföy</v>
      </c>
      <c r="E28" s="8">
        <f>INDEX(V_Altın!D$2:D$48,MATCH(LARGE(V_Altın!$AC$2:$AC$48,ROW()-3),V_Altın!$AC$2:$AC$48,0))</f>
        <v>2.0400000000000001E-2</v>
      </c>
      <c r="F28" s="9">
        <f>INDEX(V_Altın!E$2:E$48,MATCH(LARGE(V_Altın!$AC$2:$AC$48,ROW()-3),V_Altın!$AC$2:$AC$48,0))</f>
        <v>-0.85951788696528864</v>
      </c>
      <c r="G28" s="9">
        <f>INDEX(V_Altın!F$2:F$48,MATCH(LARGE(V_Altın!$AC$2:$AC$48,ROW()-3),V_Altın!$AC$2:$AC$48,0))</f>
        <v>-1.7617459196675569</v>
      </c>
      <c r="H28" s="9">
        <f>INDEX(V_Altın!G$2:G$48,MATCH(LARGE(V_Altın!$AC$2:$AC$48,ROW()-3),V_Altın!$AC$2:$AC$48,0))</f>
        <v>0.45562699336809681</v>
      </c>
      <c r="I28" s="9">
        <f>INDEX(V_Altın!H$2:H$48,MATCH(LARGE(V_Altın!$AC$2:$AC$48,ROW()-3),V_Altın!$AC$2:$AC$48,0))</f>
        <v>-1.602665717179697</v>
      </c>
      <c r="J28" s="9">
        <f>INDEX(V_Altın!I$2:I$48,MATCH(LARGE(V_Altın!$AC$2:$AC$48,ROW()-3),V_Altın!$AC$2:$AC$48,0))</f>
        <v>38.970143341810243</v>
      </c>
      <c r="K28" s="10">
        <f>INDEX(V_Altın!J$2:J$48,MATCH(LARGE(V_Altın!$AC$2:$AC$48,ROW()-3),V_Altın!$AC$2:$AC$48,0))</f>
        <v>84485</v>
      </c>
      <c r="L28" s="10">
        <f>INDEX(V_Altın!K$2:K$48,MATCH(LARGE(V_Altın!$AC$2:$AC$48,ROW()-3),V_Altın!$AC$2:$AC$48,0))</f>
        <v>82813</v>
      </c>
      <c r="M28" s="8">
        <f>INDEX(V_Altın!L$2:L$48,MATCH(LARGE(V_Altın!$AC$2:$AC$48,ROW()-3),V_Altın!$AC$2:$AC$48,0))</f>
        <v>-1.9790495354204851E-2</v>
      </c>
      <c r="N28" s="11">
        <f>INDEX(V_Altın!M$2:M$48,MATCH(LARGE(V_Altın!$AC$2:$AC$48,ROW()-3),V_Altın!$AC$2:$AC$48,0))</f>
        <v>19252202308.400002</v>
      </c>
      <c r="O28" s="11">
        <f>INDEX(V_Altın!N$2:N$48,MATCH(LARGE(V_Altın!$AC$2:$AC$48,ROW()-3),V_Altın!$AC$2:$AC$48,0))</f>
        <v>18359083057.57</v>
      </c>
      <c r="P28" s="8">
        <f>INDEX(V_Altın!O$2:O$48,MATCH(LARGE(V_Altın!$AC$2:$AC$48,ROW()-3),V_Altın!$AC$2:$AC$48,0))</f>
        <v>-4.6390497903729289E-2</v>
      </c>
      <c r="Q28" s="9">
        <f>INDEX(V_Altın!P$2:P$48,MATCH(LARGE(V_Altın!$AC$2:$AC$48,ROW()-3),V_Altın!$AC$2:$AC$48,0))</f>
        <v>1.4547531069301041</v>
      </c>
      <c r="R28" s="5" t="str">
        <f>INDEX(V_Altın!Q$2:Q$48,MATCH(LARGE(V_Altın!$AC$2:$AC$48,ROW()-3),V_Altın!$AC$2:$AC$48,0))</f>
        <v>Görüyor</v>
      </c>
      <c r="S28" s="8">
        <f>INDEX(V_Altın!R$2:R$48,MATCH(LARGE(V_Altın!$AC$2:$AC$48,ROW()-3),V_Altın!$AC$2:$AC$48,0))</f>
        <v>0</v>
      </c>
      <c r="T28" s="8">
        <f>INDEX(V_Altın!S$2:S$48,MATCH(LARGE(V_Altın!$AC$2:$AC$48,ROW()-3),V_Altın!$AC$2:$AC$48,0))</f>
        <v>0</v>
      </c>
      <c r="U28" s="8">
        <f>INDEX(V_Altın!T$2:T$48,MATCH(LARGE(V_Altın!$AC$2:$AC$48,ROW()-3),V_Altın!$AC$2:$AC$48,0))</f>
        <v>0</v>
      </c>
      <c r="V28" s="8">
        <f>INDEX(V_Altın!U$2:U$48,MATCH(LARGE(V_Altın!$AC$2:$AC$48,ROW()-3),V_Altın!$AC$2:$AC$48,0))</f>
        <v>0</v>
      </c>
      <c r="W28" s="8">
        <f>INDEX(V_Altın!V$2:V$48,MATCH(LARGE(V_Altın!$AC$2:$AC$48,ROW()-3),V_Altın!$AC$2:$AC$48,0))</f>
        <v>0</v>
      </c>
      <c r="X28" s="8">
        <f>INDEX(V_Altın!W$2:W$48,MATCH(LARGE(V_Altın!$AC$2:$AC$48,ROW()-3),V_Altın!$AC$2:$AC$48,0))</f>
        <v>2.7799999999999998E-2</v>
      </c>
      <c r="Y28" s="8">
        <f>INDEX(V_Altın!X$2:X$48,MATCH(LARGE(V_Altın!$AC$2:$AC$48,ROW()-3),V_Altın!$AC$2:$AC$48,0))</f>
        <v>0</v>
      </c>
      <c r="Z28" s="8">
        <f>INDEX(V_Altın!Y$2:Y$48,MATCH(LARGE(V_Altın!$AC$2:$AC$48,ROW()-3),V_Altın!$AC$2:$AC$48,0))</f>
        <v>0</v>
      </c>
      <c r="AA28" s="8">
        <f>INDEX(V_Altın!Z$2:Z$48,MATCH(LARGE(V_Altın!$AC$2:$AC$48,ROW()-3),V_Altın!$AC$2:$AC$48,0))</f>
        <v>0</v>
      </c>
      <c r="AB28" s="8">
        <f>INDEX(V_Altın!AA$2:AA$48,MATCH(LARGE(V_Altın!$AC$2:$AC$48,ROW()-3),V_Altın!$AC$2:$AC$48,0))</f>
        <v>2.7799999999999998E-2</v>
      </c>
    </row>
    <row r="29" spans="1:28" x14ac:dyDescent="0.2">
      <c r="A29">
        <v>26</v>
      </c>
      <c r="B29" s="5" t="str">
        <f>INDEX(V_Altın!A$2:A$48,MATCH(LARGE(V_Altın!$AC$2:$AC$48,ROW()-3),V_Altın!$AC$2:$AC$48,0))</f>
        <v>DBA</v>
      </c>
      <c r="C29" s="5" t="str">
        <f>INDEX(V_Altın!B$2:B$48,MATCH(LARGE(V_Altın!$AC$2:$AC$48,ROW()-3),V_Altın!$AC$2:$AC$48,0))</f>
        <v>Deniz Portföy Altın Fonu</v>
      </c>
      <c r="D29" s="5" t="str">
        <f>INDEX(V_Altın!C$2:C$48,MATCH(LARGE(V_Altın!$AC$2:$AC$48,ROW()-3),V_Altın!$AC$2:$AC$48,0))</f>
        <v>Deniz Portföy</v>
      </c>
      <c r="E29" s="8">
        <f>INDEX(V_Altın!D$2:D$48,MATCH(LARGE(V_Altın!$AC$2:$AC$48,ROW()-3),V_Altın!$AC$2:$AC$48,0))</f>
        <v>0.02</v>
      </c>
      <c r="F29" s="9">
        <f>INDEX(V_Altın!E$2:E$48,MATCH(LARGE(V_Altın!$AC$2:$AC$48,ROW()-3),V_Altın!$AC$2:$AC$48,0))</f>
        <v>-0.86282834724545898</v>
      </c>
      <c r="G29" s="9">
        <f>INDEX(V_Altın!F$2:F$48,MATCH(LARGE(V_Altın!$AC$2:$AC$48,ROW()-3),V_Altın!$AC$2:$AC$48,0))</f>
        <v>-1.7296198848555819</v>
      </c>
      <c r="H29" s="9">
        <f>INDEX(V_Altın!G$2:G$48,MATCH(LARGE(V_Altın!$AC$2:$AC$48,ROW()-3),V_Altın!$AC$2:$AC$48,0))</f>
        <v>0.55217043296422741</v>
      </c>
      <c r="I29" s="9">
        <f>INDEX(V_Altın!H$2:H$48,MATCH(LARGE(V_Altın!$AC$2:$AC$48,ROW()-3),V_Altın!$AC$2:$AC$48,0))</f>
        <v>0.50111440759272874</v>
      </c>
      <c r="J29" s="9">
        <f>INDEX(V_Altın!I$2:I$48,MATCH(LARGE(V_Altın!$AC$2:$AC$48,ROW()-3),V_Altın!$AC$2:$AC$48,0))</f>
        <v>41.339275705881597</v>
      </c>
      <c r="K29" s="10">
        <f>INDEX(V_Altın!J$2:J$48,MATCH(LARGE(V_Altın!$AC$2:$AC$48,ROW()-3),V_Altın!$AC$2:$AC$48,0))</f>
        <v>26583</v>
      </c>
      <c r="L29" s="10">
        <f>INDEX(V_Altın!K$2:K$48,MATCH(LARGE(V_Altın!$AC$2:$AC$48,ROW()-3),V_Altın!$AC$2:$AC$48,0))</f>
        <v>25967</v>
      </c>
      <c r="M29" s="8">
        <f>INDEX(V_Altın!L$2:L$48,MATCH(LARGE(V_Altın!$AC$2:$AC$48,ROW()-3),V_Altın!$AC$2:$AC$48,0))</f>
        <v>-2.3172704359929241E-2</v>
      </c>
      <c r="N29" s="11">
        <f>INDEX(V_Altın!M$2:M$48,MATCH(LARGE(V_Altın!$AC$2:$AC$48,ROW()-3),V_Altın!$AC$2:$AC$48,0))</f>
        <v>9930717514.5900002</v>
      </c>
      <c r="O29" s="11">
        <f>INDEX(V_Altın!N$2:N$48,MATCH(LARGE(V_Altın!$AC$2:$AC$48,ROW()-3),V_Altın!$AC$2:$AC$48,0))</f>
        <v>9567050908.9300003</v>
      </c>
      <c r="P29" s="8">
        <f>INDEX(V_Altın!O$2:O$48,MATCH(LARGE(V_Altın!$AC$2:$AC$48,ROW()-3),V_Altın!$AC$2:$AC$48,0))</f>
        <v>-3.6620375630029622E-2</v>
      </c>
      <c r="Q29" s="9">
        <f>INDEX(V_Altın!P$2:P$48,MATCH(LARGE(V_Altın!$AC$2:$AC$48,ROW()-3),V_Altın!$AC$2:$AC$48,0))</f>
        <v>1.4205828387403701</v>
      </c>
      <c r="R29" s="5" t="str">
        <f>INDEX(V_Altın!Q$2:Q$48,MATCH(LARGE(V_Altın!$AC$2:$AC$48,ROW()-3),V_Altın!$AC$2:$AC$48,0))</f>
        <v>Görüyor</v>
      </c>
      <c r="S29" s="8">
        <f>INDEX(V_Altın!R$2:R$48,MATCH(LARGE(V_Altın!$AC$2:$AC$48,ROW()-3),V_Altın!$AC$2:$AC$48,0))</f>
        <v>0</v>
      </c>
      <c r="T29" s="8">
        <f>INDEX(V_Altın!S$2:S$48,MATCH(LARGE(V_Altın!$AC$2:$AC$48,ROW()-3),V_Altın!$AC$2:$AC$48,0))</f>
        <v>7.1000000000000004E-3</v>
      </c>
      <c r="U29" s="8">
        <f>INDEX(V_Altın!T$2:T$48,MATCH(LARGE(V_Altın!$AC$2:$AC$48,ROW()-3),V_Altın!$AC$2:$AC$48,0))</f>
        <v>2.9700000000000001E-2</v>
      </c>
      <c r="V29" s="8">
        <f>INDEX(V_Altın!U$2:U$48,MATCH(LARGE(V_Altın!$AC$2:$AC$48,ROW()-3),V_Altın!$AC$2:$AC$48,0))</f>
        <v>0</v>
      </c>
      <c r="W29" s="8">
        <f>INDEX(V_Altın!V$2:V$48,MATCH(LARGE(V_Altın!$AC$2:$AC$48,ROW()-3),V_Altın!$AC$2:$AC$48,0))</f>
        <v>0</v>
      </c>
      <c r="X29" s="8">
        <f>INDEX(V_Altın!W$2:W$48,MATCH(LARGE(V_Altın!$AC$2:$AC$48,ROW()-3),V_Altın!$AC$2:$AC$48,0))</f>
        <v>6.7999999999999996E-3</v>
      </c>
      <c r="Y29" s="8">
        <f>INDEX(V_Altın!X$2:X$48,MATCH(LARGE(V_Altın!$AC$2:$AC$48,ROW()-3),V_Altın!$AC$2:$AC$48,0))</f>
        <v>0</v>
      </c>
      <c r="Z29" s="8">
        <f>INDEX(V_Altın!Y$2:Y$48,MATCH(LARGE(V_Altın!$AC$2:$AC$48,ROW()-3),V_Altın!$AC$2:$AC$48,0))</f>
        <v>0</v>
      </c>
      <c r="AA29" s="8">
        <f>INDEX(V_Altın!Z$2:Z$48,MATCH(LARGE(V_Altın!$AC$2:$AC$48,ROW()-3),V_Altın!$AC$2:$AC$48,0))</f>
        <v>0</v>
      </c>
      <c r="AB29" s="8">
        <f>INDEX(V_Altın!AA$2:AA$48,MATCH(LARGE(V_Altın!$AC$2:$AC$48,ROW()-3),V_Altın!$AC$2:$AC$48,0))</f>
        <v>4.36E-2</v>
      </c>
    </row>
    <row r="30" spans="1:28" x14ac:dyDescent="0.2">
      <c r="A30">
        <v>27</v>
      </c>
      <c r="B30" s="5" t="str">
        <f>INDEX(V_Altın!A$2:A$48,MATCH(LARGE(V_Altın!$AC$2:$AC$48,ROW()-3),V_Altın!$AC$2:$AC$48,0))</f>
        <v>BLT</v>
      </c>
      <c r="C30" s="5" t="str">
        <f>INDEX(V_Altın!B$2:B$48,MATCH(LARGE(V_Altın!$AC$2:$AC$48,ROW()-3),V_Altın!$AC$2:$AC$48,0))</f>
        <v>Bulls Portföy Altın Fonu</v>
      </c>
      <c r="D30" s="5" t="str">
        <f>INDEX(V_Altın!C$2:C$48,MATCH(LARGE(V_Altın!$AC$2:$AC$48,ROW()-3),V_Altın!$AC$2:$AC$48,0))</f>
        <v>Bulls Portföy</v>
      </c>
      <c r="E30" s="8">
        <f>INDEX(V_Altın!D$2:D$48,MATCH(LARGE(V_Altın!$AC$2:$AC$48,ROW()-3),V_Altın!$AC$2:$AC$48,0))</f>
        <v>1.4999999999999999E-2</v>
      </c>
      <c r="F30" s="9">
        <f>INDEX(V_Altın!E$2:E$48,MATCH(LARGE(V_Altın!$AC$2:$AC$48,ROW()-3),V_Altın!$AC$2:$AC$48,0))</f>
        <v>-0.86716139819125182</v>
      </c>
      <c r="G30" s="9">
        <f>INDEX(V_Altın!F$2:F$48,MATCH(LARGE(V_Altın!$AC$2:$AC$48,ROW()-3),V_Altın!$AC$2:$AC$48,0))</f>
        <v>1.4897566989806379</v>
      </c>
      <c r="H30" s="9">
        <f>INDEX(V_Altın!G$2:G$48,MATCH(LARGE(V_Altın!$AC$2:$AC$48,ROW()-3),V_Altın!$AC$2:$AC$48,0))</f>
        <v>6.9797054316895526</v>
      </c>
      <c r="I30" s="9">
        <f>INDEX(V_Altın!H$2:H$48,MATCH(LARGE(V_Altın!$AC$2:$AC$48,ROW()-3),V_Altın!$AC$2:$AC$48,0))</f>
        <v>4.3834849049776192</v>
      </c>
      <c r="J30" s="9">
        <f>INDEX(V_Altın!I$2:I$48,MATCH(LARGE(V_Altın!$AC$2:$AC$48,ROW()-3),V_Altın!$AC$2:$AC$48,0))</f>
        <v>67.508377612434316</v>
      </c>
      <c r="K30" s="10">
        <f>INDEX(V_Altın!J$2:J$48,MATCH(LARGE(V_Altın!$AC$2:$AC$48,ROW()-3),V_Altın!$AC$2:$AC$48,0))</f>
        <v>2721</v>
      </c>
      <c r="L30" s="10">
        <f>INDEX(V_Altın!K$2:K$48,MATCH(LARGE(V_Altın!$AC$2:$AC$48,ROW()-3),V_Altın!$AC$2:$AC$48,0))</f>
        <v>2697</v>
      </c>
      <c r="M30" s="8">
        <f>INDEX(V_Altın!L$2:L$48,MATCH(LARGE(V_Altın!$AC$2:$AC$48,ROW()-3),V_Altın!$AC$2:$AC$48,0))</f>
        <v>-8.8202866593164453E-3</v>
      </c>
      <c r="N30" s="11">
        <f>INDEX(V_Altın!M$2:M$48,MATCH(LARGE(V_Altın!$AC$2:$AC$48,ROW()-3),V_Altın!$AC$2:$AC$48,0))</f>
        <v>302680587.66000003</v>
      </c>
      <c r="O30" s="11">
        <f>INDEX(V_Altın!N$2:N$48,MATCH(LARGE(V_Altın!$AC$2:$AC$48,ROW()-3),V_Altın!$AC$2:$AC$48,0))</f>
        <v>295118972.58999997</v>
      </c>
      <c r="P30" s="8">
        <f>INDEX(V_Altın!O$2:O$48,MATCH(LARGE(V_Altın!$AC$2:$AC$48,ROW()-3),V_Altın!$AC$2:$AC$48,0))</f>
        <v>-2.498216066137016E-2</v>
      </c>
      <c r="Q30" s="9">
        <f>INDEX(V_Altın!P$2:P$48,MATCH(LARGE(V_Altın!$AC$2:$AC$48,ROW()-3),V_Altın!$AC$2:$AC$48,0))</f>
        <v>1.5423443289261241</v>
      </c>
      <c r="R30" s="5" t="str">
        <f>INDEX(V_Altın!Q$2:Q$48,MATCH(LARGE(V_Altın!$AC$2:$AC$48,ROW()-3),V_Altın!$AC$2:$AC$48,0))</f>
        <v>Görüyor</v>
      </c>
      <c r="S30" s="8">
        <f>INDEX(V_Altın!R$2:R$48,MATCH(LARGE(V_Altın!$AC$2:$AC$48,ROW()-3),V_Altın!$AC$2:$AC$48,0))</f>
        <v>0</v>
      </c>
      <c r="T30" s="8">
        <f>INDEX(V_Altın!S$2:S$48,MATCH(LARGE(V_Altın!$AC$2:$AC$48,ROW()-3),V_Altın!$AC$2:$AC$48,0))</f>
        <v>5.21E-2</v>
      </c>
      <c r="U30" s="8">
        <f>INDEX(V_Altın!T$2:T$48,MATCH(LARGE(V_Altın!$AC$2:$AC$48,ROW()-3),V_Altın!$AC$2:$AC$48,0))</f>
        <v>0</v>
      </c>
      <c r="V30" s="8">
        <f>INDEX(V_Altın!U$2:U$48,MATCH(LARGE(V_Altın!$AC$2:$AC$48,ROW()-3),V_Altın!$AC$2:$AC$48,0))</f>
        <v>4.3E-3</v>
      </c>
      <c r="W30" s="8">
        <f>INDEX(V_Altın!V$2:V$48,MATCH(LARGE(V_Altın!$AC$2:$AC$48,ROW()-3),V_Altın!$AC$2:$AC$48,0))</f>
        <v>0.1691</v>
      </c>
      <c r="X30" s="8">
        <f>INDEX(V_Altın!W$2:W$48,MATCH(LARGE(V_Altın!$AC$2:$AC$48,ROW()-3),V_Altın!$AC$2:$AC$48,0))</f>
        <v>1.0999999999999999E-2</v>
      </c>
      <c r="Y30" s="8">
        <f>INDEX(V_Altın!X$2:X$48,MATCH(LARGE(V_Altın!$AC$2:$AC$48,ROW()-3),V_Altın!$AC$2:$AC$48,0))</f>
        <v>0</v>
      </c>
      <c r="Z30" s="8">
        <f>INDEX(V_Altın!Y$2:Y$48,MATCH(LARGE(V_Altın!$AC$2:$AC$48,ROW()-3),V_Altın!$AC$2:$AC$48,0))</f>
        <v>0</v>
      </c>
      <c r="AA30" s="8">
        <f>INDEX(V_Altın!Z$2:Z$48,MATCH(LARGE(V_Altın!$AC$2:$AC$48,ROW()-3),V_Altın!$AC$2:$AC$48,0))</f>
        <v>0</v>
      </c>
      <c r="AB30" s="8">
        <f>INDEX(V_Altın!AA$2:AA$48,MATCH(LARGE(V_Altın!$AC$2:$AC$48,ROW()-3),V_Altın!$AC$2:$AC$48,0))</f>
        <v>0.23649999999999999</v>
      </c>
    </row>
    <row r="31" spans="1:28" x14ac:dyDescent="0.2">
      <c r="A31">
        <v>28</v>
      </c>
      <c r="B31" s="5" t="str">
        <f>INDEX(V_Altın!A$2:A$48,MATCH(LARGE(V_Altın!$AC$2:$AC$48,ROW()-3),V_Altın!$AC$2:$AC$48,0))</f>
        <v>IAY</v>
      </c>
      <c r="C31" s="5" t="str">
        <f>INDEX(V_Altın!B$2:B$48,MATCH(LARGE(V_Altın!$AC$2:$AC$48,ROW()-3),V_Altın!$AC$2:$AC$48,0))</f>
        <v>Inveo Portföy Altın Katılım Fonu</v>
      </c>
      <c r="D31" s="5" t="str">
        <f>INDEX(V_Altın!C$2:C$48,MATCH(LARGE(V_Altın!$AC$2:$AC$48,ROW()-3),V_Altın!$AC$2:$AC$48,0))</f>
        <v>Inveo Portföy</v>
      </c>
      <c r="E31" s="8">
        <f>INDEX(V_Altın!D$2:D$48,MATCH(LARGE(V_Altın!$AC$2:$AC$48,ROW()-3),V_Altın!$AC$2:$AC$48,0))</f>
        <v>1.4999999999999999E-2</v>
      </c>
      <c r="F31" s="9">
        <f>INDEX(V_Altın!E$2:E$48,MATCH(LARGE(V_Altın!$AC$2:$AC$48,ROW()-3),V_Altın!$AC$2:$AC$48,0))</f>
        <v>-0.88044602720027676</v>
      </c>
      <c r="G31" s="9">
        <f>INDEX(V_Altın!F$2:F$48,MATCH(LARGE(V_Altın!$AC$2:$AC$48,ROW()-3),V_Altın!$AC$2:$AC$48,0))</f>
        <v>-1.7967545267542631</v>
      </c>
      <c r="H31" s="9">
        <f>INDEX(V_Altın!G$2:G$48,MATCH(LARGE(V_Altın!$AC$2:$AC$48,ROW()-3),V_Altın!$AC$2:$AC$48,0))</f>
        <v>-1.092477491326793E-3</v>
      </c>
      <c r="I31" s="9">
        <f>INDEX(V_Altın!H$2:H$48,MATCH(LARGE(V_Altın!$AC$2:$AC$48,ROW()-3),V_Altın!$AC$2:$AC$48,0))</f>
        <v>-2.4652717346906221</v>
      </c>
      <c r="J31" s="9">
        <f>INDEX(V_Altın!I$2:I$48,MATCH(LARGE(V_Altın!$AC$2:$AC$48,ROW()-3),V_Altın!$AC$2:$AC$48,0))</f>
        <v>36.864502237861217</v>
      </c>
      <c r="K31" s="10">
        <f>INDEX(V_Altın!J$2:J$48,MATCH(LARGE(V_Altın!$AC$2:$AC$48,ROW()-3),V_Altın!$AC$2:$AC$48,0))</f>
        <v>207</v>
      </c>
      <c r="L31" s="10">
        <f>INDEX(V_Altın!K$2:K$48,MATCH(LARGE(V_Altın!$AC$2:$AC$48,ROW()-3),V_Altın!$AC$2:$AC$48,0))</f>
        <v>202</v>
      </c>
      <c r="M31" s="8">
        <f>INDEX(V_Altın!L$2:L$48,MATCH(LARGE(V_Altın!$AC$2:$AC$48,ROW()-3),V_Altın!$AC$2:$AC$48,0))</f>
        <v>-2.4154589371980669E-2</v>
      </c>
      <c r="N31" s="11">
        <f>INDEX(V_Altın!M$2:M$48,MATCH(LARGE(V_Altın!$AC$2:$AC$48,ROW()-3),V_Altın!$AC$2:$AC$48,0))</f>
        <v>45210478.659999996</v>
      </c>
      <c r="O31" s="11">
        <f>INDEX(V_Altın!N$2:N$48,MATCH(LARGE(V_Altın!$AC$2:$AC$48,ROW()-3),V_Altın!$AC$2:$AC$48,0))</f>
        <v>44835942.609999999</v>
      </c>
      <c r="P31" s="8">
        <f>INDEX(V_Altın!O$2:O$48,MATCH(LARGE(V_Altın!$AC$2:$AC$48,ROW()-3),V_Altın!$AC$2:$AC$48,0))</f>
        <v>-8.2842752631895333E-3</v>
      </c>
      <c r="Q31" s="9">
        <f>INDEX(V_Altın!P$2:P$48,MATCH(LARGE(V_Altın!$AC$2:$AC$48,ROW()-3),V_Altın!$AC$2:$AC$48,0))</f>
        <v>1.359661302788042</v>
      </c>
      <c r="R31" s="5" t="str">
        <f>INDEX(V_Altın!Q$2:Q$48,MATCH(LARGE(V_Altın!$AC$2:$AC$48,ROW()-3),V_Altın!$AC$2:$AC$48,0))</f>
        <v>Görüyor</v>
      </c>
      <c r="S31" s="8">
        <f>INDEX(V_Altın!R$2:R$48,MATCH(LARGE(V_Altın!$AC$2:$AC$48,ROW()-3),V_Altın!$AC$2:$AC$48,0))</f>
        <v>0</v>
      </c>
      <c r="T31" s="8">
        <f>INDEX(V_Altın!S$2:S$48,MATCH(LARGE(V_Altın!$AC$2:$AC$48,ROW()-3),V_Altın!$AC$2:$AC$48,0))</f>
        <v>0</v>
      </c>
      <c r="U31" s="8">
        <f>INDEX(V_Altın!T$2:T$48,MATCH(LARGE(V_Altın!$AC$2:$AC$48,ROW()-3),V_Altın!$AC$2:$AC$48,0))</f>
        <v>0</v>
      </c>
      <c r="V31" s="8">
        <f>INDEX(V_Altın!U$2:U$48,MATCH(LARGE(V_Altın!$AC$2:$AC$48,ROW()-3),V_Altın!$AC$2:$AC$48,0))</f>
        <v>7.1800000000000003E-2</v>
      </c>
      <c r="W31" s="8">
        <f>INDEX(V_Altın!V$2:V$48,MATCH(LARGE(V_Altın!$AC$2:$AC$48,ROW()-3),V_Altın!$AC$2:$AC$48,0))</f>
        <v>0</v>
      </c>
      <c r="X31" s="8">
        <f>INDEX(V_Altın!W$2:W$48,MATCH(LARGE(V_Altın!$AC$2:$AC$48,ROW()-3),V_Altın!$AC$2:$AC$48,0))</f>
        <v>4.7399999999999998E-2</v>
      </c>
      <c r="Y31" s="8">
        <f>INDEX(V_Altın!X$2:X$48,MATCH(LARGE(V_Altın!$AC$2:$AC$48,ROW()-3),V_Altın!$AC$2:$AC$48,0))</f>
        <v>0</v>
      </c>
      <c r="Z31" s="8">
        <f>INDEX(V_Altın!Y$2:Y$48,MATCH(LARGE(V_Altın!$AC$2:$AC$48,ROW()-3),V_Altın!$AC$2:$AC$48,0))</f>
        <v>0</v>
      </c>
      <c r="AA31" s="8">
        <f>INDEX(V_Altın!Z$2:Z$48,MATCH(LARGE(V_Altın!$AC$2:$AC$48,ROW()-3),V_Altın!$AC$2:$AC$48,0))</f>
        <v>0</v>
      </c>
      <c r="AB31" s="8">
        <f>INDEX(V_Altın!AA$2:AA$48,MATCH(LARGE(V_Altın!$AC$2:$AC$48,ROW()-3),V_Altın!$AC$2:$AC$48,0))</f>
        <v>0.1192</v>
      </c>
    </row>
    <row r="32" spans="1:28" x14ac:dyDescent="0.2">
      <c r="A32">
        <v>29</v>
      </c>
      <c r="B32" s="5" t="str">
        <f>INDEX(V_Altın!A$2:A$48,MATCH(LARGE(V_Altın!$AC$2:$AC$48,ROW()-3),V_Altın!$AC$2:$AC$48,0))</f>
        <v>OGD</v>
      </c>
      <c r="C32" s="5" t="str">
        <f>INDEX(V_Altın!B$2:B$48,MATCH(LARGE(V_Altın!$AC$2:$AC$48,ROW()-3),V_Altın!$AC$2:$AC$48,0))</f>
        <v>Oyak Portföy Altın Katılım Fonu</v>
      </c>
      <c r="D32" s="5" t="str">
        <f>INDEX(V_Altın!C$2:C$48,MATCH(LARGE(V_Altın!$AC$2:$AC$48,ROW()-3),V_Altın!$AC$2:$AC$48,0))</f>
        <v>Oyak Portföy</v>
      </c>
      <c r="E32" s="8">
        <f>INDEX(V_Altın!D$2:D$48,MATCH(LARGE(V_Altın!$AC$2:$AC$48,ROW()-3),V_Altın!$AC$2:$AC$48,0))</f>
        <v>1.7520000000000001E-2</v>
      </c>
      <c r="F32" s="9">
        <f>INDEX(V_Altın!E$2:E$48,MATCH(LARGE(V_Altın!$AC$2:$AC$48,ROW()-3),V_Altın!$AC$2:$AC$48,0))</f>
        <v>-0.89098227679037523</v>
      </c>
      <c r="G32" s="9">
        <f>INDEX(V_Altın!F$2:F$48,MATCH(LARGE(V_Altın!$AC$2:$AC$48,ROW()-3),V_Altın!$AC$2:$AC$48,0))</f>
        <v>-1.8591132169240241</v>
      </c>
      <c r="H32" s="9">
        <f>INDEX(V_Altın!G$2:G$48,MATCH(LARGE(V_Altın!$AC$2:$AC$48,ROW()-3),V_Altın!$AC$2:$AC$48,0))</f>
        <v>0.36288877983869933</v>
      </c>
      <c r="I32" s="9">
        <f>INDEX(V_Altın!H$2:H$48,MATCH(LARGE(V_Altın!$AC$2:$AC$48,ROW()-3),V_Altın!$AC$2:$AC$48,0))</f>
        <v>-0.59940074833777501</v>
      </c>
      <c r="J32" s="9">
        <f>INDEX(V_Altın!I$2:I$48,MATCH(LARGE(V_Altın!$AC$2:$AC$48,ROW()-3),V_Altın!$AC$2:$AC$48,0))</f>
        <v>39.445148717889737</v>
      </c>
      <c r="K32" s="10">
        <f>INDEX(V_Altın!J$2:J$48,MATCH(LARGE(V_Altın!$AC$2:$AC$48,ROW()-3),V_Altın!$AC$2:$AC$48,0))</f>
        <v>3282</v>
      </c>
      <c r="L32" s="10">
        <f>INDEX(V_Altın!K$2:K$48,MATCH(LARGE(V_Altın!$AC$2:$AC$48,ROW()-3),V_Altın!$AC$2:$AC$48,0))</f>
        <v>3222</v>
      </c>
      <c r="M32" s="8">
        <f>INDEX(V_Altın!L$2:L$48,MATCH(LARGE(V_Altın!$AC$2:$AC$48,ROW()-3),V_Altın!$AC$2:$AC$48,0))</f>
        <v>-1.8281535648994481E-2</v>
      </c>
      <c r="N32" s="11">
        <f>INDEX(V_Altın!M$2:M$48,MATCH(LARGE(V_Altın!$AC$2:$AC$48,ROW()-3),V_Altın!$AC$2:$AC$48,0))</f>
        <v>733690728.10000002</v>
      </c>
      <c r="O32" s="11">
        <f>INDEX(V_Altın!N$2:N$48,MATCH(LARGE(V_Altın!$AC$2:$AC$48,ROW()-3),V_Altın!$AC$2:$AC$48,0))</f>
        <v>728035092.33000004</v>
      </c>
      <c r="P32" s="8">
        <f>INDEX(V_Altın!O$2:O$48,MATCH(LARGE(V_Altın!$AC$2:$AC$48,ROW()-3),V_Altın!$AC$2:$AC$48,0))</f>
        <v>-7.7084738206329986E-3</v>
      </c>
      <c r="Q32" s="9">
        <f>INDEX(V_Altın!P$2:P$48,MATCH(LARGE(V_Altın!$AC$2:$AC$48,ROW()-3),V_Altın!$AC$2:$AC$48,0))</f>
        <v>1.357900063169883</v>
      </c>
      <c r="R32" s="5" t="str">
        <f>INDEX(V_Altın!Q$2:Q$48,MATCH(LARGE(V_Altın!$AC$2:$AC$48,ROW()-3),V_Altın!$AC$2:$AC$48,0))</f>
        <v>Görüyor</v>
      </c>
      <c r="S32" s="8">
        <f>INDEX(V_Altın!R$2:R$48,MATCH(LARGE(V_Altın!$AC$2:$AC$48,ROW()-3),V_Altın!$AC$2:$AC$48,0))</f>
        <v>0</v>
      </c>
      <c r="T32" s="8">
        <f>INDEX(V_Altın!S$2:S$48,MATCH(LARGE(V_Altın!$AC$2:$AC$48,ROW()-3),V_Altın!$AC$2:$AC$48,0))</f>
        <v>0</v>
      </c>
      <c r="U32" s="8">
        <f>INDEX(V_Altın!T$2:T$48,MATCH(LARGE(V_Altın!$AC$2:$AC$48,ROW()-3),V_Altın!$AC$2:$AC$48,0))</f>
        <v>0</v>
      </c>
      <c r="V32" s="8">
        <f>INDEX(V_Altın!U$2:U$48,MATCH(LARGE(V_Altın!$AC$2:$AC$48,ROW()-3),V_Altın!$AC$2:$AC$48,0))</f>
        <v>0</v>
      </c>
      <c r="W32" s="8">
        <f>INDEX(V_Altın!V$2:V$48,MATCH(LARGE(V_Altın!$AC$2:$AC$48,ROW()-3),V_Altın!$AC$2:$AC$48,0))</f>
        <v>0</v>
      </c>
      <c r="X32" s="8">
        <f>INDEX(V_Altın!W$2:W$48,MATCH(LARGE(V_Altın!$AC$2:$AC$48,ROW()-3),V_Altın!$AC$2:$AC$48,0))</f>
        <v>3.7000000000000002E-3</v>
      </c>
      <c r="Y32" s="8">
        <f>INDEX(V_Altın!X$2:X$48,MATCH(LARGE(V_Altın!$AC$2:$AC$48,ROW()-3),V_Altın!$AC$2:$AC$48,0))</f>
        <v>0</v>
      </c>
      <c r="Z32" s="8">
        <f>INDEX(V_Altın!Y$2:Y$48,MATCH(LARGE(V_Altın!$AC$2:$AC$48,ROW()-3),V_Altın!$AC$2:$AC$48,0))</f>
        <v>0</v>
      </c>
      <c r="AA32" s="8">
        <f>INDEX(V_Altın!Z$2:Z$48,MATCH(LARGE(V_Altın!$AC$2:$AC$48,ROW()-3),V_Altın!$AC$2:$AC$48,0))</f>
        <v>0</v>
      </c>
      <c r="AB32" s="8">
        <f>INDEX(V_Altın!AA$2:AA$48,MATCH(LARGE(V_Altın!$AC$2:$AC$48,ROW()-3),V_Altın!$AC$2:$AC$48,0))</f>
        <v>3.7000000000000002E-3</v>
      </c>
    </row>
    <row r="33" spans="1:28" x14ac:dyDescent="0.2">
      <c r="A33">
        <v>30</v>
      </c>
      <c r="B33" s="5" t="str">
        <f>INDEX(V_Altın!A$2:A$48,MATCH(LARGE(V_Altın!$AC$2:$AC$48,ROW()-3),V_Altın!$AC$2:$AC$48,0))</f>
        <v>PIR</v>
      </c>
      <c r="C33" s="5" t="str">
        <f>INDEX(V_Altın!B$2:B$48,MATCH(LARGE(V_Altın!$AC$2:$AC$48,ROW()-3),V_Altın!$AC$2:$AC$48,0))</f>
        <v>Piramit Portföy Altın Fonu</v>
      </c>
      <c r="D33" s="5" t="str">
        <f>INDEX(V_Altın!C$2:C$48,MATCH(LARGE(V_Altın!$AC$2:$AC$48,ROW()-3),V_Altın!$AC$2:$AC$48,0))</f>
        <v>Piramit Portföy</v>
      </c>
      <c r="E33" s="8">
        <f>INDEX(V_Altın!D$2:D$48,MATCH(LARGE(V_Altın!$AC$2:$AC$48,ROW()-3),V_Altın!$AC$2:$AC$48,0))</f>
        <v>1.575E-2</v>
      </c>
      <c r="F33" s="9">
        <f>INDEX(V_Altın!E$2:E$48,MATCH(LARGE(V_Altın!$AC$2:$AC$48,ROW()-3),V_Altın!$AC$2:$AC$48,0))</f>
        <v>-0.89730428990227873</v>
      </c>
      <c r="G33" s="9">
        <f>INDEX(V_Altın!F$2:F$48,MATCH(LARGE(V_Altın!$AC$2:$AC$48,ROW()-3),V_Altın!$AC$2:$AC$48,0))</f>
        <v>-1.70108588099358</v>
      </c>
      <c r="H33" s="9">
        <f>INDEX(V_Altın!G$2:G$48,MATCH(LARGE(V_Altın!$AC$2:$AC$48,ROW()-3),V_Altın!$AC$2:$AC$48,0))</f>
        <v>0.61434075983013425</v>
      </c>
      <c r="I33" s="9">
        <f>INDEX(V_Altın!H$2:H$48,MATCH(LARGE(V_Altın!$AC$2:$AC$48,ROW()-3),V_Altın!$AC$2:$AC$48,0))</f>
        <v>1.91887648659812</v>
      </c>
      <c r="J33" s="9">
        <f>INDEX(V_Altın!I$2:I$48,MATCH(LARGE(V_Altın!$AC$2:$AC$48,ROW()-3),V_Altın!$AC$2:$AC$48,0))</f>
        <v>51.564244050419603</v>
      </c>
      <c r="K33" s="10">
        <f>INDEX(V_Altın!J$2:J$48,MATCH(LARGE(V_Altın!$AC$2:$AC$48,ROW()-3),V_Altın!$AC$2:$AC$48,0))</f>
        <v>1112</v>
      </c>
      <c r="L33" s="10">
        <f>INDEX(V_Altın!K$2:K$48,MATCH(LARGE(V_Altın!$AC$2:$AC$48,ROW()-3),V_Altın!$AC$2:$AC$48,0))</f>
        <v>992</v>
      </c>
      <c r="M33" s="8">
        <f>INDEX(V_Altın!L$2:L$48,MATCH(LARGE(V_Altın!$AC$2:$AC$48,ROW()-3),V_Altın!$AC$2:$AC$48,0))</f>
        <v>-0.1079136690647482</v>
      </c>
      <c r="N33" s="11">
        <f>INDEX(V_Altın!M$2:M$48,MATCH(LARGE(V_Altın!$AC$2:$AC$48,ROW()-3),V_Altın!$AC$2:$AC$48,0))</f>
        <v>133016042.41</v>
      </c>
      <c r="O33" s="11">
        <f>INDEX(V_Altın!N$2:N$48,MATCH(LARGE(V_Altın!$AC$2:$AC$48,ROW()-3),V_Altın!$AC$2:$AC$48,0))</f>
        <v>116205886.59999999</v>
      </c>
      <c r="P33" s="8">
        <f>INDEX(V_Altın!O$2:O$48,MATCH(LARGE(V_Altın!$AC$2:$AC$48,ROW()-3),V_Altın!$AC$2:$AC$48,0))</f>
        <v>-0.12637690541254759</v>
      </c>
      <c r="Q33" s="9">
        <f>INDEX(V_Altın!P$2:P$48,MATCH(LARGE(V_Altın!$AC$2:$AC$48,ROW()-3),V_Altın!$AC$2:$AC$48,0))</f>
        <v>1.3915329843866899</v>
      </c>
      <c r="R33" s="5" t="str">
        <f>INDEX(V_Altın!Q$2:Q$48,MATCH(LARGE(V_Altın!$AC$2:$AC$48,ROW()-3),V_Altın!$AC$2:$AC$48,0))</f>
        <v>Görüyor</v>
      </c>
      <c r="S33" s="8">
        <f>INDEX(V_Altın!R$2:R$48,MATCH(LARGE(V_Altın!$AC$2:$AC$48,ROW()-3),V_Altın!$AC$2:$AC$48,0))</f>
        <v>0</v>
      </c>
      <c r="T33" s="8">
        <f>INDEX(V_Altın!S$2:S$48,MATCH(LARGE(V_Altın!$AC$2:$AC$48,ROW()-3),V_Altın!$AC$2:$AC$48,0))</f>
        <v>2E-3</v>
      </c>
      <c r="U33" s="8">
        <f>INDEX(V_Altın!T$2:T$48,MATCH(LARGE(V_Altın!$AC$2:$AC$48,ROW()-3),V_Altın!$AC$2:$AC$48,0))</f>
        <v>0</v>
      </c>
      <c r="V33" s="8">
        <f>INDEX(V_Altın!U$2:U$48,MATCH(LARGE(V_Altın!$AC$2:$AC$48,ROW()-3),V_Altın!$AC$2:$AC$48,0))</f>
        <v>5.9299999999999999E-2</v>
      </c>
      <c r="W33" s="8">
        <f>INDEX(V_Altın!V$2:V$48,MATCH(LARGE(V_Altın!$AC$2:$AC$48,ROW()-3),V_Altın!$AC$2:$AC$48,0))</f>
        <v>0</v>
      </c>
      <c r="X33" s="8">
        <f>INDEX(V_Altın!W$2:W$48,MATCH(LARGE(V_Altın!$AC$2:$AC$48,ROW()-3),V_Altın!$AC$2:$AC$48,0))</f>
        <v>2.6700000000000002E-2</v>
      </c>
      <c r="Y33" s="8">
        <f>INDEX(V_Altın!X$2:X$48,MATCH(LARGE(V_Altın!$AC$2:$AC$48,ROW()-3),V_Altın!$AC$2:$AC$48,0))</f>
        <v>0</v>
      </c>
      <c r="Z33" s="8">
        <f>INDEX(V_Altın!Y$2:Y$48,MATCH(LARGE(V_Altın!$AC$2:$AC$48,ROW()-3),V_Altın!$AC$2:$AC$48,0))</f>
        <v>0</v>
      </c>
      <c r="AA33" s="8">
        <f>INDEX(V_Altın!Z$2:Z$48,MATCH(LARGE(V_Altın!$AC$2:$AC$48,ROW()-3),V_Altın!$AC$2:$AC$48,0))</f>
        <v>0</v>
      </c>
      <c r="AB33" s="8">
        <f>INDEX(V_Altın!AA$2:AA$48,MATCH(LARGE(V_Altın!$AC$2:$AC$48,ROW()-3),V_Altın!$AC$2:$AC$48,0))</f>
        <v>8.7999999999999995E-2</v>
      </c>
    </row>
    <row r="34" spans="1:28" x14ac:dyDescent="0.2">
      <c r="A34">
        <v>31</v>
      </c>
      <c r="B34" s="5" t="str">
        <f>INDEX(V_Altın!A$2:A$48,MATCH(LARGE(V_Altın!$AC$2:$AC$48,ROW()-3),V_Altın!$AC$2:$AC$48,0))</f>
        <v>GTA</v>
      </c>
      <c r="C34" s="5" t="str">
        <f>INDEX(V_Altın!B$2:B$48,MATCH(LARGE(V_Altın!$AC$2:$AC$48,ROW()-3),V_Altın!$AC$2:$AC$48,0))</f>
        <v>Garanti Portföy Altın Fonu</v>
      </c>
      <c r="D34" s="5" t="str">
        <f>INDEX(V_Altın!C$2:C$48,MATCH(LARGE(V_Altın!$AC$2:$AC$48,ROW()-3),V_Altın!$AC$2:$AC$48,0))</f>
        <v>Garanti Portföy</v>
      </c>
      <c r="E34" s="8">
        <f>INDEX(V_Altın!D$2:D$48,MATCH(LARGE(V_Altın!$AC$2:$AC$48,ROW()-3),V_Altın!$AC$2:$AC$48,0))</f>
        <v>1.95E-2</v>
      </c>
      <c r="F34" s="9">
        <f>INDEX(V_Altın!E$2:E$48,MATCH(LARGE(V_Altın!$AC$2:$AC$48,ROW()-3),V_Altın!$AC$2:$AC$48,0))</f>
        <v>-0.90249740532845069</v>
      </c>
      <c r="G34" s="9">
        <f>INDEX(V_Altın!F$2:F$48,MATCH(LARGE(V_Altın!$AC$2:$AC$48,ROW()-3),V_Altın!$AC$2:$AC$48,0))</f>
        <v>-1.790040476509414</v>
      </c>
      <c r="H34" s="9">
        <f>INDEX(V_Altın!G$2:G$48,MATCH(LARGE(V_Altın!$AC$2:$AC$48,ROW()-3),V_Altın!$AC$2:$AC$48,0))</f>
        <v>0.60405419662514781</v>
      </c>
      <c r="I34" s="9">
        <f>INDEX(V_Altın!H$2:H$48,MATCH(LARGE(V_Altın!$AC$2:$AC$48,ROW()-3),V_Altın!$AC$2:$AC$48,0))</f>
        <v>-1.1291501962222059</v>
      </c>
      <c r="J34" s="9">
        <f>INDEX(V_Altın!I$2:I$48,MATCH(LARGE(V_Altın!$AC$2:$AC$48,ROW()-3),V_Altın!$AC$2:$AC$48,0))</f>
        <v>37.634843772257767</v>
      </c>
      <c r="K34" s="10">
        <f>INDEX(V_Altın!J$2:J$48,MATCH(LARGE(V_Altın!$AC$2:$AC$48,ROW()-3),V_Altın!$AC$2:$AC$48,0))</f>
        <v>78829</v>
      </c>
      <c r="L34" s="10">
        <f>INDEX(V_Altın!K$2:K$48,MATCH(LARGE(V_Altın!$AC$2:$AC$48,ROW()-3),V_Altın!$AC$2:$AC$48,0))</f>
        <v>76553</v>
      </c>
      <c r="M34" s="8">
        <f>INDEX(V_Altın!L$2:L$48,MATCH(LARGE(V_Altın!$AC$2:$AC$48,ROW()-3),V_Altın!$AC$2:$AC$48,0))</f>
        <v>-2.8872623019447149E-2</v>
      </c>
      <c r="N34" s="11">
        <f>INDEX(V_Altın!M$2:M$48,MATCH(LARGE(V_Altın!$AC$2:$AC$48,ROW()-3),V_Altın!$AC$2:$AC$48,0))</f>
        <v>23839589375.330002</v>
      </c>
      <c r="O34" s="11">
        <f>INDEX(V_Altın!N$2:N$48,MATCH(LARGE(V_Altın!$AC$2:$AC$48,ROW()-3),V_Altın!$AC$2:$AC$48,0))</f>
        <v>22860767788.029999</v>
      </c>
      <c r="P34" s="8">
        <f>INDEX(V_Altın!O$2:O$48,MATCH(LARGE(V_Altın!$AC$2:$AC$48,ROW()-3),V_Altın!$AC$2:$AC$48,0))</f>
        <v>-4.1058659689538153E-2</v>
      </c>
      <c r="Q34" s="9">
        <f>INDEX(V_Altın!P$2:P$48,MATCH(LARGE(V_Altın!$AC$2:$AC$48,ROW()-3),V_Altın!$AC$2:$AC$48,0))</f>
        <v>1.437104120383409</v>
      </c>
      <c r="R34" s="5" t="str">
        <f>INDEX(V_Altın!Q$2:Q$48,MATCH(LARGE(V_Altın!$AC$2:$AC$48,ROW()-3),V_Altın!$AC$2:$AC$48,0))</f>
        <v>Görüyor</v>
      </c>
      <c r="S34" s="8">
        <f>INDEX(V_Altın!R$2:R$48,MATCH(LARGE(V_Altın!$AC$2:$AC$48,ROW()-3),V_Altın!$AC$2:$AC$48,0))</f>
        <v>0</v>
      </c>
      <c r="T34" s="8">
        <f>INDEX(V_Altın!S$2:S$48,MATCH(LARGE(V_Altın!$AC$2:$AC$48,ROW()-3),V_Altın!$AC$2:$AC$48,0))</f>
        <v>1.1999999999999999E-3</v>
      </c>
      <c r="U34" s="8">
        <f>INDEX(V_Altın!T$2:T$48,MATCH(LARGE(V_Altın!$AC$2:$AC$48,ROW()-3),V_Altın!$AC$2:$AC$48,0))</f>
        <v>0</v>
      </c>
      <c r="V34" s="8">
        <f>INDEX(V_Altın!U$2:U$48,MATCH(LARGE(V_Altın!$AC$2:$AC$48,ROW()-3),V_Altın!$AC$2:$AC$48,0))</f>
        <v>0</v>
      </c>
      <c r="W34" s="8">
        <f>INDEX(V_Altın!V$2:V$48,MATCH(LARGE(V_Altın!$AC$2:$AC$48,ROW()-3),V_Altın!$AC$2:$AC$48,0))</f>
        <v>2.7000000000000001E-3</v>
      </c>
      <c r="X34" s="8">
        <f>INDEX(V_Altın!W$2:W$48,MATCH(LARGE(V_Altın!$AC$2:$AC$48,ROW()-3),V_Altın!$AC$2:$AC$48,0))</f>
        <v>0</v>
      </c>
      <c r="Y34" s="8">
        <f>INDEX(V_Altın!X$2:X$48,MATCH(LARGE(V_Altın!$AC$2:$AC$48,ROW()-3),V_Altın!$AC$2:$AC$48,0))</f>
        <v>0</v>
      </c>
      <c r="Z34" s="8">
        <f>INDEX(V_Altın!Y$2:Y$48,MATCH(LARGE(V_Altın!$AC$2:$AC$48,ROW()-3),V_Altın!$AC$2:$AC$48,0))</f>
        <v>0</v>
      </c>
      <c r="AA34" s="8">
        <f>INDEX(V_Altın!Z$2:Z$48,MATCH(LARGE(V_Altın!$AC$2:$AC$48,ROW()-3),V_Altın!$AC$2:$AC$48,0))</f>
        <v>0</v>
      </c>
      <c r="AB34" s="8">
        <f>INDEX(V_Altın!AA$2:AA$48,MATCH(LARGE(V_Altın!$AC$2:$AC$48,ROW()-3),V_Altın!$AC$2:$AC$48,0))</f>
        <v>3.8999999999999998E-3</v>
      </c>
    </row>
    <row r="35" spans="1:28" x14ac:dyDescent="0.2">
      <c r="A35">
        <v>32</v>
      </c>
      <c r="B35" s="5" t="str">
        <f>INDEX(V_Altın!A$2:A$48,MATCH(LARGE(V_Altın!$AC$2:$AC$48,ROW()-3),V_Altın!$AC$2:$AC$48,0))</f>
        <v>VFO</v>
      </c>
      <c r="C35" s="5" t="str">
        <f>INDEX(V_Altın!B$2:B$48,MATCH(LARGE(V_Altın!$AC$2:$AC$48,ROW()-3),V_Altın!$AC$2:$AC$48,0))</f>
        <v>V Portföy Altın Katılım Fonu</v>
      </c>
      <c r="D35" s="5" t="str">
        <f>INDEX(V_Altın!C$2:C$48,MATCH(LARGE(V_Altın!$AC$2:$AC$48,ROW()-3),V_Altın!$AC$2:$AC$48,0))</f>
        <v>V Portföy</v>
      </c>
      <c r="E35" s="8">
        <f>INDEX(V_Altın!D$2:D$48,MATCH(LARGE(V_Altın!$AC$2:$AC$48,ROW()-3),V_Altın!$AC$2:$AC$48,0))</f>
        <v>1.7999999999999999E-2</v>
      </c>
      <c r="F35" s="9">
        <f>INDEX(V_Altın!E$2:E$48,MATCH(LARGE(V_Altın!$AC$2:$AC$48,ROW()-3),V_Altın!$AC$2:$AC$48,0))</f>
        <v>-0.90728878327743789</v>
      </c>
      <c r="G35" s="9">
        <f>INDEX(V_Altın!F$2:F$48,MATCH(LARGE(V_Altın!$AC$2:$AC$48,ROW()-3),V_Altın!$AC$2:$AC$48,0))</f>
        <v>-1.620107079495825</v>
      </c>
      <c r="H35" s="9">
        <f>INDEX(V_Altın!G$2:G$48,MATCH(LARGE(V_Altın!$AC$2:$AC$48,ROW()-3),V_Altın!$AC$2:$AC$48,0))</f>
        <v>-0.46882265364712739</v>
      </c>
      <c r="I35" s="9" t="str">
        <f>INDEX(V_Altın!H$2:H$48,MATCH(LARGE(V_Altın!$AC$2:$AC$48,ROW()-3),V_Altın!$AC$2:$AC$48,0))</f>
        <v>-</v>
      </c>
      <c r="J35" s="9" t="str">
        <f>INDEX(V_Altın!I$2:I$48,MATCH(LARGE(V_Altın!$AC$2:$AC$48,ROW()-3),V_Altın!$AC$2:$AC$48,0))</f>
        <v>-</v>
      </c>
      <c r="K35" s="10">
        <f>INDEX(V_Altın!J$2:J$48,MATCH(LARGE(V_Altın!$AC$2:$AC$48,ROW()-3),V_Altın!$AC$2:$AC$48,0))</f>
        <v>168</v>
      </c>
      <c r="L35" s="10">
        <f>INDEX(V_Altın!K$2:K$48,MATCH(LARGE(V_Altın!$AC$2:$AC$48,ROW()-3),V_Altın!$AC$2:$AC$48,0))</f>
        <v>1157</v>
      </c>
      <c r="M35" s="8">
        <f>INDEX(V_Altın!L$2:L$48,MATCH(LARGE(V_Altın!$AC$2:$AC$48,ROW()-3),V_Altın!$AC$2:$AC$48,0))</f>
        <v>5.8869047619047619</v>
      </c>
      <c r="N35" s="11">
        <f>INDEX(V_Altın!M$2:M$48,MATCH(LARGE(V_Altın!$AC$2:$AC$48,ROW()-3),V_Altın!$AC$2:$AC$48,0))</f>
        <v>20587189.989999998</v>
      </c>
      <c r="O35" s="11">
        <f>INDEX(V_Altın!N$2:N$48,MATCH(LARGE(V_Altın!$AC$2:$AC$48,ROW()-3),V_Altın!$AC$2:$AC$48,0))</f>
        <v>41410445.119999997</v>
      </c>
      <c r="P35" s="8">
        <f>INDEX(V_Altın!O$2:O$48,MATCH(LARGE(V_Altın!$AC$2:$AC$48,ROW()-3),V_Altın!$AC$2:$AC$48,0))</f>
        <v>1.0114666032671129</v>
      </c>
      <c r="Q35" s="9">
        <f>INDEX(V_Altın!P$2:P$48,MATCH(LARGE(V_Altın!$AC$2:$AC$48,ROW()-3),V_Altın!$AC$2:$AC$48,0))</f>
        <v>1.3280349105716129</v>
      </c>
      <c r="R35" s="5" t="str">
        <f>INDEX(V_Altın!Q$2:Q$48,MATCH(LARGE(V_Altın!$AC$2:$AC$48,ROW()-3),V_Altın!$AC$2:$AC$48,0))</f>
        <v>Görüyor</v>
      </c>
      <c r="S35" s="8">
        <f>INDEX(V_Altın!R$2:R$48,MATCH(LARGE(V_Altın!$AC$2:$AC$48,ROW()-3),V_Altın!$AC$2:$AC$48,0))</f>
        <v>0</v>
      </c>
      <c r="T35" s="8">
        <f>INDEX(V_Altın!S$2:S$48,MATCH(LARGE(V_Altın!$AC$2:$AC$48,ROW()-3),V_Altın!$AC$2:$AC$48,0))</f>
        <v>0</v>
      </c>
      <c r="U35" s="8">
        <f>INDEX(V_Altın!T$2:T$48,MATCH(LARGE(V_Altın!$AC$2:$AC$48,ROW()-3),V_Altın!$AC$2:$AC$48,0))</f>
        <v>0</v>
      </c>
      <c r="V35" s="8">
        <f>INDEX(V_Altın!U$2:U$48,MATCH(LARGE(V_Altın!$AC$2:$AC$48,ROW()-3),V_Altın!$AC$2:$AC$48,0))</f>
        <v>8.8800000000000004E-2</v>
      </c>
      <c r="W35" s="8">
        <f>INDEX(V_Altın!V$2:V$48,MATCH(LARGE(V_Altın!$AC$2:$AC$48,ROW()-3),V_Altın!$AC$2:$AC$48,0))</f>
        <v>0</v>
      </c>
      <c r="X35" s="8">
        <f>INDEX(V_Altın!W$2:W$48,MATCH(LARGE(V_Altın!$AC$2:$AC$48,ROW()-3),V_Altın!$AC$2:$AC$48,0))</f>
        <v>0</v>
      </c>
      <c r="Y35" s="8">
        <f>INDEX(V_Altın!X$2:X$48,MATCH(LARGE(V_Altın!$AC$2:$AC$48,ROW()-3),V_Altın!$AC$2:$AC$48,0))</f>
        <v>0</v>
      </c>
      <c r="Z35" s="8">
        <f>INDEX(V_Altın!Y$2:Y$48,MATCH(LARGE(V_Altın!$AC$2:$AC$48,ROW()-3),V_Altın!$AC$2:$AC$48,0))</f>
        <v>0</v>
      </c>
      <c r="AA35" s="8">
        <f>INDEX(V_Altın!Z$2:Z$48,MATCH(LARGE(V_Altın!$AC$2:$AC$48,ROW()-3),V_Altın!$AC$2:$AC$48,0))</f>
        <v>0</v>
      </c>
      <c r="AB35" s="8">
        <f>INDEX(V_Altın!AA$2:AA$48,MATCH(LARGE(V_Altın!$AC$2:$AC$48,ROW()-3),V_Altın!$AC$2:$AC$48,0))</f>
        <v>8.8800000000000004E-2</v>
      </c>
    </row>
    <row r="36" spans="1:28" x14ac:dyDescent="0.2">
      <c r="A36">
        <v>33</v>
      </c>
      <c r="B36" s="5" t="str">
        <f>INDEX(V_Altın!A$2:A$48,MATCH(LARGE(V_Altın!$AC$2:$AC$48,ROW()-3),V_Altın!$AC$2:$AC$48,0))</f>
        <v>TUA</v>
      </c>
      <c r="C36" s="5" t="str">
        <f>INDEX(V_Altın!B$2:B$48,MATCH(LARGE(V_Altın!$AC$2:$AC$48,ROW()-3),V_Altın!$AC$2:$AC$48,0))</f>
        <v>Teb Portföy Altın Fonu</v>
      </c>
      <c r="D36" s="5" t="str">
        <f>INDEX(V_Altın!C$2:C$48,MATCH(LARGE(V_Altın!$AC$2:$AC$48,ROW()-3),V_Altın!$AC$2:$AC$48,0))</f>
        <v>Teb Portföy</v>
      </c>
      <c r="E36" s="8">
        <f>INDEX(V_Altın!D$2:D$48,MATCH(LARGE(V_Altın!$AC$2:$AC$48,ROW()-3),V_Altın!$AC$2:$AC$48,0))</f>
        <v>1.95E-2</v>
      </c>
      <c r="F36" s="9">
        <f>INDEX(V_Altın!E$2:E$48,MATCH(LARGE(V_Altın!$AC$2:$AC$48,ROW()-3),V_Altın!$AC$2:$AC$48,0))</f>
        <v>-0.91712280576226046</v>
      </c>
      <c r="G36" s="9">
        <f>INDEX(V_Altın!F$2:F$48,MATCH(LARGE(V_Altın!$AC$2:$AC$48,ROW()-3),V_Altın!$AC$2:$AC$48,0))</f>
        <v>-1.8542539831835401</v>
      </c>
      <c r="H36" s="9">
        <f>INDEX(V_Altın!G$2:G$48,MATCH(LARGE(V_Altın!$AC$2:$AC$48,ROW()-3),V_Altın!$AC$2:$AC$48,0))</f>
        <v>0.29249030941957971</v>
      </c>
      <c r="I36" s="9">
        <f>INDEX(V_Altın!H$2:H$48,MATCH(LARGE(V_Altın!$AC$2:$AC$48,ROW()-3),V_Altın!$AC$2:$AC$48,0))</f>
        <v>-1.731791170880959</v>
      </c>
      <c r="J36" s="9">
        <f>INDEX(V_Altın!I$2:I$48,MATCH(LARGE(V_Altın!$AC$2:$AC$48,ROW()-3),V_Altın!$AC$2:$AC$48,0))</f>
        <v>37.733606854608936</v>
      </c>
      <c r="K36" s="10">
        <f>INDEX(V_Altın!J$2:J$48,MATCH(LARGE(V_Altın!$AC$2:$AC$48,ROW()-3),V_Altın!$AC$2:$AC$48,0))</f>
        <v>33398</v>
      </c>
      <c r="L36" s="10">
        <f>INDEX(V_Altın!K$2:K$48,MATCH(LARGE(V_Altın!$AC$2:$AC$48,ROW()-3),V_Altın!$AC$2:$AC$48,0))</f>
        <v>32497</v>
      </c>
      <c r="M36" s="8">
        <f>INDEX(V_Altın!L$2:L$48,MATCH(LARGE(V_Altın!$AC$2:$AC$48,ROW()-3),V_Altın!$AC$2:$AC$48,0))</f>
        <v>-2.6977663333133669E-2</v>
      </c>
      <c r="N36" s="11">
        <f>INDEX(V_Altın!M$2:M$48,MATCH(LARGE(V_Altın!$AC$2:$AC$48,ROW()-3),V_Altın!$AC$2:$AC$48,0))</f>
        <v>15478121377.950001</v>
      </c>
      <c r="O36" s="11">
        <f>INDEX(V_Altın!N$2:N$48,MATCH(LARGE(V_Altın!$AC$2:$AC$48,ROW()-3),V_Altın!$AC$2:$AC$48,0))</f>
        <v>14411276206.389999</v>
      </c>
      <c r="P36" s="8">
        <f>INDEX(V_Altın!O$2:O$48,MATCH(LARGE(V_Altın!$AC$2:$AC$48,ROW()-3),V_Altın!$AC$2:$AC$48,0))</f>
        <v>-6.8926011465436643E-2</v>
      </c>
      <c r="Q36" s="9">
        <f>INDEX(V_Altın!P$2:P$48,MATCH(LARGE(V_Altın!$AC$2:$AC$48,ROW()-3),V_Altın!$AC$2:$AC$48,0))</f>
        <v>1.4162157587104529</v>
      </c>
      <c r="R36" s="5" t="str">
        <f>INDEX(V_Altın!Q$2:Q$48,MATCH(LARGE(V_Altın!$AC$2:$AC$48,ROW()-3),V_Altın!$AC$2:$AC$48,0))</f>
        <v>Görüyor</v>
      </c>
      <c r="S36" s="8">
        <f>INDEX(V_Altın!R$2:R$48,MATCH(LARGE(V_Altın!$AC$2:$AC$48,ROW()-3),V_Altın!$AC$2:$AC$48,0))</f>
        <v>1.7299999999999999E-2</v>
      </c>
      <c r="T36" s="8">
        <f>INDEX(V_Altın!S$2:S$48,MATCH(LARGE(V_Altın!$AC$2:$AC$48,ROW()-3),V_Altın!$AC$2:$AC$48,0))</f>
        <v>5.4000000000000003E-3</v>
      </c>
      <c r="U36" s="8">
        <f>INDEX(V_Altın!T$2:T$48,MATCH(LARGE(V_Altın!$AC$2:$AC$48,ROW()-3),V_Altın!$AC$2:$AC$48,0))</f>
        <v>0</v>
      </c>
      <c r="V36" s="8">
        <f>INDEX(V_Altın!U$2:U$48,MATCH(LARGE(V_Altın!$AC$2:$AC$48,ROW()-3),V_Altın!$AC$2:$AC$48,0))</f>
        <v>2.0999999999999999E-3</v>
      </c>
      <c r="W36" s="8">
        <f>INDEX(V_Altın!V$2:V$48,MATCH(LARGE(V_Altın!$AC$2:$AC$48,ROW()-3),V_Altın!$AC$2:$AC$48,0))</f>
        <v>0</v>
      </c>
      <c r="X36" s="8">
        <f>INDEX(V_Altın!W$2:W$48,MATCH(LARGE(V_Altın!$AC$2:$AC$48,ROW()-3),V_Altın!$AC$2:$AC$48,0))</f>
        <v>5.3199999999999997E-2</v>
      </c>
      <c r="Y36" s="8">
        <f>INDEX(V_Altın!X$2:X$48,MATCH(LARGE(V_Altın!$AC$2:$AC$48,ROW()-3),V_Altın!$AC$2:$AC$48,0))</f>
        <v>0</v>
      </c>
      <c r="Z36" s="8">
        <f>INDEX(V_Altın!Y$2:Y$48,MATCH(LARGE(V_Altın!$AC$2:$AC$48,ROW()-3),V_Altın!$AC$2:$AC$48,0))</f>
        <v>0</v>
      </c>
      <c r="AA36" s="8">
        <f>INDEX(V_Altın!Z$2:Z$48,MATCH(LARGE(V_Altın!$AC$2:$AC$48,ROW()-3),V_Altın!$AC$2:$AC$48,0))</f>
        <v>0</v>
      </c>
      <c r="AB36" s="8">
        <f>INDEX(V_Altın!AA$2:AA$48,MATCH(LARGE(V_Altın!$AC$2:$AC$48,ROW()-3),V_Altın!$AC$2:$AC$48,0))</f>
        <v>7.8E-2</v>
      </c>
    </row>
    <row r="37" spans="1:28" x14ac:dyDescent="0.2">
      <c r="A37">
        <v>34</v>
      </c>
      <c r="B37" s="5" t="str">
        <f>INDEX(V_Altın!A$2:A$48,MATCH(LARGE(V_Altın!$AC$2:$AC$48,ROW()-3),V_Altın!$AC$2:$AC$48,0))</f>
        <v>HBF</v>
      </c>
      <c r="C37" s="5" t="str">
        <f>INDEX(V_Altın!B$2:B$48,MATCH(LARGE(V_Altın!$AC$2:$AC$48,ROW()-3),V_Altın!$AC$2:$AC$48,0))</f>
        <v>Hsbc Portföy Altın Fonu</v>
      </c>
      <c r="D37" s="5" t="str">
        <f>INDEX(V_Altın!C$2:C$48,MATCH(LARGE(V_Altın!$AC$2:$AC$48,ROW()-3),V_Altın!$AC$2:$AC$48,0))</f>
        <v>Hsbc Portföy</v>
      </c>
      <c r="E37" s="8">
        <f>INDEX(V_Altın!D$2:D$48,MATCH(LARGE(V_Altın!$AC$2:$AC$48,ROW()-3),V_Altın!$AC$2:$AC$48,0))</f>
        <v>1.7999999999999999E-2</v>
      </c>
      <c r="F37" s="9">
        <f>INDEX(V_Altın!E$2:E$48,MATCH(LARGE(V_Altın!$AC$2:$AC$48,ROW()-3),V_Altın!$AC$2:$AC$48,0))</f>
        <v>-0.91929468656796187</v>
      </c>
      <c r="G37" s="9">
        <f>INDEX(V_Altın!F$2:F$48,MATCH(LARGE(V_Altın!$AC$2:$AC$48,ROW()-3),V_Altın!$AC$2:$AC$48,0))</f>
        <v>-1.810214331496274</v>
      </c>
      <c r="H37" s="9">
        <f>INDEX(V_Altın!G$2:G$48,MATCH(LARGE(V_Altın!$AC$2:$AC$48,ROW()-3),V_Altın!$AC$2:$AC$48,0))</f>
        <v>0.43464881764732072</v>
      </c>
      <c r="I37" s="9">
        <f>INDEX(V_Altın!H$2:H$48,MATCH(LARGE(V_Altın!$AC$2:$AC$48,ROW()-3),V_Altın!$AC$2:$AC$48,0))</f>
        <v>-0.72503829247524409</v>
      </c>
      <c r="J37" s="9">
        <f>INDEX(V_Altın!I$2:I$48,MATCH(LARGE(V_Altın!$AC$2:$AC$48,ROW()-3),V_Altın!$AC$2:$AC$48,0))</f>
        <v>41.967729027709133</v>
      </c>
      <c r="K37" s="10">
        <f>INDEX(V_Altın!J$2:J$48,MATCH(LARGE(V_Altın!$AC$2:$AC$48,ROW()-3),V_Altın!$AC$2:$AC$48,0))</f>
        <v>11949</v>
      </c>
      <c r="L37" s="10">
        <f>INDEX(V_Altın!K$2:K$48,MATCH(LARGE(V_Altın!$AC$2:$AC$48,ROW()-3),V_Altın!$AC$2:$AC$48,0))</f>
        <v>11382</v>
      </c>
      <c r="M37" s="8">
        <f>INDEX(V_Altın!L$2:L$48,MATCH(LARGE(V_Altın!$AC$2:$AC$48,ROW()-3),V_Altın!$AC$2:$AC$48,0))</f>
        <v>-4.7451669595782058E-2</v>
      </c>
      <c r="N37" s="11">
        <f>INDEX(V_Altın!M$2:M$48,MATCH(LARGE(V_Altın!$AC$2:$AC$48,ROW()-3),V_Altın!$AC$2:$AC$48,0))</f>
        <v>6177366578.8999996</v>
      </c>
      <c r="O37" s="11">
        <f>INDEX(V_Altın!N$2:N$48,MATCH(LARGE(V_Altın!$AC$2:$AC$48,ROW()-3),V_Altın!$AC$2:$AC$48,0))</f>
        <v>6021342020.7600002</v>
      </c>
      <c r="P37" s="8">
        <f>INDEX(V_Altın!O$2:O$48,MATCH(LARGE(V_Altın!$AC$2:$AC$48,ROW()-3),V_Altın!$AC$2:$AC$48,0))</f>
        <v>-2.52574549603275E-2</v>
      </c>
      <c r="Q37" s="9">
        <f>INDEX(V_Altın!P$2:P$48,MATCH(LARGE(V_Altın!$AC$2:$AC$48,ROW()-3),V_Altın!$AC$2:$AC$48,0))</f>
        <v>1.3325451541055171</v>
      </c>
      <c r="R37" s="5" t="str">
        <f>INDEX(V_Altın!Q$2:Q$48,MATCH(LARGE(V_Altın!$AC$2:$AC$48,ROW()-3),V_Altın!$AC$2:$AC$48,0))</f>
        <v>Görüyor</v>
      </c>
      <c r="S37" s="8">
        <f>INDEX(V_Altın!R$2:R$48,MATCH(LARGE(V_Altın!$AC$2:$AC$48,ROW()-3),V_Altın!$AC$2:$AC$48,0))</f>
        <v>0</v>
      </c>
      <c r="T37" s="8">
        <f>INDEX(V_Altın!S$2:S$48,MATCH(LARGE(V_Altın!$AC$2:$AC$48,ROW()-3),V_Altın!$AC$2:$AC$48,0))</f>
        <v>1.37E-2</v>
      </c>
      <c r="U37" s="8">
        <f>INDEX(V_Altın!T$2:T$48,MATCH(LARGE(V_Altın!$AC$2:$AC$48,ROW()-3),V_Altın!$AC$2:$AC$48,0))</f>
        <v>0</v>
      </c>
      <c r="V37" s="8">
        <f>INDEX(V_Altın!U$2:U$48,MATCH(LARGE(V_Altın!$AC$2:$AC$48,ROW()-3),V_Altın!$AC$2:$AC$48,0))</f>
        <v>0</v>
      </c>
      <c r="W37" s="8">
        <f>INDEX(V_Altın!V$2:V$48,MATCH(LARGE(V_Altın!$AC$2:$AC$48,ROW()-3),V_Altın!$AC$2:$AC$48,0))</f>
        <v>6.1500000000000013E-2</v>
      </c>
      <c r="X37" s="8">
        <f>INDEX(V_Altın!W$2:W$48,MATCH(LARGE(V_Altın!$AC$2:$AC$48,ROW()-3),V_Altın!$AC$2:$AC$48,0))</f>
        <v>0</v>
      </c>
      <c r="Y37" s="8">
        <f>INDEX(V_Altın!X$2:X$48,MATCH(LARGE(V_Altın!$AC$2:$AC$48,ROW()-3),V_Altın!$AC$2:$AC$48,0))</f>
        <v>0</v>
      </c>
      <c r="Z37" s="8">
        <f>INDEX(V_Altın!Y$2:Y$48,MATCH(LARGE(V_Altın!$AC$2:$AC$48,ROW()-3),V_Altın!$AC$2:$AC$48,0))</f>
        <v>0</v>
      </c>
      <c r="AA37" s="8">
        <f>INDEX(V_Altın!Z$2:Z$48,MATCH(LARGE(V_Altın!$AC$2:$AC$48,ROW()-3),V_Altın!$AC$2:$AC$48,0))</f>
        <v>0</v>
      </c>
      <c r="AB37" s="8">
        <f>INDEX(V_Altın!AA$2:AA$48,MATCH(LARGE(V_Altın!$AC$2:$AC$48,ROW()-3),V_Altın!$AC$2:$AC$48,0))</f>
        <v>7.5200000000000003E-2</v>
      </c>
    </row>
    <row r="38" spans="1:28" x14ac:dyDescent="0.2">
      <c r="A38">
        <v>35</v>
      </c>
      <c r="B38" s="5" t="str">
        <f>INDEX(V_Altın!A$2:A$48,MATCH(LARGE(V_Altın!$AC$2:$AC$48,ROW()-3),V_Altın!$AC$2:$AC$48,0))</f>
        <v>BAI</v>
      </c>
      <c r="C38" s="5" t="str">
        <f>INDEX(V_Altın!B$2:B$48,MATCH(LARGE(V_Altın!$AC$2:$AC$48,ROW()-3),V_Altın!$AC$2:$AC$48,0))</f>
        <v>BV Portföy Altın Katılım Fonu</v>
      </c>
      <c r="D38" s="5" t="str">
        <f>INDEX(V_Altın!C$2:C$48,MATCH(LARGE(V_Altın!$AC$2:$AC$48,ROW()-3),V_Altın!$AC$2:$AC$48,0))</f>
        <v>BV Portföy</v>
      </c>
      <c r="E38" s="8">
        <f>INDEX(V_Altın!D$2:D$48,MATCH(LARGE(V_Altın!$AC$2:$AC$48,ROW()-3),V_Altın!$AC$2:$AC$48,0))</f>
        <v>1.72E-2</v>
      </c>
      <c r="F38" s="9">
        <f>INDEX(V_Altın!E$2:E$48,MATCH(LARGE(V_Altın!$AC$2:$AC$48,ROW()-3),V_Altın!$AC$2:$AC$48,0))</f>
        <v>-0.92119751687598228</v>
      </c>
      <c r="G38" s="9" t="str">
        <f>INDEX(V_Altın!F$2:F$48,MATCH(LARGE(V_Altın!$AC$2:$AC$48,ROW()-3),V_Altın!$AC$2:$AC$48,0))</f>
        <v>-</v>
      </c>
      <c r="H38" s="9" t="str">
        <f>INDEX(V_Altın!G$2:G$48,MATCH(LARGE(V_Altın!$AC$2:$AC$48,ROW()-3),V_Altın!$AC$2:$AC$48,0))</f>
        <v>-</v>
      </c>
      <c r="I38" s="9" t="str">
        <f>INDEX(V_Altın!H$2:H$48,MATCH(LARGE(V_Altın!$AC$2:$AC$48,ROW()-3),V_Altın!$AC$2:$AC$48,0))</f>
        <v>-</v>
      </c>
      <c r="J38" s="9" t="str">
        <f>INDEX(V_Altın!I$2:I$48,MATCH(LARGE(V_Altın!$AC$2:$AC$48,ROW()-3),V_Altın!$AC$2:$AC$48,0))</f>
        <v>-</v>
      </c>
      <c r="K38" s="10" t="str">
        <f>INDEX(V_Altın!J$2:J$48,MATCH(LARGE(V_Altın!$AC$2:$AC$48,ROW()-3),V_Altın!$AC$2:$AC$48,0))</f>
        <v>-</v>
      </c>
      <c r="L38" s="10">
        <f>INDEX(V_Altın!K$2:K$48,MATCH(LARGE(V_Altın!$AC$2:$AC$48,ROW()-3),V_Altın!$AC$2:$AC$48,0))</f>
        <v>15</v>
      </c>
      <c r="M38" s="8" t="str">
        <f>INDEX(V_Altın!L$2:L$48,MATCH(LARGE(V_Altın!$AC$2:$AC$48,ROW()-3),V_Altın!$AC$2:$AC$48,0))</f>
        <v>-</v>
      </c>
      <c r="N38" s="11" t="str">
        <f>INDEX(V_Altın!M$2:M$48,MATCH(LARGE(V_Altın!$AC$2:$AC$48,ROW()-3),V_Altın!$AC$2:$AC$48,0))</f>
        <v>-</v>
      </c>
      <c r="O38" s="11">
        <f>INDEX(V_Altın!N$2:N$48,MATCH(LARGE(V_Altın!$AC$2:$AC$48,ROW()-3),V_Altın!$AC$2:$AC$48,0))</f>
        <v>32885587.850000001</v>
      </c>
      <c r="P38" s="8" t="str">
        <f>INDEX(V_Altın!O$2:O$48,MATCH(LARGE(V_Altın!$AC$2:$AC$48,ROW()-3),V_Altın!$AC$2:$AC$48,0))</f>
        <v>-</v>
      </c>
      <c r="Q38" s="9" t="str">
        <f>INDEX(V_Altın!P$2:P$48,MATCH(LARGE(V_Altın!$AC$2:$AC$48,ROW()-3),V_Altın!$AC$2:$AC$48,0))</f>
        <v>-</v>
      </c>
      <c r="R38" s="5" t="str">
        <f>INDEX(V_Altın!Q$2:Q$48,MATCH(LARGE(V_Altın!$AC$2:$AC$48,ROW()-3),V_Altın!$AC$2:$AC$48,0))</f>
        <v>Görüyor</v>
      </c>
      <c r="S38" s="8">
        <f>INDEX(V_Altın!R$2:R$48,MATCH(LARGE(V_Altın!$AC$2:$AC$48,ROW()-3),V_Altın!$AC$2:$AC$48,0))</f>
        <v>0</v>
      </c>
      <c r="T38" s="8">
        <f>INDEX(V_Altın!S$2:S$48,MATCH(LARGE(V_Altın!$AC$2:$AC$48,ROW()-3),V_Altın!$AC$2:$AC$48,0))</f>
        <v>0</v>
      </c>
      <c r="U38" s="8">
        <f>INDEX(V_Altın!T$2:T$48,MATCH(LARGE(V_Altın!$AC$2:$AC$48,ROW()-3),V_Altın!$AC$2:$AC$48,0))</f>
        <v>0</v>
      </c>
      <c r="V38" s="8">
        <f>INDEX(V_Altın!U$2:U$48,MATCH(LARGE(V_Altın!$AC$2:$AC$48,ROW()-3),V_Altın!$AC$2:$AC$48,0))</f>
        <v>6.2699999999999992E-2</v>
      </c>
      <c r="W38" s="8">
        <f>INDEX(V_Altın!V$2:V$48,MATCH(LARGE(V_Altın!$AC$2:$AC$48,ROW()-3),V_Altın!$AC$2:$AC$48,0))</f>
        <v>0</v>
      </c>
      <c r="X38" s="8">
        <f>INDEX(V_Altın!W$2:W$48,MATCH(LARGE(V_Altın!$AC$2:$AC$48,ROW()-3),V_Altın!$AC$2:$AC$48,0))</f>
        <v>0</v>
      </c>
      <c r="Y38" s="8">
        <f>INDEX(V_Altın!X$2:X$48,MATCH(LARGE(V_Altın!$AC$2:$AC$48,ROW()-3),V_Altın!$AC$2:$AC$48,0))</f>
        <v>0</v>
      </c>
      <c r="Z38" s="8">
        <f>INDEX(V_Altın!Y$2:Y$48,MATCH(LARGE(V_Altın!$AC$2:$AC$48,ROW()-3),V_Altın!$AC$2:$AC$48,0))</f>
        <v>0</v>
      </c>
      <c r="AA38" s="8">
        <f>INDEX(V_Altın!Z$2:Z$48,MATCH(LARGE(V_Altın!$AC$2:$AC$48,ROW()-3),V_Altın!$AC$2:$AC$48,0))</f>
        <v>0</v>
      </c>
      <c r="AB38" s="8">
        <f>INDEX(V_Altın!AA$2:AA$48,MATCH(LARGE(V_Altın!$AC$2:$AC$48,ROW()-3),V_Altın!$AC$2:$AC$48,0))</f>
        <v>6.2699999999999992E-2</v>
      </c>
    </row>
    <row r="39" spans="1:28" x14ac:dyDescent="0.2">
      <c r="A39">
        <v>36</v>
      </c>
      <c r="B39" s="5" t="str">
        <f>INDEX(V_Altın!A$2:A$48,MATCH(LARGE(V_Altın!$AC$2:$AC$48,ROW()-3),V_Altın!$AC$2:$AC$48,0))</f>
        <v>HAM</v>
      </c>
      <c r="C39" s="5" t="str">
        <f>INDEX(V_Altın!B$2:B$48,MATCH(LARGE(V_Altın!$AC$2:$AC$48,ROW()-3),V_Altın!$AC$2:$AC$48,0))</f>
        <v>Hedef Portföy Altın Katılım Fonu</v>
      </c>
      <c r="D39" s="5" t="str">
        <f>INDEX(V_Altın!C$2:C$48,MATCH(LARGE(V_Altın!$AC$2:$AC$48,ROW()-3),V_Altın!$AC$2:$AC$48,0))</f>
        <v>Hedef Portföy</v>
      </c>
      <c r="E39" s="8">
        <f>INDEX(V_Altın!D$2:D$48,MATCH(LARGE(V_Altın!$AC$2:$AC$48,ROW()-3),V_Altın!$AC$2:$AC$48,0))</f>
        <v>1.4999999999999999E-2</v>
      </c>
      <c r="F39" s="9">
        <f>INDEX(V_Altın!E$2:E$48,MATCH(LARGE(V_Altın!$AC$2:$AC$48,ROW()-3),V_Altın!$AC$2:$AC$48,0))</f>
        <v>-0.93522612555743123</v>
      </c>
      <c r="G39" s="9">
        <f>INDEX(V_Altın!F$2:F$48,MATCH(LARGE(V_Altın!$AC$2:$AC$48,ROW()-3),V_Altın!$AC$2:$AC$48,0))</f>
        <v>-1.872974981352959</v>
      </c>
      <c r="H39" s="9">
        <f>INDEX(V_Altın!G$2:G$48,MATCH(LARGE(V_Altın!$AC$2:$AC$48,ROW()-3),V_Altın!$AC$2:$AC$48,0))</f>
        <v>0.33976783479037209</v>
      </c>
      <c r="I39" s="9">
        <f>INDEX(V_Altın!H$2:H$48,MATCH(LARGE(V_Altın!$AC$2:$AC$48,ROW()-3),V_Altın!$AC$2:$AC$48,0))</f>
        <v>0.52404676043822374</v>
      </c>
      <c r="J39" s="9">
        <f>INDEX(V_Altın!I$2:I$48,MATCH(LARGE(V_Altın!$AC$2:$AC$48,ROW()-3),V_Altın!$AC$2:$AC$48,0))</f>
        <v>46.869807592866387</v>
      </c>
      <c r="K39" s="10">
        <f>INDEX(V_Altın!J$2:J$48,MATCH(LARGE(V_Altın!$AC$2:$AC$48,ROW()-3),V_Altın!$AC$2:$AC$48,0))</f>
        <v>8289</v>
      </c>
      <c r="L39" s="10">
        <f>INDEX(V_Altın!K$2:K$48,MATCH(LARGE(V_Altın!$AC$2:$AC$48,ROW()-3),V_Altın!$AC$2:$AC$48,0))</f>
        <v>7742</v>
      </c>
      <c r="M39" s="8">
        <f>INDEX(V_Altın!L$2:L$48,MATCH(LARGE(V_Altın!$AC$2:$AC$48,ROW()-3),V_Altın!$AC$2:$AC$48,0))</f>
        <v>-6.5991072505730441E-2</v>
      </c>
      <c r="N39" s="11">
        <f>INDEX(V_Altın!M$2:M$48,MATCH(LARGE(V_Altın!$AC$2:$AC$48,ROW()-3),V_Altın!$AC$2:$AC$48,0))</f>
        <v>1534236093.73</v>
      </c>
      <c r="O39" s="11">
        <f>INDEX(V_Altın!N$2:N$48,MATCH(LARGE(V_Altın!$AC$2:$AC$48,ROW()-3),V_Altın!$AC$2:$AC$48,0))</f>
        <v>1486998688.9300001</v>
      </c>
      <c r="P39" s="8">
        <f>INDEX(V_Altın!O$2:O$48,MATCH(LARGE(V_Altın!$AC$2:$AC$48,ROW()-3),V_Altın!$AC$2:$AC$48,0))</f>
        <v>-3.0788875970944929E-2</v>
      </c>
      <c r="Q39" s="9">
        <f>INDEX(V_Altın!P$2:P$48,MATCH(LARGE(V_Altın!$AC$2:$AC$48,ROW()-3),V_Altın!$AC$2:$AC$48,0))</f>
        <v>1.4624519696288689</v>
      </c>
      <c r="R39" s="5" t="str">
        <f>INDEX(V_Altın!Q$2:Q$48,MATCH(LARGE(V_Altın!$AC$2:$AC$48,ROW()-3),V_Altın!$AC$2:$AC$48,0))</f>
        <v>Görüyor</v>
      </c>
      <c r="S39" s="8">
        <f>INDEX(V_Altın!R$2:R$48,MATCH(LARGE(V_Altın!$AC$2:$AC$48,ROW()-3),V_Altın!$AC$2:$AC$48,0))</f>
        <v>0</v>
      </c>
      <c r="T39" s="8">
        <f>INDEX(V_Altın!S$2:S$48,MATCH(LARGE(V_Altın!$AC$2:$AC$48,ROW()-3),V_Altın!$AC$2:$AC$48,0))</f>
        <v>0</v>
      </c>
      <c r="U39" s="8">
        <f>INDEX(V_Altın!T$2:T$48,MATCH(LARGE(V_Altın!$AC$2:$AC$48,ROW()-3),V_Altın!$AC$2:$AC$48,0))</f>
        <v>0</v>
      </c>
      <c r="V39" s="8">
        <f>INDEX(V_Altın!U$2:U$48,MATCH(LARGE(V_Altın!$AC$2:$AC$48,ROW()-3),V_Altın!$AC$2:$AC$48,0))</f>
        <v>0</v>
      </c>
      <c r="W39" s="8">
        <f>INDEX(V_Altın!V$2:V$48,MATCH(LARGE(V_Altın!$AC$2:$AC$48,ROW()-3),V_Altın!$AC$2:$AC$48,0))</f>
        <v>0</v>
      </c>
      <c r="X39" s="8">
        <f>INDEX(V_Altın!W$2:W$48,MATCH(LARGE(V_Altın!$AC$2:$AC$48,ROW()-3),V_Altın!$AC$2:$AC$48,0))</f>
        <v>1.0800000000000001E-2</v>
      </c>
      <c r="Y39" s="8">
        <f>INDEX(V_Altın!X$2:X$48,MATCH(LARGE(V_Altın!$AC$2:$AC$48,ROW()-3),V_Altın!$AC$2:$AC$48,0))</f>
        <v>0</v>
      </c>
      <c r="Z39" s="8">
        <f>INDEX(V_Altın!Y$2:Y$48,MATCH(LARGE(V_Altın!$AC$2:$AC$48,ROW()-3),V_Altın!$AC$2:$AC$48,0))</f>
        <v>0</v>
      </c>
      <c r="AA39" s="8">
        <f>INDEX(V_Altın!Z$2:Z$48,MATCH(LARGE(V_Altın!$AC$2:$AC$48,ROW()-3),V_Altın!$AC$2:$AC$48,0))</f>
        <v>0</v>
      </c>
      <c r="AB39" s="8">
        <f>INDEX(V_Altın!AA$2:AA$48,MATCH(LARGE(V_Altın!$AC$2:$AC$48,ROW()-3),V_Altın!$AC$2:$AC$48,0))</f>
        <v>1.0800000000000001E-2</v>
      </c>
    </row>
    <row r="40" spans="1:28" x14ac:dyDescent="0.2">
      <c r="A40">
        <v>37</v>
      </c>
      <c r="B40" s="5" t="str">
        <f>INDEX(V_Altın!A$2:A$48,MATCH(LARGE(V_Altın!$AC$2:$AC$48,ROW()-3),V_Altın!$AC$2:$AC$48,0))</f>
        <v>PA2</v>
      </c>
      <c r="C40" s="5" t="str">
        <f>INDEX(V_Altın!B$2:B$48,MATCH(LARGE(V_Altın!$AC$2:$AC$48,ROW()-3),V_Altın!$AC$2:$AC$48,0))</f>
        <v>Pusula Portföy Altın Katılım Fonu</v>
      </c>
      <c r="D40" s="5" t="str">
        <f>INDEX(V_Altın!C$2:C$48,MATCH(LARGE(V_Altın!$AC$2:$AC$48,ROW()-3),V_Altın!$AC$2:$AC$48,0))</f>
        <v>Pusula Portföy</v>
      </c>
      <c r="E40" s="8">
        <f>INDEX(V_Altın!D$2:D$48,MATCH(LARGE(V_Altın!$AC$2:$AC$48,ROW()-3),V_Altın!$AC$2:$AC$48,0))</f>
        <v>1.2500000000000001E-2</v>
      </c>
      <c r="F40" s="9">
        <f>INDEX(V_Altın!E$2:E$48,MATCH(LARGE(V_Altın!$AC$2:$AC$48,ROW()-3),V_Altın!$AC$2:$AC$48,0))</f>
        <v>-0.9522009980194146</v>
      </c>
      <c r="G40" s="9">
        <f>INDEX(V_Altın!F$2:F$48,MATCH(LARGE(V_Altın!$AC$2:$AC$48,ROW()-3),V_Altın!$AC$2:$AC$48,0))</f>
        <v>-1.7054165654602831</v>
      </c>
      <c r="H40" s="9" t="str">
        <f>INDEX(V_Altın!G$2:G$48,MATCH(LARGE(V_Altın!$AC$2:$AC$48,ROW()-3),V_Altın!$AC$2:$AC$48,0))</f>
        <v>-</v>
      </c>
      <c r="I40" s="9" t="str">
        <f>INDEX(V_Altın!H$2:H$48,MATCH(LARGE(V_Altın!$AC$2:$AC$48,ROW()-3),V_Altın!$AC$2:$AC$48,0))</f>
        <v>-</v>
      </c>
      <c r="J40" s="9" t="str">
        <f>INDEX(V_Altın!I$2:I$48,MATCH(LARGE(V_Altın!$AC$2:$AC$48,ROW()-3),V_Altın!$AC$2:$AC$48,0))</f>
        <v>-</v>
      </c>
      <c r="K40" s="10" t="str">
        <f>INDEX(V_Altın!J$2:J$48,MATCH(LARGE(V_Altın!$AC$2:$AC$48,ROW()-3),V_Altın!$AC$2:$AC$48,0))</f>
        <v>-</v>
      </c>
      <c r="L40" s="10">
        <f>INDEX(V_Altın!K$2:K$48,MATCH(LARGE(V_Altın!$AC$2:$AC$48,ROW()-3),V_Altın!$AC$2:$AC$48,0))</f>
        <v>278</v>
      </c>
      <c r="M40" s="8" t="str">
        <f>INDEX(V_Altın!L$2:L$48,MATCH(LARGE(V_Altın!$AC$2:$AC$48,ROW()-3),V_Altın!$AC$2:$AC$48,0))</f>
        <v>-</v>
      </c>
      <c r="N40" s="11" t="str">
        <f>INDEX(V_Altın!M$2:M$48,MATCH(LARGE(V_Altın!$AC$2:$AC$48,ROW()-3),V_Altın!$AC$2:$AC$48,0))</f>
        <v>-</v>
      </c>
      <c r="O40" s="11">
        <f>INDEX(V_Altın!N$2:N$48,MATCH(LARGE(V_Altın!$AC$2:$AC$48,ROW()-3),V_Altın!$AC$2:$AC$48,0))</f>
        <v>28439604.07</v>
      </c>
      <c r="P40" s="8" t="str">
        <f>INDEX(V_Altın!O$2:O$48,MATCH(LARGE(V_Altın!$AC$2:$AC$48,ROW()-3),V_Altın!$AC$2:$AC$48,0))</f>
        <v>-</v>
      </c>
      <c r="Q40" s="9">
        <f>INDEX(V_Altın!P$2:P$48,MATCH(LARGE(V_Altın!$AC$2:$AC$48,ROW()-3),V_Altın!$AC$2:$AC$48,0))</f>
        <v>0.7535196294863522</v>
      </c>
      <c r="R40" s="5" t="str">
        <f>INDEX(V_Altın!Q$2:Q$48,MATCH(LARGE(V_Altın!$AC$2:$AC$48,ROW()-3),V_Altın!$AC$2:$AC$48,0))</f>
        <v>Görüyor</v>
      </c>
      <c r="S40" s="8">
        <f>INDEX(V_Altın!R$2:R$48,MATCH(LARGE(V_Altın!$AC$2:$AC$48,ROW()-3),V_Altın!$AC$2:$AC$48,0))</f>
        <v>0</v>
      </c>
      <c r="T40" s="8">
        <f>INDEX(V_Altın!S$2:S$48,MATCH(LARGE(V_Altın!$AC$2:$AC$48,ROW()-3),V_Altın!$AC$2:$AC$48,0))</f>
        <v>0</v>
      </c>
      <c r="U40" s="8">
        <f>INDEX(V_Altın!T$2:T$48,MATCH(LARGE(V_Altın!$AC$2:$AC$48,ROW()-3),V_Altın!$AC$2:$AC$48,0))</f>
        <v>0</v>
      </c>
      <c r="V40" s="8">
        <f>INDEX(V_Altın!U$2:U$48,MATCH(LARGE(V_Altın!$AC$2:$AC$48,ROW()-3),V_Altın!$AC$2:$AC$48,0))</f>
        <v>0</v>
      </c>
      <c r="W40" s="8">
        <f>INDEX(V_Altın!V$2:V$48,MATCH(LARGE(V_Altın!$AC$2:$AC$48,ROW()-3),V_Altın!$AC$2:$AC$48,0))</f>
        <v>0</v>
      </c>
      <c r="X40" s="8">
        <f>INDEX(V_Altın!W$2:W$48,MATCH(LARGE(V_Altın!$AC$2:$AC$48,ROW()-3),V_Altın!$AC$2:$AC$48,0))</f>
        <v>0</v>
      </c>
      <c r="Y40" s="8">
        <f>INDEX(V_Altın!X$2:X$48,MATCH(LARGE(V_Altın!$AC$2:$AC$48,ROW()-3),V_Altın!$AC$2:$AC$48,0))</f>
        <v>0</v>
      </c>
      <c r="Z40" s="8">
        <f>INDEX(V_Altın!Y$2:Y$48,MATCH(LARGE(V_Altın!$AC$2:$AC$48,ROW()-3),V_Altın!$AC$2:$AC$48,0))</f>
        <v>0</v>
      </c>
      <c r="AA40" s="8">
        <f>INDEX(V_Altın!Z$2:Z$48,MATCH(LARGE(V_Altın!$AC$2:$AC$48,ROW()-3),V_Altın!$AC$2:$AC$48,0))</f>
        <v>0</v>
      </c>
      <c r="AB40" s="8">
        <f>INDEX(V_Altın!AA$2:AA$48,MATCH(LARGE(V_Altın!$AC$2:$AC$48,ROW()-3),V_Altın!$AC$2:$AC$48,0))</f>
        <v>0</v>
      </c>
    </row>
    <row r="41" spans="1:28" x14ac:dyDescent="0.2">
      <c r="A41">
        <v>38</v>
      </c>
      <c r="B41" s="5" t="str">
        <f>INDEX(V_Altın!A$2:A$48,MATCH(LARGE(V_Altın!$AC$2:$AC$48,ROW()-3),V_Altın!$AC$2:$AC$48,0))</f>
        <v>RBA</v>
      </c>
      <c r="C41" s="5" t="str">
        <f>INDEX(V_Altın!B$2:B$48,MATCH(LARGE(V_Altın!$AC$2:$AC$48,ROW()-3),V_Altın!$AC$2:$AC$48,0))</f>
        <v>Albaraka Portföy Bereket Vakfı NA Destek Altın Katılım Fonu</v>
      </c>
      <c r="D41" s="5" t="str">
        <f>INDEX(V_Altın!C$2:C$48,MATCH(LARGE(V_Altın!$AC$2:$AC$48,ROW()-3),V_Altın!$AC$2:$AC$48,0))</f>
        <v>Albaraka Portföy</v>
      </c>
      <c r="E41" s="8">
        <f>INDEX(V_Altın!D$2:D$48,MATCH(LARGE(V_Altın!$AC$2:$AC$48,ROW()-3),V_Altın!$AC$2:$AC$48,0))</f>
        <v>0.01</v>
      </c>
      <c r="F41" s="9">
        <f>INDEX(V_Altın!E$2:E$48,MATCH(LARGE(V_Altın!$AC$2:$AC$48,ROW()-3),V_Altın!$AC$2:$AC$48,0))</f>
        <v>-0.97739557593865545</v>
      </c>
      <c r="G41" s="9">
        <f>INDEX(V_Altın!F$2:F$48,MATCH(LARGE(V_Altın!$AC$2:$AC$48,ROW()-3),V_Altın!$AC$2:$AC$48,0))</f>
        <v>-2.0305211561591152</v>
      </c>
      <c r="H41" s="9">
        <f>INDEX(V_Altın!G$2:G$48,MATCH(LARGE(V_Altın!$AC$2:$AC$48,ROW()-3),V_Altın!$AC$2:$AC$48,0))</f>
        <v>-0.56267470361758276</v>
      </c>
      <c r="I41" s="9">
        <f>INDEX(V_Altın!H$2:H$48,MATCH(LARGE(V_Altın!$AC$2:$AC$48,ROW()-3),V_Altın!$AC$2:$AC$48,0))</f>
        <v>-2.1379774290337878</v>
      </c>
      <c r="J41" s="9">
        <f>INDEX(V_Altın!I$2:I$48,MATCH(LARGE(V_Altın!$AC$2:$AC$48,ROW()-3),V_Altın!$AC$2:$AC$48,0))</f>
        <v>40.198937410586453</v>
      </c>
      <c r="K41" s="10">
        <f>INDEX(V_Altın!J$2:J$48,MATCH(LARGE(V_Altın!$AC$2:$AC$48,ROW()-3),V_Altın!$AC$2:$AC$48,0))</f>
        <v>5940</v>
      </c>
      <c r="L41" s="10">
        <f>INDEX(V_Altın!K$2:K$48,MATCH(LARGE(V_Altın!$AC$2:$AC$48,ROW()-3),V_Altın!$AC$2:$AC$48,0))</f>
        <v>5629</v>
      </c>
      <c r="M41" s="8">
        <f>INDEX(V_Altın!L$2:L$48,MATCH(LARGE(V_Altın!$AC$2:$AC$48,ROW()-3),V_Altın!$AC$2:$AC$48,0))</f>
        <v>-5.2356902356902379E-2</v>
      </c>
      <c r="N41" s="11">
        <f>INDEX(V_Altın!M$2:M$48,MATCH(LARGE(V_Altın!$AC$2:$AC$48,ROW()-3),V_Altın!$AC$2:$AC$48,0))</f>
        <v>1980004015.0999999</v>
      </c>
      <c r="O41" s="11">
        <f>INDEX(V_Altın!N$2:N$48,MATCH(LARGE(V_Altın!$AC$2:$AC$48,ROW()-3),V_Altın!$AC$2:$AC$48,0))</f>
        <v>1788922822.4200001</v>
      </c>
      <c r="P41" s="8">
        <f>INDEX(V_Altın!O$2:O$48,MATCH(LARGE(V_Altın!$AC$2:$AC$48,ROW()-3),V_Altın!$AC$2:$AC$48,0))</f>
        <v>-9.6505457172191278E-2</v>
      </c>
      <c r="Q41" s="9">
        <f>INDEX(V_Altın!P$2:P$48,MATCH(LARGE(V_Altın!$AC$2:$AC$48,ROW()-3),V_Altın!$AC$2:$AC$48,0))</f>
        <v>1.4410722235364171</v>
      </c>
      <c r="R41" s="5" t="str">
        <f>INDEX(V_Altın!Q$2:Q$48,MATCH(LARGE(V_Altın!$AC$2:$AC$48,ROW()-3),V_Altın!$AC$2:$AC$48,0))</f>
        <v>Görüyor</v>
      </c>
      <c r="S41" s="8">
        <f>INDEX(V_Altın!R$2:R$48,MATCH(LARGE(V_Altın!$AC$2:$AC$48,ROW()-3),V_Altın!$AC$2:$AC$48,0))</f>
        <v>0</v>
      </c>
      <c r="T41" s="8">
        <f>INDEX(V_Altın!S$2:S$48,MATCH(LARGE(V_Altın!$AC$2:$AC$48,ROW()-3),V_Altın!$AC$2:$AC$48,0))</f>
        <v>0</v>
      </c>
      <c r="U41" s="8">
        <f>INDEX(V_Altın!T$2:T$48,MATCH(LARGE(V_Altın!$AC$2:$AC$48,ROW()-3),V_Altın!$AC$2:$AC$48,0))</f>
        <v>0</v>
      </c>
      <c r="V41" s="8">
        <f>INDEX(V_Altın!U$2:U$48,MATCH(LARGE(V_Altın!$AC$2:$AC$48,ROW()-3),V_Altın!$AC$2:$AC$48,0))</f>
        <v>0</v>
      </c>
      <c r="W41" s="8">
        <f>INDEX(V_Altın!V$2:V$48,MATCH(LARGE(V_Altın!$AC$2:$AC$48,ROW()-3),V_Altın!$AC$2:$AC$48,0))</f>
        <v>0</v>
      </c>
      <c r="X41" s="8">
        <f>INDEX(V_Altın!W$2:W$48,MATCH(LARGE(V_Altın!$AC$2:$AC$48,ROW()-3),V_Altın!$AC$2:$AC$48,0))</f>
        <v>0</v>
      </c>
      <c r="Y41" s="8">
        <f>INDEX(V_Altın!X$2:X$48,MATCH(LARGE(V_Altın!$AC$2:$AC$48,ROW()-3),V_Altın!$AC$2:$AC$48,0))</f>
        <v>0</v>
      </c>
      <c r="Z41" s="8">
        <f>INDEX(V_Altın!Y$2:Y$48,MATCH(LARGE(V_Altın!$AC$2:$AC$48,ROW()-3),V_Altın!$AC$2:$AC$48,0))</f>
        <v>0</v>
      </c>
      <c r="AA41" s="8">
        <f>INDEX(V_Altın!Z$2:Z$48,MATCH(LARGE(V_Altın!$AC$2:$AC$48,ROW()-3),V_Altın!$AC$2:$AC$48,0))</f>
        <v>0</v>
      </c>
      <c r="AB41" s="8">
        <f>INDEX(V_Altın!AA$2:AA$48,MATCH(LARGE(V_Altın!$AC$2:$AC$48,ROW()-3),V_Altın!$AC$2:$AC$48,0))</f>
        <v>0</v>
      </c>
    </row>
    <row r="42" spans="1:28" x14ac:dyDescent="0.2">
      <c r="A42">
        <v>39</v>
      </c>
      <c r="B42" s="5" t="str">
        <f>INDEX(V_Altın!A$2:A$48,MATCH(LARGE(V_Altın!$AC$2:$AC$48,ROW()-3),V_Altın!$AC$2:$AC$48,0))</f>
        <v>FIB</v>
      </c>
      <c r="C42" s="5" t="str">
        <f>INDEX(V_Altın!B$2:B$48,MATCH(LARGE(V_Altın!$AC$2:$AC$48,ROW()-3),V_Altın!$AC$2:$AC$48,0))</f>
        <v>Fiba Portföy Altın Fonu</v>
      </c>
      <c r="D42" s="5" t="str">
        <f>INDEX(V_Altın!C$2:C$48,MATCH(LARGE(V_Altın!$AC$2:$AC$48,ROW()-3),V_Altın!$AC$2:$AC$48,0))</f>
        <v>Fiba Portföy</v>
      </c>
      <c r="E42" s="8">
        <f>INDEX(V_Altın!D$2:D$48,MATCH(LARGE(V_Altın!$AC$2:$AC$48,ROW()-3),V_Altın!$AC$2:$AC$48,0))</f>
        <v>1.4999999999999999E-2</v>
      </c>
      <c r="F42" s="9">
        <f>INDEX(V_Altın!E$2:E$48,MATCH(LARGE(V_Altın!$AC$2:$AC$48,ROW()-3),V_Altın!$AC$2:$AC$48,0))</f>
        <v>-1.0007040236999829</v>
      </c>
      <c r="G42" s="9">
        <f>INDEX(V_Altın!F$2:F$48,MATCH(LARGE(V_Altın!$AC$2:$AC$48,ROW()-3),V_Altın!$AC$2:$AC$48,0))</f>
        <v>-1.940190606986647</v>
      </c>
      <c r="H42" s="9">
        <f>INDEX(V_Altın!G$2:G$48,MATCH(LARGE(V_Altın!$AC$2:$AC$48,ROW()-3),V_Altın!$AC$2:$AC$48,0))</f>
        <v>0.25859117955515648</v>
      </c>
      <c r="I42" s="9">
        <f>INDEX(V_Altın!H$2:H$48,MATCH(LARGE(V_Altın!$AC$2:$AC$48,ROW()-3),V_Altın!$AC$2:$AC$48,0))</f>
        <v>-2.081350258411963</v>
      </c>
      <c r="J42" s="9">
        <f>INDEX(V_Altın!I$2:I$48,MATCH(LARGE(V_Altın!$AC$2:$AC$48,ROW()-3),V_Altın!$AC$2:$AC$48,0))</f>
        <v>37.643720309277427</v>
      </c>
      <c r="K42" s="10">
        <f>INDEX(V_Altın!J$2:J$48,MATCH(LARGE(V_Altın!$AC$2:$AC$48,ROW()-3),V_Altın!$AC$2:$AC$48,0))</f>
        <v>13052</v>
      </c>
      <c r="L42" s="10">
        <f>INDEX(V_Altın!K$2:K$48,MATCH(LARGE(V_Altın!$AC$2:$AC$48,ROW()-3),V_Altın!$AC$2:$AC$48,0))</f>
        <v>12688</v>
      </c>
      <c r="M42" s="8">
        <f>INDEX(V_Altın!L$2:L$48,MATCH(LARGE(V_Altın!$AC$2:$AC$48,ROW()-3),V_Altın!$AC$2:$AC$48,0))</f>
        <v>-2.7888446215139421E-2</v>
      </c>
      <c r="N42" s="11">
        <f>INDEX(V_Altın!M$2:M$48,MATCH(LARGE(V_Altın!$AC$2:$AC$48,ROW()-3),V_Altın!$AC$2:$AC$48,0))</f>
        <v>5129822173.2799997</v>
      </c>
      <c r="O42" s="11">
        <f>INDEX(V_Altın!N$2:N$48,MATCH(LARGE(V_Altın!$AC$2:$AC$48,ROW()-3),V_Altın!$AC$2:$AC$48,0))</f>
        <v>4799661288.5299997</v>
      </c>
      <c r="P42" s="8">
        <f>INDEX(V_Altın!O$2:O$48,MATCH(LARGE(V_Altın!$AC$2:$AC$48,ROW()-3),V_Altın!$AC$2:$AC$48,0))</f>
        <v>-6.436107794724899E-2</v>
      </c>
      <c r="Q42" s="9">
        <f>INDEX(V_Altın!P$2:P$48,MATCH(LARGE(V_Altın!$AC$2:$AC$48,ROW()-3),V_Altın!$AC$2:$AC$48,0))</f>
        <v>1.5100737785380689</v>
      </c>
      <c r="R42" s="5" t="str">
        <f>INDEX(V_Altın!Q$2:Q$48,MATCH(LARGE(V_Altın!$AC$2:$AC$48,ROW()-3),V_Altın!$AC$2:$AC$48,0))</f>
        <v>Görüyor</v>
      </c>
      <c r="S42" s="8">
        <f>INDEX(V_Altın!R$2:R$48,MATCH(LARGE(V_Altın!$AC$2:$AC$48,ROW()-3),V_Altın!$AC$2:$AC$48,0))</f>
        <v>1.1999999999999999E-3</v>
      </c>
      <c r="T42" s="8">
        <f>INDEX(V_Altın!S$2:S$48,MATCH(LARGE(V_Altın!$AC$2:$AC$48,ROW()-3),V_Altın!$AC$2:$AC$48,0))</f>
        <v>0</v>
      </c>
      <c r="U42" s="8">
        <f>INDEX(V_Altın!T$2:T$48,MATCH(LARGE(V_Altın!$AC$2:$AC$48,ROW()-3),V_Altın!$AC$2:$AC$48,0))</f>
        <v>0</v>
      </c>
      <c r="V42" s="8">
        <f>INDEX(V_Altın!U$2:U$48,MATCH(LARGE(V_Altın!$AC$2:$AC$48,ROW()-3),V_Altın!$AC$2:$AC$48,0))</f>
        <v>4.6500000000000007E-2</v>
      </c>
      <c r="W42" s="8">
        <f>INDEX(V_Altın!V$2:V$48,MATCH(LARGE(V_Altın!$AC$2:$AC$48,ROW()-3),V_Altın!$AC$2:$AC$48,0))</f>
        <v>0</v>
      </c>
      <c r="X42" s="8">
        <f>INDEX(V_Altın!W$2:W$48,MATCH(LARGE(V_Altın!$AC$2:$AC$48,ROW()-3),V_Altın!$AC$2:$AC$48,0))</f>
        <v>1.0500000000000001E-2</v>
      </c>
      <c r="Y42" s="8">
        <f>INDEX(V_Altın!X$2:X$48,MATCH(LARGE(V_Altın!$AC$2:$AC$48,ROW()-3),V_Altın!$AC$2:$AC$48,0))</f>
        <v>0</v>
      </c>
      <c r="Z42" s="8">
        <f>INDEX(V_Altın!Y$2:Y$48,MATCH(LARGE(V_Altın!$AC$2:$AC$48,ROW()-3),V_Altın!$AC$2:$AC$48,0))</f>
        <v>0</v>
      </c>
      <c r="AA42" s="8">
        <f>INDEX(V_Altın!Z$2:Z$48,MATCH(LARGE(V_Altın!$AC$2:$AC$48,ROW()-3),V_Altın!$AC$2:$AC$48,0))</f>
        <v>0</v>
      </c>
      <c r="AB42" s="8">
        <f>INDEX(V_Altın!AA$2:AA$48,MATCH(LARGE(V_Altın!$AC$2:$AC$48,ROW()-3),V_Altın!$AC$2:$AC$48,0))</f>
        <v>5.8200000000000009E-2</v>
      </c>
    </row>
    <row r="43" spans="1:28" x14ac:dyDescent="0.2">
      <c r="A43">
        <v>40</v>
      </c>
      <c r="B43" s="5" t="str">
        <f>INDEX(V_Altın!A$2:A$48,MATCH(LARGE(V_Altın!$AC$2:$AC$48,ROW()-3),V_Altın!$AC$2:$AC$48,0))</f>
        <v>PTN</v>
      </c>
      <c r="C43" s="5" t="str">
        <f>INDEX(V_Altın!B$2:B$48,MATCH(LARGE(V_Altın!$AC$2:$AC$48,ROW()-3),V_Altın!$AC$2:$AC$48,0))</f>
        <v>Phillip Portföy Altın Fonu</v>
      </c>
      <c r="D43" s="5" t="str">
        <f>INDEX(V_Altın!C$2:C$48,MATCH(LARGE(V_Altın!$AC$2:$AC$48,ROW()-3),V_Altın!$AC$2:$AC$48,0))</f>
        <v>Phillip Portföy</v>
      </c>
      <c r="E43" s="8">
        <f>INDEX(V_Altın!D$2:D$48,MATCH(LARGE(V_Altın!$AC$2:$AC$48,ROW()-3),V_Altın!$AC$2:$AC$48,0))</f>
        <v>2.1000000000000001E-2</v>
      </c>
      <c r="F43" s="9">
        <f>INDEX(V_Altın!E$2:E$48,MATCH(LARGE(V_Altın!$AC$2:$AC$48,ROW()-3),V_Altın!$AC$2:$AC$48,0))</f>
        <v>-1.0082548661630499</v>
      </c>
      <c r="G43" s="9">
        <f>INDEX(V_Altın!F$2:F$48,MATCH(LARGE(V_Altın!$AC$2:$AC$48,ROW()-3),V_Altın!$AC$2:$AC$48,0))</f>
        <v>-1.6907046619516359</v>
      </c>
      <c r="H43" s="9">
        <f>INDEX(V_Altın!G$2:G$48,MATCH(LARGE(V_Altın!$AC$2:$AC$48,ROW()-3),V_Altın!$AC$2:$AC$48,0))</f>
        <v>0.48527317568036737</v>
      </c>
      <c r="I43" s="9">
        <f>INDEX(V_Altın!H$2:H$48,MATCH(LARGE(V_Altın!$AC$2:$AC$48,ROW()-3),V_Altın!$AC$2:$AC$48,0))</f>
        <v>2.429283402388438</v>
      </c>
      <c r="J43" s="9">
        <f>INDEX(V_Altın!I$2:I$48,MATCH(LARGE(V_Altın!$AC$2:$AC$48,ROW()-3),V_Altın!$AC$2:$AC$48,0))</f>
        <v>47.187102458630939</v>
      </c>
      <c r="K43" s="10">
        <f>INDEX(V_Altın!J$2:J$48,MATCH(LARGE(V_Altın!$AC$2:$AC$48,ROW()-3),V_Altın!$AC$2:$AC$48,0))</f>
        <v>907</v>
      </c>
      <c r="L43" s="10">
        <f>INDEX(V_Altın!K$2:K$48,MATCH(LARGE(V_Altın!$AC$2:$AC$48,ROW()-3),V_Altın!$AC$2:$AC$48,0))</f>
        <v>871</v>
      </c>
      <c r="M43" s="8">
        <f>INDEX(V_Altın!L$2:L$48,MATCH(LARGE(V_Altın!$AC$2:$AC$48,ROW()-3),V_Altın!$AC$2:$AC$48,0))</f>
        <v>-3.9691289966923948E-2</v>
      </c>
      <c r="N43" s="11">
        <f>INDEX(V_Altın!M$2:M$48,MATCH(LARGE(V_Altın!$AC$2:$AC$48,ROW()-3),V_Altın!$AC$2:$AC$48,0))</f>
        <v>608462239.30999994</v>
      </c>
      <c r="O43" s="11">
        <f>INDEX(V_Altın!N$2:N$48,MATCH(LARGE(V_Altın!$AC$2:$AC$48,ROW()-3),V_Altın!$AC$2:$AC$48,0))</f>
        <v>563869558.26999998</v>
      </c>
      <c r="P43" s="8">
        <f>INDEX(V_Altın!O$2:O$48,MATCH(LARGE(V_Altın!$AC$2:$AC$48,ROW()-3),V_Altın!$AC$2:$AC$48,0))</f>
        <v>-7.3287507685880993E-2</v>
      </c>
      <c r="Q43" s="9">
        <f>INDEX(V_Altın!P$2:P$48,MATCH(LARGE(V_Altın!$AC$2:$AC$48,ROW()-3),V_Altın!$AC$2:$AC$48,0))</f>
        <v>1.2850566220017741</v>
      </c>
      <c r="R43" s="5" t="str">
        <f>INDEX(V_Altın!Q$2:Q$48,MATCH(LARGE(V_Altın!$AC$2:$AC$48,ROW()-3),V_Altın!$AC$2:$AC$48,0))</f>
        <v>Görüyor</v>
      </c>
      <c r="S43" s="8">
        <f>INDEX(V_Altın!R$2:R$48,MATCH(LARGE(V_Altın!$AC$2:$AC$48,ROW()-3),V_Altın!$AC$2:$AC$48,0))</f>
        <v>0</v>
      </c>
      <c r="T43" s="8">
        <f>INDEX(V_Altın!S$2:S$48,MATCH(LARGE(V_Altın!$AC$2:$AC$48,ROW()-3),V_Altın!$AC$2:$AC$48,0))</f>
        <v>0</v>
      </c>
      <c r="U43" s="8">
        <f>INDEX(V_Altın!T$2:T$48,MATCH(LARGE(V_Altın!$AC$2:$AC$48,ROW()-3),V_Altın!$AC$2:$AC$48,0))</f>
        <v>0</v>
      </c>
      <c r="V43" s="8">
        <f>INDEX(V_Altın!U$2:U$48,MATCH(LARGE(V_Altın!$AC$2:$AC$48,ROW()-3),V_Altın!$AC$2:$AC$48,0))</f>
        <v>0</v>
      </c>
      <c r="W43" s="8">
        <f>INDEX(V_Altın!V$2:V$48,MATCH(LARGE(V_Altın!$AC$2:$AC$48,ROW()-3),V_Altın!$AC$2:$AC$48,0))</f>
        <v>0</v>
      </c>
      <c r="X43" s="8">
        <f>INDEX(V_Altın!W$2:W$48,MATCH(LARGE(V_Altın!$AC$2:$AC$48,ROW()-3),V_Altın!$AC$2:$AC$48,0))</f>
        <v>9.64E-2</v>
      </c>
      <c r="Y43" s="8">
        <f>INDEX(V_Altın!X$2:X$48,MATCH(LARGE(V_Altın!$AC$2:$AC$48,ROW()-3),V_Altın!$AC$2:$AC$48,0))</f>
        <v>0</v>
      </c>
      <c r="Z43" s="8">
        <f>INDEX(V_Altın!Y$2:Y$48,MATCH(LARGE(V_Altın!$AC$2:$AC$48,ROW()-3),V_Altın!$AC$2:$AC$48,0))</f>
        <v>0</v>
      </c>
      <c r="AA43" s="8">
        <f>INDEX(V_Altın!Z$2:Z$48,MATCH(LARGE(V_Altın!$AC$2:$AC$48,ROW()-3),V_Altın!$AC$2:$AC$48,0))</f>
        <v>0</v>
      </c>
      <c r="AB43" s="8">
        <f>INDEX(V_Altın!AA$2:AA$48,MATCH(LARGE(V_Altın!$AC$2:$AC$48,ROW()-3),V_Altın!$AC$2:$AC$48,0))</f>
        <v>9.64E-2</v>
      </c>
    </row>
    <row r="44" spans="1:28" x14ac:dyDescent="0.2">
      <c r="A44">
        <v>41</v>
      </c>
      <c r="B44" s="5" t="str">
        <f>INDEX(V_Altın!A$2:A$48,MATCH(LARGE(V_Altın!$AC$2:$AC$48,ROW()-3),V_Altın!$AC$2:$AC$48,0))</f>
        <v>MKG</v>
      </c>
      <c r="C44" s="5" t="str">
        <f>INDEX(V_Altın!B$2:B$48,MATCH(LARGE(V_Altın!$AC$2:$AC$48,ROW()-3),V_Altın!$AC$2:$AC$48,0))</f>
        <v>Aktif Portföy Altın Katılım Fonu</v>
      </c>
      <c r="D44" s="5" t="str">
        <f>INDEX(V_Altın!C$2:C$48,MATCH(LARGE(V_Altın!$AC$2:$AC$48,ROW()-3),V_Altın!$AC$2:$AC$48,0))</f>
        <v>Aktif Portföy</v>
      </c>
      <c r="E44" s="8">
        <f>INDEX(V_Altın!D$2:D$48,MATCH(LARGE(V_Altın!$AC$2:$AC$48,ROW()-3),V_Altın!$AC$2:$AC$48,0))</f>
        <v>1.4999999999999999E-2</v>
      </c>
      <c r="F44" s="9">
        <f>INDEX(V_Altın!E$2:E$48,MATCH(LARGE(V_Altın!$AC$2:$AC$48,ROW()-3),V_Altın!$AC$2:$AC$48,0))</f>
        <v>-1.019202281243869</v>
      </c>
      <c r="G44" s="9">
        <f>INDEX(V_Altın!F$2:F$48,MATCH(LARGE(V_Altın!$AC$2:$AC$48,ROW()-3),V_Altın!$AC$2:$AC$48,0))</f>
        <v>-1.7778731091259381</v>
      </c>
      <c r="H44" s="9">
        <f>INDEX(V_Altın!G$2:G$48,MATCH(LARGE(V_Altın!$AC$2:$AC$48,ROW()-3),V_Altın!$AC$2:$AC$48,0))</f>
        <v>0.56138655644668578</v>
      </c>
      <c r="I44" s="9">
        <f>INDEX(V_Altın!H$2:H$48,MATCH(LARGE(V_Altın!$AC$2:$AC$48,ROW()-3),V_Altın!$AC$2:$AC$48,0))</f>
        <v>0.23703163745827369</v>
      </c>
      <c r="J44" s="9">
        <f>INDEX(V_Altın!I$2:I$48,MATCH(LARGE(V_Altın!$AC$2:$AC$48,ROW()-3),V_Altın!$AC$2:$AC$48,0))</f>
        <v>40.251610698518483</v>
      </c>
      <c r="K44" s="10">
        <f>INDEX(V_Altın!J$2:J$48,MATCH(LARGE(V_Altın!$AC$2:$AC$48,ROW()-3),V_Altın!$AC$2:$AC$48,0))</f>
        <v>8796</v>
      </c>
      <c r="L44" s="10">
        <f>INDEX(V_Altın!K$2:K$48,MATCH(LARGE(V_Altın!$AC$2:$AC$48,ROW()-3),V_Altın!$AC$2:$AC$48,0))</f>
        <v>8534</v>
      </c>
      <c r="M44" s="8">
        <f>INDEX(V_Altın!L$2:L$48,MATCH(LARGE(V_Altın!$AC$2:$AC$48,ROW()-3),V_Altın!$AC$2:$AC$48,0))</f>
        <v>-2.9786266484765789E-2</v>
      </c>
      <c r="N44" s="11">
        <f>INDEX(V_Altın!M$2:M$48,MATCH(LARGE(V_Altın!$AC$2:$AC$48,ROW()-3),V_Altın!$AC$2:$AC$48,0))</f>
        <v>1515912788.76</v>
      </c>
      <c r="O44" s="11">
        <f>INDEX(V_Altın!N$2:N$48,MATCH(LARGE(V_Altın!$AC$2:$AC$48,ROW()-3),V_Altın!$AC$2:$AC$48,0))</f>
        <v>1484432468.3499999</v>
      </c>
      <c r="P44" s="8">
        <f>INDEX(V_Altın!O$2:O$48,MATCH(LARGE(V_Altın!$AC$2:$AC$48,ROW()-3),V_Altın!$AC$2:$AC$48,0))</f>
        <v>-2.0766577499323421E-2</v>
      </c>
      <c r="Q44" s="9">
        <f>INDEX(V_Altın!P$2:P$48,MATCH(LARGE(V_Altın!$AC$2:$AC$48,ROW()-3),V_Altın!$AC$2:$AC$48,0))</f>
        <v>1.3817174858828261</v>
      </c>
      <c r="R44" s="5" t="str">
        <f>INDEX(V_Altın!Q$2:Q$48,MATCH(LARGE(V_Altın!$AC$2:$AC$48,ROW()-3),V_Altın!$AC$2:$AC$48,0))</f>
        <v>Görüyor</v>
      </c>
      <c r="S44" s="8">
        <f>INDEX(V_Altın!R$2:R$48,MATCH(LARGE(V_Altın!$AC$2:$AC$48,ROW()-3),V_Altın!$AC$2:$AC$48,0))</f>
        <v>0</v>
      </c>
      <c r="T44" s="8">
        <f>INDEX(V_Altın!S$2:S$48,MATCH(LARGE(V_Altın!$AC$2:$AC$48,ROW()-3),V_Altın!$AC$2:$AC$48,0))</f>
        <v>0</v>
      </c>
      <c r="U44" s="8">
        <f>INDEX(V_Altın!T$2:T$48,MATCH(LARGE(V_Altın!$AC$2:$AC$48,ROW()-3),V_Altın!$AC$2:$AC$48,0))</f>
        <v>0</v>
      </c>
      <c r="V44" s="8">
        <f>INDEX(V_Altın!U$2:U$48,MATCH(LARGE(V_Altın!$AC$2:$AC$48,ROW()-3),V_Altın!$AC$2:$AC$48,0))</f>
        <v>1.24E-2</v>
      </c>
      <c r="W44" s="8">
        <f>INDEX(V_Altın!V$2:V$48,MATCH(LARGE(V_Altın!$AC$2:$AC$48,ROW()-3),V_Altın!$AC$2:$AC$48,0))</f>
        <v>0</v>
      </c>
      <c r="X44" s="8">
        <f>INDEX(V_Altın!W$2:W$48,MATCH(LARGE(V_Altın!$AC$2:$AC$48,ROW()-3),V_Altın!$AC$2:$AC$48,0))</f>
        <v>2.24E-2</v>
      </c>
      <c r="Y44" s="8">
        <f>INDEX(V_Altın!X$2:X$48,MATCH(LARGE(V_Altın!$AC$2:$AC$48,ROW()-3),V_Altın!$AC$2:$AC$48,0))</f>
        <v>0</v>
      </c>
      <c r="Z44" s="8">
        <f>INDEX(V_Altın!Y$2:Y$48,MATCH(LARGE(V_Altın!$AC$2:$AC$48,ROW()-3),V_Altın!$AC$2:$AC$48,0))</f>
        <v>0</v>
      </c>
      <c r="AA44" s="8">
        <f>INDEX(V_Altın!Z$2:Z$48,MATCH(LARGE(V_Altın!$AC$2:$AC$48,ROW()-3),V_Altın!$AC$2:$AC$48,0))</f>
        <v>0</v>
      </c>
      <c r="AB44" s="8">
        <f>INDEX(V_Altın!AA$2:AA$48,MATCH(LARGE(V_Altın!$AC$2:$AC$48,ROW()-3),V_Altın!$AC$2:$AC$48,0))</f>
        <v>3.4799999999999998E-2</v>
      </c>
    </row>
    <row r="45" spans="1:28" x14ac:dyDescent="0.2">
      <c r="A45">
        <v>42</v>
      </c>
      <c r="B45" s="5" t="str">
        <f>INDEX(V_Altın!A$2:A$48,MATCH(LARGE(V_Altın!$AC$2:$AC$48,ROW()-3),V_Altın!$AC$2:$AC$48,0))</f>
        <v>TAL</v>
      </c>
      <c r="C45" s="5" t="str">
        <f>INDEX(V_Altın!B$2:B$48,MATCH(LARGE(V_Altın!$AC$2:$AC$48,ROW()-3),V_Altın!$AC$2:$AC$48,0))</f>
        <v>Atlas Portföy Altın Katılım Fonu</v>
      </c>
      <c r="D45" s="5" t="str">
        <f>INDEX(V_Altın!C$2:C$48,MATCH(LARGE(V_Altın!$AC$2:$AC$48,ROW()-3),V_Altın!$AC$2:$AC$48,0))</f>
        <v>Atlas Portföy</v>
      </c>
      <c r="E45" s="8">
        <f>INDEX(V_Altın!D$2:D$48,MATCH(LARGE(V_Altın!$AC$2:$AC$48,ROW()-3),V_Altın!$AC$2:$AC$48,0))</f>
        <v>1.4999999999999999E-2</v>
      </c>
      <c r="F45" s="9">
        <f>INDEX(V_Altın!E$2:E$48,MATCH(LARGE(V_Altın!$AC$2:$AC$48,ROW()-3),V_Altın!$AC$2:$AC$48,0))</f>
        <v>-1.0202749824470001</v>
      </c>
      <c r="G45" s="9">
        <f>INDEX(V_Altın!F$2:F$48,MATCH(LARGE(V_Altın!$AC$2:$AC$48,ROW()-3),V_Altın!$AC$2:$AC$48,0))</f>
        <v>-2.156482134564452</v>
      </c>
      <c r="H45" s="9">
        <f>INDEX(V_Altın!G$2:G$48,MATCH(LARGE(V_Altın!$AC$2:$AC$48,ROW()-3),V_Altın!$AC$2:$AC$48,0))</f>
        <v>-0.66008996635631423</v>
      </c>
      <c r="I45" s="9">
        <f>INDEX(V_Altın!H$2:H$48,MATCH(LARGE(V_Altın!$AC$2:$AC$48,ROW()-3),V_Altın!$AC$2:$AC$48,0))</f>
        <v>-2.5887874151008679</v>
      </c>
      <c r="J45" s="9">
        <f>INDEX(V_Altın!I$2:I$48,MATCH(LARGE(V_Altın!$AC$2:$AC$48,ROW()-3),V_Altın!$AC$2:$AC$48,0))</f>
        <v>33.322795752560651</v>
      </c>
      <c r="K45" s="10">
        <f>INDEX(V_Altın!J$2:J$48,MATCH(LARGE(V_Altın!$AC$2:$AC$48,ROW()-3),V_Altın!$AC$2:$AC$48,0))</f>
        <v>782</v>
      </c>
      <c r="L45" s="10">
        <f>INDEX(V_Altın!K$2:K$48,MATCH(LARGE(V_Altın!$AC$2:$AC$48,ROW()-3),V_Altın!$AC$2:$AC$48,0))</f>
        <v>752</v>
      </c>
      <c r="M45" s="8">
        <f>INDEX(V_Altın!L$2:L$48,MATCH(LARGE(V_Altın!$AC$2:$AC$48,ROW()-3),V_Altın!$AC$2:$AC$48,0))</f>
        <v>-3.8363171355498722E-2</v>
      </c>
      <c r="N45" s="11">
        <f>INDEX(V_Altın!M$2:M$48,MATCH(LARGE(V_Altın!$AC$2:$AC$48,ROW()-3),V_Altın!$AC$2:$AC$48,0))</f>
        <v>32986944.120000001</v>
      </c>
      <c r="O45" s="11">
        <f>INDEX(V_Altın!N$2:N$48,MATCH(LARGE(V_Altın!$AC$2:$AC$48,ROW()-3),V_Altın!$AC$2:$AC$48,0))</f>
        <v>32771897.890000001</v>
      </c>
      <c r="P45" s="8">
        <f>INDEX(V_Altın!O$2:O$48,MATCH(LARGE(V_Altın!$AC$2:$AC$48,ROW()-3),V_Altın!$AC$2:$AC$48,0))</f>
        <v>-6.5191316060592142E-3</v>
      </c>
      <c r="Q45" s="9">
        <f>INDEX(V_Altın!P$2:P$48,MATCH(LARGE(V_Altın!$AC$2:$AC$48,ROW()-3),V_Altın!$AC$2:$AC$48,0))</f>
        <v>1.415424771716616</v>
      </c>
      <c r="R45" s="5" t="str">
        <f>INDEX(V_Altın!Q$2:Q$48,MATCH(LARGE(V_Altın!$AC$2:$AC$48,ROW()-3),V_Altın!$AC$2:$AC$48,0))</f>
        <v>Görüyor</v>
      </c>
      <c r="S45" s="8">
        <f>INDEX(V_Altın!R$2:R$48,MATCH(LARGE(V_Altın!$AC$2:$AC$48,ROW()-3),V_Altın!$AC$2:$AC$48,0))</f>
        <v>0</v>
      </c>
      <c r="T45" s="8">
        <f>INDEX(V_Altın!S$2:S$48,MATCH(LARGE(V_Altın!$AC$2:$AC$48,ROW()-3),V_Altın!$AC$2:$AC$48,0))</f>
        <v>0</v>
      </c>
      <c r="U45" s="8">
        <f>INDEX(V_Altın!T$2:T$48,MATCH(LARGE(V_Altın!$AC$2:$AC$48,ROW()-3),V_Altın!$AC$2:$AC$48,0))</f>
        <v>0</v>
      </c>
      <c r="V45" s="8">
        <f>INDEX(V_Altın!U$2:U$48,MATCH(LARGE(V_Altın!$AC$2:$AC$48,ROW()-3),V_Altın!$AC$2:$AC$48,0))</f>
        <v>0.14960000000000001</v>
      </c>
      <c r="W45" s="8">
        <f>INDEX(V_Altın!V$2:V$48,MATCH(LARGE(V_Altın!$AC$2:$AC$48,ROW()-3),V_Altın!$AC$2:$AC$48,0))</f>
        <v>0</v>
      </c>
      <c r="X45" s="8">
        <f>INDEX(V_Altın!W$2:W$48,MATCH(LARGE(V_Altın!$AC$2:$AC$48,ROW()-3),V_Altın!$AC$2:$AC$48,0))</f>
        <v>7.0699999999999999E-2</v>
      </c>
      <c r="Y45" s="8">
        <f>INDEX(V_Altın!X$2:X$48,MATCH(LARGE(V_Altın!$AC$2:$AC$48,ROW()-3),V_Altın!$AC$2:$AC$48,0))</f>
        <v>0</v>
      </c>
      <c r="Z45" s="8">
        <f>INDEX(V_Altın!Y$2:Y$48,MATCH(LARGE(V_Altın!$AC$2:$AC$48,ROW()-3),V_Altın!$AC$2:$AC$48,0))</f>
        <v>0</v>
      </c>
      <c r="AA45" s="8">
        <f>INDEX(V_Altın!Z$2:Z$48,MATCH(LARGE(V_Altın!$AC$2:$AC$48,ROW()-3),V_Altın!$AC$2:$AC$48,0))</f>
        <v>0</v>
      </c>
      <c r="AB45" s="8">
        <f>INDEX(V_Altın!AA$2:AA$48,MATCH(LARGE(V_Altın!$AC$2:$AC$48,ROW()-3),V_Altın!$AC$2:$AC$48,0))</f>
        <v>0.2203</v>
      </c>
    </row>
    <row r="46" spans="1:28" x14ac:dyDescent="0.2">
      <c r="A46">
        <v>43</v>
      </c>
      <c r="B46" s="5" t="str">
        <f>INDEX(V_Altın!A$2:A$48,MATCH(LARGE(V_Altın!$AC$2:$AC$48,ROW()-3),V_Altın!$AC$2:$AC$48,0))</f>
        <v>TCA</v>
      </c>
      <c r="C46" s="5" t="str">
        <f>INDEX(V_Altın!B$2:B$48,MATCH(LARGE(V_Altın!$AC$2:$AC$48,ROW()-3),V_Altın!$AC$2:$AC$48,0))</f>
        <v>Ziraat Portföy Altın Katılım Fonu</v>
      </c>
      <c r="D46" s="5" t="str">
        <f>INDEX(V_Altın!C$2:C$48,MATCH(LARGE(V_Altın!$AC$2:$AC$48,ROW()-3),V_Altın!$AC$2:$AC$48,0))</f>
        <v>Ziraat Portföy</v>
      </c>
      <c r="E46" s="8">
        <f>INDEX(V_Altın!D$2:D$48,MATCH(LARGE(V_Altın!$AC$2:$AC$48,ROW()-3),V_Altın!$AC$2:$AC$48,0))</f>
        <v>1.2E-2</v>
      </c>
      <c r="F46" s="9">
        <f>INDEX(V_Altın!E$2:E$48,MATCH(LARGE(V_Altın!$AC$2:$AC$48,ROW()-3),V_Altın!$AC$2:$AC$48,0))</f>
        <v>-1.0375647186674939</v>
      </c>
      <c r="G46" s="9">
        <f>INDEX(V_Altın!F$2:F$48,MATCH(LARGE(V_Altın!$AC$2:$AC$48,ROW()-3),V_Altın!$AC$2:$AC$48,0))</f>
        <v>-2.034722402125944</v>
      </c>
      <c r="H46" s="9">
        <f>INDEX(V_Altın!G$2:G$48,MATCH(LARGE(V_Altın!$AC$2:$AC$48,ROW()-3),V_Altın!$AC$2:$AC$48,0))</f>
        <v>-0.96376773638636726</v>
      </c>
      <c r="I46" s="9">
        <f>INDEX(V_Altın!H$2:H$48,MATCH(LARGE(V_Altın!$AC$2:$AC$48,ROW()-3),V_Altın!$AC$2:$AC$48,0))</f>
        <v>-10.720578550393279</v>
      </c>
      <c r="J46" s="9">
        <f>INDEX(V_Altın!I$2:I$48,MATCH(LARGE(V_Altın!$AC$2:$AC$48,ROW()-3),V_Altın!$AC$2:$AC$48,0))</f>
        <v>26.373498807488541</v>
      </c>
      <c r="K46" s="10">
        <f>INDEX(V_Altın!J$2:J$48,MATCH(LARGE(V_Altın!$AC$2:$AC$48,ROW()-3),V_Altın!$AC$2:$AC$48,0))</f>
        <v>48263</v>
      </c>
      <c r="L46" s="10">
        <f>INDEX(V_Altın!K$2:K$48,MATCH(LARGE(V_Altın!$AC$2:$AC$48,ROW()-3),V_Altın!$AC$2:$AC$48,0))</f>
        <v>46833</v>
      </c>
      <c r="M46" s="8">
        <f>INDEX(V_Altın!L$2:L$48,MATCH(LARGE(V_Altın!$AC$2:$AC$48,ROW()-3),V_Altın!$AC$2:$AC$48,0))</f>
        <v>-2.962932266953977E-2</v>
      </c>
      <c r="N46" s="11">
        <f>INDEX(V_Altın!M$2:M$48,MATCH(LARGE(V_Altın!$AC$2:$AC$48,ROW()-3),V_Altın!$AC$2:$AC$48,0))</f>
        <v>13505723397.52</v>
      </c>
      <c r="O46" s="11">
        <f>INDEX(V_Altın!N$2:N$48,MATCH(LARGE(V_Altın!$AC$2:$AC$48,ROW()-3),V_Altın!$AC$2:$AC$48,0))</f>
        <v>13091940562.91</v>
      </c>
      <c r="P46" s="8">
        <f>INDEX(V_Altın!O$2:O$48,MATCH(LARGE(V_Altın!$AC$2:$AC$48,ROW()-3),V_Altın!$AC$2:$AC$48,0))</f>
        <v>-3.063759137003963E-2</v>
      </c>
      <c r="Q46" s="9">
        <f>INDEX(V_Altın!P$2:P$48,MATCH(LARGE(V_Altın!$AC$2:$AC$48,ROW()-3),V_Altın!$AC$2:$AC$48,0))</f>
        <v>1.4324302250058789</v>
      </c>
      <c r="R46" s="5" t="str">
        <f>INDEX(V_Altın!Q$2:Q$48,MATCH(LARGE(V_Altın!$AC$2:$AC$48,ROW()-3),V_Altın!$AC$2:$AC$48,0))</f>
        <v>Görüyor</v>
      </c>
      <c r="S46" s="8">
        <f>INDEX(V_Altın!R$2:R$48,MATCH(LARGE(V_Altın!$AC$2:$AC$48,ROW()-3),V_Altın!$AC$2:$AC$48,0))</f>
        <v>0</v>
      </c>
      <c r="T46" s="8">
        <f>INDEX(V_Altın!S$2:S$48,MATCH(LARGE(V_Altın!$AC$2:$AC$48,ROW()-3),V_Altın!$AC$2:$AC$48,0))</f>
        <v>0</v>
      </c>
      <c r="U46" s="8">
        <f>INDEX(V_Altın!T$2:T$48,MATCH(LARGE(V_Altın!$AC$2:$AC$48,ROW()-3),V_Altın!$AC$2:$AC$48,0))</f>
        <v>0</v>
      </c>
      <c r="V46" s="8">
        <f>INDEX(V_Altın!U$2:U$48,MATCH(LARGE(V_Altın!$AC$2:$AC$48,ROW()-3),V_Altın!$AC$2:$AC$48,0))</f>
        <v>0</v>
      </c>
      <c r="W46" s="8">
        <f>INDEX(V_Altın!V$2:V$48,MATCH(LARGE(V_Altın!$AC$2:$AC$48,ROW()-3),V_Altın!$AC$2:$AC$48,0))</f>
        <v>0</v>
      </c>
      <c r="X46" s="8">
        <f>INDEX(V_Altın!W$2:W$48,MATCH(LARGE(V_Altın!$AC$2:$AC$48,ROW()-3),V_Altın!$AC$2:$AC$48,0))</f>
        <v>0</v>
      </c>
      <c r="Y46" s="8">
        <f>INDEX(V_Altın!X$2:X$48,MATCH(LARGE(V_Altın!$AC$2:$AC$48,ROW()-3),V_Altın!$AC$2:$AC$48,0))</f>
        <v>0</v>
      </c>
      <c r="Z46" s="8">
        <f>INDEX(V_Altın!Y$2:Y$48,MATCH(LARGE(V_Altın!$AC$2:$AC$48,ROW()-3),V_Altın!$AC$2:$AC$48,0))</f>
        <v>0</v>
      </c>
      <c r="AA46" s="8">
        <f>INDEX(V_Altın!Z$2:Z$48,MATCH(LARGE(V_Altın!$AC$2:$AC$48,ROW()-3),V_Altın!$AC$2:$AC$48,0))</f>
        <v>0.21429999999999999</v>
      </c>
      <c r="AB46" s="8">
        <f>INDEX(V_Altın!AA$2:AA$48,MATCH(LARGE(V_Altın!$AC$2:$AC$48,ROW()-3),V_Altın!$AC$2:$AC$48,0))</f>
        <v>0.21429999999999999</v>
      </c>
    </row>
    <row r="47" spans="1:28" x14ac:dyDescent="0.2">
      <c r="A47">
        <v>44</v>
      </c>
      <c r="B47" s="5" t="str">
        <f>INDEX(V_Altın!A$2:A$48,MATCH(LARGE(V_Altın!$AC$2:$AC$48,ROW()-3),V_Altın!$AC$2:$AC$48,0))</f>
        <v>OIL</v>
      </c>
      <c r="C47" s="5" t="str">
        <f>INDEX(V_Altın!B$2:B$48,MATCH(LARGE(V_Altın!$AC$2:$AC$48,ROW()-3),V_Altın!$AC$2:$AC$48,0))</f>
        <v>Osmanlı Portföy Altın Fon Sepeti Fonu</v>
      </c>
      <c r="D47" s="5" t="str">
        <f>INDEX(V_Altın!C$2:C$48,MATCH(LARGE(V_Altın!$AC$2:$AC$48,ROW()-3),V_Altın!$AC$2:$AC$48,0))</f>
        <v>Osmanlı Portföy</v>
      </c>
      <c r="E47" s="8">
        <f>INDEX(V_Altın!D$2:D$48,MATCH(LARGE(V_Altın!$AC$2:$AC$48,ROW()-3),V_Altın!$AC$2:$AC$48,0))</f>
        <v>1E-3</v>
      </c>
      <c r="F47" s="9">
        <f>INDEX(V_Altın!E$2:E$48,MATCH(LARGE(V_Altın!$AC$2:$AC$48,ROW()-3),V_Altın!$AC$2:$AC$48,0))</f>
        <v>-1.0685337763259199</v>
      </c>
      <c r="G47" s="9">
        <f>INDEX(V_Altın!F$2:F$48,MATCH(LARGE(V_Altın!$AC$2:$AC$48,ROW()-3),V_Altın!$AC$2:$AC$48,0))</f>
        <v>-1.9481721348565411</v>
      </c>
      <c r="H47" s="9">
        <f>INDEX(V_Altın!G$2:G$48,MATCH(LARGE(V_Altın!$AC$2:$AC$48,ROW()-3),V_Altın!$AC$2:$AC$48,0))</f>
        <v>0.3728012067187203</v>
      </c>
      <c r="I47" s="9">
        <f>INDEX(V_Altın!H$2:H$48,MATCH(LARGE(V_Altın!$AC$2:$AC$48,ROW()-3),V_Altın!$AC$2:$AC$48,0))</f>
        <v>3.1394710903646978</v>
      </c>
      <c r="J47" s="9">
        <f>INDEX(V_Altın!I$2:I$48,MATCH(LARGE(V_Altın!$AC$2:$AC$48,ROW()-3),V_Altın!$AC$2:$AC$48,0))</f>
        <v>11.41428729722611</v>
      </c>
      <c r="K47" s="10">
        <f>INDEX(V_Altın!J$2:J$48,MATCH(LARGE(V_Altın!$AC$2:$AC$48,ROW()-3),V_Altın!$AC$2:$AC$48,0))</f>
        <v>685</v>
      </c>
      <c r="L47" s="10">
        <f>INDEX(V_Altın!K$2:K$48,MATCH(LARGE(V_Altın!$AC$2:$AC$48,ROW()-3),V_Altın!$AC$2:$AC$48,0))</f>
        <v>664</v>
      </c>
      <c r="M47" s="8">
        <f>INDEX(V_Altın!L$2:L$48,MATCH(LARGE(V_Altın!$AC$2:$AC$48,ROW()-3),V_Altın!$AC$2:$AC$48,0))</f>
        <v>-3.065693430656935E-2</v>
      </c>
      <c r="N47" s="11">
        <f>INDEX(V_Altın!M$2:M$48,MATCH(LARGE(V_Altın!$AC$2:$AC$48,ROW()-3),V_Altın!$AC$2:$AC$48,0))</f>
        <v>45631053.229999997</v>
      </c>
      <c r="O47" s="11">
        <f>INDEX(V_Altın!N$2:N$48,MATCH(LARGE(V_Altın!$AC$2:$AC$48,ROW()-3),V_Altın!$AC$2:$AC$48,0))</f>
        <v>41988901.369999997</v>
      </c>
      <c r="P47" s="8">
        <f>INDEX(V_Altın!O$2:O$48,MATCH(LARGE(V_Altın!$AC$2:$AC$48,ROW()-3),V_Altın!$AC$2:$AC$48,0))</f>
        <v>-7.9817396316539058E-2</v>
      </c>
      <c r="Q47" s="9">
        <f>INDEX(V_Altın!P$2:P$48,MATCH(LARGE(V_Altın!$AC$2:$AC$48,ROW()-3),V_Altın!$AC$2:$AC$48,0))</f>
        <v>1.3919504273490659</v>
      </c>
      <c r="R47" s="5" t="str">
        <f>INDEX(V_Altın!Q$2:Q$48,MATCH(LARGE(V_Altın!$AC$2:$AC$48,ROW()-3),V_Altın!$AC$2:$AC$48,0))</f>
        <v>Görüyor</v>
      </c>
      <c r="S47" s="8">
        <f>INDEX(V_Altın!R$2:R$48,MATCH(LARGE(V_Altın!$AC$2:$AC$48,ROW()-3),V_Altın!$AC$2:$AC$48,0))</f>
        <v>0</v>
      </c>
      <c r="T47" s="8">
        <f>INDEX(V_Altın!S$2:S$48,MATCH(LARGE(V_Altın!$AC$2:$AC$48,ROW()-3),V_Altın!$AC$2:$AC$48,0))</f>
        <v>2.1700000000000001E-2</v>
      </c>
      <c r="U47" s="8">
        <f>INDEX(V_Altın!T$2:T$48,MATCH(LARGE(V_Altın!$AC$2:$AC$48,ROW()-3),V_Altın!$AC$2:$AC$48,0))</f>
        <v>2.2800000000000001E-2</v>
      </c>
      <c r="V47" s="8">
        <f>INDEX(V_Altın!U$2:U$48,MATCH(LARGE(V_Altın!$AC$2:$AC$48,ROW()-3),V_Altın!$AC$2:$AC$48,0))</f>
        <v>0</v>
      </c>
      <c r="W47" s="8">
        <f>INDEX(V_Altın!V$2:V$48,MATCH(LARGE(V_Altın!$AC$2:$AC$48,ROW()-3),V_Altın!$AC$2:$AC$48,0))</f>
        <v>0</v>
      </c>
      <c r="X47" s="8">
        <f>INDEX(V_Altın!W$2:W$48,MATCH(LARGE(V_Altın!$AC$2:$AC$48,ROW()-3),V_Altın!$AC$2:$AC$48,0))</f>
        <v>0.89900000000000002</v>
      </c>
      <c r="Y47" s="8">
        <f>INDEX(V_Altın!X$2:X$48,MATCH(LARGE(V_Altın!$AC$2:$AC$48,ROW()-3),V_Altın!$AC$2:$AC$48,0))</f>
        <v>0</v>
      </c>
      <c r="Z47" s="8">
        <f>INDEX(V_Altın!Y$2:Y$48,MATCH(LARGE(V_Altın!$AC$2:$AC$48,ROW()-3),V_Altın!$AC$2:$AC$48,0))</f>
        <v>0</v>
      </c>
      <c r="AA47" s="8">
        <f>INDEX(V_Altın!Z$2:Z$48,MATCH(LARGE(V_Altın!$AC$2:$AC$48,ROW()-3),V_Altın!$AC$2:$AC$48,0))</f>
        <v>0</v>
      </c>
      <c r="AB47" s="8">
        <f>INDEX(V_Altın!AA$2:AA$48,MATCH(LARGE(V_Altın!$AC$2:$AC$48,ROW()-3),V_Altın!$AC$2:$AC$48,0))</f>
        <v>0.94350000000000001</v>
      </c>
    </row>
    <row r="48" spans="1:28" x14ac:dyDescent="0.2">
      <c r="A48">
        <v>45</v>
      </c>
      <c r="B48" s="5" t="str">
        <f>INDEX(V_Altın!A$2:A$48,MATCH(LARGE(V_Altın!$AC$2:$AC$48,ROW()-3),V_Altın!$AC$2:$AC$48,0))</f>
        <v>FAL</v>
      </c>
      <c r="C48" s="5" t="str">
        <f>INDEX(V_Altın!B$2:B$48,MATCH(LARGE(V_Altın!$AC$2:$AC$48,ROW()-3),V_Altın!$AC$2:$AC$48,0))</f>
        <v>One Portföy Altın Fonu</v>
      </c>
      <c r="D48" s="5" t="str">
        <f>INDEX(V_Altın!C$2:C$48,MATCH(LARGE(V_Altın!$AC$2:$AC$48,ROW()-3),V_Altın!$AC$2:$AC$48,0))</f>
        <v>One Portföy</v>
      </c>
      <c r="E48" s="8">
        <f>INDEX(V_Altın!D$2:D$48,MATCH(LARGE(V_Altın!$AC$2:$AC$48,ROW()-3),V_Altın!$AC$2:$AC$48,0))</f>
        <v>0.02</v>
      </c>
      <c r="F48" s="9">
        <f>INDEX(V_Altın!E$2:E$48,MATCH(LARGE(V_Altın!$AC$2:$AC$48,ROW()-3),V_Altın!$AC$2:$AC$48,0))</f>
        <v>-1.180504509802216</v>
      </c>
      <c r="G48" s="9">
        <f>INDEX(V_Altın!F$2:F$48,MATCH(LARGE(V_Altın!$AC$2:$AC$48,ROW()-3),V_Altın!$AC$2:$AC$48,0))</f>
        <v>-1.8305417314203101</v>
      </c>
      <c r="H48" s="9">
        <f>INDEX(V_Altın!G$2:G$48,MATCH(LARGE(V_Altın!$AC$2:$AC$48,ROW()-3),V_Altın!$AC$2:$AC$48,0))</f>
        <v>-9.8701925430644266E-2</v>
      </c>
      <c r="I48" s="9">
        <f>INDEX(V_Altın!H$2:H$48,MATCH(LARGE(V_Altın!$AC$2:$AC$48,ROW()-3),V_Altın!$AC$2:$AC$48,0))</f>
        <v>0.90037986017048599</v>
      </c>
      <c r="J48" s="9" t="str">
        <f>INDEX(V_Altın!I$2:I$48,MATCH(LARGE(V_Altın!$AC$2:$AC$48,ROW()-3),V_Altın!$AC$2:$AC$48,0))</f>
        <v>-</v>
      </c>
      <c r="K48" s="10">
        <f>INDEX(V_Altın!J$2:J$48,MATCH(LARGE(V_Altın!$AC$2:$AC$48,ROW()-3),V_Altın!$AC$2:$AC$48,0))</f>
        <v>782</v>
      </c>
      <c r="L48" s="10">
        <f>INDEX(V_Altın!K$2:K$48,MATCH(LARGE(V_Altın!$AC$2:$AC$48,ROW()-3),V_Altın!$AC$2:$AC$48,0))</f>
        <v>726</v>
      </c>
      <c r="M48" s="8">
        <f>INDEX(V_Altın!L$2:L$48,MATCH(LARGE(V_Altın!$AC$2:$AC$48,ROW()-3),V_Altın!$AC$2:$AC$48,0))</f>
        <v>-7.1611253196930957E-2</v>
      </c>
      <c r="N48" s="11">
        <f>INDEX(V_Altın!M$2:M$48,MATCH(LARGE(V_Altın!$AC$2:$AC$48,ROW()-3),V_Altın!$AC$2:$AC$48,0))</f>
        <v>325960402.05000001</v>
      </c>
      <c r="O48" s="11">
        <f>INDEX(V_Altın!N$2:N$48,MATCH(LARGE(V_Altın!$AC$2:$AC$48,ROW()-3),V_Altın!$AC$2:$AC$48,0))</f>
        <v>319787468.81999999</v>
      </c>
      <c r="P48" s="8">
        <f>INDEX(V_Altın!O$2:O$48,MATCH(LARGE(V_Altın!$AC$2:$AC$48,ROW()-3),V_Altın!$AC$2:$AC$48,0))</f>
        <v>-1.893767829214155E-2</v>
      </c>
      <c r="Q48" s="9">
        <f>INDEX(V_Altın!P$2:P$48,MATCH(LARGE(V_Altın!$AC$2:$AC$48,ROW()-3),V_Altın!$AC$2:$AC$48,0))</f>
        <v>1.314457617835322</v>
      </c>
      <c r="R48" s="5" t="str">
        <f>INDEX(V_Altın!Q$2:Q$48,MATCH(LARGE(V_Altın!$AC$2:$AC$48,ROW()-3),V_Altın!$AC$2:$AC$48,0))</f>
        <v>Görüyor</v>
      </c>
      <c r="S48" s="8">
        <f>INDEX(V_Altın!R$2:R$48,MATCH(LARGE(V_Altın!$AC$2:$AC$48,ROW()-3),V_Altın!$AC$2:$AC$48,0))</f>
        <v>0</v>
      </c>
      <c r="T48" s="8">
        <f>INDEX(V_Altın!S$2:S$48,MATCH(LARGE(V_Altın!$AC$2:$AC$48,ROW()-3),V_Altın!$AC$2:$AC$48,0))</f>
        <v>1.49E-2</v>
      </c>
      <c r="U48" s="8">
        <f>INDEX(V_Altın!T$2:T$48,MATCH(LARGE(V_Altın!$AC$2:$AC$48,ROW()-3),V_Altın!$AC$2:$AC$48,0))</f>
        <v>5.2999999999999999E-2</v>
      </c>
      <c r="V48" s="8">
        <f>INDEX(V_Altın!U$2:U$48,MATCH(LARGE(V_Altın!$AC$2:$AC$48,ROW()-3),V_Altın!$AC$2:$AC$48,0))</f>
        <v>4.8300000000000003E-2</v>
      </c>
      <c r="W48" s="8">
        <f>INDEX(V_Altın!V$2:V$48,MATCH(LARGE(V_Altın!$AC$2:$AC$48,ROW()-3),V_Altın!$AC$2:$AC$48,0))</f>
        <v>0</v>
      </c>
      <c r="X48" s="8">
        <f>INDEX(V_Altın!W$2:W$48,MATCH(LARGE(V_Altın!$AC$2:$AC$48,ROW()-3),V_Altın!$AC$2:$AC$48,0))</f>
        <v>0.12959999999999999</v>
      </c>
      <c r="Y48" s="8">
        <f>INDEX(V_Altın!X$2:X$48,MATCH(LARGE(V_Altın!$AC$2:$AC$48,ROW()-3),V_Altın!$AC$2:$AC$48,0))</f>
        <v>0</v>
      </c>
      <c r="Z48" s="8">
        <f>INDEX(V_Altın!Y$2:Y$48,MATCH(LARGE(V_Altın!$AC$2:$AC$48,ROW()-3),V_Altın!$AC$2:$AC$48,0))</f>
        <v>0</v>
      </c>
      <c r="AA48" s="8">
        <f>INDEX(V_Altın!Z$2:Z$48,MATCH(LARGE(V_Altın!$AC$2:$AC$48,ROW()-3),V_Altın!$AC$2:$AC$48,0))</f>
        <v>0</v>
      </c>
      <c r="AB48" s="8">
        <f>INDEX(V_Altın!AA$2:AA$48,MATCH(LARGE(V_Altın!$AC$2:$AC$48,ROW()-3),V_Altın!$AC$2:$AC$48,0))</f>
        <v>0.24579999999999999</v>
      </c>
    </row>
    <row r="49" spans="1:28" x14ac:dyDescent="0.2">
      <c r="A49">
        <v>46</v>
      </c>
      <c r="B49" s="5" t="str">
        <f>INDEX(V_Altın!A$2:A$48,MATCH(LARGE(V_Altın!$AC$2:$AC$48,ROW()-3),V_Altın!$AC$2:$AC$48,0))</f>
        <v>RPG</v>
      </c>
      <c r="C49" s="5" t="str">
        <f>INDEX(V_Altın!B$2:B$48,MATCH(LARGE(V_Altın!$AC$2:$AC$48,ROW()-3),V_Altın!$AC$2:$AC$48,0))</f>
        <v>Rota Portföy Altın Fonu</v>
      </c>
      <c r="D49" s="5" t="str">
        <f>INDEX(V_Altın!C$2:C$48,MATCH(LARGE(V_Altın!$AC$2:$AC$48,ROW()-3),V_Altın!$AC$2:$AC$48,0))</f>
        <v>Rota Portföy</v>
      </c>
      <c r="E49" s="8">
        <f>INDEX(V_Altın!D$2:D$48,MATCH(LARGE(V_Altın!$AC$2:$AC$48,ROW()-3),V_Altın!$AC$2:$AC$48,0))</f>
        <v>1.6E-2</v>
      </c>
      <c r="F49" s="9">
        <f>INDEX(V_Altın!E$2:E$48,MATCH(LARGE(V_Altın!$AC$2:$AC$48,ROW()-3),V_Altın!$AC$2:$AC$48,0))</f>
        <v>-1.2513403692694161</v>
      </c>
      <c r="G49" s="9">
        <f>INDEX(V_Altın!F$2:F$48,MATCH(LARGE(V_Altın!$AC$2:$AC$48,ROW()-3),V_Altın!$AC$2:$AC$48,0))</f>
        <v>-2.0294228804090149</v>
      </c>
      <c r="H49" s="9">
        <f>INDEX(V_Altın!G$2:G$48,MATCH(LARGE(V_Altın!$AC$2:$AC$48,ROW()-3),V_Altın!$AC$2:$AC$48,0))</f>
        <v>0.20795078587509949</v>
      </c>
      <c r="I49" s="9">
        <f>INDEX(V_Altın!H$2:H$48,MATCH(LARGE(V_Altın!$AC$2:$AC$48,ROW()-3),V_Altın!$AC$2:$AC$48,0))</f>
        <v>-0.86266395499551285</v>
      </c>
      <c r="J49" s="9">
        <f>INDEX(V_Altın!I$2:I$48,MATCH(LARGE(V_Altın!$AC$2:$AC$48,ROW()-3),V_Altın!$AC$2:$AC$48,0))</f>
        <v>40.604994863374301</v>
      </c>
      <c r="K49" s="10">
        <f>INDEX(V_Altın!J$2:J$48,MATCH(LARGE(V_Altın!$AC$2:$AC$48,ROW()-3),V_Altın!$AC$2:$AC$48,0))</f>
        <v>1581</v>
      </c>
      <c r="L49" s="10">
        <f>INDEX(V_Altın!K$2:K$48,MATCH(LARGE(V_Altın!$AC$2:$AC$48,ROW()-3),V_Altın!$AC$2:$AC$48,0))</f>
        <v>1501</v>
      </c>
      <c r="M49" s="8">
        <f>INDEX(V_Altın!L$2:L$48,MATCH(LARGE(V_Altın!$AC$2:$AC$48,ROW()-3),V_Altın!$AC$2:$AC$48,0))</f>
        <v>-5.0600885515496567E-2</v>
      </c>
      <c r="N49" s="11">
        <f>INDEX(V_Altın!M$2:M$48,MATCH(LARGE(V_Altın!$AC$2:$AC$48,ROW()-3),V_Altın!$AC$2:$AC$48,0))</f>
        <v>1010727249.23</v>
      </c>
      <c r="O49" s="11">
        <f>INDEX(V_Altın!N$2:N$48,MATCH(LARGE(V_Altın!$AC$2:$AC$48,ROW()-3),V_Altın!$AC$2:$AC$48,0))</f>
        <v>889521949.84000003</v>
      </c>
      <c r="P49" s="8">
        <f>INDEX(V_Altın!O$2:O$48,MATCH(LARGE(V_Altın!$AC$2:$AC$48,ROW()-3),V_Altın!$AC$2:$AC$48,0))</f>
        <v>-0.1199188994680193</v>
      </c>
      <c r="Q49" s="9">
        <f>INDEX(V_Altın!P$2:P$48,MATCH(LARGE(V_Altın!$AC$2:$AC$48,ROW()-3),V_Altın!$AC$2:$AC$48,0))</f>
        <v>1.321559862112287</v>
      </c>
      <c r="R49" s="5" t="str">
        <f>INDEX(V_Altın!Q$2:Q$48,MATCH(LARGE(V_Altın!$AC$2:$AC$48,ROW()-3),V_Altın!$AC$2:$AC$48,0))</f>
        <v>Görüyor</v>
      </c>
      <c r="S49" s="8">
        <f>INDEX(V_Altın!R$2:R$48,MATCH(LARGE(V_Altın!$AC$2:$AC$48,ROW()-3),V_Altın!$AC$2:$AC$48,0))</f>
        <v>0</v>
      </c>
      <c r="T49" s="8">
        <f>INDEX(V_Altın!S$2:S$48,MATCH(LARGE(V_Altın!$AC$2:$AC$48,ROW()-3),V_Altın!$AC$2:$AC$48,0))</f>
        <v>1.9E-3</v>
      </c>
      <c r="U49" s="8">
        <f>INDEX(V_Altın!T$2:T$48,MATCH(LARGE(V_Altın!$AC$2:$AC$48,ROW()-3),V_Altın!$AC$2:$AC$48,0))</f>
        <v>0</v>
      </c>
      <c r="V49" s="8">
        <f>INDEX(V_Altın!U$2:U$48,MATCH(LARGE(V_Altın!$AC$2:$AC$48,ROW()-3),V_Altın!$AC$2:$AC$48,0))</f>
        <v>0</v>
      </c>
      <c r="W49" s="8">
        <f>INDEX(V_Altın!V$2:V$48,MATCH(LARGE(V_Altın!$AC$2:$AC$48,ROW()-3),V_Altın!$AC$2:$AC$48,0))</f>
        <v>0</v>
      </c>
      <c r="X49" s="8">
        <f>INDEX(V_Altın!W$2:W$48,MATCH(LARGE(V_Altın!$AC$2:$AC$48,ROW()-3),V_Altın!$AC$2:$AC$48,0))</f>
        <v>-3.2000000000000002E-3</v>
      </c>
      <c r="Y49" s="8">
        <f>INDEX(V_Altın!X$2:X$48,MATCH(LARGE(V_Altın!$AC$2:$AC$48,ROW()-3),V_Altın!$AC$2:$AC$48,0))</f>
        <v>0</v>
      </c>
      <c r="Z49" s="8">
        <f>INDEX(V_Altın!Y$2:Y$48,MATCH(LARGE(V_Altın!$AC$2:$AC$48,ROW()-3),V_Altın!$AC$2:$AC$48,0))</f>
        <v>0</v>
      </c>
      <c r="AA49" s="8">
        <f>INDEX(V_Altın!Z$2:Z$48,MATCH(LARGE(V_Altın!$AC$2:$AC$48,ROW()-3),V_Altın!$AC$2:$AC$48,0))</f>
        <v>0</v>
      </c>
      <c r="AB49" s="8">
        <f>INDEX(V_Altın!AA$2:AA$48,MATCH(LARGE(V_Altın!$AC$2:$AC$48,ROW()-3),V_Altın!$AC$2:$AC$48,0))</f>
        <v>-1.2999999999999999E-3</v>
      </c>
    </row>
    <row r="50" spans="1:28" x14ac:dyDescent="0.2">
      <c r="A50">
        <v>47</v>
      </c>
      <c r="B50" s="5" t="str">
        <f>INDEX(V_Altın!A$2:A$48,MATCH(LARGE(V_Altın!$AC$2:$AC$48,ROW()-3),V_Altın!$AC$2:$AC$48,0))</f>
        <v>FAK</v>
      </c>
      <c r="C50" s="5" t="str">
        <f>INDEX(V_Altın!B$2:B$48,MATCH(LARGE(V_Altın!$AC$2:$AC$48,ROW()-3),V_Altın!$AC$2:$AC$48,0))</f>
        <v>Fonmap Portföy Altın Katılım Fonu</v>
      </c>
      <c r="D50" s="5" t="str">
        <f>INDEX(V_Altın!C$2:C$48,MATCH(LARGE(V_Altın!$AC$2:$AC$48,ROW()-3),V_Altın!$AC$2:$AC$48,0))</f>
        <v>Fonmap Portföy</v>
      </c>
      <c r="E50" s="8">
        <f>INDEX(V_Altın!D$2:D$48,MATCH(LARGE(V_Altın!$AC$2:$AC$48,ROW()-3),V_Altın!$AC$2:$AC$48,0))</f>
        <v>1.2E-2</v>
      </c>
      <c r="F50" s="9">
        <f>INDEX(V_Altın!E$2:E$48,MATCH(LARGE(V_Altın!$AC$2:$AC$48,ROW()-3),V_Altın!$AC$2:$AC$48,0))</f>
        <v>-1.612372949586494</v>
      </c>
      <c r="G50" s="9">
        <f>INDEX(V_Altın!F$2:F$48,MATCH(LARGE(V_Altın!$AC$2:$AC$48,ROW()-3),V_Altın!$AC$2:$AC$48,0))</f>
        <v>-2.783410362245176</v>
      </c>
      <c r="H50" s="9">
        <f>INDEX(V_Altın!G$2:G$48,MATCH(LARGE(V_Altın!$AC$2:$AC$48,ROW()-3),V_Altın!$AC$2:$AC$48,0))</f>
        <v>-2.8686295395752959</v>
      </c>
      <c r="I50" s="9">
        <f>INDEX(V_Altın!H$2:H$48,MATCH(LARGE(V_Altın!$AC$2:$AC$48,ROW()-3),V_Altın!$AC$2:$AC$48,0))</f>
        <v>-19.979955429838</v>
      </c>
      <c r="J50" s="9" t="str">
        <f>INDEX(V_Altın!I$2:I$48,MATCH(LARGE(V_Altın!$AC$2:$AC$48,ROW()-3),V_Altın!$AC$2:$AC$48,0))</f>
        <v>-</v>
      </c>
      <c r="K50" s="10">
        <f>INDEX(V_Altın!J$2:J$48,MATCH(LARGE(V_Altın!$AC$2:$AC$48,ROW()-3),V_Altın!$AC$2:$AC$48,0))</f>
        <v>392</v>
      </c>
      <c r="L50" s="10">
        <f>INDEX(V_Altın!K$2:K$48,MATCH(LARGE(V_Altın!$AC$2:$AC$48,ROW()-3),V_Altın!$AC$2:$AC$48,0))</f>
        <v>385</v>
      </c>
      <c r="M50" s="8">
        <f>INDEX(V_Altın!L$2:L$48,MATCH(LARGE(V_Altın!$AC$2:$AC$48,ROW()-3),V_Altın!$AC$2:$AC$48,0))</f>
        <v>-1.7857142857142901E-2</v>
      </c>
      <c r="N50" s="11">
        <f>INDEX(V_Altın!M$2:M$48,MATCH(LARGE(V_Altın!$AC$2:$AC$48,ROW()-3),V_Altın!$AC$2:$AC$48,0))</f>
        <v>26687829.469999999</v>
      </c>
      <c r="O50" s="11">
        <f>INDEX(V_Altın!N$2:N$48,MATCH(LARGE(V_Altın!$AC$2:$AC$48,ROW()-3),V_Altın!$AC$2:$AC$48,0))</f>
        <v>25265143.309999999</v>
      </c>
      <c r="P50" s="8">
        <f>INDEX(V_Altın!O$2:O$48,MATCH(LARGE(V_Altın!$AC$2:$AC$48,ROW()-3),V_Altın!$AC$2:$AC$48,0))</f>
        <v>-5.330842516058687E-2</v>
      </c>
      <c r="Q50" s="9">
        <f>INDEX(V_Altın!P$2:P$48,MATCH(LARGE(V_Altın!$AC$2:$AC$48,ROW()-3),V_Altın!$AC$2:$AC$48,0))</f>
        <v>1.53594479257952</v>
      </c>
      <c r="R50" s="5" t="str">
        <f>INDEX(V_Altın!Q$2:Q$48,MATCH(LARGE(V_Altın!$AC$2:$AC$48,ROW()-3),V_Altın!$AC$2:$AC$48,0))</f>
        <v>Görüyor</v>
      </c>
      <c r="S50" s="8">
        <f>INDEX(V_Altın!R$2:R$48,MATCH(LARGE(V_Altın!$AC$2:$AC$48,ROW()-3),V_Altın!$AC$2:$AC$48,0))</f>
        <v>0</v>
      </c>
      <c r="T50" s="8">
        <f>INDEX(V_Altın!S$2:S$48,MATCH(LARGE(V_Altın!$AC$2:$AC$48,ROW()-3),V_Altın!$AC$2:$AC$48,0))</f>
        <v>0</v>
      </c>
      <c r="U50" s="8">
        <f>INDEX(V_Altın!T$2:T$48,MATCH(LARGE(V_Altın!$AC$2:$AC$48,ROW()-3),V_Altın!$AC$2:$AC$48,0))</f>
        <v>0</v>
      </c>
      <c r="V50" s="8">
        <f>INDEX(V_Altın!U$2:U$48,MATCH(LARGE(V_Altın!$AC$2:$AC$48,ROW()-3),V_Altın!$AC$2:$AC$48,0))</f>
        <v>0.81769999999999998</v>
      </c>
      <c r="W50" s="8">
        <f>INDEX(V_Altın!V$2:V$48,MATCH(LARGE(V_Altın!$AC$2:$AC$48,ROW()-3),V_Altın!$AC$2:$AC$48,0))</f>
        <v>0</v>
      </c>
      <c r="X50" s="8">
        <f>INDEX(V_Altın!W$2:W$48,MATCH(LARGE(V_Altın!$AC$2:$AC$48,ROW()-3),V_Altın!$AC$2:$AC$48,0))</f>
        <v>0</v>
      </c>
      <c r="Y50" s="8">
        <f>INDEX(V_Altın!X$2:X$48,MATCH(LARGE(V_Altın!$AC$2:$AC$48,ROW()-3),V_Altın!$AC$2:$AC$48,0))</f>
        <v>0</v>
      </c>
      <c r="Z50" s="8">
        <f>INDEX(V_Altın!Y$2:Y$48,MATCH(LARGE(V_Altın!$AC$2:$AC$48,ROW()-3),V_Altın!$AC$2:$AC$48,0))</f>
        <v>0</v>
      </c>
      <c r="AA50" s="8">
        <f>INDEX(V_Altın!Z$2:Z$48,MATCH(LARGE(V_Altın!$AC$2:$AC$48,ROW()-3),V_Altın!$AC$2:$AC$48,0))</f>
        <v>0</v>
      </c>
      <c r="AB50" s="8">
        <f>INDEX(V_Altın!AA$2:AA$48,MATCH(LARGE(V_Altın!$AC$2:$AC$48,ROW()-3),V_Altın!$AC$2:$AC$48,0))</f>
        <v>0.81769999999999998</v>
      </c>
    </row>
  </sheetData>
  <conditionalFormatting sqref="B4:AB50">
    <cfRule type="expression" dxfId="5" priority="1">
      <formula>OR($B4="BAI",$B4="BHI",$B4="BIS",$B4="BSD",$B4="BTE",$B4="BTK",$B4="BV1",$B4="BVD",$B4="BVF",$B4="BVV",$B4="BVZ",$B4="MTD",$B4="RUT",$B4="SPR")</formula>
    </cfRule>
  </conditionalFormatting>
  <dataValidations count="1">
    <dataValidation type="list" sqref="E2" xr:uid="{00000000-0002-0000-0C00-000000000000}">
      <formula1>"Günlük%,Haftalık,Aylık,Yılbaşına Göre,Yıllık"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10"/>
  <sheetViews>
    <sheetView workbookViewId="0"/>
  </sheetViews>
  <sheetFormatPr baseColWidth="10" defaultColWidth="8.83203125" defaultRowHeight="15" x14ac:dyDescent="0.2"/>
  <sheetData>
    <row r="1" spans="1:31" x14ac:dyDescent="0.2">
      <c r="A1" t="s">
        <v>3</v>
      </c>
      <c r="B1" t="s">
        <v>526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527</v>
      </c>
      <c r="S1" t="s">
        <v>528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</row>
    <row r="2" spans="1:31" x14ac:dyDescent="0.2">
      <c r="A2" t="s">
        <v>529</v>
      </c>
      <c r="B2" t="s">
        <v>530</v>
      </c>
      <c r="C2" t="s">
        <v>190</v>
      </c>
      <c r="D2">
        <v>2.5000000000000001E-2</v>
      </c>
      <c r="E2">
        <v>5.2488488982760373E-3</v>
      </c>
      <c r="F2">
        <v>-0.41887717880376713</v>
      </c>
      <c r="G2">
        <v>2.4888014270818331</v>
      </c>
      <c r="H2">
        <v>13.43782370708735</v>
      </c>
      <c r="I2">
        <v>34.86596818524275</v>
      </c>
      <c r="J2">
        <v>1031</v>
      </c>
      <c r="K2">
        <v>1021</v>
      </c>
      <c r="L2">
        <v>-9.6993210475266878E-3</v>
      </c>
      <c r="M2">
        <v>10643778.98</v>
      </c>
      <c r="N2">
        <v>10496444.84</v>
      </c>
      <c r="O2">
        <v>-1.3842277284867199E-2</v>
      </c>
      <c r="P2">
        <v>0.85426276976346305</v>
      </c>
      <c r="Q2" t="s">
        <v>41</v>
      </c>
      <c r="R2">
        <v>0.54049999999999998</v>
      </c>
      <c r="S2">
        <v>0</v>
      </c>
      <c r="T2">
        <v>0</v>
      </c>
      <c r="U2">
        <v>0</v>
      </c>
      <c r="V2">
        <v>0</v>
      </c>
      <c r="W2">
        <v>0.37200000000000011</v>
      </c>
      <c r="X2">
        <v>3.8899999999999997E-2</v>
      </c>
      <c r="Y2">
        <v>0</v>
      </c>
      <c r="Z2">
        <v>0</v>
      </c>
      <c r="AA2">
        <v>4.8599999999999997E-2</v>
      </c>
      <c r="AB2">
        <v>0</v>
      </c>
      <c r="AC2">
        <v>1</v>
      </c>
      <c r="AE2">
        <f>IF(ISNUMBER(INDEX($A$2:$AC$10,1,MATCH(RUT!$E$2,$A$1:$AC$1,0))),INDEX($A$2:$AC$10,1,MATCH(RUT!$E$2,$A$1:$AC$1,0)),-1000000000)-ROW()/10000000</f>
        <v>5.2486488982760376E-3</v>
      </c>
    </row>
    <row r="3" spans="1:31" x14ac:dyDescent="0.2">
      <c r="A3" t="s">
        <v>531</v>
      </c>
      <c r="B3" t="s">
        <v>532</v>
      </c>
      <c r="C3" t="s">
        <v>124</v>
      </c>
      <c r="D3">
        <v>2.9000000000000001E-2</v>
      </c>
      <c r="E3">
        <v>-0.169741087264208</v>
      </c>
      <c r="F3">
        <v>1.2811454280097221</v>
      </c>
      <c r="G3">
        <v>2.72698730361931</v>
      </c>
      <c r="H3">
        <v>25.569840461012561</v>
      </c>
      <c r="I3">
        <v>46.235650992932541</v>
      </c>
      <c r="J3">
        <v>7846</v>
      </c>
      <c r="K3">
        <v>7533</v>
      </c>
      <c r="L3">
        <v>-3.9892939077236789E-2</v>
      </c>
      <c r="M3">
        <v>376483323.17000002</v>
      </c>
      <c r="N3">
        <v>468031776.07999998</v>
      </c>
      <c r="O3">
        <v>0.24316735237874409</v>
      </c>
      <c r="P3">
        <v>1.1570885861873339</v>
      </c>
      <c r="Q3" t="s">
        <v>41</v>
      </c>
      <c r="R3">
        <v>0.63719999999999999</v>
      </c>
      <c r="S3">
        <v>0</v>
      </c>
      <c r="T3">
        <v>0</v>
      </c>
      <c r="U3">
        <v>0</v>
      </c>
      <c r="V3">
        <v>6.4000000000000001E-2</v>
      </c>
      <c r="W3">
        <v>0.24640000000000001</v>
      </c>
      <c r="X3">
        <v>5.9999999999999995E-4</v>
      </c>
      <c r="Y3">
        <v>5.1799999999999999E-2</v>
      </c>
      <c r="Z3">
        <v>0</v>
      </c>
      <c r="AA3">
        <v>0</v>
      </c>
      <c r="AB3">
        <v>0</v>
      </c>
      <c r="AC3">
        <v>1</v>
      </c>
      <c r="AE3">
        <f>IF(ISNUMBER(INDEX($A$2:$AC$10,2,MATCH(RUT!$E$2,$A$1:$AC$1,0))),INDEX($A$2:$AC$10,2,MATCH(RUT!$E$2,$A$1:$AC$1,0)),-1000000000)-ROW()/10000000</f>
        <v>-0.16974138726420801</v>
      </c>
    </row>
    <row r="4" spans="1:31" x14ac:dyDescent="0.2">
      <c r="A4" t="s">
        <v>533</v>
      </c>
      <c r="B4" t="s">
        <v>534</v>
      </c>
      <c r="C4" t="s">
        <v>147</v>
      </c>
      <c r="D4">
        <v>0.02</v>
      </c>
      <c r="E4">
        <v>-0.63356664141996921</v>
      </c>
      <c r="F4">
        <v>-1.458753354695896</v>
      </c>
      <c r="G4">
        <v>1.5918572827708699</v>
      </c>
      <c r="H4">
        <v>38.491343146214483</v>
      </c>
      <c r="I4">
        <v>70.835716524147244</v>
      </c>
      <c r="J4">
        <v>3384</v>
      </c>
      <c r="K4">
        <v>3336</v>
      </c>
      <c r="L4">
        <v>-1.418439716312059E-2</v>
      </c>
      <c r="M4">
        <v>116498251.41</v>
      </c>
      <c r="N4">
        <v>113376402.7</v>
      </c>
      <c r="O4">
        <v>-2.679738684671806E-2</v>
      </c>
      <c r="P4">
        <v>1.3777615864404851</v>
      </c>
      <c r="Q4" t="s">
        <v>41</v>
      </c>
      <c r="R4">
        <v>0.67749999999999999</v>
      </c>
      <c r="S4">
        <v>0</v>
      </c>
      <c r="T4">
        <v>0</v>
      </c>
      <c r="U4">
        <v>0</v>
      </c>
      <c r="V4">
        <v>0</v>
      </c>
      <c r="W4">
        <v>0.31609999999999999</v>
      </c>
      <c r="X4">
        <v>0</v>
      </c>
      <c r="Y4">
        <v>6.4000000000000003E-3</v>
      </c>
      <c r="Z4">
        <v>0</v>
      </c>
      <c r="AA4">
        <v>0</v>
      </c>
      <c r="AB4">
        <v>0</v>
      </c>
      <c r="AC4">
        <v>1</v>
      </c>
      <c r="AE4">
        <f>IF(ISNUMBER(INDEX($A$2:$AC$10,3,MATCH(RUT!$E$2,$A$1:$AC$1,0))),INDEX($A$2:$AC$10,3,MATCH(RUT!$E$2,$A$1:$AC$1,0)),-1000000000)-ROW()/10000000</f>
        <v>-0.63356704141996922</v>
      </c>
    </row>
    <row r="5" spans="1:31" x14ac:dyDescent="0.2">
      <c r="A5" t="s">
        <v>535</v>
      </c>
      <c r="B5" t="s">
        <v>536</v>
      </c>
      <c r="C5" t="s">
        <v>280</v>
      </c>
      <c r="D5">
        <v>2.5000000000000001E-2</v>
      </c>
      <c r="E5">
        <v>-1.1273337925507549</v>
      </c>
      <c r="F5">
        <v>-6.4149280660613526</v>
      </c>
      <c r="G5">
        <v>0.11971712839367039</v>
      </c>
      <c r="H5">
        <v>13.24034355787729</v>
      </c>
      <c r="I5">
        <v>25.99864943869088</v>
      </c>
      <c r="J5">
        <v>18574</v>
      </c>
      <c r="K5">
        <v>17825</v>
      </c>
      <c r="L5">
        <v>-4.0325185743512397E-2</v>
      </c>
      <c r="M5">
        <v>580177673.65999997</v>
      </c>
      <c r="N5">
        <v>530383893.91000003</v>
      </c>
      <c r="O5">
        <v>-8.5825053273560603E-2</v>
      </c>
      <c r="P5">
        <v>1.415051262909587</v>
      </c>
      <c r="Q5" t="s">
        <v>41</v>
      </c>
      <c r="R5">
        <v>0.6984999999999999</v>
      </c>
      <c r="S5">
        <v>0</v>
      </c>
      <c r="T5">
        <v>0</v>
      </c>
      <c r="U5">
        <v>1.3599999999999999E-2</v>
      </c>
      <c r="V5">
        <v>0</v>
      </c>
      <c r="W5">
        <v>0.2288</v>
      </c>
      <c r="X5">
        <v>0</v>
      </c>
      <c r="Y5">
        <v>5.91E-2</v>
      </c>
      <c r="Z5">
        <v>0</v>
      </c>
      <c r="AA5">
        <v>0</v>
      </c>
      <c r="AB5">
        <v>0</v>
      </c>
      <c r="AC5">
        <v>0.99999999999999989</v>
      </c>
      <c r="AE5">
        <f>IF(ISNUMBER(INDEX($A$2:$AC$10,4,MATCH(RUT!$E$2,$A$1:$AC$1,0))),INDEX($A$2:$AC$10,4,MATCH(RUT!$E$2,$A$1:$AC$1,0)),-1000000000)-ROW()/10000000</f>
        <v>-1.127334292550755</v>
      </c>
    </row>
    <row r="6" spans="1:31" x14ac:dyDescent="0.2">
      <c r="A6" t="s">
        <v>537</v>
      </c>
      <c r="B6" t="s">
        <v>538</v>
      </c>
      <c r="C6" t="s">
        <v>100</v>
      </c>
      <c r="D6">
        <v>2.5000000000000001E-2</v>
      </c>
      <c r="E6">
        <v>-1.2350278620450019</v>
      </c>
      <c r="F6">
        <v>-2.857718284070021</v>
      </c>
      <c r="G6">
        <v>1.4457310219916359</v>
      </c>
      <c r="H6">
        <v>44.360271817079052</v>
      </c>
      <c r="I6">
        <v>77.990949740598154</v>
      </c>
      <c r="J6">
        <v>13573</v>
      </c>
      <c r="K6">
        <v>14321</v>
      </c>
      <c r="L6">
        <v>5.5109408384292242E-2</v>
      </c>
      <c r="M6">
        <v>1046976452.15</v>
      </c>
      <c r="N6">
        <v>1087617766.25</v>
      </c>
      <c r="O6">
        <v>3.8817791953717602E-2</v>
      </c>
      <c r="P6">
        <v>1.7695426324961649</v>
      </c>
      <c r="Q6" t="s">
        <v>41</v>
      </c>
      <c r="R6">
        <v>0</v>
      </c>
      <c r="S6">
        <v>0.6663</v>
      </c>
      <c r="T6">
        <v>0</v>
      </c>
      <c r="U6">
        <v>8.9999999999999998E-4</v>
      </c>
      <c r="V6">
        <v>9.1999999999999998E-3</v>
      </c>
      <c r="W6">
        <v>0</v>
      </c>
      <c r="X6">
        <v>0</v>
      </c>
      <c r="Y6">
        <v>0.3236</v>
      </c>
      <c r="Z6">
        <v>0</v>
      </c>
      <c r="AA6">
        <v>0</v>
      </c>
      <c r="AB6">
        <v>0</v>
      </c>
      <c r="AC6">
        <v>1</v>
      </c>
      <c r="AE6">
        <f>IF(ISNUMBER(INDEX($A$2:$AC$10,5,MATCH(RUT!$E$2,$A$1:$AC$1,0))),INDEX($A$2:$AC$10,5,MATCH(RUT!$E$2,$A$1:$AC$1,0)),-1000000000)-ROW()/10000000</f>
        <v>-1.2350284620450018</v>
      </c>
    </row>
    <row r="7" spans="1:31" x14ac:dyDescent="0.2">
      <c r="A7" t="s">
        <v>539</v>
      </c>
      <c r="B7" t="s">
        <v>540</v>
      </c>
      <c r="C7" t="s">
        <v>280</v>
      </c>
      <c r="D7">
        <v>2.5000000000000001E-2</v>
      </c>
      <c r="E7">
        <v>-1.2468262651208371</v>
      </c>
      <c r="F7">
        <v>-3.7341488614624612</v>
      </c>
      <c r="G7">
        <v>0.51118374662535437</v>
      </c>
      <c r="H7">
        <v>39.769040757613922</v>
      </c>
      <c r="I7">
        <v>70.558770372674488</v>
      </c>
      <c r="J7">
        <v>5413</v>
      </c>
      <c r="K7">
        <v>5253</v>
      </c>
      <c r="L7">
        <v>-2.9558470349159479E-2</v>
      </c>
      <c r="M7">
        <v>280376122.50999999</v>
      </c>
      <c r="N7">
        <v>273683715.80000001</v>
      </c>
      <c r="O7">
        <v>-2.3869388912607151E-2</v>
      </c>
      <c r="P7">
        <v>2.0779673622265622</v>
      </c>
      <c r="Q7" t="s">
        <v>41</v>
      </c>
      <c r="R7">
        <v>0.64549999999999996</v>
      </c>
      <c r="S7">
        <v>0</v>
      </c>
      <c r="T7">
        <v>0</v>
      </c>
      <c r="U7">
        <v>1.26E-2</v>
      </c>
      <c r="V7">
        <v>0</v>
      </c>
      <c r="W7">
        <v>0.22559999999999999</v>
      </c>
      <c r="X7">
        <v>0</v>
      </c>
      <c r="Y7">
        <v>0.1163</v>
      </c>
      <c r="Z7">
        <v>0</v>
      </c>
      <c r="AA7">
        <v>0</v>
      </c>
      <c r="AB7">
        <v>0</v>
      </c>
      <c r="AC7">
        <v>1</v>
      </c>
      <c r="AE7">
        <f>IF(ISNUMBER(INDEX($A$2:$AC$10,6,MATCH(RUT!$E$2,$A$1:$AC$1,0))),INDEX($A$2:$AC$10,6,MATCH(RUT!$E$2,$A$1:$AC$1,0)),-1000000000)-ROW()/10000000</f>
        <v>-1.246826965120837</v>
      </c>
    </row>
    <row r="8" spans="1:31" x14ac:dyDescent="0.2">
      <c r="A8" t="s">
        <v>541</v>
      </c>
      <c r="B8" t="s">
        <v>542</v>
      </c>
      <c r="C8" t="s">
        <v>37</v>
      </c>
      <c r="D8">
        <v>3.1503150000000001E-2</v>
      </c>
      <c r="E8">
        <v>-1.3364876041356499</v>
      </c>
      <c r="F8">
        <v>-4.8487033412831</v>
      </c>
      <c r="G8">
        <v>15.241175692850989</v>
      </c>
      <c r="H8">
        <v>27.476704187260541</v>
      </c>
      <c r="I8">
        <v>46.102379288389869</v>
      </c>
      <c r="J8">
        <v>46</v>
      </c>
      <c r="K8">
        <v>106</v>
      </c>
      <c r="L8">
        <v>1.304347826086957</v>
      </c>
      <c r="M8">
        <v>21692507.350000001</v>
      </c>
      <c r="N8">
        <v>31837426.25</v>
      </c>
      <c r="O8">
        <v>0.46766926184768559</v>
      </c>
      <c r="P8">
        <v>3.6159289384655811</v>
      </c>
      <c r="Q8" t="s">
        <v>41</v>
      </c>
      <c r="R8">
        <v>0.64359999999999995</v>
      </c>
      <c r="S8">
        <v>3.3700000000000001E-2</v>
      </c>
      <c r="T8">
        <v>0</v>
      </c>
      <c r="U8">
        <v>0</v>
      </c>
      <c r="V8">
        <v>0</v>
      </c>
      <c r="W8">
        <v>0.15939999999999999</v>
      </c>
      <c r="X8">
        <v>0</v>
      </c>
      <c r="Y8">
        <v>0.1633</v>
      </c>
      <c r="Z8">
        <v>0</v>
      </c>
      <c r="AA8">
        <v>0</v>
      </c>
      <c r="AB8">
        <v>0</v>
      </c>
      <c r="AC8">
        <v>0.99999999999999989</v>
      </c>
      <c r="AE8">
        <f>IF(ISNUMBER(INDEX($A$2:$AC$10,7,MATCH(RUT!$E$2,$A$1:$AC$1,0))),INDEX($A$2:$AC$10,7,MATCH(RUT!$E$2,$A$1:$AC$1,0)),-1000000000)-ROW()/10000000</f>
        <v>-1.33648840413565</v>
      </c>
    </row>
    <row r="9" spans="1:31" x14ac:dyDescent="0.2">
      <c r="A9" t="s">
        <v>543</v>
      </c>
      <c r="B9" t="s">
        <v>544</v>
      </c>
      <c r="C9" t="s">
        <v>50</v>
      </c>
      <c r="D9">
        <v>2.5000000000000001E-2</v>
      </c>
      <c r="E9">
        <v>-1.605020865883156</v>
      </c>
      <c r="F9">
        <v>-4.1637098908224761</v>
      </c>
      <c r="G9">
        <v>0.88841112856237192</v>
      </c>
      <c r="H9">
        <v>28.063850742385661</v>
      </c>
      <c r="I9">
        <v>52.842059772538889</v>
      </c>
      <c r="J9">
        <v>4770</v>
      </c>
      <c r="K9">
        <v>4842</v>
      </c>
      <c r="L9">
        <v>1.509433962264151E-2</v>
      </c>
      <c r="M9">
        <v>148562038.16999999</v>
      </c>
      <c r="N9">
        <v>170615984.19999999</v>
      </c>
      <c r="O9">
        <v>0.14844940404468329</v>
      </c>
      <c r="P9">
        <v>1.3397770178127011</v>
      </c>
      <c r="Q9" t="s">
        <v>41</v>
      </c>
      <c r="R9">
        <v>0.64489999999999992</v>
      </c>
      <c r="S9">
        <v>0</v>
      </c>
      <c r="T9">
        <v>0</v>
      </c>
      <c r="U9">
        <v>2.3800000000000002E-2</v>
      </c>
      <c r="V9">
        <v>0</v>
      </c>
      <c r="W9">
        <v>0.1479</v>
      </c>
      <c r="X9">
        <v>0</v>
      </c>
      <c r="Y9">
        <v>0.14460000000000001</v>
      </c>
      <c r="Z9">
        <v>0</v>
      </c>
      <c r="AA9">
        <v>0</v>
      </c>
      <c r="AB9">
        <v>0</v>
      </c>
      <c r="AC9">
        <v>0.96119999999999994</v>
      </c>
      <c r="AE9">
        <f>IF(ISNUMBER(INDEX($A$2:$AC$10,8,MATCH(RUT!$E$2,$A$1:$AC$1,0))),INDEX($A$2:$AC$10,8,MATCH(RUT!$E$2,$A$1:$AC$1,0)),-1000000000)-ROW()/10000000</f>
        <v>-1.605021765883156</v>
      </c>
    </row>
    <row r="10" spans="1:31" x14ac:dyDescent="0.2">
      <c r="A10" t="s">
        <v>545</v>
      </c>
      <c r="B10" t="s">
        <v>546</v>
      </c>
      <c r="C10" t="s">
        <v>228</v>
      </c>
      <c r="D10">
        <v>2.75E-2</v>
      </c>
      <c r="E10">
        <v>-2.141979256458026</v>
      </c>
      <c r="F10">
        <v>-3.3241966684962039</v>
      </c>
      <c r="G10">
        <v>0.34809783693463547</v>
      </c>
      <c r="H10">
        <v>24.711915796277559</v>
      </c>
      <c r="I10">
        <v>43.259655958765187</v>
      </c>
      <c r="J10">
        <v>921</v>
      </c>
      <c r="K10">
        <v>885</v>
      </c>
      <c r="L10">
        <v>-3.9087947882736167E-2</v>
      </c>
      <c r="M10">
        <v>348869367.64999998</v>
      </c>
      <c r="N10">
        <v>344911877.99000001</v>
      </c>
      <c r="O10">
        <v>-1.134375794199927E-2</v>
      </c>
      <c r="P10">
        <v>1.541596877836469</v>
      </c>
      <c r="Q10" t="s">
        <v>41</v>
      </c>
      <c r="R10">
        <v>0.56520000000000004</v>
      </c>
      <c r="S10">
        <v>0.23760000000000001</v>
      </c>
      <c r="T10">
        <v>0</v>
      </c>
      <c r="U10">
        <v>0</v>
      </c>
      <c r="V10">
        <v>2.9600000000000001E-2</v>
      </c>
      <c r="W10">
        <v>0.1003</v>
      </c>
      <c r="X10">
        <v>2.3900000000000001E-2</v>
      </c>
      <c r="Y10">
        <v>4.3400000000000001E-2</v>
      </c>
      <c r="Z10">
        <v>0</v>
      </c>
      <c r="AA10">
        <v>0</v>
      </c>
      <c r="AB10">
        <v>0</v>
      </c>
      <c r="AC10">
        <v>1</v>
      </c>
      <c r="AE10">
        <f>IF(ISNUMBER(INDEX($A$2:$AC$10,9,MATCH(RUT!$E$2,$A$1:$AC$1,0))),INDEX($A$2:$AC$10,9,MATCH(RUT!$E$2,$A$1:$AC$1,0)),-1000000000)-ROW()/10000000</f>
        <v>-2.1419802564580261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12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2" max="2" width="9" customWidth="1"/>
    <col min="3" max="3" width="68" customWidth="1"/>
    <col min="4" max="4" width="26" customWidth="1"/>
    <col min="5" max="30" width="13" customWidth="1"/>
  </cols>
  <sheetData>
    <row r="1" spans="1:30" x14ac:dyDescent="0.2">
      <c r="F1" s="6">
        <v>46216</v>
      </c>
      <c r="G1" s="6">
        <v>46210</v>
      </c>
      <c r="H1" s="6">
        <v>46185</v>
      </c>
      <c r="I1" s="6">
        <v>46022</v>
      </c>
      <c r="J1" s="6">
        <v>45852</v>
      </c>
    </row>
    <row r="2" spans="1:30" x14ac:dyDescent="0.2">
      <c r="B2" s="3" t="s">
        <v>75</v>
      </c>
      <c r="D2" s="7" t="s">
        <v>0</v>
      </c>
      <c r="E2" s="2" t="s">
        <v>13</v>
      </c>
    </row>
    <row r="3" spans="1:30" ht="48" x14ac:dyDescent="0.2">
      <c r="B3" s="4" t="s">
        <v>3</v>
      </c>
      <c r="C3" s="4" t="s">
        <v>526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6</v>
      </c>
      <c r="J3" s="4" t="s">
        <v>16</v>
      </c>
      <c r="K3" s="4" t="s">
        <v>17</v>
      </c>
      <c r="L3" s="4" t="s">
        <v>18</v>
      </c>
      <c r="M3" s="4" t="s">
        <v>19</v>
      </c>
      <c r="N3" s="4" t="s">
        <v>20</v>
      </c>
      <c r="O3" s="4" t="s">
        <v>21</v>
      </c>
      <c r="P3" s="4" t="s">
        <v>22</v>
      </c>
      <c r="Q3" s="4" t="s">
        <v>23</v>
      </c>
      <c r="R3" s="4" t="s">
        <v>24</v>
      </c>
      <c r="S3" s="4" t="s">
        <v>527</v>
      </c>
      <c r="T3" s="4" t="s">
        <v>528</v>
      </c>
      <c r="U3" s="4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4" t="s">
        <v>31</v>
      </c>
      <c r="AB3" s="4" t="s">
        <v>32</v>
      </c>
      <c r="AC3" s="4" t="s">
        <v>33</v>
      </c>
      <c r="AD3" s="4" t="s">
        <v>34</v>
      </c>
    </row>
    <row r="4" spans="1:30" x14ac:dyDescent="0.2">
      <c r="A4">
        <v>1</v>
      </c>
      <c r="B4" s="5" t="str">
        <f>INDEX(V_RUT!A$2:A$10,MATCH(LARGE(V_RUT!$AE$2:$AE$10,ROW()-3),V_RUT!$AE$2:$AE$10,0))</f>
        <v>KIB</v>
      </c>
      <c r="C4" s="5" t="str">
        <f>INDEX(V_RUT!B$2:B$10,MATCH(LARGE(V_RUT!$AE$2:$AE$10,ROW()-3),V_RUT!$AE$2:$AE$10,0))</f>
        <v>Trıve Portföy Robotik Teknolojileri Değişken Fon</v>
      </c>
      <c r="D4" s="5" t="str">
        <f>INDEX(V_RUT!C$2:C$10,MATCH(LARGE(V_RUT!$AE$2:$AE$10,ROW()-3),V_RUT!$AE$2:$AE$10,0))</f>
        <v>Trıve Portföy</v>
      </c>
      <c r="E4" s="8">
        <f>INDEX(V_RUT!D$2:D$10,MATCH(LARGE(V_RUT!$AE$2:$AE$10,ROW()-3),V_RUT!$AE$2:$AE$10,0))</f>
        <v>2.5000000000000001E-2</v>
      </c>
      <c r="F4" s="9">
        <f>INDEX(V_RUT!E$2:E$10,MATCH(LARGE(V_RUT!$AE$2:$AE$10,ROW()-3),V_RUT!$AE$2:$AE$10,0))</f>
        <v>5.2488488982760373E-3</v>
      </c>
      <c r="G4" s="9">
        <f>INDEX(V_RUT!F$2:F$10,MATCH(LARGE(V_RUT!$AE$2:$AE$10,ROW()-3),V_RUT!$AE$2:$AE$10,0))</f>
        <v>-0.41887717880376713</v>
      </c>
      <c r="H4" s="9">
        <f>INDEX(V_RUT!G$2:G$10,MATCH(LARGE(V_RUT!$AE$2:$AE$10,ROW()-3),V_RUT!$AE$2:$AE$10,0))</f>
        <v>2.4888014270818331</v>
      </c>
      <c r="I4" s="9">
        <f>INDEX(V_RUT!H$2:H$10,MATCH(LARGE(V_RUT!$AE$2:$AE$10,ROW()-3),V_RUT!$AE$2:$AE$10,0))</f>
        <v>13.43782370708735</v>
      </c>
      <c r="J4" s="9">
        <f>INDEX(V_RUT!I$2:I$10,MATCH(LARGE(V_RUT!$AE$2:$AE$10,ROW()-3),V_RUT!$AE$2:$AE$10,0))</f>
        <v>34.86596818524275</v>
      </c>
      <c r="K4" s="10">
        <f>INDEX(V_RUT!J$2:J$10,MATCH(LARGE(V_RUT!$AE$2:$AE$10,ROW()-3),V_RUT!$AE$2:$AE$10,0))</f>
        <v>1031</v>
      </c>
      <c r="L4" s="10">
        <f>INDEX(V_RUT!K$2:K$10,MATCH(LARGE(V_RUT!$AE$2:$AE$10,ROW()-3),V_RUT!$AE$2:$AE$10,0))</f>
        <v>1021</v>
      </c>
      <c r="M4" s="8">
        <f>INDEX(V_RUT!L$2:L$10,MATCH(LARGE(V_RUT!$AE$2:$AE$10,ROW()-3),V_RUT!$AE$2:$AE$10,0))</f>
        <v>-9.6993210475266878E-3</v>
      </c>
      <c r="N4" s="11">
        <f>INDEX(V_RUT!M$2:M$10,MATCH(LARGE(V_RUT!$AE$2:$AE$10,ROW()-3),V_RUT!$AE$2:$AE$10,0))</f>
        <v>10643778.98</v>
      </c>
      <c r="O4" s="11">
        <f>INDEX(V_RUT!N$2:N$10,MATCH(LARGE(V_RUT!$AE$2:$AE$10,ROW()-3),V_RUT!$AE$2:$AE$10,0))</f>
        <v>10496444.84</v>
      </c>
      <c r="P4" s="8">
        <f>INDEX(V_RUT!O$2:O$10,MATCH(LARGE(V_RUT!$AE$2:$AE$10,ROW()-3),V_RUT!$AE$2:$AE$10,0))</f>
        <v>-1.3842277284867199E-2</v>
      </c>
      <c r="Q4" s="9">
        <f>INDEX(V_RUT!P$2:P$10,MATCH(LARGE(V_RUT!$AE$2:$AE$10,ROW()-3),V_RUT!$AE$2:$AE$10,0))</f>
        <v>0.85426276976346305</v>
      </c>
      <c r="R4" s="5" t="str">
        <f>INDEX(V_RUT!Q$2:Q$10,MATCH(LARGE(V_RUT!$AE$2:$AE$10,ROW()-3),V_RUT!$AE$2:$AE$10,0))</f>
        <v>Görüyor</v>
      </c>
      <c r="S4" s="8">
        <f>INDEX(V_RUT!R$2:R$10,MATCH(LARGE(V_RUT!$AE$2:$AE$10,ROW()-3),V_RUT!$AE$2:$AE$10,0))</f>
        <v>0.54049999999999998</v>
      </c>
      <c r="T4" s="8">
        <f>INDEX(V_RUT!S$2:S$10,MATCH(LARGE(V_RUT!$AE$2:$AE$10,ROW()-3),V_RUT!$AE$2:$AE$10,0))</f>
        <v>0</v>
      </c>
      <c r="U4" s="8">
        <f>INDEX(V_RUT!T$2:T$10,MATCH(LARGE(V_RUT!$AE$2:$AE$10,ROW()-3),V_RUT!$AE$2:$AE$10,0))</f>
        <v>0</v>
      </c>
      <c r="V4" s="8">
        <f>INDEX(V_RUT!U$2:U$10,MATCH(LARGE(V_RUT!$AE$2:$AE$10,ROW()-3),V_RUT!$AE$2:$AE$10,0))</f>
        <v>0</v>
      </c>
      <c r="W4" s="8">
        <f>INDEX(V_RUT!V$2:V$10,MATCH(LARGE(V_RUT!$AE$2:$AE$10,ROW()-3),V_RUT!$AE$2:$AE$10,0))</f>
        <v>0</v>
      </c>
      <c r="X4" s="8">
        <f>INDEX(V_RUT!W$2:W$10,MATCH(LARGE(V_RUT!$AE$2:$AE$10,ROW()-3),V_RUT!$AE$2:$AE$10,0))</f>
        <v>0.37200000000000011</v>
      </c>
      <c r="Y4" s="8">
        <f>INDEX(V_RUT!X$2:X$10,MATCH(LARGE(V_RUT!$AE$2:$AE$10,ROW()-3),V_RUT!$AE$2:$AE$10,0))</f>
        <v>3.8899999999999997E-2</v>
      </c>
      <c r="Z4" s="8">
        <f>INDEX(V_RUT!Y$2:Y$10,MATCH(LARGE(V_RUT!$AE$2:$AE$10,ROW()-3),V_RUT!$AE$2:$AE$10,0))</f>
        <v>0</v>
      </c>
      <c r="AA4" s="8">
        <f>INDEX(V_RUT!Z$2:Z$10,MATCH(LARGE(V_RUT!$AE$2:$AE$10,ROW()-3),V_RUT!$AE$2:$AE$10,0))</f>
        <v>0</v>
      </c>
      <c r="AB4" s="8">
        <f>INDEX(V_RUT!AA$2:AA$10,MATCH(LARGE(V_RUT!$AE$2:$AE$10,ROW()-3),V_RUT!$AE$2:$AE$10,0))</f>
        <v>4.8599999999999997E-2</v>
      </c>
      <c r="AC4" s="8">
        <f>INDEX(V_RUT!AB$2:AB$10,MATCH(LARGE(V_RUT!$AE$2:$AE$10,ROW()-3),V_RUT!$AE$2:$AE$10,0))</f>
        <v>0</v>
      </c>
      <c r="AD4" s="8">
        <f>INDEX(V_RUT!AC$2:AC$10,MATCH(LARGE(V_RUT!$AE$2:$AE$10,ROW()-3),V_RUT!$AE$2:$AE$10,0))</f>
        <v>1</v>
      </c>
    </row>
    <row r="5" spans="1:30" x14ac:dyDescent="0.2">
      <c r="A5">
        <v>2</v>
      </c>
      <c r="B5" s="5" t="str">
        <f>INDEX(V_RUT!A$2:A$10,MATCH(LARGE(V_RUT!$AE$2:$AE$10,ROW()-3),V_RUT!$AE$2:$AE$10,0))</f>
        <v>DTZ</v>
      </c>
      <c r="C5" s="5" t="str">
        <f>INDEX(V_RUT!B$2:B$10,MATCH(LARGE(V_RUT!$AE$2:$AE$10,ROW()-3),V_RUT!$AE$2:$AE$10,0))</f>
        <v>AK Portföy Robotik Teknolojiler Değişken Fon</v>
      </c>
      <c r="D5" s="5" t="str">
        <f>INDEX(V_RUT!C$2:C$10,MATCH(LARGE(V_RUT!$AE$2:$AE$10,ROW()-3),V_RUT!$AE$2:$AE$10,0))</f>
        <v>AK Portföy</v>
      </c>
      <c r="E5" s="8">
        <f>INDEX(V_RUT!D$2:D$10,MATCH(LARGE(V_RUT!$AE$2:$AE$10,ROW()-3),V_RUT!$AE$2:$AE$10,0))</f>
        <v>2.9000000000000001E-2</v>
      </c>
      <c r="F5" s="9">
        <f>INDEX(V_RUT!E$2:E$10,MATCH(LARGE(V_RUT!$AE$2:$AE$10,ROW()-3),V_RUT!$AE$2:$AE$10,0))</f>
        <v>-0.169741087264208</v>
      </c>
      <c r="G5" s="9">
        <f>INDEX(V_RUT!F$2:F$10,MATCH(LARGE(V_RUT!$AE$2:$AE$10,ROW()-3),V_RUT!$AE$2:$AE$10,0))</f>
        <v>1.2811454280097221</v>
      </c>
      <c r="H5" s="9">
        <f>INDEX(V_RUT!G$2:G$10,MATCH(LARGE(V_RUT!$AE$2:$AE$10,ROW()-3),V_RUT!$AE$2:$AE$10,0))</f>
        <v>2.72698730361931</v>
      </c>
      <c r="I5" s="9">
        <f>INDEX(V_RUT!H$2:H$10,MATCH(LARGE(V_RUT!$AE$2:$AE$10,ROW()-3),V_RUT!$AE$2:$AE$10,0))</f>
        <v>25.569840461012561</v>
      </c>
      <c r="J5" s="9">
        <f>INDEX(V_RUT!I$2:I$10,MATCH(LARGE(V_RUT!$AE$2:$AE$10,ROW()-3),V_RUT!$AE$2:$AE$10,0))</f>
        <v>46.235650992932541</v>
      </c>
      <c r="K5" s="10">
        <f>INDEX(V_RUT!J$2:J$10,MATCH(LARGE(V_RUT!$AE$2:$AE$10,ROW()-3),V_RUT!$AE$2:$AE$10,0))</f>
        <v>7846</v>
      </c>
      <c r="L5" s="10">
        <f>INDEX(V_RUT!K$2:K$10,MATCH(LARGE(V_RUT!$AE$2:$AE$10,ROW()-3),V_RUT!$AE$2:$AE$10,0))</f>
        <v>7533</v>
      </c>
      <c r="M5" s="8">
        <f>INDEX(V_RUT!L$2:L$10,MATCH(LARGE(V_RUT!$AE$2:$AE$10,ROW()-3),V_RUT!$AE$2:$AE$10,0))</f>
        <v>-3.9892939077236789E-2</v>
      </c>
      <c r="N5" s="11">
        <f>INDEX(V_RUT!M$2:M$10,MATCH(LARGE(V_RUT!$AE$2:$AE$10,ROW()-3),V_RUT!$AE$2:$AE$10,0))</f>
        <v>376483323.17000002</v>
      </c>
      <c r="O5" s="11">
        <f>INDEX(V_RUT!N$2:N$10,MATCH(LARGE(V_RUT!$AE$2:$AE$10,ROW()-3),V_RUT!$AE$2:$AE$10,0))</f>
        <v>468031776.07999998</v>
      </c>
      <c r="P5" s="8">
        <f>INDEX(V_RUT!O$2:O$10,MATCH(LARGE(V_RUT!$AE$2:$AE$10,ROW()-3),V_RUT!$AE$2:$AE$10,0))</f>
        <v>0.24316735237874409</v>
      </c>
      <c r="Q5" s="9">
        <f>INDEX(V_RUT!P$2:P$10,MATCH(LARGE(V_RUT!$AE$2:$AE$10,ROW()-3),V_RUT!$AE$2:$AE$10,0))</f>
        <v>1.1570885861873339</v>
      </c>
      <c r="R5" s="5" t="str">
        <f>INDEX(V_RUT!Q$2:Q$10,MATCH(LARGE(V_RUT!$AE$2:$AE$10,ROW()-3),V_RUT!$AE$2:$AE$10,0))</f>
        <v>Görüyor</v>
      </c>
      <c r="S5" s="8">
        <f>INDEX(V_RUT!R$2:R$10,MATCH(LARGE(V_RUT!$AE$2:$AE$10,ROW()-3),V_RUT!$AE$2:$AE$10,0))</f>
        <v>0.63719999999999999</v>
      </c>
      <c r="T5" s="8">
        <f>INDEX(V_RUT!S$2:S$10,MATCH(LARGE(V_RUT!$AE$2:$AE$10,ROW()-3),V_RUT!$AE$2:$AE$10,0))</f>
        <v>0</v>
      </c>
      <c r="U5" s="8">
        <f>INDEX(V_RUT!T$2:T$10,MATCH(LARGE(V_RUT!$AE$2:$AE$10,ROW()-3),V_RUT!$AE$2:$AE$10,0))</f>
        <v>0</v>
      </c>
      <c r="V5" s="8">
        <f>INDEX(V_RUT!U$2:U$10,MATCH(LARGE(V_RUT!$AE$2:$AE$10,ROW()-3),V_RUT!$AE$2:$AE$10,0))</f>
        <v>0</v>
      </c>
      <c r="W5" s="8">
        <f>INDEX(V_RUT!V$2:V$10,MATCH(LARGE(V_RUT!$AE$2:$AE$10,ROW()-3),V_RUT!$AE$2:$AE$10,0))</f>
        <v>6.4000000000000001E-2</v>
      </c>
      <c r="X5" s="8">
        <f>INDEX(V_RUT!W$2:W$10,MATCH(LARGE(V_RUT!$AE$2:$AE$10,ROW()-3),V_RUT!$AE$2:$AE$10,0))</f>
        <v>0.24640000000000001</v>
      </c>
      <c r="Y5" s="8">
        <f>INDEX(V_RUT!X$2:X$10,MATCH(LARGE(V_RUT!$AE$2:$AE$10,ROW()-3),V_RUT!$AE$2:$AE$10,0))</f>
        <v>5.9999999999999995E-4</v>
      </c>
      <c r="Z5" s="8">
        <f>INDEX(V_RUT!Y$2:Y$10,MATCH(LARGE(V_RUT!$AE$2:$AE$10,ROW()-3),V_RUT!$AE$2:$AE$10,0))</f>
        <v>5.1799999999999999E-2</v>
      </c>
      <c r="AA5" s="8">
        <f>INDEX(V_RUT!Z$2:Z$10,MATCH(LARGE(V_RUT!$AE$2:$AE$10,ROW()-3),V_RUT!$AE$2:$AE$10,0))</f>
        <v>0</v>
      </c>
      <c r="AB5" s="8">
        <f>INDEX(V_RUT!AA$2:AA$10,MATCH(LARGE(V_RUT!$AE$2:$AE$10,ROW()-3),V_RUT!$AE$2:$AE$10,0))</f>
        <v>0</v>
      </c>
      <c r="AC5" s="8">
        <f>INDEX(V_RUT!AB$2:AB$10,MATCH(LARGE(V_RUT!$AE$2:$AE$10,ROW()-3),V_RUT!$AE$2:$AE$10,0))</f>
        <v>0</v>
      </c>
      <c r="AD5" s="8">
        <f>INDEX(V_RUT!AC$2:AC$10,MATCH(LARGE(V_RUT!$AE$2:$AE$10,ROW()-3),V_RUT!$AE$2:$AE$10,0))</f>
        <v>1</v>
      </c>
    </row>
    <row r="6" spans="1:30" x14ac:dyDescent="0.2">
      <c r="A6">
        <v>3</v>
      </c>
      <c r="B6" s="5" t="str">
        <f>INDEX(V_RUT!A$2:A$10,MATCH(LARGE(V_RUT!$AE$2:$AE$10,ROW()-3),V_RUT!$AE$2:$AE$10,0))</f>
        <v>GPT</v>
      </c>
      <c r="C6" s="5" t="str">
        <f>INDEX(V_RUT!B$2:B$10,MATCH(LARGE(V_RUT!$AE$2:$AE$10,ROW()-3),V_RUT!$AE$2:$AE$10,0))</f>
        <v>Aktif Portföy Robotik Teknolojileri Değişken Fon</v>
      </c>
      <c r="D6" s="5" t="str">
        <f>INDEX(V_RUT!C$2:C$10,MATCH(LARGE(V_RUT!$AE$2:$AE$10,ROW()-3),V_RUT!$AE$2:$AE$10,0))</f>
        <v>Aktif Portföy</v>
      </c>
      <c r="E6" s="8">
        <f>INDEX(V_RUT!D$2:D$10,MATCH(LARGE(V_RUT!$AE$2:$AE$10,ROW()-3),V_RUT!$AE$2:$AE$10,0))</f>
        <v>0.02</v>
      </c>
      <c r="F6" s="9">
        <f>INDEX(V_RUT!E$2:E$10,MATCH(LARGE(V_RUT!$AE$2:$AE$10,ROW()-3),V_RUT!$AE$2:$AE$10,0))</f>
        <v>-0.63356664141996921</v>
      </c>
      <c r="G6" s="9">
        <f>INDEX(V_RUT!F$2:F$10,MATCH(LARGE(V_RUT!$AE$2:$AE$10,ROW()-3),V_RUT!$AE$2:$AE$10,0))</f>
        <v>-1.458753354695896</v>
      </c>
      <c r="H6" s="9">
        <f>INDEX(V_RUT!G$2:G$10,MATCH(LARGE(V_RUT!$AE$2:$AE$10,ROW()-3),V_RUT!$AE$2:$AE$10,0))</f>
        <v>1.5918572827708699</v>
      </c>
      <c r="I6" s="9">
        <f>INDEX(V_RUT!H$2:H$10,MATCH(LARGE(V_RUT!$AE$2:$AE$10,ROW()-3),V_RUT!$AE$2:$AE$10,0))</f>
        <v>38.491343146214483</v>
      </c>
      <c r="J6" s="9">
        <f>INDEX(V_RUT!I$2:I$10,MATCH(LARGE(V_RUT!$AE$2:$AE$10,ROW()-3),V_RUT!$AE$2:$AE$10,0))</f>
        <v>70.835716524147244</v>
      </c>
      <c r="K6" s="10">
        <f>INDEX(V_RUT!J$2:J$10,MATCH(LARGE(V_RUT!$AE$2:$AE$10,ROW()-3),V_RUT!$AE$2:$AE$10,0))</f>
        <v>3384</v>
      </c>
      <c r="L6" s="10">
        <f>INDEX(V_RUT!K$2:K$10,MATCH(LARGE(V_RUT!$AE$2:$AE$10,ROW()-3),V_RUT!$AE$2:$AE$10,0))</f>
        <v>3336</v>
      </c>
      <c r="M6" s="8">
        <f>INDEX(V_RUT!L$2:L$10,MATCH(LARGE(V_RUT!$AE$2:$AE$10,ROW()-3),V_RUT!$AE$2:$AE$10,0))</f>
        <v>-1.418439716312059E-2</v>
      </c>
      <c r="N6" s="11">
        <f>INDEX(V_RUT!M$2:M$10,MATCH(LARGE(V_RUT!$AE$2:$AE$10,ROW()-3),V_RUT!$AE$2:$AE$10,0))</f>
        <v>116498251.41</v>
      </c>
      <c r="O6" s="11">
        <f>INDEX(V_RUT!N$2:N$10,MATCH(LARGE(V_RUT!$AE$2:$AE$10,ROW()-3),V_RUT!$AE$2:$AE$10,0))</f>
        <v>113376402.7</v>
      </c>
      <c r="P6" s="8">
        <f>INDEX(V_RUT!O$2:O$10,MATCH(LARGE(V_RUT!$AE$2:$AE$10,ROW()-3),V_RUT!$AE$2:$AE$10,0))</f>
        <v>-2.679738684671806E-2</v>
      </c>
      <c r="Q6" s="9">
        <f>INDEX(V_RUT!P$2:P$10,MATCH(LARGE(V_RUT!$AE$2:$AE$10,ROW()-3),V_RUT!$AE$2:$AE$10,0))</f>
        <v>1.3777615864404851</v>
      </c>
      <c r="R6" s="5" t="str">
        <f>INDEX(V_RUT!Q$2:Q$10,MATCH(LARGE(V_RUT!$AE$2:$AE$10,ROW()-3),V_RUT!$AE$2:$AE$10,0))</f>
        <v>Görüyor</v>
      </c>
      <c r="S6" s="8">
        <f>INDEX(V_RUT!R$2:R$10,MATCH(LARGE(V_RUT!$AE$2:$AE$10,ROW()-3),V_RUT!$AE$2:$AE$10,0))</f>
        <v>0.67749999999999999</v>
      </c>
      <c r="T6" s="8">
        <f>INDEX(V_RUT!S$2:S$10,MATCH(LARGE(V_RUT!$AE$2:$AE$10,ROW()-3),V_RUT!$AE$2:$AE$10,0))</f>
        <v>0</v>
      </c>
      <c r="U6" s="8">
        <f>INDEX(V_RUT!T$2:T$10,MATCH(LARGE(V_RUT!$AE$2:$AE$10,ROW()-3),V_RUT!$AE$2:$AE$10,0))</f>
        <v>0</v>
      </c>
      <c r="V6" s="8">
        <f>INDEX(V_RUT!U$2:U$10,MATCH(LARGE(V_RUT!$AE$2:$AE$10,ROW()-3),V_RUT!$AE$2:$AE$10,0))</f>
        <v>0</v>
      </c>
      <c r="W6" s="8">
        <f>INDEX(V_RUT!V$2:V$10,MATCH(LARGE(V_RUT!$AE$2:$AE$10,ROW()-3),V_RUT!$AE$2:$AE$10,0))</f>
        <v>0</v>
      </c>
      <c r="X6" s="8">
        <f>INDEX(V_RUT!W$2:W$10,MATCH(LARGE(V_RUT!$AE$2:$AE$10,ROW()-3),V_RUT!$AE$2:$AE$10,0))</f>
        <v>0.31609999999999999</v>
      </c>
      <c r="Y6" s="8">
        <f>INDEX(V_RUT!X$2:X$10,MATCH(LARGE(V_RUT!$AE$2:$AE$10,ROW()-3),V_RUT!$AE$2:$AE$10,0))</f>
        <v>0</v>
      </c>
      <c r="Z6" s="8">
        <f>INDEX(V_RUT!Y$2:Y$10,MATCH(LARGE(V_RUT!$AE$2:$AE$10,ROW()-3),V_RUT!$AE$2:$AE$10,0))</f>
        <v>6.4000000000000003E-3</v>
      </c>
      <c r="AA6" s="8">
        <f>INDEX(V_RUT!Z$2:Z$10,MATCH(LARGE(V_RUT!$AE$2:$AE$10,ROW()-3),V_RUT!$AE$2:$AE$10,0))</f>
        <v>0</v>
      </c>
      <c r="AB6" s="8">
        <f>INDEX(V_RUT!AA$2:AA$10,MATCH(LARGE(V_RUT!$AE$2:$AE$10,ROW()-3),V_RUT!$AE$2:$AE$10,0))</f>
        <v>0</v>
      </c>
      <c r="AC6" s="8">
        <f>INDEX(V_RUT!AB$2:AB$10,MATCH(LARGE(V_RUT!$AE$2:$AE$10,ROW()-3),V_RUT!$AE$2:$AE$10,0))</f>
        <v>0</v>
      </c>
      <c r="AD6" s="8">
        <f>INDEX(V_RUT!AC$2:AC$10,MATCH(LARGE(V_RUT!$AE$2:$AE$10,ROW()-3),V_RUT!$AE$2:$AE$10,0))</f>
        <v>1</v>
      </c>
    </row>
    <row r="7" spans="1:30" x14ac:dyDescent="0.2">
      <c r="A7">
        <v>4</v>
      </c>
      <c r="B7" s="5" t="str">
        <f>INDEX(V_RUT!A$2:A$10,MATCH(LARGE(V_RUT!$AE$2:$AE$10,ROW()-3),V_RUT!$AE$2:$AE$10,0))</f>
        <v>JET</v>
      </c>
      <c r="C7" s="5" t="str">
        <f>INDEX(V_RUT!B$2:B$10,MATCH(LARGE(V_RUT!$AE$2:$AE$10,ROW()-3),V_RUT!$AE$2:$AE$10,0))</f>
        <v>Ata Portföy Havacılık VE Savunma Teknolojileri Değişken Fon</v>
      </c>
      <c r="D7" s="5" t="str">
        <f>INDEX(V_RUT!C$2:C$10,MATCH(LARGE(V_RUT!$AE$2:$AE$10,ROW()-3),V_RUT!$AE$2:$AE$10,0))</f>
        <v>Ata Portföy</v>
      </c>
      <c r="E7" s="8">
        <f>INDEX(V_RUT!D$2:D$10,MATCH(LARGE(V_RUT!$AE$2:$AE$10,ROW()-3),V_RUT!$AE$2:$AE$10,0))</f>
        <v>2.5000000000000001E-2</v>
      </c>
      <c r="F7" s="9">
        <f>INDEX(V_RUT!E$2:E$10,MATCH(LARGE(V_RUT!$AE$2:$AE$10,ROW()-3),V_RUT!$AE$2:$AE$10,0))</f>
        <v>-1.1273337925507549</v>
      </c>
      <c r="G7" s="9">
        <f>INDEX(V_RUT!F$2:F$10,MATCH(LARGE(V_RUT!$AE$2:$AE$10,ROW()-3),V_RUT!$AE$2:$AE$10,0))</f>
        <v>-6.4149280660613526</v>
      </c>
      <c r="H7" s="9">
        <f>INDEX(V_RUT!G$2:G$10,MATCH(LARGE(V_RUT!$AE$2:$AE$10,ROW()-3),V_RUT!$AE$2:$AE$10,0))</f>
        <v>0.11971712839367039</v>
      </c>
      <c r="I7" s="9">
        <f>INDEX(V_RUT!H$2:H$10,MATCH(LARGE(V_RUT!$AE$2:$AE$10,ROW()-3),V_RUT!$AE$2:$AE$10,0))</f>
        <v>13.24034355787729</v>
      </c>
      <c r="J7" s="9">
        <f>INDEX(V_RUT!I$2:I$10,MATCH(LARGE(V_RUT!$AE$2:$AE$10,ROW()-3),V_RUT!$AE$2:$AE$10,0))</f>
        <v>25.99864943869088</v>
      </c>
      <c r="K7" s="10">
        <f>INDEX(V_RUT!J$2:J$10,MATCH(LARGE(V_RUT!$AE$2:$AE$10,ROW()-3),V_RUT!$AE$2:$AE$10,0))</f>
        <v>18574</v>
      </c>
      <c r="L7" s="10">
        <f>INDEX(V_RUT!K$2:K$10,MATCH(LARGE(V_RUT!$AE$2:$AE$10,ROW()-3),V_RUT!$AE$2:$AE$10,0))</f>
        <v>17825</v>
      </c>
      <c r="M7" s="8">
        <f>INDEX(V_RUT!L$2:L$10,MATCH(LARGE(V_RUT!$AE$2:$AE$10,ROW()-3),V_RUT!$AE$2:$AE$10,0))</f>
        <v>-4.0325185743512397E-2</v>
      </c>
      <c r="N7" s="11">
        <f>INDEX(V_RUT!M$2:M$10,MATCH(LARGE(V_RUT!$AE$2:$AE$10,ROW()-3),V_RUT!$AE$2:$AE$10,0))</f>
        <v>580177673.65999997</v>
      </c>
      <c r="O7" s="11">
        <f>INDEX(V_RUT!N$2:N$10,MATCH(LARGE(V_RUT!$AE$2:$AE$10,ROW()-3),V_RUT!$AE$2:$AE$10,0))</f>
        <v>530383893.91000003</v>
      </c>
      <c r="P7" s="8">
        <f>INDEX(V_RUT!O$2:O$10,MATCH(LARGE(V_RUT!$AE$2:$AE$10,ROW()-3),V_RUT!$AE$2:$AE$10,0))</f>
        <v>-8.5825053273560603E-2</v>
      </c>
      <c r="Q7" s="9">
        <f>INDEX(V_RUT!P$2:P$10,MATCH(LARGE(V_RUT!$AE$2:$AE$10,ROW()-3),V_RUT!$AE$2:$AE$10,0))</f>
        <v>1.415051262909587</v>
      </c>
      <c r="R7" s="5" t="str">
        <f>INDEX(V_RUT!Q$2:Q$10,MATCH(LARGE(V_RUT!$AE$2:$AE$10,ROW()-3),V_RUT!$AE$2:$AE$10,0))</f>
        <v>Görüyor</v>
      </c>
      <c r="S7" s="8">
        <f>INDEX(V_RUT!R$2:R$10,MATCH(LARGE(V_RUT!$AE$2:$AE$10,ROW()-3),V_RUT!$AE$2:$AE$10,0))</f>
        <v>0.6984999999999999</v>
      </c>
      <c r="T7" s="8">
        <f>INDEX(V_RUT!S$2:S$10,MATCH(LARGE(V_RUT!$AE$2:$AE$10,ROW()-3),V_RUT!$AE$2:$AE$10,0))</f>
        <v>0</v>
      </c>
      <c r="U7" s="8">
        <f>INDEX(V_RUT!T$2:T$10,MATCH(LARGE(V_RUT!$AE$2:$AE$10,ROW()-3),V_RUT!$AE$2:$AE$10,0))</f>
        <v>0</v>
      </c>
      <c r="V7" s="8">
        <f>INDEX(V_RUT!U$2:U$10,MATCH(LARGE(V_RUT!$AE$2:$AE$10,ROW()-3),V_RUT!$AE$2:$AE$10,0))</f>
        <v>1.3599999999999999E-2</v>
      </c>
      <c r="W7" s="8">
        <f>INDEX(V_RUT!V$2:V$10,MATCH(LARGE(V_RUT!$AE$2:$AE$10,ROW()-3),V_RUT!$AE$2:$AE$10,0))</f>
        <v>0</v>
      </c>
      <c r="X7" s="8">
        <f>INDEX(V_RUT!W$2:W$10,MATCH(LARGE(V_RUT!$AE$2:$AE$10,ROW()-3),V_RUT!$AE$2:$AE$10,0))</f>
        <v>0.2288</v>
      </c>
      <c r="Y7" s="8">
        <f>INDEX(V_RUT!X$2:X$10,MATCH(LARGE(V_RUT!$AE$2:$AE$10,ROW()-3),V_RUT!$AE$2:$AE$10,0))</f>
        <v>0</v>
      </c>
      <c r="Z7" s="8">
        <f>INDEX(V_RUT!Y$2:Y$10,MATCH(LARGE(V_RUT!$AE$2:$AE$10,ROW()-3),V_RUT!$AE$2:$AE$10,0))</f>
        <v>5.91E-2</v>
      </c>
      <c r="AA7" s="8">
        <f>INDEX(V_RUT!Z$2:Z$10,MATCH(LARGE(V_RUT!$AE$2:$AE$10,ROW()-3),V_RUT!$AE$2:$AE$10,0))</f>
        <v>0</v>
      </c>
      <c r="AB7" s="8">
        <f>INDEX(V_RUT!AA$2:AA$10,MATCH(LARGE(V_RUT!$AE$2:$AE$10,ROW()-3),V_RUT!$AE$2:$AE$10,0))</f>
        <v>0</v>
      </c>
      <c r="AC7" s="8">
        <f>INDEX(V_RUT!AB$2:AB$10,MATCH(LARGE(V_RUT!$AE$2:$AE$10,ROW()-3),V_RUT!$AE$2:$AE$10,0))</f>
        <v>0</v>
      </c>
      <c r="AD7" s="8">
        <f>INDEX(V_RUT!AC$2:AC$10,MATCH(LARGE(V_RUT!$AE$2:$AE$10,ROW()-3),V_RUT!$AE$2:$AE$10,0))</f>
        <v>0.99999999999999989</v>
      </c>
    </row>
    <row r="8" spans="1:30" x14ac:dyDescent="0.2">
      <c r="A8">
        <v>5</v>
      </c>
      <c r="B8" s="5" t="str">
        <f>INDEX(V_RUT!A$2:A$10,MATCH(LARGE(V_RUT!$AE$2:$AE$10,ROW()-3),V_RUT!$AE$2:$AE$10,0))</f>
        <v>YJK</v>
      </c>
      <c r="C8" s="5" t="str">
        <f>INDEX(V_RUT!B$2:B$10,MATCH(LARGE(V_RUT!$AE$2:$AE$10,ROW()-3),V_RUT!$AE$2:$AE$10,0))</f>
        <v>Yapı Kredi Portföy Robotik VE Yarı İletken Teknolojileri Fon Sepeti Fonu</v>
      </c>
      <c r="D8" s="5" t="str">
        <f>INDEX(V_RUT!C$2:C$10,MATCH(LARGE(V_RUT!$AE$2:$AE$10,ROW()-3),V_RUT!$AE$2:$AE$10,0))</f>
        <v>Yapı Kredi Portföy</v>
      </c>
      <c r="E8" s="8">
        <f>INDEX(V_RUT!D$2:D$10,MATCH(LARGE(V_RUT!$AE$2:$AE$10,ROW()-3),V_RUT!$AE$2:$AE$10,0))</f>
        <v>2.5000000000000001E-2</v>
      </c>
      <c r="F8" s="9">
        <f>INDEX(V_RUT!E$2:E$10,MATCH(LARGE(V_RUT!$AE$2:$AE$10,ROW()-3),V_RUT!$AE$2:$AE$10,0))</f>
        <v>-1.2350278620450019</v>
      </c>
      <c r="G8" s="9">
        <f>INDEX(V_RUT!F$2:F$10,MATCH(LARGE(V_RUT!$AE$2:$AE$10,ROW()-3),V_RUT!$AE$2:$AE$10,0))</f>
        <v>-2.857718284070021</v>
      </c>
      <c r="H8" s="9">
        <f>INDEX(V_RUT!G$2:G$10,MATCH(LARGE(V_RUT!$AE$2:$AE$10,ROW()-3),V_RUT!$AE$2:$AE$10,0))</f>
        <v>1.4457310219916359</v>
      </c>
      <c r="I8" s="9">
        <f>INDEX(V_RUT!H$2:H$10,MATCH(LARGE(V_RUT!$AE$2:$AE$10,ROW()-3),V_RUT!$AE$2:$AE$10,0))</f>
        <v>44.360271817079052</v>
      </c>
      <c r="J8" s="9">
        <f>INDEX(V_RUT!I$2:I$10,MATCH(LARGE(V_RUT!$AE$2:$AE$10,ROW()-3),V_RUT!$AE$2:$AE$10,0))</f>
        <v>77.990949740598154</v>
      </c>
      <c r="K8" s="10">
        <f>INDEX(V_RUT!J$2:J$10,MATCH(LARGE(V_RUT!$AE$2:$AE$10,ROW()-3),V_RUT!$AE$2:$AE$10,0))</f>
        <v>13573</v>
      </c>
      <c r="L8" s="10">
        <f>INDEX(V_RUT!K$2:K$10,MATCH(LARGE(V_RUT!$AE$2:$AE$10,ROW()-3),V_RUT!$AE$2:$AE$10,0))</f>
        <v>14321</v>
      </c>
      <c r="M8" s="8">
        <f>INDEX(V_RUT!L$2:L$10,MATCH(LARGE(V_RUT!$AE$2:$AE$10,ROW()-3),V_RUT!$AE$2:$AE$10,0))</f>
        <v>5.5109408384292242E-2</v>
      </c>
      <c r="N8" s="11">
        <f>INDEX(V_RUT!M$2:M$10,MATCH(LARGE(V_RUT!$AE$2:$AE$10,ROW()-3),V_RUT!$AE$2:$AE$10,0))</f>
        <v>1046976452.15</v>
      </c>
      <c r="O8" s="11">
        <f>INDEX(V_RUT!N$2:N$10,MATCH(LARGE(V_RUT!$AE$2:$AE$10,ROW()-3),V_RUT!$AE$2:$AE$10,0))</f>
        <v>1087617766.25</v>
      </c>
      <c r="P8" s="8">
        <f>INDEX(V_RUT!O$2:O$10,MATCH(LARGE(V_RUT!$AE$2:$AE$10,ROW()-3),V_RUT!$AE$2:$AE$10,0))</f>
        <v>3.8817791953717602E-2</v>
      </c>
      <c r="Q8" s="9">
        <f>INDEX(V_RUT!P$2:P$10,MATCH(LARGE(V_RUT!$AE$2:$AE$10,ROW()-3),V_RUT!$AE$2:$AE$10,0))</f>
        <v>1.7695426324961649</v>
      </c>
      <c r="R8" s="5" t="str">
        <f>INDEX(V_RUT!Q$2:Q$10,MATCH(LARGE(V_RUT!$AE$2:$AE$10,ROW()-3),V_RUT!$AE$2:$AE$10,0))</f>
        <v>Görüyor</v>
      </c>
      <c r="S8" s="8">
        <f>INDEX(V_RUT!R$2:R$10,MATCH(LARGE(V_RUT!$AE$2:$AE$10,ROW()-3),V_RUT!$AE$2:$AE$10,0))</f>
        <v>0</v>
      </c>
      <c r="T8" s="8">
        <f>INDEX(V_RUT!S$2:S$10,MATCH(LARGE(V_RUT!$AE$2:$AE$10,ROW()-3),V_RUT!$AE$2:$AE$10,0))</f>
        <v>0.6663</v>
      </c>
      <c r="U8" s="8">
        <f>INDEX(V_RUT!T$2:T$10,MATCH(LARGE(V_RUT!$AE$2:$AE$10,ROW()-3),V_RUT!$AE$2:$AE$10,0))</f>
        <v>0</v>
      </c>
      <c r="V8" s="8">
        <f>INDEX(V_RUT!U$2:U$10,MATCH(LARGE(V_RUT!$AE$2:$AE$10,ROW()-3),V_RUT!$AE$2:$AE$10,0))</f>
        <v>8.9999999999999998E-4</v>
      </c>
      <c r="W8" s="8">
        <f>INDEX(V_RUT!V$2:V$10,MATCH(LARGE(V_RUT!$AE$2:$AE$10,ROW()-3),V_RUT!$AE$2:$AE$10,0))</f>
        <v>9.1999999999999998E-3</v>
      </c>
      <c r="X8" s="8">
        <f>INDEX(V_RUT!W$2:W$10,MATCH(LARGE(V_RUT!$AE$2:$AE$10,ROW()-3),V_RUT!$AE$2:$AE$10,0))</f>
        <v>0</v>
      </c>
      <c r="Y8" s="8">
        <f>INDEX(V_RUT!X$2:X$10,MATCH(LARGE(V_RUT!$AE$2:$AE$10,ROW()-3),V_RUT!$AE$2:$AE$10,0))</f>
        <v>0</v>
      </c>
      <c r="Z8" s="8">
        <f>INDEX(V_RUT!Y$2:Y$10,MATCH(LARGE(V_RUT!$AE$2:$AE$10,ROW()-3),V_RUT!$AE$2:$AE$10,0))</f>
        <v>0.3236</v>
      </c>
      <c r="AA8" s="8">
        <f>INDEX(V_RUT!Z$2:Z$10,MATCH(LARGE(V_RUT!$AE$2:$AE$10,ROW()-3),V_RUT!$AE$2:$AE$10,0))</f>
        <v>0</v>
      </c>
      <c r="AB8" s="8">
        <f>INDEX(V_RUT!AA$2:AA$10,MATCH(LARGE(V_RUT!$AE$2:$AE$10,ROW()-3),V_RUT!$AE$2:$AE$10,0))</f>
        <v>0</v>
      </c>
      <c r="AC8" s="8">
        <f>INDEX(V_RUT!AB$2:AB$10,MATCH(LARGE(V_RUT!$AE$2:$AE$10,ROW()-3),V_RUT!$AE$2:$AE$10,0))</f>
        <v>0</v>
      </c>
      <c r="AD8" s="8">
        <f>INDEX(V_RUT!AC$2:AC$10,MATCH(LARGE(V_RUT!$AE$2:$AE$10,ROW()-3),V_RUT!$AE$2:$AE$10,0))</f>
        <v>1</v>
      </c>
    </row>
    <row r="9" spans="1:30" x14ac:dyDescent="0.2">
      <c r="A9">
        <v>6</v>
      </c>
      <c r="B9" s="5" t="str">
        <f>INDEX(V_RUT!A$2:A$10,MATCH(LARGE(V_RUT!$AE$2:$AE$10,ROW()-3),V_RUT!$AE$2:$AE$10,0))</f>
        <v>RTG</v>
      </c>
      <c r="C9" s="5" t="str">
        <f>INDEX(V_RUT!B$2:B$10,MATCH(LARGE(V_RUT!$AE$2:$AE$10,ROW()-3),V_RUT!$AE$2:$AE$10,0))</f>
        <v>Ata Portföy Robotik Teknolojileri Değişken Fon</v>
      </c>
      <c r="D9" s="5" t="str">
        <f>INDEX(V_RUT!C$2:C$10,MATCH(LARGE(V_RUT!$AE$2:$AE$10,ROW()-3),V_RUT!$AE$2:$AE$10,0))</f>
        <v>Ata Portföy</v>
      </c>
      <c r="E9" s="8">
        <f>INDEX(V_RUT!D$2:D$10,MATCH(LARGE(V_RUT!$AE$2:$AE$10,ROW()-3),V_RUT!$AE$2:$AE$10,0))</f>
        <v>2.5000000000000001E-2</v>
      </c>
      <c r="F9" s="9">
        <f>INDEX(V_RUT!E$2:E$10,MATCH(LARGE(V_RUT!$AE$2:$AE$10,ROW()-3),V_RUT!$AE$2:$AE$10,0))</f>
        <v>-1.2468262651208371</v>
      </c>
      <c r="G9" s="9">
        <f>INDEX(V_RUT!F$2:F$10,MATCH(LARGE(V_RUT!$AE$2:$AE$10,ROW()-3),V_RUT!$AE$2:$AE$10,0))</f>
        <v>-3.7341488614624612</v>
      </c>
      <c r="H9" s="9">
        <f>INDEX(V_RUT!G$2:G$10,MATCH(LARGE(V_RUT!$AE$2:$AE$10,ROW()-3),V_RUT!$AE$2:$AE$10,0))</f>
        <v>0.51118374662535437</v>
      </c>
      <c r="I9" s="9">
        <f>INDEX(V_RUT!H$2:H$10,MATCH(LARGE(V_RUT!$AE$2:$AE$10,ROW()-3),V_RUT!$AE$2:$AE$10,0))</f>
        <v>39.769040757613922</v>
      </c>
      <c r="J9" s="9">
        <f>INDEX(V_RUT!I$2:I$10,MATCH(LARGE(V_RUT!$AE$2:$AE$10,ROW()-3),V_RUT!$AE$2:$AE$10,0))</f>
        <v>70.558770372674488</v>
      </c>
      <c r="K9" s="10">
        <f>INDEX(V_RUT!J$2:J$10,MATCH(LARGE(V_RUT!$AE$2:$AE$10,ROW()-3),V_RUT!$AE$2:$AE$10,0))</f>
        <v>5413</v>
      </c>
      <c r="L9" s="10">
        <f>INDEX(V_RUT!K$2:K$10,MATCH(LARGE(V_RUT!$AE$2:$AE$10,ROW()-3),V_RUT!$AE$2:$AE$10,0))</f>
        <v>5253</v>
      </c>
      <c r="M9" s="8">
        <f>INDEX(V_RUT!L$2:L$10,MATCH(LARGE(V_RUT!$AE$2:$AE$10,ROW()-3),V_RUT!$AE$2:$AE$10,0))</f>
        <v>-2.9558470349159479E-2</v>
      </c>
      <c r="N9" s="11">
        <f>INDEX(V_RUT!M$2:M$10,MATCH(LARGE(V_RUT!$AE$2:$AE$10,ROW()-3),V_RUT!$AE$2:$AE$10,0))</f>
        <v>280376122.50999999</v>
      </c>
      <c r="O9" s="11">
        <f>INDEX(V_RUT!N$2:N$10,MATCH(LARGE(V_RUT!$AE$2:$AE$10,ROW()-3),V_RUT!$AE$2:$AE$10,0))</f>
        <v>273683715.80000001</v>
      </c>
      <c r="P9" s="8">
        <f>INDEX(V_RUT!O$2:O$10,MATCH(LARGE(V_RUT!$AE$2:$AE$10,ROW()-3),V_RUT!$AE$2:$AE$10,0))</f>
        <v>-2.3869388912607151E-2</v>
      </c>
      <c r="Q9" s="9">
        <f>INDEX(V_RUT!P$2:P$10,MATCH(LARGE(V_RUT!$AE$2:$AE$10,ROW()-3),V_RUT!$AE$2:$AE$10,0))</f>
        <v>2.0779673622265622</v>
      </c>
      <c r="R9" s="5" t="str">
        <f>INDEX(V_RUT!Q$2:Q$10,MATCH(LARGE(V_RUT!$AE$2:$AE$10,ROW()-3),V_RUT!$AE$2:$AE$10,0))</f>
        <v>Görüyor</v>
      </c>
      <c r="S9" s="8">
        <f>INDEX(V_RUT!R$2:R$10,MATCH(LARGE(V_RUT!$AE$2:$AE$10,ROW()-3),V_RUT!$AE$2:$AE$10,0))</f>
        <v>0.64549999999999996</v>
      </c>
      <c r="T9" s="8">
        <f>INDEX(V_RUT!S$2:S$10,MATCH(LARGE(V_RUT!$AE$2:$AE$10,ROW()-3),V_RUT!$AE$2:$AE$10,0))</f>
        <v>0</v>
      </c>
      <c r="U9" s="8">
        <f>INDEX(V_RUT!T$2:T$10,MATCH(LARGE(V_RUT!$AE$2:$AE$10,ROW()-3),V_RUT!$AE$2:$AE$10,0))</f>
        <v>0</v>
      </c>
      <c r="V9" s="8">
        <f>INDEX(V_RUT!U$2:U$10,MATCH(LARGE(V_RUT!$AE$2:$AE$10,ROW()-3),V_RUT!$AE$2:$AE$10,0))</f>
        <v>1.26E-2</v>
      </c>
      <c r="W9" s="8">
        <f>INDEX(V_RUT!V$2:V$10,MATCH(LARGE(V_RUT!$AE$2:$AE$10,ROW()-3),V_RUT!$AE$2:$AE$10,0))</f>
        <v>0</v>
      </c>
      <c r="X9" s="8">
        <f>INDEX(V_RUT!W$2:W$10,MATCH(LARGE(V_RUT!$AE$2:$AE$10,ROW()-3),V_RUT!$AE$2:$AE$10,0))</f>
        <v>0.22559999999999999</v>
      </c>
      <c r="Y9" s="8">
        <f>INDEX(V_RUT!X$2:X$10,MATCH(LARGE(V_RUT!$AE$2:$AE$10,ROW()-3),V_RUT!$AE$2:$AE$10,0))</f>
        <v>0</v>
      </c>
      <c r="Z9" s="8">
        <f>INDEX(V_RUT!Y$2:Y$10,MATCH(LARGE(V_RUT!$AE$2:$AE$10,ROW()-3),V_RUT!$AE$2:$AE$10,0))</f>
        <v>0.1163</v>
      </c>
      <c r="AA9" s="8">
        <f>INDEX(V_RUT!Z$2:Z$10,MATCH(LARGE(V_RUT!$AE$2:$AE$10,ROW()-3),V_RUT!$AE$2:$AE$10,0))</f>
        <v>0</v>
      </c>
      <c r="AB9" s="8">
        <f>INDEX(V_RUT!AA$2:AA$10,MATCH(LARGE(V_RUT!$AE$2:$AE$10,ROW()-3),V_RUT!$AE$2:$AE$10,0))</f>
        <v>0</v>
      </c>
      <c r="AC9" s="8">
        <f>INDEX(V_RUT!AB$2:AB$10,MATCH(LARGE(V_RUT!$AE$2:$AE$10,ROW()-3),V_RUT!$AE$2:$AE$10,0))</f>
        <v>0</v>
      </c>
      <c r="AD9" s="8">
        <f>INDEX(V_RUT!AC$2:AC$10,MATCH(LARGE(V_RUT!$AE$2:$AE$10,ROW()-3),V_RUT!$AE$2:$AE$10,0))</f>
        <v>1</v>
      </c>
    </row>
    <row r="10" spans="1:30" x14ac:dyDescent="0.2">
      <c r="A10">
        <v>7</v>
      </c>
      <c r="B10" s="5" t="str">
        <f>INDEX(V_RUT!A$2:A$10,MATCH(LARGE(V_RUT!$AE$2:$AE$10,ROW()-3),V_RUT!$AE$2:$AE$10,0))</f>
        <v>IRO</v>
      </c>
      <c r="C10" s="5" t="str">
        <f>INDEX(V_RUT!B$2:B$10,MATCH(LARGE(V_RUT!$AE$2:$AE$10,ROW()-3),V_RUT!$AE$2:$AE$10,0))</f>
        <v>İstanbul Portföy Robotik Teknolojileri Serbest Fon</v>
      </c>
      <c r="D10" s="5" t="str">
        <f>INDEX(V_RUT!C$2:C$10,MATCH(LARGE(V_RUT!$AE$2:$AE$10,ROW()-3),V_RUT!$AE$2:$AE$10,0))</f>
        <v>İstanbul Portföy</v>
      </c>
      <c r="E10" s="8">
        <f>INDEX(V_RUT!D$2:D$10,MATCH(LARGE(V_RUT!$AE$2:$AE$10,ROW()-3),V_RUT!$AE$2:$AE$10,0))</f>
        <v>3.1503150000000001E-2</v>
      </c>
      <c r="F10" s="9">
        <f>INDEX(V_RUT!E$2:E$10,MATCH(LARGE(V_RUT!$AE$2:$AE$10,ROW()-3),V_RUT!$AE$2:$AE$10,0))</f>
        <v>-1.3364876041356499</v>
      </c>
      <c r="G10" s="9">
        <f>INDEX(V_RUT!F$2:F$10,MATCH(LARGE(V_RUT!$AE$2:$AE$10,ROW()-3),V_RUT!$AE$2:$AE$10,0))</f>
        <v>-4.8487033412831</v>
      </c>
      <c r="H10" s="9">
        <f>INDEX(V_RUT!G$2:G$10,MATCH(LARGE(V_RUT!$AE$2:$AE$10,ROW()-3),V_RUT!$AE$2:$AE$10,0))</f>
        <v>15.241175692850989</v>
      </c>
      <c r="I10" s="9">
        <f>INDEX(V_RUT!H$2:H$10,MATCH(LARGE(V_RUT!$AE$2:$AE$10,ROW()-3),V_RUT!$AE$2:$AE$10,0))</f>
        <v>27.476704187260541</v>
      </c>
      <c r="J10" s="9">
        <f>INDEX(V_RUT!I$2:I$10,MATCH(LARGE(V_RUT!$AE$2:$AE$10,ROW()-3),V_RUT!$AE$2:$AE$10,0))</f>
        <v>46.102379288389869</v>
      </c>
      <c r="K10" s="10">
        <f>INDEX(V_RUT!J$2:J$10,MATCH(LARGE(V_RUT!$AE$2:$AE$10,ROW()-3),V_RUT!$AE$2:$AE$10,0))</f>
        <v>46</v>
      </c>
      <c r="L10" s="10">
        <f>INDEX(V_RUT!K$2:K$10,MATCH(LARGE(V_RUT!$AE$2:$AE$10,ROW()-3),V_RUT!$AE$2:$AE$10,0))</f>
        <v>106</v>
      </c>
      <c r="M10" s="8">
        <f>INDEX(V_RUT!L$2:L$10,MATCH(LARGE(V_RUT!$AE$2:$AE$10,ROW()-3),V_RUT!$AE$2:$AE$10,0))</f>
        <v>1.304347826086957</v>
      </c>
      <c r="N10" s="11">
        <f>INDEX(V_RUT!M$2:M$10,MATCH(LARGE(V_RUT!$AE$2:$AE$10,ROW()-3),V_RUT!$AE$2:$AE$10,0))</f>
        <v>21692507.350000001</v>
      </c>
      <c r="O10" s="11">
        <f>INDEX(V_RUT!N$2:N$10,MATCH(LARGE(V_RUT!$AE$2:$AE$10,ROW()-3),V_RUT!$AE$2:$AE$10,0))</f>
        <v>31837426.25</v>
      </c>
      <c r="P10" s="8">
        <f>INDEX(V_RUT!O$2:O$10,MATCH(LARGE(V_RUT!$AE$2:$AE$10,ROW()-3),V_RUT!$AE$2:$AE$10,0))</f>
        <v>0.46766926184768559</v>
      </c>
      <c r="Q10" s="9">
        <f>INDEX(V_RUT!P$2:P$10,MATCH(LARGE(V_RUT!$AE$2:$AE$10,ROW()-3),V_RUT!$AE$2:$AE$10,0))</f>
        <v>3.6159289384655811</v>
      </c>
      <c r="R10" s="5" t="str">
        <f>INDEX(V_RUT!Q$2:Q$10,MATCH(LARGE(V_RUT!$AE$2:$AE$10,ROW()-3),V_RUT!$AE$2:$AE$10,0))</f>
        <v>Görüyor</v>
      </c>
      <c r="S10" s="8">
        <f>INDEX(V_RUT!R$2:R$10,MATCH(LARGE(V_RUT!$AE$2:$AE$10,ROW()-3),V_RUT!$AE$2:$AE$10,0))</f>
        <v>0.64359999999999995</v>
      </c>
      <c r="T10" s="8">
        <f>INDEX(V_RUT!S$2:S$10,MATCH(LARGE(V_RUT!$AE$2:$AE$10,ROW()-3),V_RUT!$AE$2:$AE$10,0))</f>
        <v>3.3700000000000001E-2</v>
      </c>
      <c r="U10" s="8">
        <f>INDEX(V_RUT!T$2:T$10,MATCH(LARGE(V_RUT!$AE$2:$AE$10,ROW()-3),V_RUT!$AE$2:$AE$10,0))</f>
        <v>0</v>
      </c>
      <c r="V10" s="8">
        <f>INDEX(V_RUT!U$2:U$10,MATCH(LARGE(V_RUT!$AE$2:$AE$10,ROW()-3),V_RUT!$AE$2:$AE$10,0))</f>
        <v>0</v>
      </c>
      <c r="W10" s="8">
        <f>INDEX(V_RUT!V$2:V$10,MATCH(LARGE(V_RUT!$AE$2:$AE$10,ROW()-3),V_RUT!$AE$2:$AE$10,0))</f>
        <v>0</v>
      </c>
      <c r="X10" s="8">
        <f>INDEX(V_RUT!W$2:W$10,MATCH(LARGE(V_RUT!$AE$2:$AE$10,ROW()-3),V_RUT!$AE$2:$AE$10,0))</f>
        <v>0.15939999999999999</v>
      </c>
      <c r="Y10" s="8">
        <f>INDEX(V_RUT!X$2:X$10,MATCH(LARGE(V_RUT!$AE$2:$AE$10,ROW()-3),V_RUT!$AE$2:$AE$10,0))</f>
        <v>0</v>
      </c>
      <c r="Z10" s="8">
        <f>INDEX(V_RUT!Y$2:Y$10,MATCH(LARGE(V_RUT!$AE$2:$AE$10,ROW()-3),V_RUT!$AE$2:$AE$10,0))</f>
        <v>0.1633</v>
      </c>
      <c r="AA10" s="8">
        <f>INDEX(V_RUT!Z$2:Z$10,MATCH(LARGE(V_RUT!$AE$2:$AE$10,ROW()-3),V_RUT!$AE$2:$AE$10,0))</f>
        <v>0</v>
      </c>
      <c r="AB10" s="8">
        <f>INDEX(V_RUT!AA$2:AA$10,MATCH(LARGE(V_RUT!$AE$2:$AE$10,ROW()-3),V_RUT!$AE$2:$AE$10,0))</f>
        <v>0</v>
      </c>
      <c r="AC10" s="8">
        <f>INDEX(V_RUT!AB$2:AB$10,MATCH(LARGE(V_RUT!$AE$2:$AE$10,ROW()-3),V_RUT!$AE$2:$AE$10,0))</f>
        <v>0</v>
      </c>
      <c r="AD10" s="8">
        <f>INDEX(V_RUT!AC$2:AC$10,MATCH(LARGE(V_RUT!$AE$2:$AE$10,ROW()-3),V_RUT!$AE$2:$AE$10,0))</f>
        <v>0.99999999999999989</v>
      </c>
    </row>
    <row r="11" spans="1:30" x14ac:dyDescent="0.2">
      <c r="A11">
        <v>8</v>
      </c>
      <c r="B11" s="5" t="str">
        <f>INDEX(V_RUT!A$2:A$10,MATCH(LARGE(V_RUT!$AE$2:$AE$10,ROW()-3),V_RUT!$AE$2:$AE$10,0))</f>
        <v>RUT</v>
      </c>
      <c r="C11" s="5" t="str">
        <f>INDEX(V_RUT!B$2:B$10,MATCH(LARGE(V_RUT!$AE$2:$AE$10,ROW()-3),V_RUT!$AE$2:$AE$10,0))</f>
        <v>BV Portföy Robotik VE Uzay Teknolojileri Değişken Fon</v>
      </c>
      <c r="D11" s="5" t="str">
        <f>INDEX(V_RUT!C$2:C$10,MATCH(LARGE(V_RUT!$AE$2:$AE$10,ROW()-3),V_RUT!$AE$2:$AE$10,0))</f>
        <v>BV Portföy</v>
      </c>
      <c r="E11" s="8">
        <f>INDEX(V_RUT!D$2:D$10,MATCH(LARGE(V_RUT!$AE$2:$AE$10,ROW()-3),V_RUT!$AE$2:$AE$10,0))</f>
        <v>2.5000000000000001E-2</v>
      </c>
      <c r="F11" s="9">
        <f>INDEX(V_RUT!E$2:E$10,MATCH(LARGE(V_RUT!$AE$2:$AE$10,ROW()-3),V_RUT!$AE$2:$AE$10,0))</f>
        <v>-1.605020865883156</v>
      </c>
      <c r="G11" s="9">
        <f>INDEX(V_RUT!F$2:F$10,MATCH(LARGE(V_RUT!$AE$2:$AE$10,ROW()-3),V_RUT!$AE$2:$AE$10,0))</f>
        <v>-4.1637098908224761</v>
      </c>
      <c r="H11" s="9">
        <f>INDEX(V_RUT!G$2:G$10,MATCH(LARGE(V_RUT!$AE$2:$AE$10,ROW()-3),V_RUT!$AE$2:$AE$10,0))</f>
        <v>0.88841112856237192</v>
      </c>
      <c r="I11" s="9">
        <f>INDEX(V_RUT!H$2:H$10,MATCH(LARGE(V_RUT!$AE$2:$AE$10,ROW()-3),V_RUT!$AE$2:$AE$10,0))</f>
        <v>28.063850742385661</v>
      </c>
      <c r="J11" s="9">
        <f>INDEX(V_RUT!I$2:I$10,MATCH(LARGE(V_RUT!$AE$2:$AE$10,ROW()-3),V_RUT!$AE$2:$AE$10,0))</f>
        <v>52.842059772538889</v>
      </c>
      <c r="K11" s="10">
        <f>INDEX(V_RUT!J$2:J$10,MATCH(LARGE(V_RUT!$AE$2:$AE$10,ROW()-3),V_RUT!$AE$2:$AE$10,0))</f>
        <v>4770</v>
      </c>
      <c r="L11" s="10">
        <f>INDEX(V_RUT!K$2:K$10,MATCH(LARGE(V_RUT!$AE$2:$AE$10,ROW()-3),V_RUT!$AE$2:$AE$10,0))</f>
        <v>4842</v>
      </c>
      <c r="M11" s="8">
        <f>INDEX(V_RUT!L$2:L$10,MATCH(LARGE(V_RUT!$AE$2:$AE$10,ROW()-3),V_RUT!$AE$2:$AE$10,0))</f>
        <v>1.509433962264151E-2</v>
      </c>
      <c r="N11" s="11">
        <f>INDEX(V_RUT!M$2:M$10,MATCH(LARGE(V_RUT!$AE$2:$AE$10,ROW()-3),V_RUT!$AE$2:$AE$10,0))</f>
        <v>148562038.16999999</v>
      </c>
      <c r="O11" s="11">
        <f>INDEX(V_RUT!N$2:N$10,MATCH(LARGE(V_RUT!$AE$2:$AE$10,ROW()-3),V_RUT!$AE$2:$AE$10,0))</f>
        <v>170615984.19999999</v>
      </c>
      <c r="P11" s="8">
        <f>INDEX(V_RUT!O$2:O$10,MATCH(LARGE(V_RUT!$AE$2:$AE$10,ROW()-3),V_RUT!$AE$2:$AE$10,0))</f>
        <v>0.14844940404468329</v>
      </c>
      <c r="Q11" s="9">
        <f>INDEX(V_RUT!P$2:P$10,MATCH(LARGE(V_RUT!$AE$2:$AE$10,ROW()-3),V_RUT!$AE$2:$AE$10,0))</f>
        <v>1.3397770178127011</v>
      </c>
      <c r="R11" s="5" t="str">
        <f>INDEX(V_RUT!Q$2:Q$10,MATCH(LARGE(V_RUT!$AE$2:$AE$10,ROW()-3),V_RUT!$AE$2:$AE$10,0))</f>
        <v>Görüyor</v>
      </c>
      <c r="S11" s="8">
        <f>INDEX(V_RUT!R$2:R$10,MATCH(LARGE(V_RUT!$AE$2:$AE$10,ROW()-3),V_RUT!$AE$2:$AE$10,0))</f>
        <v>0.64489999999999992</v>
      </c>
      <c r="T11" s="8">
        <f>INDEX(V_RUT!S$2:S$10,MATCH(LARGE(V_RUT!$AE$2:$AE$10,ROW()-3),V_RUT!$AE$2:$AE$10,0))</f>
        <v>0</v>
      </c>
      <c r="U11" s="8">
        <f>INDEX(V_RUT!T$2:T$10,MATCH(LARGE(V_RUT!$AE$2:$AE$10,ROW()-3),V_RUT!$AE$2:$AE$10,0))</f>
        <v>0</v>
      </c>
      <c r="V11" s="8">
        <f>INDEX(V_RUT!U$2:U$10,MATCH(LARGE(V_RUT!$AE$2:$AE$10,ROW()-3),V_RUT!$AE$2:$AE$10,0))</f>
        <v>2.3800000000000002E-2</v>
      </c>
      <c r="W11" s="8">
        <f>INDEX(V_RUT!V$2:V$10,MATCH(LARGE(V_RUT!$AE$2:$AE$10,ROW()-3),V_RUT!$AE$2:$AE$10,0))</f>
        <v>0</v>
      </c>
      <c r="X11" s="8">
        <f>INDEX(V_RUT!W$2:W$10,MATCH(LARGE(V_RUT!$AE$2:$AE$10,ROW()-3),V_RUT!$AE$2:$AE$10,0))</f>
        <v>0.1479</v>
      </c>
      <c r="Y11" s="8">
        <f>INDEX(V_RUT!X$2:X$10,MATCH(LARGE(V_RUT!$AE$2:$AE$10,ROW()-3),V_RUT!$AE$2:$AE$10,0))</f>
        <v>0</v>
      </c>
      <c r="Z11" s="8">
        <f>INDEX(V_RUT!Y$2:Y$10,MATCH(LARGE(V_RUT!$AE$2:$AE$10,ROW()-3),V_RUT!$AE$2:$AE$10,0))</f>
        <v>0.14460000000000001</v>
      </c>
      <c r="AA11" s="8">
        <f>INDEX(V_RUT!Z$2:Z$10,MATCH(LARGE(V_RUT!$AE$2:$AE$10,ROW()-3),V_RUT!$AE$2:$AE$10,0))</f>
        <v>0</v>
      </c>
      <c r="AB11" s="8">
        <f>INDEX(V_RUT!AA$2:AA$10,MATCH(LARGE(V_RUT!$AE$2:$AE$10,ROW()-3),V_RUT!$AE$2:$AE$10,0))</f>
        <v>0</v>
      </c>
      <c r="AC11" s="8">
        <f>INDEX(V_RUT!AB$2:AB$10,MATCH(LARGE(V_RUT!$AE$2:$AE$10,ROW()-3),V_RUT!$AE$2:$AE$10,0))</f>
        <v>0</v>
      </c>
      <c r="AD11" s="8">
        <f>INDEX(V_RUT!AC$2:AC$10,MATCH(LARGE(V_RUT!$AE$2:$AE$10,ROW()-3),V_RUT!$AE$2:$AE$10,0))</f>
        <v>0.96119999999999994</v>
      </c>
    </row>
    <row r="12" spans="1:30" x14ac:dyDescent="0.2">
      <c r="A12">
        <v>9</v>
      </c>
      <c r="B12" s="5" t="str">
        <f>INDEX(V_RUT!A$2:A$10,MATCH(LARGE(V_RUT!$AE$2:$AE$10,ROW()-3),V_RUT!$AE$2:$AE$10,0))</f>
        <v>RBL</v>
      </c>
      <c r="C12" s="5" t="str">
        <f>INDEX(V_RUT!B$2:B$10,MATCH(LARGE(V_RUT!$AE$2:$AE$10,ROW()-3),V_RUT!$AE$2:$AE$10,0))</f>
        <v>Qnb Portföy Robotik VE Blockchain Teknolojileri Serbest Fon</v>
      </c>
      <c r="D12" s="5" t="str">
        <f>INDEX(V_RUT!C$2:C$10,MATCH(LARGE(V_RUT!$AE$2:$AE$10,ROW()-3),V_RUT!$AE$2:$AE$10,0))</f>
        <v>Qnb Portföy</v>
      </c>
      <c r="E12" s="8">
        <f>INDEX(V_RUT!D$2:D$10,MATCH(LARGE(V_RUT!$AE$2:$AE$10,ROW()-3),V_RUT!$AE$2:$AE$10,0))</f>
        <v>2.75E-2</v>
      </c>
      <c r="F12" s="9">
        <f>INDEX(V_RUT!E$2:E$10,MATCH(LARGE(V_RUT!$AE$2:$AE$10,ROW()-3),V_RUT!$AE$2:$AE$10,0))</f>
        <v>-2.141979256458026</v>
      </c>
      <c r="G12" s="9">
        <f>INDEX(V_RUT!F$2:F$10,MATCH(LARGE(V_RUT!$AE$2:$AE$10,ROW()-3),V_RUT!$AE$2:$AE$10,0))</f>
        <v>-3.3241966684962039</v>
      </c>
      <c r="H12" s="9">
        <f>INDEX(V_RUT!G$2:G$10,MATCH(LARGE(V_RUT!$AE$2:$AE$10,ROW()-3),V_RUT!$AE$2:$AE$10,0))</f>
        <v>0.34809783693463547</v>
      </c>
      <c r="I12" s="9">
        <f>INDEX(V_RUT!H$2:H$10,MATCH(LARGE(V_RUT!$AE$2:$AE$10,ROW()-3),V_RUT!$AE$2:$AE$10,0))</f>
        <v>24.711915796277559</v>
      </c>
      <c r="J12" s="9">
        <f>INDEX(V_RUT!I$2:I$10,MATCH(LARGE(V_RUT!$AE$2:$AE$10,ROW()-3),V_RUT!$AE$2:$AE$10,0))</f>
        <v>43.259655958765187</v>
      </c>
      <c r="K12" s="10">
        <f>INDEX(V_RUT!J$2:J$10,MATCH(LARGE(V_RUT!$AE$2:$AE$10,ROW()-3),V_RUT!$AE$2:$AE$10,0))</f>
        <v>921</v>
      </c>
      <c r="L12" s="10">
        <f>INDEX(V_RUT!K$2:K$10,MATCH(LARGE(V_RUT!$AE$2:$AE$10,ROW()-3),V_RUT!$AE$2:$AE$10,0))</f>
        <v>885</v>
      </c>
      <c r="M12" s="8">
        <f>INDEX(V_RUT!L$2:L$10,MATCH(LARGE(V_RUT!$AE$2:$AE$10,ROW()-3),V_RUT!$AE$2:$AE$10,0))</f>
        <v>-3.9087947882736167E-2</v>
      </c>
      <c r="N12" s="11">
        <f>INDEX(V_RUT!M$2:M$10,MATCH(LARGE(V_RUT!$AE$2:$AE$10,ROW()-3),V_RUT!$AE$2:$AE$10,0))</f>
        <v>348869367.64999998</v>
      </c>
      <c r="O12" s="11">
        <f>INDEX(V_RUT!N$2:N$10,MATCH(LARGE(V_RUT!$AE$2:$AE$10,ROW()-3),V_RUT!$AE$2:$AE$10,0))</f>
        <v>344911877.99000001</v>
      </c>
      <c r="P12" s="8">
        <f>INDEX(V_RUT!O$2:O$10,MATCH(LARGE(V_RUT!$AE$2:$AE$10,ROW()-3),V_RUT!$AE$2:$AE$10,0))</f>
        <v>-1.134375794199927E-2</v>
      </c>
      <c r="Q12" s="9">
        <f>INDEX(V_RUT!P$2:P$10,MATCH(LARGE(V_RUT!$AE$2:$AE$10,ROW()-3),V_RUT!$AE$2:$AE$10,0))</f>
        <v>1.541596877836469</v>
      </c>
      <c r="R12" s="5" t="str">
        <f>INDEX(V_RUT!Q$2:Q$10,MATCH(LARGE(V_RUT!$AE$2:$AE$10,ROW()-3),V_RUT!$AE$2:$AE$10,0))</f>
        <v>Görüyor</v>
      </c>
      <c r="S12" s="8">
        <f>INDEX(V_RUT!R$2:R$10,MATCH(LARGE(V_RUT!$AE$2:$AE$10,ROW()-3),V_RUT!$AE$2:$AE$10,0))</f>
        <v>0.56520000000000004</v>
      </c>
      <c r="T12" s="8">
        <f>INDEX(V_RUT!S$2:S$10,MATCH(LARGE(V_RUT!$AE$2:$AE$10,ROW()-3),V_RUT!$AE$2:$AE$10,0))</f>
        <v>0.23760000000000001</v>
      </c>
      <c r="U12" s="8">
        <f>INDEX(V_RUT!T$2:T$10,MATCH(LARGE(V_RUT!$AE$2:$AE$10,ROW()-3),V_RUT!$AE$2:$AE$10,0))</f>
        <v>0</v>
      </c>
      <c r="V12" s="8">
        <f>INDEX(V_RUT!U$2:U$10,MATCH(LARGE(V_RUT!$AE$2:$AE$10,ROW()-3),V_RUT!$AE$2:$AE$10,0))</f>
        <v>0</v>
      </c>
      <c r="W12" s="8">
        <f>INDEX(V_RUT!V$2:V$10,MATCH(LARGE(V_RUT!$AE$2:$AE$10,ROW()-3),V_RUT!$AE$2:$AE$10,0))</f>
        <v>2.9600000000000001E-2</v>
      </c>
      <c r="X12" s="8">
        <f>INDEX(V_RUT!W$2:W$10,MATCH(LARGE(V_RUT!$AE$2:$AE$10,ROW()-3),V_RUT!$AE$2:$AE$10,0))</f>
        <v>0.1003</v>
      </c>
      <c r="Y12" s="8">
        <f>INDEX(V_RUT!X$2:X$10,MATCH(LARGE(V_RUT!$AE$2:$AE$10,ROW()-3),V_RUT!$AE$2:$AE$10,0))</f>
        <v>2.3900000000000001E-2</v>
      </c>
      <c r="Z12" s="8">
        <f>INDEX(V_RUT!Y$2:Y$10,MATCH(LARGE(V_RUT!$AE$2:$AE$10,ROW()-3),V_RUT!$AE$2:$AE$10,0))</f>
        <v>4.3400000000000001E-2</v>
      </c>
      <c r="AA12" s="8">
        <f>INDEX(V_RUT!Z$2:Z$10,MATCH(LARGE(V_RUT!$AE$2:$AE$10,ROW()-3),V_RUT!$AE$2:$AE$10,0))</f>
        <v>0</v>
      </c>
      <c r="AB12" s="8">
        <f>INDEX(V_RUT!AA$2:AA$10,MATCH(LARGE(V_RUT!$AE$2:$AE$10,ROW()-3),V_RUT!$AE$2:$AE$10,0))</f>
        <v>0</v>
      </c>
      <c r="AC12" s="8">
        <f>INDEX(V_RUT!AB$2:AB$10,MATCH(LARGE(V_RUT!$AE$2:$AE$10,ROW()-3),V_RUT!$AE$2:$AE$10,0))</f>
        <v>0</v>
      </c>
      <c r="AD12" s="8">
        <f>INDEX(V_RUT!AC$2:AC$10,MATCH(LARGE(V_RUT!$AE$2:$AE$10,ROW()-3),V_RUT!$AE$2:$AE$10,0))</f>
        <v>1</v>
      </c>
    </row>
  </sheetData>
  <conditionalFormatting sqref="B4:AD12">
    <cfRule type="expression" dxfId="4" priority="1">
      <formula>OR($B4="BAI",$B4="BHI",$B4="BIS",$B4="BSD",$B4="BTE",$B4="BTK",$B4="BV1",$B4="BVD",$B4="BVF",$B4="BVV",$B4="BVZ",$B4="MTD",$B4="RUT",$B4="SPR")</formula>
    </cfRule>
  </conditionalFormatting>
  <dataValidations count="1">
    <dataValidation type="list" sqref="E2" xr:uid="{00000000-0002-0000-0E00-000000000000}">
      <formula1>"Günlük%,Haftalık,Aylık,Yılbaşına Göre,Yıllık"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E3"/>
  <sheetViews>
    <sheetView workbookViewId="0"/>
  </sheetViews>
  <sheetFormatPr baseColWidth="10" defaultColWidth="8.83203125" defaultRowHeight="15" x14ac:dyDescent="0.2"/>
  <sheetData>
    <row r="1" spans="1:31" x14ac:dyDescent="0.2">
      <c r="A1" t="s">
        <v>3</v>
      </c>
      <c r="B1" t="s">
        <v>547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527</v>
      </c>
      <c r="S1" t="s">
        <v>528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</row>
    <row r="2" spans="1:31" x14ac:dyDescent="0.2">
      <c r="A2" t="s">
        <v>548</v>
      </c>
      <c r="B2" t="s">
        <v>549</v>
      </c>
      <c r="C2" t="s">
        <v>138</v>
      </c>
      <c r="D2">
        <v>2.75E-2</v>
      </c>
      <c r="E2">
        <v>-0.37049987224142539</v>
      </c>
      <c r="F2">
        <v>-0.62824162520347393</v>
      </c>
      <c r="G2">
        <v>4.3413806180875314</v>
      </c>
      <c r="H2">
        <v>2.8180644803130979</v>
      </c>
      <c r="I2">
        <v>13.144436655027249</v>
      </c>
      <c r="J2">
        <v>7005</v>
      </c>
      <c r="K2">
        <v>6730</v>
      </c>
      <c r="L2">
        <v>-3.9257673090649543E-2</v>
      </c>
      <c r="M2">
        <v>182555331.74000001</v>
      </c>
      <c r="N2">
        <v>182578547.41999999</v>
      </c>
      <c r="O2">
        <v>1.271706489134328E-4</v>
      </c>
      <c r="P2">
        <v>0.82700783656033983</v>
      </c>
      <c r="Q2" t="s">
        <v>41</v>
      </c>
      <c r="R2">
        <v>0.67569999999999997</v>
      </c>
      <c r="S2">
        <v>3.5000000000000001E-3</v>
      </c>
      <c r="T2">
        <v>0</v>
      </c>
      <c r="U2">
        <v>2.8999999999999998E-3</v>
      </c>
      <c r="V2">
        <v>2.2000000000000001E-3</v>
      </c>
      <c r="W2">
        <v>8.5699999999999998E-2</v>
      </c>
      <c r="X2">
        <v>0</v>
      </c>
      <c r="Y2">
        <v>6.8999999999999999E-3</v>
      </c>
      <c r="Z2">
        <v>9.64E-2</v>
      </c>
      <c r="AA2">
        <v>0.12670000000000001</v>
      </c>
      <c r="AB2">
        <v>0</v>
      </c>
      <c r="AC2">
        <v>1</v>
      </c>
      <c r="AE2">
        <f>IF(ISNUMBER(INDEX($A$2:$AC$3,1,MATCH(Oyun!$E$2,$A$1:$AC$1,0))),INDEX($A$2:$AC$3,1,MATCH(Oyun!$E$2,$A$1:$AC$1,0)),-1000000000)-ROW()/10000000</f>
        <v>-0.37050007224142539</v>
      </c>
    </row>
    <row r="3" spans="1:31" x14ac:dyDescent="0.2">
      <c r="A3" t="s">
        <v>550</v>
      </c>
      <c r="B3" t="s">
        <v>551</v>
      </c>
      <c r="C3" t="s">
        <v>50</v>
      </c>
      <c r="D3">
        <v>2.5000000000000001E-2</v>
      </c>
      <c r="E3">
        <v>-1.319062123900905</v>
      </c>
      <c r="F3">
        <v>-1.5730915195010911</v>
      </c>
      <c r="G3">
        <v>6.8883092092261622</v>
      </c>
      <c r="H3">
        <v>24.140386142430241</v>
      </c>
      <c r="I3">
        <v>50.216863343400703</v>
      </c>
      <c r="J3">
        <v>995</v>
      </c>
      <c r="K3">
        <v>977</v>
      </c>
      <c r="L3">
        <v>-1.809045226130657E-2</v>
      </c>
      <c r="M3">
        <v>234496220.94999999</v>
      </c>
      <c r="N3">
        <v>255813593.34999999</v>
      </c>
      <c r="O3">
        <v>9.0907104232376357E-2</v>
      </c>
      <c r="P3">
        <v>1.248415614176849</v>
      </c>
      <c r="Q3" t="s">
        <v>41</v>
      </c>
      <c r="R3">
        <v>0.69930000000000003</v>
      </c>
      <c r="S3">
        <v>0</v>
      </c>
      <c r="T3">
        <v>0</v>
      </c>
      <c r="U3">
        <v>0</v>
      </c>
      <c r="V3">
        <v>0</v>
      </c>
      <c r="W3">
        <v>0.13569999999999999</v>
      </c>
      <c r="X3">
        <v>0</v>
      </c>
      <c r="Y3">
        <v>0.1222</v>
      </c>
      <c r="Z3">
        <v>0</v>
      </c>
      <c r="AA3">
        <v>0</v>
      </c>
      <c r="AB3">
        <v>0</v>
      </c>
      <c r="AC3">
        <v>0.95720000000000005</v>
      </c>
      <c r="AE3">
        <f>IF(ISNUMBER(INDEX($A$2:$AC$3,2,MATCH(Oyun!$E$2,$A$1:$AC$1,0))),INDEX($A$2:$AC$3,2,MATCH(Oyun!$E$2,$A$1:$AC$1,0)),-1000000000)-ROW()/10000000</f>
        <v>-1.319062423900905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5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2" max="2" width="9" customWidth="1"/>
    <col min="3" max="3" width="68" customWidth="1"/>
    <col min="4" max="4" width="26" customWidth="1"/>
    <col min="5" max="30" width="13" customWidth="1"/>
  </cols>
  <sheetData>
    <row r="1" spans="1:30" x14ac:dyDescent="0.2">
      <c r="F1" s="6">
        <v>46216</v>
      </c>
      <c r="G1" s="6">
        <v>46210</v>
      </c>
      <c r="H1" s="6">
        <v>46185</v>
      </c>
      <c r="I1" s="6">
        <v>46022</v>
      </c>
      <c r="J1" s="6">
        <v>45852</v>
      </c>
    </row>
    <row r="2" spans="1:30" x14ac:dyDescent="0.2">
      <c r="B2" s="3" t="s">
        <v>75</v>
      </c>
      <c r="D2" s="7" t="s">
        <v>0</v>
      </c>
      <c r="E2" s="2" t="s">
        <v>13</v>
      </c>
    </row>
    <row r="3" spans="1:30" ht="48" x14ac:dyDescent="0.2">
      <c r="B3" s="4" t="s">
        <v>3</v>
      </c>
      <c r="C3" s="4" t="s">
        <v>547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6</v>
      </c>
      <c r="J3" s="4" t="s">
        <v>16</v>
      </c>
      <c r="K3" s="4" t="s">
        <v>17</v>
      </c>
      <c r="L3" s="4" t="s">
        <v>18</v>
      </c>
      <c r="M3" s="4" t="s">
        <v>19</v>
      </c>
      <c r="N3" s="4" t="s">
        <v>20</v>
      </c>
      <c r="O3" s="4" t="s">
        <v>21</v>
      </c>
      <c r="P3" s="4" t="s">
        <v>22</v>
      </c>
      <c r="Q3" s="4" t="s">
        <v>23</v>
      </c>
      <c r="R3" s="4" t="s">
        <v>24</v>
      </c>
      <c r="S3" s="4" t="s">
        <v>527</v>
      </c>
      <c r="T3" s="4" t="s">
        <v>528</v>
      </c>
      <c r="U3" s="4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4" t="s">
        <v>31</v>
      </c>
      <c r="AB3" s="4" t="s">
        <v>32</v>
      </c>
      <c r="AC3" s="4" t="s">
        <v>33</v>
      </c>
      <c r="AD3" s="4" t="s">
        <v>34</v>
      </c>
    </row>
    <row r="4" spans="1:30" x14ac:dyDescent="0.2">
      <c r="A4">
        <v>1</v>
      </c>
      <c r="B4" s="5" t="str">
        <f>INDEX(V_Oyun!A$2:A$3,MATCH(LARGE(V_Oyun!$AE$2:$AE$3,ROW()-3),V_Oyun!$AE$2:$AE$3,0))</f>
        <v>IJB</v>
      </c>
      <c r="C4" s="5" t="str">
        <f>INDEX(V_Oyun!B$2:B$3,MATCH(LARGE(V_Oyun!$AE$2:$AE$3,ROW()-3),V_Oyun!$AE$2:$AE$3,0))</f>
        <v>İŞ Portföy Dijital Oyun Sektörü Karma Fon</v>
      </c>
      <c r="D4" s="5" t="str">
        <f>INDEX(V_Oyun!C$2:C$3,MATCH(LARGE(V_Oyun!$AE$2:$AE$3,ROW()-3),V_Oyun!$AE$2:$AE$3,0))</f>
        <v>İŞ Portföy</v>
      </c>
      <c r="E4" s="8">
        <f>INDEX(V_Oyun!D$2:D$3,MATCH(LARGE(V_Oyun!$AE$2:$AE$3,ROW()-3),V_Oyun!$AE$2:$AE$3,0))</f>
        <v>2.75E-2</v>
      </c>
      <c r="F4" s="9">
        <f>INDEX(V_Oyun!E$2:E$3,MATCH(LARGE(V_Oyun!$AE$2:$AE$3,ROW()-3),V_Oyun!$AE$2:$AE$3,0))</f>
        <v>-0.37049987224142539</v>
      </c>
      <c r="G4" s="9">
        <f>INDEX(V_Oyun!F$2:F$3,MATCH(LARGE(V_Oyun!$AE$2:$AE$3,ROW()-3),V_Oyun!$AE$2:$AE$3,0))</f>
        <v>-0.62824162520347393</v>
      </c>
      <c r="H4" s="9">
        <f>INDEX(V_Oyun!G$2:G$3,MATCH(LARGE(V_Oyun!$AE$2:$AE$3,ROW()-3),V_Oyun!$AE$2:$AE$3,0))</f>
        <v>4.3413806180875314</v>
      </c>
      <c r="I4" s="9">
        <f>INDEX(V_Oyun!H$2:H$3,MATCH(LARGE(V_Oyun!$AE$2:$AE$3,ROW()-3),V_Oyun!$AE$2:$AE$3,0))</f>
        <v>2.8180644803130979</v>
      </c>
      <c r="J4" s="9">
        <f>INDEX(V_Oyun!I$2:I$3,MATCH(LARGE(V_Oyun!$AE$2:$AE$3,ROW()-3),V_Oyun!$AE$2:$AE$3,0))</f>
        <v>13.144436655027249</v>
      </c>
      <c r="K4" s="10">
        <f>INDEX(V_Oyun!J$2:J$3,MATCH(LARGE(V_Oyun!$AE$2:$AE$3,ROW()-3),V_Oyun!$AE$2:$AE$3,0))</f>
        <v>7005</v>
      </c>
      <c r="L4" s="10">
        <f>INDEX(V_Oyun!K$2:K$3,MATCH(LARGE(V_Oyun!$AE$2:$AE$3,ROW()-3),V_Oyun!$AE$2:$AE$3,0))</f>
        <v>6730</v>
      </c>
      <c r="M4" s="8">
        <f>INDEX(V_Oyun!L$2:L$3,MATCH(LARGE(V_Oyun!$AE$2:$AE$3,ROW()-3),V_Oyun!$AE$2:$AE$3,0))</f>
        <v>-3.9257673090649543E-2</v>
      </c>
      <c r="N4" s="11">
        <f>INDEX(V_Oyun!M$2:M$3,MATCH(LARGE(V_Oyun!$AE$2:$AE$3,ROW()-3),V_Oyun!$AE$2:$AE$3,0))</f>
        <v>182555331.74000001</v>
      </c>
      <c r="O4" s="11">
        <f>INDEX(V_Oyun!N$2:N$3,MATCH(LARGE(V_Oyun!$AE$2:$AE$3,ROW()-3),V_Oyun!$AE$2:$AE$3,0))</f>
        <v>182578547.41999999</v>
      </c>
      <c r="P4" s="8">
        <f>INDEX(V_Oyun!O$2:O$3,MATCH(LARGE(V_Oyun!$AE$2:$AE$3,ROW()-3),V_Oyun!$AE$2:$AE$3,0))</f>
        <v>1.271706489134328E-4</v>
      </c>
      <c r="Q4" s="9">
        <f>INDEX(V_Oyun!P$2:P$3,MATCH(LARGE(V_Oyun!$AE$2:$AE$3,ROW()-3),V_Oyun!$AE$2:$AE$3,0))</f>
        <v>0.82700783656033983</v>
      </c>
      <c r="R4" s="5" t="str">
        <f>INDEX(V_Oyun!Q$2:Q$3,MATCH(LARGE(V_Oyun!$AE$2:$AE$3,ROW()-3),V_Oyun!$AE$2:$AE$3,0))</f>
        <v>Görüyor</v>
      </c>
      <c r="S4" s="8">
        <f>INDEX(V_Oyun!R$2:R$3,MATCH(LARGE(V_Oyun!$AE$2:$AE$3,ROW()-3),V_Oyun!$AE$2:$AE$3,0))</f>
        <v>0.67569999999999997</v>
      </c>
      <c r="T4" s="8">
        <f>INDEX(V_Oyun!S$2:S$3,MATCH(LARGE(V_Oyun!$AE$2:$AE$3,ROW()-3),V_Oyun!$AE$2:$AE$3,0))</f>
        <v>3.5000000000000001E-3</v>
      </c>
      <c r="U4" s="8">
        <f>INDEX(V_Oyun!T$2:T$3,MATCH(LARGE(V_Oyun!$AE$2:$AE$3,ROW()-3),V_Oyun!$AE$2:$AE$3,0))</f>
        <v>0</v>
      </c>
      <c r="V4" s="8">
        <f>INDEX(V_Oyun!U$2:U$3,MATCH(LARGE(V_Oyun!$AE$2:$AE$3,ROW()-3),V_Oyun!$AE$2:$AE$3,0))</f>
        <v>2.8999999999999998E-3</v>
      </c>
      <c r="W4" s="8">
        <f>INDEX(V_Oyun!V$2:V$3,MATCH(LARGE(V_Oyun!$AE$2:$AE$3,ROW()-3),V_Oyun!$AE$2:$AE$3,0))</f>
        <v>2.2000000000000001E-3</v>
      </c>
      <c r="X4" s="8">
        <f>INDEX(V_Oyun!W$2:W$3,MATCH(LARGE(V_Oyun!$AE$2:$AE$3,ROW()-3),V_Oyun!$AE$2:$AE$3,0))</f>
        <v>8.5699999999999998E-2</v>
      </c>
      <c r="Y4" s="8">
        <f>INDEX(V_Oyun!X$2:X$3,MATCH(LARGE(V_Oyun!$AE$2:$AE$3,ROW()-3),V_Oyun!$AE$2:$AE$3,0))</f>
        <v>0</v>
      </c>
      <c r="Z4" s="8">
        <f>INDEX(V_Oyun!Y$2:Y$3,MATCH(LARGE(V_Oyun!$AE$2:$AE$3,ROW()-3),V_Oyun!$AE$2:$AE$3,0))</f>
        <v>6.8999999999999999E-3</v>
      </c>
      <c r="AA4" s="8">
        <f>INDEX(V_Oyun!Z$2:Z$3,MATCH(LARGE(V_Oyun!$AE$2:$AE$3,ROW()-3),V_Oyun!$AE$2:$AE$3,0))</f>
        <v>9.64E-2</v>
      </c>
      <c r="AB4" s="8">
        <f>INDEX(V_Oyun!AA$2:AA$3,MATCH(LARGE(V_Oyun!$AE$2:$AE$3,ROW()-3),V_Oyun!$AE$2:$AE$3,0))</f>
        <v>0.12670000000000001</v>
      </c>
      <c r="AC4" s="8">
        <f>INDEX(V_Oyun!AB$2:AB$3,MATCH(LARGE(V_Oyun!$AE$2:$AE$3,ROW()-3),V_Oyun!$AE$2:$AE$3,0))</f>
        <v>0</v>
      </c>
      <c r="AD4" s="8">
        <f>INDEX(V_Oyun!AC$2:AC$3,MATCH(LARGE(V_Oyun!$AE$2:$AE$3,ROW()-3),V_Oyun!$AE$2:$AE$3,0))</f>
        <v>1</v>
      </c>
    </row>
    <row r="5" spans="1:30" x14ac:dyDescent="0.2">
      <c r="A5">
        <v>2</v>
      </c>
      <c r="B5" s="5" t="str">
        <f>INDEX(V_Oyun!A$2:A$3,MATCH(LARGE(V_Oyun!$AE$2:$AE$3,ROW()-3),V_Oyun!$AE$2:$AE$3,0))</f>
        <v>BTE</v>
      </c>
      <c r="C5" s="5" t="str">
        <f>INDEX(V_Oyun!B$2:B$3,MATCH(LARGE(V_Oyun!$AE$2:$AE$3,ROW()-3),V_Oyun!$AE$2:$AE$3,0))</f>
        <v>BV Portföy Oyun VE Teknoloji Değişken Fon</v>
      </c>
      <c r="D5" s="5" t="str">
        <f>INDEX(V_Oyun!C$2:C$3,MATCH(LARGE(V_Oyun!$AE$2:$AE$3,ROW()-3),V_Oyun!$AE$2:$AE$3,0))</f>
        <v>BV Portföy</v>
      </c>
      <c r="E5" s="8">
        <f>INDEX(V_Oyun!D$2:D$3,MATCH(LARGE(V_Oyun!$AE$2:$AE$3,ROW()-3),V_Oyun!$AE$2:$AE$3,0))</f>
        <v>2.5000000000000001E-2</v>
      </c>
      <c r="F5" s="9">
        <f>INDEX(V_Oyun!E$2:E$3,MATCH(LARGE(V_Oyun!$AE$2:$AE$3,ROW()-3),V_Oyun!$AE$2:$AE$3,0))</f>
        <v>-1.319062123900905</v>
      </c>
      <c r="G5" s="9">
        <f>INDEX(V_Oyun!F$2:F$3,MATCH(LARGE(V_Oyun!$AE$2:$AE$3,ROW()-3),V_Oyun!$AE$2:$AE$3,0))</f>
        <v>-1.5730915195010911</v>
      </c>
      <c r="H5" s="9">
        <f>INDEX(V_Oyun!G$2:G$3,MATCH(LARGE(V_Oyun!$AE$2:$AE$3,ROW()-3),V_Oyun!$AE$2:$AE$3,0))</f>
        <v>6.8883092092261622</v>
      </c>
      <c r="I5" s="9">
        <f>INDEX(V_Oyun!H$2:H$3,MATCH(LARGE(V_Oyun!$AE$2:$AE$3,ROW()-3),V_Oyun!$AE$2:$AE$3,0))</f>
        <v>24.140386142430241</v>
      </c>
      <c r="J5" s="9">
        <f>INDEX(V_Oyun!I$2:I$3,MATCH(LARGE(V_Oyun!$AE$2:$AE$3,ROW()-3),V_Oyun!$AE$2:$AE$3,0))</f>
        <v>50.216863343400703</v>
      </c>
      <c r="K5" s="10">
        <f>INDEX(V_Oyun!J$2:J$3,MATCH(LARGE(V_Oyun!$AE$2:$AE$3,ROW()-3),V_Oyun!$AE$2:$AE$3,0))</f>
        <v>995</v>
      </c>
      <c r="L5" s="10">
        <f>INDEX(V_Oyun!K$2:K$3,MATCH(LARGE(V_Oyun!$AE$2:$AE$3,ROW()-3),V_Oyun!$AE$2:$AE$3,0))</f>
        <v>977</v>
      </c>
      <c r="M5" s="8">
        <f>INDEX(V_Oyun!L$2:L$3,MATCH(LARGE(V_Oyun!$AE$2:$AE$3,ROW()-3),V_Oyun!$AE$2:$AE$3,0))</f>
        <v>-1.809045226130657E-2</v>
      </c>
      <c r="N5" s="11">
        <f>INDEX(V_Oyun!M$2:M$3,MATCH(LARGE(V_Oyun!$AE$2:$AE$3,ROW()-3),V_Oyun!$AE$2:$AE$3,0))</f>
        <v>234496220.94999999</v>
      </c>
      <c r="O5" s="11">
        <f>INDEX(V_Oyun!N$2:N$3,MATCH(LARGE(V_Oyun!$AE$2:$AE$3,ROW()-3),V_Oyun!$AE$2:$AE$3,0))</f>
        <v>255813593.34999999</v>
      </c>
      <c r="P5" s="8">
        <f>INDEX(V_Oyun!O$2:O$3,MATCH(LARGE(V_Oyun!$AE$2:$AE$3,ROW()-3),V_Oyun!$AE$2:$AE$3,0))</f>
        <v>9.0907104232376357E-2</v>
      </c>
      <c r="Q5" s="9">
        <f>INDEX(V_Oyun!P$2:P$3,MATCH(LARGE(V_Oyun!$AE$2:$AE$3,ROW()-3),V_Oyun!$AE$2:$AE$3,0))</f>
        <v>1.248415614176849</v>
      </c>
      <c r="R5" s="5" t="str">
        <f>INDEX(V_Oyun!Q$2:Q$3,MATCH(LARGE(V_Oyun!$AE$2:$AE$3,ROW()-3),V_Oyun!$AE$2:$AE$3,0))</f>
        <v>Görüyor</v>
      </c>
      <c r="S5" s="8">
        <f>INDEX(V_Oyun!R$2:R$3,MATCH(LARGE(V_Oyun!$AE$2:$AE$3,ROW()-3),V_Oyun!$AE$2:$AE$3,0))</f>
        <v>0.69930000000000003</v>
      </c>
      <c r="T5" s="8">
        <f>INDEX(V_Oyun!S$2:S$3,MATCH(LARGE(V_Oyun!$AE$2:$AE$3,ROW()-3),V_Oyun!$AE$2:$AE$3,0))</f>
        <v>0</v>
      </c>
      <c r="U5" s="8">
        <f>INDEX(V_Oyun!T$2:T$3,MATCH(LARGE(V_Oyun!$AE$2:$AE$3,ROW()-3),V_Oyun!$AE$2:$AE$3,0))</f>
        <v>0</v>
      </c>
      <c r="V5" s="8">
        <f>INDEX(V_Oyun!U$2:U$3,MATCH(LARGE(V_Oyun!$AE$2:$AE$3,ROW()-3),V_Oyun!$AE$2:$AE$3,0))</f>
        <v>0</v>
      </c>
      <c r="W5" s="8">
        <f>INDEX(V_Oyun!V$2:V$3,MATCH(LARGE(V_Oyun!$AE$2:$AE$3,ROW()-3),V_Oyun!$AE$2:$AE$3,0))</f>
        <v>0</v>
      </c>
      <c r="X5" s="8">
        <f>INDEX(V_Oyun!W$2:W$3,MATCH(LARGE(V_Oyun!$AE$2:$AE$3,ROW()-3),V_Oyun!$AE$2:$AE$3,0))</f>
        <v>0.13569999999999999</v>
      </c>
      <c r="Y5" s="8">
        <f>INDEX(V_Oyun!X$2:X$3,MATCH(LARGE(V_Oyun!$AE$2:$AE$3,ROW()-3),V_Oyun!$AE$2:$AE$3,0))</f>
        <v>0</v>
      </c>
      <c r="Z5" s="8">
        <f>INDEX(V_Oyun!Y$2:Y$3,MATCH(LARGE(V_Oyun!$AE$2:$AE$3,ROW()-3),V_Oyun!$AE$2:$AE$3,0))</f>
        <v>0.1222</v>
      </c>
      <c r="AA5" s="8">
        <f>INDEX(V_Oyun!Z$2:Z$3,MATCH(LARGE(V_Oyun!$AE$2:$AE$3,ROW()-3),V_Oyun!$AE$2:$AE$3,0))</f>
        <v>0</v>
      </c>
      <c r="AB5" s="8">
        <f>INDEX(V_Oyun!AA$2:AA$3,MATCH(LARGE(V_Oyun!$AE$2:$AE$3,ROW()-3),V_Oyun!$AE$2:$AE$3,0))</f>
        <v>0</v>
      </c>
      <c r="AC5" s="8">
        <f>INDEX(V_Oyun!AB$2:AB$3,MATCH(LARGE(V_Oyun!$AE$2:$AE$3,ROW()-3),V_Oyun!$AE$2:$AE$3,0))</f>
        <v>0</v>
      </c>
      <c r="AD5" s="8">
        <f>INDEX(V_Oyun!AC$2:AC$3,MATCH(LARGE(V_Oyun!$AE$2:$AE$3,ROW()-3),V_Oyun!$AE$2:$AE$3,0))</f>
        <v>0.95720000000000005</v>
      </c>
    </row>
  </sheetData>
  <conditionalFormatting sqref="B4:AD5">
    <cfRule type="expression" dxfId="3" priority="1">
      <formula>OR($B4="BAI",$B4="BHI",$B4="BIS",$B4="BSD",$B4="BTE",$B4="BTK",$B4="BV1",$B4="BVD",$B4="BVF",$B4="BVV",$B4="BVZ",$B4="MTD",$B4="RUT",$B4="SPR")</formula>
    </cfRule>
  </conditionalFormatting>
  <dataValidations count="1">
    <dataValidation type="list" sqref="E2" xr:uid="{00000000-0002-0000-1000-000000000000}">
      <formula1>"Günlük%,Haftalık,Aylık,Yılbaşına Göre,Yıllık"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E19"/>
  <sheetViews>
    <sheetView workbookViewId="0"/>
  </sheetViews>
  <sheetFormatPr baseColWidth="10" defaultColWidth="8.83203125" defaultRowHeight="15" x14ac:dyDescent="0.2"/>
  <sheetData>
    <row r="1" spans="1:31" x14ac:dyDescent="0.2">
      <c r="A1" t="s">
        <v>3</v>
      </c>
      <c r="B1" t="s">
        <v>552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527</v>
      </c>
      <c r="S1" t="s">
        <v>528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</row>
    <row r="2" spans="1:31" x14ac:dyDescent="0.2">
      <c r="A2" t="s">
        <v>553</v>
      </c>
      <c r="B2" t="s">
        <v>554</v>
      </c>
      <c r="C2" t="s">
        <v>103</v>
      </c>
      <c r="D2">
        <v>2.9499999999999998E-2</v>
      </c>
      <c r="E2">
        <v>-7.5983624181819032E-3</v>
      </c>
      <c r="F2">
        <v>0.13178060310401471</v>
      </c>
      <c r="G2">
        <v>4.3794992206085626</v>
      </c>
      <c r="H2">
        <v>22.977294372538239</v>
      </c>
      <c r="I2">
        <v>46.129178079386847</v>
      </c>
      <c r="J2">
        <v>263</v>
      </c>
      <c r="K2">
        <v>219</v>
      </c>
      <c r="L2">
        <v>-0.1673003802281369</v>
      </c>
      <c r="M2">
        <v>14204070.289999999</v>
      </c>
      <c r="N2">
        <v>22114481.579999998</v>
      </c>
      <c r="O2">
        <v>0.55691158439064581</v>
      </c>
      <c r="P2">
        <v>1.1079624681315949</v>
      </c>
      <c r="Q2" t="s">
        <v>41</v>
      </c>
      <c r="R2">
        <v>0.60599999999999998</v>
      </c>
      <c r="S2">
        <v>1.3599999999999999E-2</v>
      </c>
      <c r="T2">
        <v>0</v>
      </c>
      <c r="U2">
        <v>8.5099999999999995E-2</v>
      </c>
      <c r="V2">
        <v>0</v>
      </c>
      <c r="W2">
        <v>0.2354</v>
      </c>
      <c r="X2">
        <v>0</v>
      </c>
      <c r="Y2">
        <v>5.9900000000000002E-2</v>
      </c>
      <c r="Z2">
        <v>0</v>
      </c>
      <c r="AA2">
        <v>0</v>
      </c>
      <c r="AB2">
        <v>0</v>
      </c>
      <c r="AC2">
        <v>1</v>
      </c>
      <c r="AE2">
        <f>IF(ISNUMBER(INDEX($A$2:$AC$19,1,MATCH(Teknoloji!$E$2,$A$1:$AC$1,0))),INDEX($A$2:$AC$19,1,MATCH(Teknoloji!$E$2,$A$1:$AC$1,0)),-1000000000)-ROW()/10000000</f>
        <v>-7.5985624181819028E-3</v>
      </c>
    </row>
    <row r="3" spans="1:31" x14ac:dyDescent="0.2">
      <c r="A3" t="s">
        <v>555</v>
      </c>
      <c r="B3" t="s">
        <v>556</v>
      </c>
      <c r="C3" t="s">
        <v>453</v>
      </c>
      <c r="D3">
        <v>2.4E-2</v>
      </c>
      <c r="E3">
        <v>-0.21799509550213261</v>
      </c>
      <c r="F3">
        <v>-2.6630587452918242</v>
      </c>
      <c r="G3">
        <v>4.4908567982177239</v>
      </c>
      <c r="H3">
        <v>45.326315393038698</v>
      </c>
      <c r="I3">
        <v>70.967183236161887</v>
      </c>
      <c r="J3">
        <v>16348</v>
      </c>
      <c r="K3">
        <v>18667</v>
      </c>
      <c r="L3">
        <v>0.14185221433814529</v>
      </c>
      <c r="M3">
        <v>1278297564.0999999</v>
      </c>
      <c r="N3">
        <v>1626199317.3399999</v>
      </c>
      <c r="O3">
        <v>0.27216022545184471</v>
      </c>
      <c r="P3">
        <v>2.0357857372455901</v>
      </c>
      <c r="Q3" t="s">
        <v>41</v>
      </c>
      <c r="R3">
        <v>0.74750000000000005</v>
      </c>
      <c r="S3">
        <v>0</v>
      </c>
      <c r="T3">
        <v>0</v>
      </c>
      <c r="U3">
        <v>0</v>
      </c>
      <c r="V3">
        <v>0</v>
      </c>
      <c r="W3">
        <v>9.5899999999999999E-2</v>
      </c>
      <c r="X3">
        <v>0</v>
      </c>
      <c r="Y3">
        <v>4.1700000000000001E-2</v>
      </c>
      <c r="Z3">
        <v>0</v>
      </c>
      <c r="AA3">
        <v>0</v>
      </c>
      <c r="AB3">
        <v>0</v>
      </c>
      <c r="AC3">
        <v>0.8851</v>
      </c>
      <c r="AE3">
        <f>IF(ISNUMBER(INDEX($A$2:$AC$19,2,MATCH(Teknoloji!$E$2,$A$1:$AC$1,0))),INDEX($A$2:$AC$19,2,MATCH(Teknoloji!$E$2,$A$1:$AC$1,0)),-1000000000)-ROW()/10000000</f>
        <v>-0.21799539550213262</v>
      </c>
    </row>
    <row r="4" spans="1:31" x14ac:dyDescent="0.2">
      <c r="A4" t="s">
        <v>557</v>
      </c>
      <c r="B4" t="s">
        <v>558</v>
      </c>
      <c r="C4" t="s">
        <v>262</v>
      </c>
      <c r="D4">
        <v>2.5499999999999998E-2</v>
      </c>
      <c r="E4">
        <v>-0.48379547046297772</v>
      </c>
      <c r="F4">
        <v>-0.73235115257376249</v>
      </c>
      <c r="G4">
        <v>2.3720517016378122</v>
      </c>
      <c r="H4">
        <v>22.80112297810939</v>
      </c>
      <c r="I4">
        <v>51.425974343832401</v>
      </c>
      <c r="J4">
        <v>448</v>
      </c>
      <c r="K4">
        <v>401</v>
      </c>
      <c r="L4">
        <v>-0.1049107142857143</v>
      </c>
      <c r="M4">
        <v>400271028.85000002</v>
      </c>
      <c r="N4">
        <v>265347290.43000001</v>
      </c>
      <c r="O4">
        <v>-0.33708094939482158</v>
      </c>
      <c r="P4">
        <v>1.132426545965703</v>
      </c>
      <c r="Q4" t="s">
        <v>41</v>
      </c>
      <c r="R4">
        <v>0.70900000000000007</v>
      </c>
      <c r="S4">
        <v>0</v>
      </c>
      <c r="T4">
        <v>1.24E-2</v>
      </c>
      <c r="U4">
        <v>0</v>
      </c>
      <c r="V4">
        <v>0</v>
      </c>
      <c r="W4">
        <v>7.4999999999999997E-3</v>
      </c>
      <c r="X4">
        <v>5.1900000000000002E-2</v>
      </c>
      <c r="Y4">
        <v>0.20949999999999999</v>
      </c>
      <c r="Z4">
        <v>0</v>
      </c>
      <c r="AA4">
        <v>0</v>
      </c>
      <c r="AB4">
        <v>0</v>
      </c>
      <c r="AC4">
        <v>0.99030000000000007</v>
      </c>
      <c r="AE4">
        <f>IF(ISNUMBER(INDEX($A$2:$AC$19,3,MATCH(Teknoloji!$E$2,$A$1:$AC$1,0))),INDEX($A$2:$AC$19,3,MATCH(Teknoloji!$E$2,$A$1:$AC$1,0)),-1000000000)-ROW()/10000000</f>
        <v>-0.48379587046297773</v>
      </c>
    </row>
    <row r="5" spans="1:31" x14ac:dyDescent="0.2">
      <c r="A5" t="s">
        <v>559</v>
      </c>
      <c r="B5" t="s">
        <v>560</v>
      </c>
      <c r="C5" t="s">
        <v>87</v>
      </c>
      <c r="D5">
        <v>2.1000000000000001E-2</v>
      </c>
      <c r="E5">
        <v>-0.59574506213061484</v>
      </c>
      <c r="F5">
        <v>-0.33867768832693818</v>
      </c>
      <c r="G5">
        <v>4.5734052110245393</v>
      </c>
      <c r="H5">
        <v>31.599895174095138</v>
      </c>
      <c r="I5">
        <v>52.438422170712109</v>
      </c>
      <c r="J5">
        <v>9161</v>
      </c>
      <c r="K5">
        <v>8935</v>
      </c>
      <c r="L5">
        <v>-2.4669795873812909E-2</v>
      </c>
      <c r="M5">
        <v>1310745574.8099999</v>
      </c>
      <c r="N5">
        <v>1393846016.02</v>
      </c>
      <c r="O5">
        <v>6.3399368120732325E-2</v>
      </c>
      <c r="P5">
        <v>1.683754895893564</v>
      </c>
      <c r="Q5" t="s">
        <v>41</v>
      </c>
      <c r="R5">
        <v>0</v>
      </c>
      <c r="S5">
        <v>0.9677</v>
      </c>
      <c r="T5">
        <v>2.7199999999999998E-2</v>
      </c>
      <c r="U5">
        <v>0</v>
      </c>
      <c r="V5">
        <v>0</v>
      </c>
      <c r="W5">
        <v>0</v>
      </c>
      <c r="X5">
        <v>5.1000000000000004E-3</v>
      </c>
      <c r="Y5">
        <v>0</v>
      </c>
      <c r="Z5">
        <v>0</v>
      </c>
      <c r="AA5">
        <v>0</v>
      </c>
      <c r="AB5">
        <v>0</v>
      </c>
      <c r="AC5">
        <v>1</v>
      </c>
      <c r="AE5">
        <f>IF(ISNUMBER(INDEX($A$2:$AC$19,4,MATCH(Teknoloji!$E$2,$A$1:$AC$1,0))),INDEX($A$2:$AC$19,4,MATCH(Teknoloji!$E$2,$A$1:$AC$1,0)),-1000000000)-ROW()/10000000</f>
        <v>-0.5957455621306148</v>
      </c>
    </row>
    <row r="6" spans="1:31" x14ac:dyDescent="0.2">
      <c r="A6" t="s">
        <v>561</v>
      </c>
      <c r="B6" t="s">
        <v>562</v>
      </c>
      <c r="C6" t="s">
        <v>138</v>
      </c>
      <c r="D6">
        <v>2.75E-2</v>
      </c>
      <c r="E6">
        <v>-0.68868045458834182</v>
      </c>
      <c r="F6">
        <v>-0.77769752870608944</v>
      </c>
      <c r="G6">
        <v>3.4796225192001979</v>
      </c>
      <c r="H6">
        <v>28.799948214892339</v>
      </c>
      <c r="I6">
        <v>53.854241900810472</v>
      </c>
      <c r="J6">
        <v>11637</v>
      </c>
      <c r="K6">
        <v>11507</v>
      </c>
      <c r="L6">
        <v>-1.1171264071496051E-2</v>
      </c>
      <c r="M6">
        <v>1008664906.73</v>
      </c>
      <c r="N6">
        <v>1028324854.14</v>
      </c>
      <c r="O6">
        <v>1.9491059199963301E-2</v>
      </c>
      <c r="P6">
        <v>1.009664422203131</v>
      </c>
      <c r="Q6" t="s">
        <v>41</v>
      </c>
      <c r="R6">
        <v>0.68359999999999999</v>
      </c>
      <c r="S6">
        <v>0</v>
      </c>
      <c r="T6">
        <v>0</v>
      </c>
      <c r="U6">
        <v>2.2000000000000001E-3</v>
      </c>
      <c r="V6">
        <v>2.5100000000000001E-2</v>
      </c>
      <c r="W6">
        <v>7.2099999999999997E-2</v>
      </c>
      <c r="X6">
        <v>0</v>
      </c>
      <c r="Y6">
        <v>3.5000000000000001E-3</v>
      </c>
      <c r="Z6">
        <v>2.3E-2</v>
      </c>
      <c r="AA6">
        <v>0.17560000000000001</v>
      </c>
      <c r="AB6">
        <v>0</v>
      </c>
      <c r="AC6">
        <v>0.98509999999999998</v>
      </c>
      <c r="AE6">
        <f>IF(ISNUMBER(INDEX($A$2:$AC$19,5,MATCH(Teknoloji!$E$2,$A$1:$AC$1,0))),INDEX($A$2:$AC$19,5,MATCH(Teknoloji!$E$2,$A$1:$AC$1,0)),-1000000000)-ROW()/10000000</f>
        <v>-0.68868105458834183</v>
      </c>
    </row>
    <row r="7" spans="1:31" x14ac:dyDescent="0.2">
      <c r="A7" t="s">
        <v>563</v>
      </c>
      <c r="B7" t="s">
        <v>564</v>
      </c>
      <c r="C7" t="s">
        <v>147</v>
      </c>
      <c r="D7">
        <v>0.02</v>
      </c>
      <c r="E7">
        <v>-0.74077680985425998</v>
      </c>
      <c r="F7">
        <v>-1.329588292365014</v>
      </c>
      <c r="G7">
        <v>2.8120243185119742</v>
      </c>
      <c r="H7">
        <v>52.062356385912373</v>
      </c>
      <c r="I7">
        <v>93.218508566018102</v>
      </c>
      <c r="J7">
        <v>16679</v>
      </c>
      <c r="K7">
        <v>17009</v>
      </c>
      <c r="L7">
        <v>1.978535883446253E-2</v>
      </c>
      <c r="M7">
        <v>1559130393.3399999</v>
      </c>
      <c r="N7">
        <v>1540416602.1099999</v>
      </c>
      <c r="O7">
        <v>-1.2002710812346501E-2</v>
      </c>
      <c r="P7">
        <v>1.5201074389303131</v>
      </c>
      <c r="Q7" t="s">
        <v>41</v>
      </c>
      <c r="R7">
        <v>0.66670000000000007</v>
      </c>
      <c r="S7">
        <v>0</v>
      </c>
      <c r="T7">
        <v>0</v>
      </c>
      <c r="U7">
        <v>0</v>
      </c>
      <c r="V7">
        <v>0</v>
      </c>
      <c r="W7">
        <v>0.25390000000000001</v>
      </c>
      <c r="X7">
        <v>0</v>
      </c>
      <c r="Y7">
        <v>7.9399999999999998E-2</v>
      </c>
      <c r="Z7">
        <v>0</v>
      </c>
      <c r="AA7">
        <v>0</v>
      </c>
      <c r="AB7">
        <v>0</v>
      </c>
      <c r="AC7">
        <v>1</v>
      </c>
      <c r="AE7">
        <f>IF(ISNUMBER(INDEX($A$2:$AC$19,6,MATCH(Teknoloji!$E$2,$A$1:$AC$1,0))),INDEX($A$2:$AC$19,6,MATCH(Teknoloji!$E$2,$A$1:$AC$1,0)),-1000000000)-ROW()/10000000</f>
        <v>-0.74077750985425994</v>
      </c>
    </row>
    <row r="8" spans="1:31" x14ac:dyDescent="0.2">
      <c r="A8" t="s">
        <v>565</v>
      </c>
      <c r="B8" t="s">
        <v>566</v>
      </c>
      <c r="C8" t="s">
        <v>228</v>
      </c>
      <c r="D8">
        <v>2.9499999999999998E-2</v>
      </c>
      <c r="E8">
        <v>-0.88800895958152104</v>
      </c>
      <c r="F8">
        <v>-1.6755451394906311</v>
      </c>
      <c r="G8">
        <v>2.255902678648614</v>
      </c>
      <c r="H8">
        <v>35.760462709152293</v>
      </c>
      <c r="I8">
        <v>62.742062345521568</v>
      </c>
      <c r="J8">
        <v>11670</v>
      </c>
      <c r="K8">
        <v>11430</v>
      </c>
      <c r="L8">
        <v>-2.0565552699228769E-2</v>
      </c>
      <c r="M8">
        <v>4509727809.6599998</v>
      </c>
      <c r="N8">
        <v>4692042996.6599998</v>
      </c>
      <c r="O8">
        <v>4.0427093318021079E-2</v>
      </c>
      <c r="P8">
        <v>1.538275203829423</v>
      </c>
      <c r="Q8" t="s">
        <v>41</v>
      </c>
      <c r="R8">
        <v>0.69669999999999999</v>
      </c>
      <c r="S8">
        <v>0.10100000000000001</v>
      </c>
      <c r="T8">
        <v>0</v>
      </c>
      <c r="U8">
        <v>0</v>
      </c>
      <c r="V8">
        <v>2.1899999999999999E-2</v>
      </c>
      <c r="W8">
        <v>0.1249</v>
      </c>
      <c r="X8">
        <v>1.23E-2</v>
      </c>
      <c r="Y8">
        <v>4.3200000000000002E-2</v>
      </c>
      <c r="Z8">
        <v>0</v>
      </c>
      <c r="AA8">
        <v>0</v>
      </c>
      <c r="AB8">
        <v>0</v>
      </c>
      <c r="AC8">
        <v>1</v>
      </c>
      <c r="AE8">
        <f>IF(ISNUMBER(INDEX($A$2:$AC$19,7,MATCH(Teknoloji!$E$2,$A$1:$AC$1,0))),INDEX($A$2:$AC$19,7,MATCH(Teknoloji!$E$2,$A$1:$AC$1,0)),-1000000000)-ROW()/10000000</f>
        <v>-0.88800975958152106</v>
      </c>
    </row>
    <row r="9" spans="1:31" x14ac:dyDescent="0.2">
      <c r="A9" t="s">
        <v>567</v>
      </c>
      <c r="B9" t="s">
        <v>568</v>
      </c>
      <c r="C9" t="s">
        <v>90</v>
      </c>
      <c r="D9">
        <v>1.7520000000000001E-2</v>
      </c>
      <c r="E9">
        <v>-0.95774104058857779</v>
      </c>
      <c r="F9">
        <v>-0.70896024773636768</v>
      </c>
      <c r="G9">
        <v>1.2541619469330409</v>
      </c>
      <c r="H9">
        <v>24.728858350951381</v>
      </c>
      <c r="I9">
        <v>50.828965869870913</v>
      </c>
      <c r="J9">
        <v>3473</v>
      </c>
      <c r="K9">
        <v>3454</v>
      </c>
      <c r="L9">
        <v>-5.4707745465015778E-3</v>
      </c>
      <c r="M9">
        <v>2089082826.8</v>
      </c>
      <c r="N9">
        <v>2089492654.5799999</v>
      </c>
      <c r="O9">
        <v>1.961759365125548E-4</v>
      </c>
      <c r="P9">
        <v>1.4861087257430241</v>
      </c>
      <c r="Q9" t="s">
        <v>41</v>
      </c>
      <c r="R9">
        <v>0.62270000000000003</v>
      </c>
      <c r="S9">
        <v>7.2999999999999995E-2</v>
      </c>
      <c r="T9">
        <v>0</v>
      </c>
      <c r="U9">
        <v>2.0299999999999999E-2</v>
      </c>
      <c r="V9">
        <v>0</v>
      </c>
      <c r="W9">
        <v>0.12709999999999999</v>
      </c>
      <c r="X9">
        <v>1.84E-2</v>
      </c>
      <c r="Y9">
        <v>5.0799999999999998E-2</v>
      </c>
      <c r="Z9">
        <v>5.1900000000000002E-2</v>
      </c>
      <c r="AA9">
        <v>2.3E-2</v>
      </c>
      <c r="AB9">
        <v>2.7000000000000001E-3</v>
      </c>
      <c r="AC9">
        <v>0.9899</v>
      </c>
      <c r="AE9">
        <f>IF(ISNUMBER(INDEX($A$2:$AC$19,8,MATCH(Teknoloji!$E$2,$A$1:$AC$1,0))),INDEX($A$2:$AC$19,8,MATCH(Teknoloji!$E$2,$A$1:$AC$1,0)),-1000000000)-ROW()/10000000</f>
        <v>-0.95774194058857776</v>
      </c>
    </row>
    <row r="10" spans="1:31" x14ac:dyDescent="0.2">
      <c r="A10" t="s">
        <v>569</v>
      </c>
      <c r="B10" t="s">
        <v>570</v>
      </c>
      <c r="C10" t="s">
        <v>168</v>
      </c>
      <c r="D10">
        <v>2.5000000000000001E-2</v>
      </c>
      <c r="E10">
        <v>-1.0085414858344131</v>
      </c>
      <c r="F10">
        <v>-3.8455197547289881</v>
      </c>
      <c r="G10">
        <v>-2.035013255154983E-2</v>
      </c>
      <c r="H10">
        <v>42.106635528600279</v>
      </c>
      <c r="I10">
        <v>65.383342992669697</v>
      </c>
      <c r="J10">
        <v>462</v>
      </c>
      <c r="K10">
        <v>425</v>
      </c>
      <c r="L10">
        <v>-8.0086580086580095E-2</v>
      </c>
      <c r="M10">
        <v>29465172.489999998</v>
      </c>
      <c r="N10">
        <v>29276239.449999999</v>
      </c>
      <c r="O10">
        <v>-6.4120798907293386E-3</v>
      </c>
      <c r="P10">
        <v>2.0739370577512641</v>
      </c>
      <c r="Q10" t="s">
        <v>41</v>
      </c>
      <c r="R10">
        <v>0.63039999999999996</v>
      </c>
      <c r="S10">
        <v>0</v>
      </c>
      <c r="T10">
        <v>0</v>
      </c>
      <c r="U10">
        <v>0</v>
      </c>
      <c r="V10">
        <v>0</v>
      </c>
      <c r="W10">
        <v>0.32840000000000003</v>
      </c>
      <c r="X10">
        <v>0</v>
      </c>
      <c r="Y10">
        <v>4.1200000000000001E-2</v>
      </c>
      <c r="Z10">
        <v>0</v>
      </c>
      <c r="AA10">
        <v>0</v>
      </c>
      <c r="AB10">
        <v>0</v>
      </c>
      <c r="AC10">
        <v>1</v>
      </c>
      <c r="AE10">
        <f>IF(ISNUMBER(INDEX($A$2:$AC$19,9,MATCH(Teknoloji!$E$2,$A$1:$AC$1,0))),INDEX($A$2:$AC$19,9,MATCH(Teknoloji!$E$2,$A$1:$AC$1,0)),-1000000000)-ROW()/10000000</f>
        <v>-1.008542485834413</v>
      </c>
    </row>
    <row r="11" spans="1:31" x14ac:dyDescent="0.2">
      <c r="A11" t="s">
        <v>571</v>
      </c>
      <c r="B11" t="s">
        <v>572</v>
      </c>
      <c r="C11" t="s">
        <v>124</v>
      </c>
      <c r="D11">
        <v>2.9000000000000001E-2</v>
      </c>
      <c r="E11">
        <v>-1.075967506795283</v>
      </c>
      <c r="F11">
        <v>-7.6190754894656099E-2</v>
      </c>
      <c r="G11">
        <v>0.93728687228278318</v>
      </c>
      <c r="H11">
        <v>11.21787340370339</v>
      </c>
      <c r="I11">
        <v>50.707841984385091</v>
      </c>
      <c r="J11">
        <v>144479</v>
      </c>
      <c r="K11">
        <v>140082</v>
      </c>
      <c r="L11">
        <v>-3.043348860388018E-2</v>
      </c>
      <c r="M11">
        <v>20304518996.060001</v>
      </c>
      <c r="N11">
        <v>19494386223.950001</v>
      </c>
      <c r="O11">
        <v>-3.989913635812814E-2</v>
      </c>
      <c r="P11">
        <v>1.51778534300295</v>
      </c>
      <c r="Q11" t="s">
        <v>41</v>
      </c>
      <c r="R11">
        <v>0.9536</v>
      </c>
      <c r="S11">
        <v>0</v>
      </c>
      <c r="T11">
        <v>1E-4</v>
      </c>
      <c r="U11">
        <v>0</v>
      </c>
      <c r="V11">
        <v>4.0500000000000001E-2</v>
      </c>
      <c r="W11">
        <v>0</v>
      </c>
      <c r="X11">
        <v>0</v>
      </c>
      <c r="Y11">
        <v>5.7999999999999996E-3</v>
      </c>
      <c r="Z11">
        <v>0</v>
      </c>
      <c r="AA11">
        <v>0</v>
      </c>
      <c r="AB11">
        <v>0</v>
      </c>
      <c r="AC11">
        <v>1</v>
      </c>
      <c r="AE11">
        <f>IF(ISNUMBER(INDEX($A$2:$AC$19,10,MATCH(Teknoloji!$E$2,$A$1:$AC$1,0))),INDEX($A$2:$AC$19,10,MATCH(Teknoloji!$E$2,$A$1:$AC$1,0)),-1000000000)-ROW()/10000000</f>
        <v>-1.0759686067952829</v>
      </c>
    </row>
    <row r="12" spans="1:31" x14ac:dyDescent="0.2">
      <c r="A12" t="s">
        <v>573</v>
      </c>
      <c r="B12" t="s">
        <v>574</v>
      </c>
      <c r="C12" t="s">
        <v>62</v>
      </c>
      <c r="D12">
        <v>1.95E-2</v>
      </c>
      <c r="E12">
        <v>-1.224622091050565</v>
      </c>
      <c r="F12">
        <v>-3.514964394329712</v>
      </c>
      <c r="G12">
        <v>0.1272410216425435</v>
      </c>
      <c r="H12">
        <v>39.763953871789553</v>
      </c>
      <c r="I12">
        <v>77.968606735090134</v>
      </c>
      <c r="J12">
        <v>1569</v>
      </c>
      <c r="K12">
        <v>1572</v>
      </c>
      <c r="L12">
        <v>1.912045889101321E-3</v>
      </c>
      <c r="M12">
        <v>128801666.88</v>
      </c>
      <c r="N12">
        <v>129665010.48</v>
      </c>
      <c r="O12">
        <v>6.7028915146289947E-3</v>
      </c>
      <c r="P12">
        <v>1.6435815996508509</v>
      </c>
      <c r="Q12" t="s">
        <v>41</v>
      </c>
      <c r="R12">
        <v>0.56399999999999995</v>
      </c>
      <c r="S12">
        <v>0.1618</v>
      </c>
      <c r="T12">
        <v>0</v>
      </c>
      <c r="U12">
        <v>0</v>
      </c>
      <c r="V12">
        <v>0</v>
      </c>
      <c r="W12">
        <v>0.25259999999999999</v>
      </c>
      <c r="X12">
        <v>0</v>
      </c>
      <c r="Y12">
        <v>2.1600000000000001E-2</v>
      </c>
      <c r="Z12">
        <v>0</v>
      </c>
      <c r="AA12">
        <v>0</v>
      </c>
      <c r="AB12">
        <v>0</v>
      </c>
      <c r="AC12">
        <v>0.99999999999999989</v>
      </c>
      <c r="AE12">
        <f>IF(ISNUMBER(INDEX($A$2:$AC$19,11,MATCH(Teknoloji!$E$2,$A$1:$AC$1,0))),INDEX($A$2:$AC$19,11,MATCH(Teknoloji!$E$2,$A$1:$AC$1,0)),-1000000000)-ROW()/10000000</f>
        <v>-1.224623291050565</v>
      </c>
    </row>
    <row r="13" spans="1:31" x14ac:dyDescent="0.2">
      <c r="A13" t="s">
        <v>575</v>
      </c>
      <c r="B13" t="s">
        <v>576</v>
      </c>
      <c r="C13" t="s">
        <v>50</v>
      </c>
      <c r="D13">
        <v>2.5000000000000001E-2</v>
      </c>
      <c r="E13">
        <v>-1.293333669355667</v>
      </c>
      <c r="F13">
        <v>-2.2919585498399009</v>
      </c>
      <c r="G13">
        <v>-0.44147359030202171</v>
      </c>
      <c r="H13">
        <v>13.644217395455231</v>
      </c>
      <c r="I13" t="s">
        <v>165</v>
      </c>
      <c r="J13">
        <v>1937</v>
      </c>
      <c r="K13">
        <v>1627</v>
      </c>
      <c r="L13">
        <v>-0.1600413009808983</v>
      </c>
      <c r="M13">
        <v>164782912.25999999</v>
      </c>
      <c r="N13">
        <v>150052992.40000001</v>
      </c>
      <c r="O13">
        <v>-8.9389850306557439E-2</v>
      </c>
      <c r="P13">
        <v>1.6157244050006581</v>
      </c>
      <c r="Q13" t="s">
        <v>41</v>
      </c>
      <c r="R13">
        <v>0.68110000000000004</v>
      </c>
      <c r="S13">
        <v>0</v>
      </c>
      <c r="T13">
        <v>0</v>
      </c>
      <c r="U13">
        <v>1E-4</v>
      </c>
      <c r="V13">
        <v>0</v>
      </c>
      <c r="W13">
        <v>0.30159999999999998</v>
      </c>
      <c r="X13">
        <v>0</v>
      </c>
      <c r="Y13">
        <v>1.72E-2</v>
      </c>
      <c r="Z13">
        <v>0</v>
      </c>
      <c r="AA13">
        <v>0</v>
      </c>
      <c r="AB13">
        <v>0</v>
      </c>
      <c r="AC13">
        <v>1</v>
      </c>
      <c r="AE13">
        <f>IF(ISNUMBER(INDEX($A$2:$AC$19,12,MATCH(Teknoloji!$E$2,$A$1:$AC$1,0))),INDEX($A$2:$AC$19,12,MATCH(Teknoloji!$E$2,$A$1:$AC$1,0)),-1000000000)-ROW()/10000000</f>
        <v>-1.2933349693556671</v>
      </c>
    </row>
    <row r="14" spans="1:31" x14ac:dyDescent="0.2">
      <c r="A14" t="s">
        <v>577</v>
      </c>
      <c r="B14" t="s">
        <v>578</v>
      </c>
      <c r="C14" t="s">
        <v>121</v>
      </c>
      <c r="D14">
        <v>2.835E-2</v>
      </c>
      <c r="E14">
        <v>-1.309237439191324</v>
      </c>
      <c r="F14">
        <v>-1.2509731564670279</v>
      </c>
      <c r="G14">
        <v>1.7598291603842851</v>
      </c>
      <c r="H14">
        <v>39.838952772882052</v>
      </c>
      <c r="I14">
        <v>69.691808780110037</v>
      </c>
      <c r="J14">
        <v>1342</v>
      </c>
      <c r="K14">
        <v>1331</v>
      </c>
      <c r="L14">
        <v>-8.1967213114754189E-3</v>
      </c>
      <c r="M14">
        <v>637062699.86000001</v>
      </c>
      <c r="N14">
        <v>684187575.24000001</v>
      </c>
      <c r="O14">
        <v>7.3972115131455851E-2</v>
      </c>
      <c r="P14">
        <v>1.5601430573102</v>
      </c>
      <c r="Q14" t="s">
        <v>41</v>
      </c>
      <c r="R14">
        <v>0</v>
      </c>
      <c r="S14">
        <v>0.7611</v>
      </c>
      <c r="T14">
        <v>0</v>
      </c>
      <c r="U14">
        <v>0</v>
      </c>
      <c r="V14">
        <v>0</v>
      </c>
      <c r="W14">
        <v>6.7699999999999996E-2</v>
      </c>
      <c r="X14">
        <v>0</v>
      </c>
      <c r="Y14">
        <v>0.17119999999999999</v>
      </c>
      <c r="Z14">
        <v>0</v>
      </c>
      <c r="AA14">
        <v>0</v>
      </c>
      <c r="AB14">
        <v>0</v>
      </c>
      <c r="AC14">
        <v>1</v>
      </c>
      <c r="AE14">
        <f>IF(ISNUMBER(INDEX($A$2:$AC$19,13,MATCH(Teknoloji!$E$2,$A$1:$AC$1,0))),INDEX($A$2:$AC$19,13,MATCH(Teknoloji!$E$2,$A$1:$AC$1,0)),-1000000000)-ROW()/10000000</f>
        <v>-1.3092388391913239</v>
      </c>
    </row>
    <row r="15" spans="1:31" x14ac:dyDescent="0.2">
      <c r="A15" t="s">
        <v>579</v>
      </c>
      <c r="B15" t="s">
        <v>580</v>
      </c>
      <c r="C15" t="s">
        <v>50</v>
      </c>
      <c r="D15">
        <v>2.5000000000000001E-2</v>
      </c>
      <c r="E15">
        <v>-1.7823745342913531</v>
      </c>
      <c r="F15">
        <v>-2.8714488558126638</v>
      </c>
      <c r="G15">
        <v>2.533403662587741</v>
      </c>
      <c r="H15">
        <v>49.821867453003009</v>
      </c>
      <c r="I15">
        <v>86.302255263518603</v>
      </c>
      <c r="J15">
        <v>1106</v>
      </c>
      <c r="K15">
        <v>1063</v>
      </c>
      <c r="L15">
        <v>-3.8878842676311032E-2</v>
      </c>
      <c r="M15">
        <v>174659317.24000001</v>
      </c>
      <c r="N15">
        <v>171171069.58000001</v>
      </c>
      <c r="O15">
        <v>-1.9971723897252991E-2</v>
      </c>
      <c r="P15">
        <v>1.821770437346486</v>
      </c>
      <c r="Q15" t="s">
        <v>41</v>
      </c>
      <c r="R15">
        <v>0.71279999999999999</v>
      </c>
      <c r="S15">
        <v>0</v>
      </c>
      <c r="T15">
        <v>0</v>
      </c>
      <c r="U15">
        <v>0</v>
      </c>
      <c r="V15">
        <v>0</v>
      </c>
      <c r="W15">
        <v>0.14660000000000001</v>
      </c>
      <c r="X15">
        <v>0</v>
      </c>
      <c r="Y15">
        <v>9.6099999999999991E-2</v>
      </c>
      <c r="Z15">
        <v>0</v>
      </c>
      <c r="AA15">
        <v>0</v>
      </c>
      <c r="AB15">
        <v>0</v>
      </c>
      <c r="AC15">
        <v>0.95550000000000002</v>
      </c>
      <c r="AE15">
        <f>IF(ISNUMBER(INDEX($A$2:$AC$19,14,MATCH(Teknoloji!$E$2,$A$1:$AC$1,0))),INDEX($A$2:$AC$19,14,MATCH(Teknoloji!$E$2,$A$1:$AC$1,0)),-1000000000)-ROW()/10000000</f>
        <v>-1.7823760342913531</v>
      </c>
    </row>
    <row r="16" spans="1:31" x14ac:dyDescent="0.2">
      <c r="A16" t="s">
        <v>581</v>
      </c>
      <c r="B16" t="s">
        <v>582</v>
      </c>
      <c r="C16" t="s">
        <v>59</v>
      </c>
      <c r="D16">
        <v>2.2499999999999999E-2</v>
      </c>
      <c r="E16">
        <v>-1.8384052551451371</v>
      </c>
      <c r="F16">
        <v>-3.6884919857466341</v>
      </c>
      <c r="G16">
        <v>-2.0092901885219621</v>
      </c>
      <c r="H16">
        <v>41.849978358479767</v>
      </c>
      <c r="I16" t="s">
        <v>165</v>
      </c>
      <c r="J16">
        <v>1993</v>
      </c>
      <c r="K16">
        <v>2042</v>
      </c>
      <c r="L16">
        <v>2.458605117912693E-2</v>
      </c>
      <c r="M16">
        <v>382100625.63999999</v>
      </c>
      <c r="N16">
        <v>419447225.36000001</v>
      </c>
      <c r="O16">
        <v>9.7740221328992405E-2</v>
      </c>
      <c r="P16">
        <v>2.316053669628547</v>
      </c>
      <c r="Q16" t="s">
        <v>41</v>
      </c>
      <c r="R16">
        <v>0.76829999999999998</v>
      </c>
      <c r="S16">
        <v>0</v>
      </c>
      <c r="T16">
        <v>0</v>
      </c>
      <c r="U16">
        <v>6.7000000000000002E-3</v>
      </c>
      <c r="V16">
        <v>0</v>
      </c>
      <c r="W16">
        <v>4.24E-2</v>
      </c>
      <c r="X16">
        <v>0</v>
      </c>
      <c r="Y16">
        <v>0.18260000000000001</v>
      </c>
      <c r="Z16">
        <v>0</v>
      </c>
      <c r="AA16">
        <v>0</v>
      </c>
      <c r="AB16">
        <v>0</v>
      </c>
      <c r="AC16">
        <v>1</v>
      </c>
      <c r="AE16">
        <f>IF(ISNUMBER(INDEX($A$2:$AC$19,15,MATCH(Teknoloji!$E$2,$A$1:$AC$1,0))),INDEX($A$2:$AC$19,15,MATCH(Teknoloji!$E$2,$A$1:$AC$1,0)),-1000000000)-ROW()/10000000</f>
        <v>-1.8384068551451371</v>
      </c>
    </row>
    <row r="17" spans="1:31" x14ac:dyDescent="0.2">
      <c r="A17" t="s">
        <v>583</v>
      </c>
      <c r="B17" t="s">
        <v>584</v>
      </c>
      <c r="C17" t="s">
        <v>82</v>
      </c>
      <c r="D17">
        <v>0.03</v>
      </c>
      <c r="E17">
        <v>-1.913634812137333</v>
      </c>
      <c r="F17">
        <v>-1.6465735692581029</v>
      </c>
      <c r="G17">
        <v>3.72641345720004</v>
      </c>
      <c r="H17">
        <v>41.783161490290333</v>
      </c>
      <c r="I17">
        <v>83.511062897844738</v>
      </c>
      <c r="J17">
        <v>38050</v>
      </c>
      <c r="K17">
        <v>38737</v>
      </c>
      <c r="L17">
        <v>1.8055190538764702E-2</v>
      </c>
      <c r="M17">
        <v>4238721092.3099999</v>
      </c>
      <c r="N17">
        <v>4669084051.6999998</v>
      </c>
      <c r="O17">
        <v>0.1015313227781784</v>
      </c>
      <c r="P17">
        <v>2.284442681529729</v>
      </c>
      <c r="Q17" t="s">
        <v>41</v>
      </c>
      <c r="R17">
        <v>0.95090000000000008</v>
      </c>
      <c r="S17">
        <v>0</v>
      </c>
      <c r="T17">
        <v>0</v>
      </c>
      <c r="U17">
        <v>2.0199999999999999E-2</v>
      </c>
      <c r="V17">
        <v>2.5700000000000001E-2</v>
      </c>
      <c r="W17">
        <v>0</v>
      </c>
      <c r="X17">
        <v>2.8999999999999998E-3</v>
      </c>
      <c r="Y17">
        <v>0</v>
      </c>
      <c r="Z17">
        <v>0</v>
      </c>
      <c r="AA17">
        <v>0</v>
      </c>
      <c r="AB17">
        <v>0</v>
      </c>
      <c r="AC17">
        <v>0.99970000000000003</v>
      </c>
      <c r="AE17">
        <f>IF(ISNUMBER(INDEX($A$2:$AC$19,16,MATCH(Teknoloji!$E$2,$A$1:$AC$1,0))),INDEX($A$2:$AC$19,16,MATCH(Teknoloji!$E$2,$A$1:$AC$1,0)),-1000000000)-ROW()/10000000</f>
        <v>-1.9136365121373331</v>
      </c>
    </row>
    <row r="18" spans="1:31" x14ac:dyDescent="0.2">
      <c r="A18" t="s">
        <v>585</v>
      </c>
      <c r="B18" t="s">
        <v>586</v>
      </c>
      <c r="C18" t="s">
        <v>100</v>
      </c>
      <c r="D18">
        <v>3.2485E-2</v>
      </c>
      <c r="E18">
        <v>-2.0096800943303461</v>
      </c>
      <c r="F18">
        <v>-1.561450673204567</v>
      </c>
      <c r="G18">
        <v>3.9630335896502671</v>
      </c>
      <c r="H18">
        <v>41.243537054386323</v>
      </c>
      <c r="I18">
        <v>85.552624955274112</v>
      </c>
      <c r="J18">
        <v>42690</v>
      </c>
      <c r="K18">
        <v>44075</v>
      </c>
      <c r="L18">
        <v>3.244319512766447E-2</v>
      </c>
      <c r="M18">
        <v>12750475715.42</v>
      </c>
      <c r="N18">
        <v>13402234674.120001</v>
      </c>
      <c r="O18">
        <v>5.1116442495693359E-2</v>
      </c>
      <c r="P18">
        <v>2.1427987082172222</v>
      </c>
      <c r="Q18" t="s">
        <v>41</v>
      </c>
      <c r="R18">
        <v>0.96689999999999998</v>
      </c>
      <c r="S18">
        <v>1.0200000000000001E-2</v>
      </c>
      <c r="T18">
        <v>0</v>
      </c>
      <c r="U18">
        <v>0</v>
      </c>
      <c r="V18">
        <v>0</v>
      </c>
      <c r="W18">
        <v>0</v>
      </c>
      <c r="X18">
        <v>0</v>
      </c>
      <c r="Y18">
        <v>1.95E-2</v>
      </c>
      <c r="Z18">
        <v>0</v>
      </c>
      <c r="AA18">
        <v>0</v>
      </c>
      <c r="AB18">
        <v>0</v>
      </c>
      <c r="AC18">
        <v>0.99659999999999993</v>
      </c>
      <c r="AE18">
        <f>IF(ISNUMBER(INDEX($A$2:$AC$19,17,MATCH(Teknoloji!$E$2,$A$1:$AC$1,0))),INDEX($A$2:$AC$19,17,MATCH(Teknoloji!$E$2,$A$1:$AC$1,0)),-1000000000)-ROW()/10000000</f>
        <v>-2.0096818943303463</v>
      </c>
    </row>
    <row r="19" spans="1:31" x14ac:dyDescent="0.2">
      <c r="A19" t="s">
        <v>587</v>
      </c>
      <c r="B19" t="s">
        <v>588</v>
      </c>
      <c r="C19" t="s">
        <v>50</v>
      </c>
      <c r="D19">
        <v>0.02</v>
      </c>
      <c r="E19">
        <v>-2.052823355948064</v>
      </c>
      <c r="F19">
        <v>-3.8362481866859199</v>
      </c>
      <c r="G19">
        <v>0.40485855800656001</v>
      </c>
      <c r="H19">
        <v>49.914610228093622</v>
      </c>
      <c r="I19" t="s">
        <v>165</v>
      </c>
      <c r="J19">
        <v>2145</v>
      </c>
      <c r="K19">
        <v>2130</v>
      </c>
      <c r="L19">
        <v>-6.9930069930069783E-3</v>
      </c>
      <c r="M19">
        <v>319639048.14999998</v>
      </c>
      <c r="N19">
        <v>286972440.01999998</v>
      </c>
      <c r="O19">
        <v>-0.1021984276297502</v>
      </c>
      <c r="P19">
        <v>1.8145836168501821</v>
      </c>
      <c r="Q19" t="s">
        <v>41</v>
      </c>
      <c r="R19">
        <v>0.73230000000000006</v>
      </c>
      <c r="S19">
        <v>0</v>
      </c>
      <c r="T19">
        <v>0</v>
      </c>
      <c r="U19">
        <v>0</v>
      </c>
      <c r="V19">
        <v>0</v>
      </c>
      <c r="W19">
        <v>0.20080000000000001</v>
      </c>
      <c r="X19">
        <v>0</v>
      </c>
      <c r="Y19">
        <v>4.9000000000000002E-2</v>
      </c>
      <c r="Z19">
        <v>0</v>
      </c>
      <c r="AA19">
        <v>0</v>
      </c>
      <c r="AB19">
        <v>1.7899999999999999E-2</v>
      </c>
      <c r="AC19">
        <v>1</v>
      </c>
      <c r="AE19">
        <f>IF(ISNUMBER(INDEX($A$2:$AC$19,18,MATCH(Teknoloji!$E$2,$A$1:$AC$1,0))),INDEX($A$2:$AC$19,18,MATCH(Teknoloji!$E$2,$A$1:$AC$1,0)),-1000000000)-ROW()/10000000</f>
        <v>-2.052825255948064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21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2" max="2" width="9" customWidth="1"/>
    <col min="3" max="3" width="68" customWidth="1"/>
    <col min="4" max="4" width="26" customWidth="1"/>
    <col min="5" max="30" width="13" customWidth="1"/>
  </cols>
  <sheetData>
    <row r="1" spans="1:30" x14ac:dyDescent="0.2">
      <c r="F1" s="6">
        <v>46216</v>
      </c>
      <c r="G1" s="6">
        <v>46210</v>
      </c>
      <c r="H1" s="6">
        <v>46185</v>
      </c>
      <c r="I1" s="6">
        <v>46022</v>
      </c>
      <c r="J1" s="6">
        <v>45852</v>
      </c>
    </row>
    <row r="2" spans="1:30" x14ac:dyDescent="0.2">
      <c r="B2" s="3" t="s">
        <v>75</v>
      </c>
      <c r="D2" s="7" t="s">
        <v>0</v>
      </c>
      <c r="E2" s="2" t="s">
        <v>13</v>
      </c>
    </row>
    <row r="3" spans="1:30" ht="48" x14ac:dyDescent="0.2">
      <c r="B3" s="4" t="s">
        <v>3</v>
      </c>
      <c r="C3" s="4" t="s">
        <v>552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6</v>
      </c>
      <c r="J3" s="4" t="s">
        <v>16</v>
      </c>
      <c r="K3" s="4" t="s">
        <v>17</v>
      </c>
      <c r="L3" s="4" t="s">
        <v>18</v>
      </c>
      <c r="M3" s="4" t="s">
        <v>19</v>
      </c>
      <c r="N3" s="4" t="s">
        <v>20</v>
      </c>
      <c r="O3" s="4" t="s">
        <v>21</v>
      </c>
      <c r="P3" s="4" t="s">
        <v>22</v>
      </c>
      <c r="Q3" s="4" t="s">
        <v>23</v>
      </c>
      <c r="R3" s="4" t="s">
        <v>24</v>
      </c>
      <c r="S3" s="4" t="s">
        <v>527</v>
      </c>
      <c r="T3" s="4" t="s">
        <v>528</v>
      </c>
      <c r="U3" s="4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4" t="s">
        <v>31</v>
      </c>
      <c r="AB3" s="4" t="s">
        <v>32</v>
      </c>
      <c r="AC3" s="4" t="s">
        <v>33</v>
      </c>
      <c r="AD3" s="4" t="s">
        <v>34</v>
      </c>
    </row>
    <row r="4" spans="1:30" x14ac:dyDescent="0.2">
      <c r="A4">
        <v>1</v>
      </c>
      <c r="B4" s="5" t="str">
        <f>INDEX(V_Teknoloji!A$2:A$19,MATCH(LARGE(V_Teknoloji!$AE$2:$AE$19,ROW()-3),V_Teknoloji!$AE$2:$AE$19,0))</f>
        <v>HTJ</v>
      </c>
      <c r="C4" s="5" t="str">
        <f>INDEX(V_Teknoloji!B$2:B$19,MATCH(LARGE(V_Teknoloji!$AE$2:$AE$19,ROW()-3),V_Teknoloji!$AE$2:$AE$19,0))</f>
        <v>Hedef Portföy Teknoloji Değişken Fon</v>
      </c>
      <c r="D4" s="5" t="str">
        <f>INDEX(V_Teknoloji!C$2:C$19,MATCH(LARGE(V_Teknoloji!$AE$2:$AE$19,ROW()-3),V_Teknoloji!$AE$2:$AE$19,0))</f>
        <v>Hedef Portföy</v>
      </c>
      <c r="E4" s="8">
        <f>INDEX(V_Teknoloji!D$2:D$19,MATCH(LARGE(V_Teknoloji!$AE$2:$AE$19,ROW()-3),V_Teknoloji!$AE$2:$AE$19,0))</f>
        <v>2.9499999999999998E-2</v>
      </c>
      <c r="F4" s="9">
        <f>INDEX(V_Teknoloji!E$2:E$19,MATCH(LARGE(V_Teknoloji!$AE$2:$AE$19,ROW()-3),V_Teknoloji!$AE$2:$AE$19,0))</f>
        <v>-7.5983624181819032E-3</v>
      </c>
      <c r="G4" s="9">
        <f>INDEX(V_Teknoloji!F$2:F$19,MATCH(LARGE(V_Teknoloji!$AE$2:$AE$19,ROW()-3),V_Teknoloji!$AE$2:$AE$19,0))</f>
        <v>0.13178060310401471</v>
      </c>
      <c r="H4" s="9">
        <f>INDEX(V_Teknoloji!G$2:G$19,MATCH(LARGE(V_Teknoloji!$AE$2:$AE$19,ROW()-3),V_Teknoloji!$AE$2:$AE$19,0))</f>
        <v>4.3794992206085626</v>
      </c>
      <c r="I4" s="9">
        <f>INDEX(V_Teknoloji!H$2:H$19,MATCH(LARGE(V_Teknoloji!$AE$2:$AE$19,ROW()-3),V_Teknoloji!$AE$2:$AE$19,0))</f>
        <v>22.977294372538239</v>
      </c>
      <c r="J4" s="9">
        <f>INDEX(V_Teknoloji!I$2:I$19,MATCH(LARGE(V_Teknoloji!$AE$2:$AE$19,ROW()-3),V_Teknoloji!$AE$2:$AE$19,0))</f>
        <v>46.129178079386847</v>
      </c>
      <c r="K4" s="10">
        <f>INDEX(V_Teknoloji!J$2:J$19,MATCH(LARGE(V_Teknoloji!$AE$2:$AE$19,ROW()-3),V_Teknoloji!$AE$2:$AE$19,0))</f>
        <v>263</v>
      </c>
      <c r="L4" s="10">
        <f>INDEX(V_Teknoloji!K$2:K$19,MATCH(LARGE(V_Teknoloji!$AE$2:$AE$19,ROW()-3),V_Teknoloji!$AE$2:$AE$19,0))</f>
        <v>219</v>
      </c>
      <c r="M4" s="8">
        <f>INDEX(V_Teknoloji!L$2:L$19,MATCH(LARGE(V_Teknoloji!$AE$2:$AE$19,ROW()-3),V_Teknoloji!$AE$2:$AE$19,0))</f>
        <v>-0.1673003802281369</v>
      </c>
      <c r="N4" s="11">
        <f>INDEX(V_Teknoloji!M$2:M$19,MATCH(LARGE(V_Teknoloji!$AE$2:$AE$19,ROW()-3),V_Teknoloji!$AE$2:$AE$19,0))</f>
        <v>14204070.289999999</v>
      </c>
      <c r="O4" s="11">
        <f>INDEX(V_Teknoloji!N$2:N$19,MATCH(LARGE(V_Teknoloji!$AE$2:$AE$19,ROW()-3),V_Teknoloji!$AE$2:$AE$19,0))</f>
        <v>22114481.579999998</v>
      </c>
      <c r="P4" s="8">
        <f>INDEX(V_Teknoloji!O$2:O$19,MATCH(LARGE(V_Teknoloji!$AE$2:$AE$19,ROW()-3),V_Teknoloji!$AE$2:$AE$19,0))</f>
        <v>0.55691158439064581</v>
      </c>
      <c r="Q4" s="9">
        <f>INDEX(V_Teknoloji!P$2:P$19,MATCH(LARGE(V_Teknoloji!$AE$2:$AE$19,ROW()-3),V_Teknoloji!$AE$2:$AE$19,0))</f>
        <v>1.1079624681315949</v>
      </c>
      <c r="R4" s="5" t="str">
        <f>INDEX(V_Teknoloji!Q$2:Q$19,MATCH(LARGE(V_Teknoloji!$AE$2:$AE$19,ROW()-3),V_Teknoloji!$AE$2:$AE$19,0))</f>
        <v>Görüyor</v>
      </c>
      <c r="S4" s="8">
        <f>INDEX(V_Teknoloji!R$2:R$19,MATCH(LARGE(V_Teknoloji!$AE$2:$AE$19,ROW()-3),V_Teknoloji!$AE$2:$AE$19,0))</f>
        <v>0.60599999999999998</v>
      </c>
      <c r="T4" s="8">
        <f>INDEX(V_Teknoloji!S$2:S$19,MATCH(LARGE(V_Teknoloji!$AE$2:$AE$19,ROW()-3),V_Teknoloji!$AE$2:$AE$19,0))</f>
        <v>1.3599999999999999E-2</v>
      </c>
      <c r="U4" s="8">
        <f>INDEX(V_Teknoloji!T$2:T$19,MATCH(LARGE(V_Teknoloji!$AE$2:$AE$19,ROW()-3),V_Teknoloji!$AE$2:$AE$19,0))</f>
        <v>0</v>
      </c>
      <c r="V4" s="8">
        <f>INDEX(V_Teknoloji!U$2:U$19,MATCH(LARGE(V_Teknoloji!$AE$2:$AE$19,ROW()-3),V_Teknoloji!$AE$2:$AE$19,0))</f>
        <v>8.5099999999999995E-2</v>
      </c>
      <c r="W4" s="8">
        <f>INDEX(V_Teknoloji!V$2:V$19,MATCH(LARGE(V_Teknoloji!$AE$2:$AE$19,ROW()-3),V_Teknoloji!$AE$2:$AE$19,0))</f>
        <v>0</v>
      </c>
      <c r="X4" s="8">
        <f>INDEX(V_Teknoloji!W$2:W$19,MATCH(LARGE(V_Teknoloji!$AE$2:$AE$19,ROW()-3),V_Teknoloji!$AE$2:$AE$19,0))</f>
        <v>0.2354</v>
      </c>
      <c r="Y4" s="8">
        <f>INDEX(V_Teknoloji!X$2:X$19,MATCH(LARGE(V_Teknoloji!$AE$2:$AE$19,ROW()-3),V_Teknoloji!$AE$2:$AE$19,0))</f>
        <v>0</v>
      </c>
      <c r="Z4" s="8">
        <f>INDEX(V_Teknoloji!Y$2:Y$19,MATCH(LARGE(V_Teknoloji!$AE$2:$AE$19,ROW()-3),V_Teknoloji!$AE$2:$AE$19,0))</f>
        <v>5.9900000000000002E-2</v>
      </c>
      <c r="AA4" s="8">
        <f>INDEX(V_Teknoloji!Z$2:Z$19,MATCH(LARGE(V_Teknoloji!$AE$2:$AE$19,ROW()-3),V_Teknoloji!$AE$2:$AE$19,0))</f>
        <v>0</v>
      </c>
      <c r="AB4" s="8">
        <f>INDEX(V_Teknoloji!AA$2:AA$19,MATCH(LARGE(V_Teknoloji!$AE$2:$AE$19,ROW()-3),V_Teknoloji!$AE$2:$AE$19,0))</f>
        <v>0</v>
      </c>
      <c r="AC4" s="8">
        <f>INDEX(V_Teknoloji!AB$2:AB$19,MATCH(LARGE(V_Teknoloji!$AE$2:$AE$19,ROW()-3),V_Teknoloji!$AE$2:$AE$19,0))</f>
        <v>0</v>
      </c>
      <c r="AD4" s="8">
        <f>INDEX(V_Teknoloji!AC$2:AC$19,MATCH(LARGE(V_Teknoloji!$AE$2:$AE$19,ROW()-3),V_Teknoloji!$AE$2:$AE$19,0))</f>
        <v>1</v>
      </c>
    </row>
    <row r="5" spans="1:30" x14ac:dyDescent="0.2">
      <c r="A5">
        <v>2</v>
      </c>
      <c r="B5" s="5" t="str">
        <f>INDEX(V_Teknoloji!A$2:A$19,MATCH(LARGE(V_Teknoloji!$AE$2:$AE$19,ROW()-3),V_Teknoloji!$AE$2:$AE$19,0))</f>
        <v>KTJ</v>
      </c>
      <c r="C5" s="5" t="str">
        <f>INDEX(V_Teknoloji!B$2:B$19,MATCH(LARGE(V_Teknoloji!$AE$2:$AE$19,ROW()-3),V_Teknoloji!$AE$2:$AE$19,0))</f>
        <v>Kuveyt Türk Portföy Teknoloji Katılım Fonu</v>
      </c>
      <c r="D5" s="5" t="str">
        <f>INDEX(V_Teknoloji!C$2:C$19,MATCH(LARGE(V_Teknoloji!$AE$2:$AE$19,ROW()-3),V_Teknoloji!$AE$2:$AE$19,0))</f>
        <v>Kuveyt Türk Portföy</v>
      </c>
      <c r="E5" s="8">
        <f>INDEX(V_Teknoloji!D$2:D$19,MATCH(LARGE(V_Teknoloji!$AE$2:$AE$19,ROW()-3),V_Teknoloji!$AE$2:$AE$19,0))</f>
        <v>2.4E-2</v>
      </c>
      <c r="F5" s="9">
        <f>INDEX(V_Teknoloji!E$2:E$19,MATCH(LARGE(V_Teknoloji!$AE$2:$AE$19,ROW()-3),V_Teknoloji!$AE$2:$AE$19,0))</f>
        <v>-0.21799509550213261</v>
      </c>
      <c r="G5" s="9">
        <f>INDEX(V_Teknoloji!F$2:F$19,MATCH(LARGE(V_Teknoloji!$AE$2:$AE$19,ROW()-3),V_Teknoloji!$AE$2:$AE$19,0))</f>
        <v>-2.6630587452918242</v>
      </c>
      <c r="H5" s="9">
        <f>INDEX(V_Teknoloji!G$2:G$19,MATCH(LARGE(V_Teknoloji!$AE$2:$AE$19,ROW()-3),V_Teknoloji!$AE$2:$AE$19,0))</f>
        <v>4.4908567982177239</v>
      </c>
      <c r="I5" s="9">
        <f>INDEX(V_Teknoloji!H$2:H$19,MATCH(LARGE(V_Teknoloji!$AE$2:$AE$19,ROW()-3),V_Teknoloji!$AE$2:$AE$19,0))</f>
        <v>45.326315393038698</v>
      </c>
      <c r="J5" s="9">
        <f>INDEX(V_Teknoloji!I$2:I$19,MATCH(LARGE(V_Teknoloji!$AE$2:$AE$19,ROW()-3),V_Teknoloji!$AE$2:$AE$19,0))</f>
        <v>70.967183236161887</v>
      </c>
      <c r="K5" s="10">
        <f>INDEX(V_Teknoloji!J$2:J$19,MATCH(LARGE(V_Teknoloji!$AE$2:$AE$19,ROW()-3),V_Teknoloji!$AE$2:$AE$19,0))</f>
        <v>16348</v>
      </c>
      <c r="L5" s="10">
        <f>INDEX(V_Teknoloji!K$2:K$19,MATCH(LARGE(V_Teknoloji!$AE$2:$AE$19,ROW()-3),V_Teknoloji!$AE$2:$AE$19,0))</f>
        <v>18667</v>
      </c>
      <c r="M5" s="8">
        <f>INDEX(V_Teknoloji!L$2:L$19,MATCH(LARGE(V_Teknoloji!$AE$2:$AE$19,ROW()-3),V_Teknoloji!$AE$2:$AE$19,0))</f>
        <v>0.14185221433814529</v>
      </c>
      <c r="N5" s="11">
        <f>INDEX(V_Teknoloji!M$2:M$19,MATCH(LARGE(V_Teknoloji!$AE$2:$AE$19,ROW()-3),V_Teknoloji!$AE$2:$AE$19,0))</f>
        <v>1278297564.0999999</v>
      </c>
      <c r="O5" s="11">
        <f>INDEX(V_Teknoloji!N$2:N$19,MATCH(LARGE(V_Teknoloji!$AE$2:$AE$19,ROW()-3),V_Teknoloji!$AE$2:$AE$19,0))</f>
        <v>1626199317.3399999</v>
      </c>
      <c r="P5" s="8">
        <f>INDEX(V_Teknoloji!O$2:O$19,MATCH(LARGE(V_Teknoloji!$AE$2:$AE$19,ROW()-3),V_Teknoloji!$AE$2:$AE$19,0))</f>
        <v>0.27216022545184471</v>
      </c>
      <c r="Q5" s="9">
        <f>INDEX(V_Teknoloji!P$2:P$19,MATCH(LARGE(V_Teknoloji!$AE$2:$AE$19,ROW()-3),V_Teknoloji!$AE$2:$AE$19,0))</f>
        <v>2.0357857372455901</v>
      </c>
      <c r="R5" s="5" t="str">
        <f>INDEX(V_Teknoloji!Q$2:Q$19,MATCH(LARGE(V_Teknoloji!$AE$2:$AE$19,ROW()-3),V_Teknoloji!$AE$2:$AE$19,0))</f>
        <v>Görüyor</v>
      </c>
      <c r="S5" s="8">
        <f>INDEX(V_Teknoloji!R$2:R$19,MATCH(LARGE(V_Teknoloji!$AE$2:$AE$19,ROW()-3),V_Teknoloji!$AE$2:$AE$19,0))</f>
        <v>0.74750000000000005</v>
      </c>
      <c r="T5" s="8">
        <f>INDEX(V_Teknoloji!S$2:S$19,MATCH(LARGE(V_Teknoloji!$AE$2:$AE$19,ROW()-3),V_Teknoloji!$AE$2:$AE$19,0))</f>
        <v>0</v>
      </c>
      <c r="U5" s="8">
        <f>INDEX(V_Teknoloji!T$2:T$19,MATCH(LARGE(V_Teknoloji!$AE$2:$AE$19,ROW()-3),V_Teknoloji!$AE$2:$AE$19,0))</f>
        <v>0</v>
      </c>
      <c r="V5" s="8">
        <f>INDEX(V_Teknoloji!U$2:U$19,MATCH(LARGE(V_Teknoloji!$AE$2:$AE$19,ROW()-3),V_Teknoloji!$AE$2:$AE$19,0))</f>
        <v>0</v>
      </c>
      <c r="W5" s="8">
        <f>INDEX(V_Teknoloji!V$2:V$19,MATCH(LARGE(V_Teknoloji!$AE$2:$AE$19,ROW()-3),V_Teknoloji!$AE$2:$AE$19,0))</f>
        <v>0</v>
      </c>
      <c r="X5" s="8">
        <f>INDEX(V_Teknoloji!W$2:W$19,MATCH(LARGE(V_Teknoloji!$AE$2:$AE$19,ROW()-3),V_Teknoloji!$AE$2:$AE$19,0))</f>
        <v>9.5899999999999999E-2</v>
      </c>
      <c r="Y5" s="8">
        <f>INDEX(V_Teknoloji!X$2:X$19,MATCH(LARGE(V_Teknoloji!$AE$2:$AE$19,ROW()-3),V_Teknoloji!$AE$2:$AE$19,0))</f>
        <v>0</v>
      </c>
      <c r="Z5" s="8">
        <f>INDEX(V_Teknoloji!Y$2:Y$19,MATCH(LARGE(V_Teknoloji!$AE$2:$AE$19,ROW()-3),V_Teknoloji!$AE$2:$AE$19,0))</f>
        <v>4.1700000000000001E-2</v>
      </c>
      <c r="AA5" s="8">
        <f>INDEX(V_Teknoloji!Z$2:Z$19,MATCH(LARGE(V_Teknoloji!$AE$2:$AE$19,ROW()-3),V_Teknoloji!$AE$2:$AE$19,0))</f>
        <v>0</v>
      </c>
      <c r="AB5" s="8">
        <f>INDEX(V_Teknoloji!AA$2:AA$19,MATCH(LARGE(V_Teknoloji!$AE$2:$AE$19,ROW()-3),V_Teknoloji!$AE$2:$AE$19,0))</f>
        <v>0</v>
      </c>
      <c r="AC5" s="8">
        <f>INDEX(V_Teknoloji!AB$2:AB$19,MATCH(LARGE(V_Teknoloji!$AE$2:$AE$19,ROW()-3),V_Teknoloji!$AE$2:$AE$19,0))</f>
        <v>0</v>
      </c>
      <c r="AD5" s="8">
        <f>INDEX(V_Teknoloji!AC$2:AC$19,MATCH(LARGE(V_Teknoloji!$AE$2:$AE$19,ROW()-3),V_Teknoloji!$AE$2:$AE$19,0))</f>
        <v>0.8851</v>
      </c>
    </row>
    <row r="6" spans="1:30" x14ac:dyDescent="0.2">
      <c r="A6">
        <v>3</v>
      </c>
      <c r="B6" s="5" t="str">
        <f>INDEX(V_Teknoloji!A$2:A$19,MATCH(LARGE(V_Teknoloji!$AE$2:$AE$19,ROW()-3),V_Teknoloji!$AE$2:$AE$19,0))</f>
        <v>FBZ</v>
      </c>
      <c r="C6" s="5" t="str">
        <f>INDEX(V_Teknoloji!B$2:B$19,MATCH(LARGE(V_Teknoloji!$AE$2:$AE$19,ROW()-3),V_Teknoloji!$AE$2:$AE$19,0))</f>
        <v>Fiba Portföy Teknoloji Serbest Fon</v>
      </c>
      <c r="D6" s="5" t="str">
        <f>INDEX(V_Teknoloji!C$2:C$19,MATCH(LARGE(V_Teknoloji!$AE$2:$AE$19,ROW()-3),V_Teknoloji!$AE$2:$AE$19,0))</f>
        <v>Fiba Portföy</v>
      </c>
      <c r="E6" s="8">
        <f>INDEX(V_Teknoloji!D$2:D$19,MATCH(LARGE(V_Teknoloji!$AE$2:$AE$19,ROW()-3),V_Teknoloji!$AE$2:$AE$19,0))</f>
        <v>2.5499999999999998E-2</v>
      </c>
      <c r="F6" s="9">
        <f>INDEX(V_Teknoloji!E$2:E$19,MATCH(LARGE(V_Teknoloji!$AE$2:$AE$19,ROW()-3),V_Teknoloji!$AE$2:$AE$19,0))</f>
        <v>-0.48379547046297772</v>
      </c>
      <c r="G6" s="9">
        <f>INDEX(V_Teknoloji!F$2:F$19,MATCH(LARGE(V_Teknoloji!$AE$2:$AE$19,ROW()-3),V_Teknoloji!$AE$2:$AE$19,0))</f>
        <v>-0.73235115257376249</v>
      </c>
      <c r="H6" s="9">
        <f>INDEX(V_Teknoloji!G$2:G$19,MATCH(LARGE(V_Teknoloji!$AE$2:$AE$19,ROW()-3),V_Teknoloji!$AE$2:$AE$19,0))</f>
        <v>2.3720517016378122</v>
      </c>
      <c r="I6" s="9">
        <f>INDEX(V_Teknoloji!H$2:H$19,MATCH(LARGE(V_Teknoloji!$AE$2:$AE$19,ROW()-3),V_Teknoloji!$AE$2:$AE$19,0))</f>
        <v>22.80112297810939</v>
      </c>
      <c r="J6" s="9">
        <f>INDEX(V_Teknoloji!I$2:I$19,MATCH(LARGE(V_Teknoloji!$AE$2:$AE$19,ROW()-3),V_Teknoloji!$AE$2:$AE$19,0))</f>
        <v>51.425974343832401</v>
      </c>
      <c r="K6" s="10">
        <f>INDEX(V_Teknoloji!J$2:J$19,MATCH(LARGE(V_Teknoloji!$AE$2:$AE$19,ROW()-3),V_Teknoloji!$AE$2:$AE$19,0))</f>
        <v>448</v>
      </c>
      <c r="L6" s="10">
        <f>INDEX(V_Teknoloji!K$2:K$19,MATCH(LARGE(V_Teknoloji!$AE$2:$AE$19,ROW()-3),V_Teknoloji!$AE$2:$AE$19,0))</f>
        <v>401</v>
      </c>
      <c r="M6" s="8">
        <f>INDEX(V_Teknoloji!L$2:L$19,MATCH(LARGE(V_Teknoloji!$AE$2:$AE$19,ROW()-3),V_Teknoloji!$AE$2:$AE$19,0))</f>
        <v>-0.1049107142857143</v>
      </c>
      <c r="N6" s="11">
        <f>INDEX(V_Teknoloji!M$2:M$19,MATCH(LARGE(V_Teknoloji!$AE$2:$AE$19,ROW()-3),V_Teknoloji!$AE$2:$AE$19,0))</f>
        <v>400271028.85000002</v>
      </c>
      <c r="O6" s="11">
        <f>INDEX(V_Teknoloji!N$2:N$19,MATCH(LARGE(V_Teknoloji!$AE$2:$AE$19,ROW()-3),V_Teknoloji!$AE$2:$AE$19,0))</f>
        <v>265347290.43000001</v>
      </c>
      <c r="P6" s="8">
        <f>INDEX(V_Teknoloji!O$2:O$19,MATCH(LARGE(V_Teknoloji!$AE$2:$AE$19,ROW()-3),V_Teknoloji!$AE$2:$AE$19,0))</f>
        <v>-0.33708094939482158</v>
      </c>
      <c r="Q6" s="9">
        <f>INDEX(V_Teknoloji!P$2:P$19,MATCH(LARGE(V_Teknoloji!$AE$2:$AE$19,ROW()-3),V_Teknoloji!$AE$2:$AE$19,0))</f>
        <v>1.132426545965703</v>
      </c>
      <c r="R6" s="5" t="str">
        <f>INDEX(V_Teknoloji!Q$2:Q$19,MATCH(LARGE(V_Teknoloji!$AE$2:$AE$19,ROW()-3),V_Teknoloji!$AE$2:$AE$19,0))</f>
        <v>Görüyor</v>
      </c>
      <c r="S6" s="8">
        <f>INDEX(V_Teknoloji!R$2:R$19,MATCH(LARGE(V_Teknoloji!$AE$2:$AE$19,ROW()-3),V_Teknoloji!$AE$2:$AE$19,0))</f>
        <v>0.70900000000000007</v>
      </c>
      <c r="T6" s="8">
        <f>INDEX(V_Teknoloji!S$2:S$19,MATCH(LARGE(V_Teknoloji!$AE$2:$AE$19,ROW()-3),V_Teknoloji!$AE$2:$AE$19,0))</f>
        <v>0</v>
      </c>
      <c r="U6" s="8">
        <f>INDEX(V_Teknoloji!T$2:T$19,MATCH(LARGE(V_Teknoloji!$AE$2:$AE$19,ROW()-3),V_Teknoloji!$AE$2:$AE$19,0))</f>
        <v>1.24E-2</v>
      </c>
      <c r="V6" s="8">
        <f>INDEX(V_Teknoloji!U$2:U$19,MATCH(LARGE(V_Teknoloji!$AE$2:$AE$19,ROW()-3),V_Teknoloji!$AE$2:$AE$19,0))</f>
        <v>0</v>
      </c>
      <c r="W6" s="8">
        <f>INDEX(V_Teknoloji!V$2:V$19,MATCH(LARGE(V_Teknoloji!$AE$2:$AE$19,ROW()-3),V_Teknoloji!$AE$2:$AE$19,0))</f>
        <v>0</v>
      </c>
      <c r="X6" s="8">
        <f>INDEX(V_Teknoloji!W$2:W$19,MATCH(LARGE(V_Teknoloji!$AE$2:$AE$19,ROW()-3),V_Teknoloji!$AE$2:$AE$19,0))</f>
        <v>7.4999999999999997E-3</v>
      </c>
      <c r="Y6" s="8">
        <f>INDEX(V_Teknoloji!X$2:X$19,MATCH(LARGE(V_Teknoloji!$AE$2:$AE$19,ROW()-3),V_Teknoloji!$AE$2:$AE$19,0))</f>
        <v>5.1900000000000002E-2</v>
      </c>
      <c r="Z6" s="8">
        <f>INDEX(V_Teknoloji!Y$2:Y$19,MATCH(LARGE(V_Teknoloji!$AE$2:$AE$19,ROW()-3),V_Teknoloji!$AE$2:$AE$19,0))</f>
        <v>0.20949999999999999</v>
      </c>
      <c r="AA6" s="8">
        <f>INDEX(V_Teknoloji!Z$2:Z$19,MATCH(LARGE(V_Teknoloji!$AE$2:$AE$19,ROW()-3),V_Teknoloji!$AE$2:$AE$19,0))</f>
        <v>0</v>
      </c>
      <c r="AB6" s="8">
        <f>INDEX(V_Teknoloji!AA$2:AA$19,MATCH(LARGE(V_Teknoloji!$AE$2:$AE$19,ROW()-3),V_Teknoloji!$AE$2:$AE$19,0))</f>
        <v>0</v>
      </c>
      <c r="AC6" s="8">
        <f>INDEX(V_Teknoloji!AB$2:AB$19,MATCH(LARGE(V_Teknoloji!$AE$2:$AE$19,ROW()-3),V_Teknoloji!$AE$2:$AE$19,0))</f>
        <v>0</v>
      </c>
      <c r="AD6" s="8">
        <f>INDEX(V_Teknoloji!AC$2:AC$19,MATCH(LARGE(V_Teknoloji!$AE$2:$AE$19,ROW()-3),V_Teknoloji!$AE$2:$AE$19,0))</f>
        <v>0.99030000000000007</v>
      </c>
    </row>
    <row r="7" spans="1:30" x14ac:dyDescent="0.2">
      <c r="A7">
        <v>4</v>
      </c>
      <c r="B7" s="5" t="str">
        <f>INDEX(V_Teknoloji!A$2:A$19,MATCH(LARGE(V_Teknoloji!$AE$2:$AE$19,ROW()-3),V_Teknoloji!$AE$2:$AE$19,0))</f>
        <v>TFF</v>
      </c>
      <c r="C7" s="5" t="str">
        <f>INDEX(V_Teknoloji!B$2:B$19,MATCH(LARGE(V_Teknoloji!$AE$2:$AE$19,ROW()-3),V_Teknoloji!$AE$2:$AE$19,0))</f>
        <v>Teb Portföy Amerika Teknoloji Yabancı Byf Fon Sepeti Fonu</v>
      </c>
      <c r="D7" s="5" t="str">
        <f>INDEX(V_Teknoloji!C$2:C$19,MATCH(LARGE(V_Teknoloji!$AE$2:$AE$19,ROW()-3),V_Teknoloji!$AE$2:$AE$19,0))</f>
        <v>Teb Portföy</v>
      </c>
      <c r="E7" s="8">
        <f>INDEX(V_Teknoloji!D$2:D$19,MATCH(LARGE(V_Teknoloji!$AE$2:$AE$19,ROW()-3),V_Teknoloji!$AE$2:$AE$19,0))</f>
        <v>2.1000000000000001E-2</v>
      </c>
      <c r="F7" s="9">
        <f>INDEX(V_Teknoloji!E$2:E$19,MATCH(LARGE(V_Teknoloji!$AE$2:$AE$19,ROW()-3),V_Teknoloji!$AE$2:$AE$19,0))</f>
        <v>-0.59574506213061484</v>
      </c>
      <c r="G7" s="9">
        <f>INDEX(V_Teknoloji!F$2:F$19,MATCH(LARGE(V_Teknoloji!$AE$2:$AE$19,ROW()-3),V_Teknoloji!$AE$2:$AE$19,0))</f>
        <v>-0.33867768832693818</v>
      </c>
      <c r="H7" s="9">
        <f>INDEX(V_Teknoloji!G$2:G$19,MATCH(LARGE(V_Teknoloji!$AE$2:$AE$19,ROW()-3),V_Teknoloji!$AE$2:$AE$19,0))</f>
        <v>4.5734052110245393</v>
      </c>
      <c r="I7" s="9">
        <f>INDEX(V_Teknoloji!H$2:H$19,MATCH(LARGE(V_Teknoloji!$AE$2:$AE$19,ROW()-3),V_Teknoloji!$AE$2:$AE$19,0))</f>
        <v>31.599895174095138</v>
      </c>
      <c r="J7" s="9">
        <f>INDEX(V_Teknoloji!I$2:I$19,MATCH(LARGE(V_Teknoloji!$AE$2:$AE$19,ROW()-3),V_Teknoloji!$AE$2:$AE$19,0))</f>
        <v>52.438422170712109</v>
      </c>
      <c r="K7" s="10">
        <f>INDEX(V_Teknoloji!J$2:J$19,MATCH(LARGE(V_Teknoloji!$AE$2:$AE$19,ROW()-3),V_Teknoloji!$AE$2:$AE$19,0))</f>
        <v>9161</v>
      </c>
      <c r="L7" s="10">
        <f>INDEX(V_Teknoloji!K$2:K$19,MATCH(LARGE(V_Teknoloji!$AE$2:$AE$19,ROW()-3),V_Teknoloji!$AE$2:$AE$19,0))</f>
        <v>8935</v>
      </c>
      <c r="M7" s="8">
        <f>INDEX(V_Teknoloji!L$2:L$19,MATCH(LARGE(V_Teknoloji!$AE$2:$AE$19,ROW()-3),V_Teknoloji!$AE$2:$AE$19,0))</f>
        <v>-2.4669795873812909E-2</v>
      </c>
      <c r="N7" s="11">
        <f>INDEX(V_Teknoloji!M$2:M$19,MATCH(LARGE(V_Teknoloji!$AE$2:$AE$19,ROW()-3),V_Teknoloji!$AE$2:$AE$19,0))</f>
        <v>1310745574.8099999</v>
      </c>
      <c r="O7" s="11">
        <f>INDEX(V_Teknoloji!N$2:N$19,MATCH(LARGE(V_Teknoloji!$AE$2:$AE$19,ROW()-3),V_Teknoloji!$AE$2:$AE$19,0))</f>
        <v>1393846016.02</v>
      </c>
      <c r="P7" s="8">
        <f>INDEX(V_Teknoloji!O$2:O$19,MATCH(LARGE(V_Teknoloji!$AE$2:$AE$19,ROW()-3),V_Teknoloji!$AE$2:$AE$19,0))</f>
        <v>6.3399368120732325E-2</v>
      </c>
      <c r="Q7" s="9">
        <f>INDEX(V_Teknoloji!P$2:P$19,MATCH(LARGE(V_Teknoloji!$AE$2:$AE$19,ROW()-3),V_Teknoloji!$AE$2:$AE$19,0))</f>
        <v>1.683754895893564</v>
      </c>
      <c r="R7" s="5" t="str">
        <f>INDEX(V_Teknoloji!Q$2:Q$19,MATCH(LARGE(V_Teknoloji!$AE$2:$AE$19,ROW()-3),V_Teknoloji!$AE$2:$AE$19,0))</f>
        <v>Görüyor</v>
      </c>
      <c r="S7" s="8">
        <f>INDEX(V_Teknoloji!R$2:R$19,MATCH(LARGE(V_Teknoloji!$AE$2:$AE$19,ROW()-3),V_Teknoloji!$AE$2:$AE$19,0))</f>
        <v>0</v>
      </c>
      <c r="T7" s="8">
        <f>INDEX(V_Teknoloji!S$2:S$19,MATCH(LARGE(V_Teknoloji!$AE$2:$AE$19,ROW()-3),V_Teknoloji!$AE$2:$AE$19,0))</f>
        <v>0.9677</v>
      </c>
      <c r="U7" s="8">
        <f>INDEX(V_Teknoloji!T$2:T$19,MATCH(LARGE(V_Teknoloji!$AE$2:$AE$19,ROW()-3),V_Teknoloji!$AE$2:$AE$19,0))</f>
        <v>2.7199999999999998E-2</v>
      </c>
      <c r="V7" s="8">
        <f>INDEX(V_Teknoloji!U$2:U$19,MATCH(LARGE(V_Teknoloji!$AE$2:$AE$19,ROW()-3),V_Teknoloji!$AE$2:$AE$19,0))</f>
        <v>0</v>
      </c>
      <c r="W7" s="8">
        <f>INDEX(V_Teknoloji!V$2:V$19,MATCH(LARGE(V_Teknoloji!$AE$2:$AE$19,ROW()-3),V_Teknoloji!$AE$2:$AE$19,0))</f>
        <v>0</v>
      </c>
      <c r="X7" s="8">
        <f>INDEX(V_Teknoloji!W$2:W$19,MATCH(LARGE(V_Teknoloji!$AE$2:$AE$19,ROW()-3),V_Teknoloji!$AE$2:$AE$19,0))</f>
        <v>0</v>
      </c>
      <c r="Y7" s="8">
        <f>INDEX(V_Teknoloji!X$2:X$19,MATCH(LARGE(V_Teknoloji!$AE$2:$AE$19,ROW()-3),V_Teknoloji!$AE$2:$AE$19,0))</f>
        <v>5.1000000000000004E-3</v>
      </c>
      <c r="Z7" s="8">
        <f>INDEX(V_Teknoloji!Y$2:Y$19,MATCH(LARGE(V_Teknoloji!$AE$2:$AE$19,ROW()-3),V_Teknoloji!$AE$2:$AE$19,0))</f>
        <v>0</v>
      </c>
      <c r="AA7" s="8">
        <f>INDEX(V_Teknoloji!Z$2:Z$19,MATCH(LARGE(V_Teknoloji!$AE$2:$AE$19,ROW()-3),V_Teknoloji!$AE$2:$AE$19,0))</f>
        <v>0</v>
      </c>
      <c r="AB7" s="8">
        <f>INDEX(V_Teknoloji!AA$2:AA$19,MATCH(LARGE(V_Teknoloji!$AE$2:$AE$19,ROW()-3),V_Teknoloji!$AE$2:$AE$19,0))</f>
        <v>0</v>
      </c>
      <c r="AC7" s="8">
        <f>INDEX(V_Teknoloji!AB$2:AB$19,MATCH(LARGE(V_Teknoloji!$AE$2:$AE$19,ROW()-3),V_Teknoloji!$AE$2:$AE$19,0))</f>
        <v>0</v>
      </c>
      <c r="AD7" s="8">
        <f>INDEX(V_Teknoloji!AC$2:AC$19,MATCH(LARGE(V_Teknoloji!$AE$2:$AE$19,ROW()-3),V_Teknoloji!$AE$2:$AE$19,0))</f>
        <v>1</v>
      </c>
    </row>
    <row r="8" spans="1:30" x14ac:dyDescent="0.2">
      <c r="A8">
        <v>5</v>
      </c>
      <c r="B8" s="5" t="str">
        <f>INDEX(V_Teknoloji!A$2:A$19,MATCH(LARGE(V_Teknoloji!$AE$2:$AE$19,ROW()-3),V_Teknoloji!$AE$2:$AE$19,0))</f>
        <v>ITP</v>
      </c>
      <c r="C8" s="5" t="str">
        <f>INDEX(V_Teknoloji!B$2:B$19,MATCH(LARGE(V_Teknoloji!$AE$2:$AE$19,ROW()-3),V_Teknoloji!$AE$2:$AE$19,0))</f>
        <v>İŞ Portföy Teknoloji Karma Fon</v>
      </c>
      <c r="D8" s="5" t="str">
        <f>INDEX(V_Teknoloji!C$2:C$19,MATCH(LARGE(V_Teknoloji!$AE$2:$AE$19,ROW()-3),V_Teknoloji!$AE$2:$AE$19,0))</f>
        <v>İŞ Portföy</v>
      </c>
      <c r="E8" s="8">
        <f>INDEX(V_Teknoloji!D$2:D$19,MATCH(LARGE(V_Teknoloji!$AE$2:$AE$19,ROW()-3),V_Teknoloji!$AE$2:$AE$19,0))</f>
        <v>2.75E-2</v>
      </c>
      <c r="F8" s="9">
        <f>INDEX(V_Teknoloji!E$2:E$19,MATCH(LARGE(V_Teknoloji!$AE$2:$AE$19,ROW()-3),V_Teknoloji!$AE$2:$AE$19,0))</f>
        <v>-0.68868045458834182</v>
      </c>
      <c r="G8" s="9">
        <f>INDEX(V_Teknoloji!F$2:F$19,MATCH(LARGE(V_Teknoloji!$AE$2:$AE$19,ROW()-3),V_Teknoloji!$AE$2:$AE$19,0))</f>
        <v>-0.77769752870608944</v>
      </c>
      <c r="H8" s="9">
        <f>INDEX(V_Teknoloji!G$2:G$19,MATCH(LARGE(V_Teknoloji!$AE$2:$AE$19,ROW()-3),V_Teknoloji!$AE$2:$AE$19,0))</f>
        <v>3.4796225192001979</v>
      </c>
      <c r="I8" s="9">
        <f>INDEX(V_Teknoloji!H$2:H$19,MATCH(LARGE(V_Teknoloji!$AE$2:$AE$19,ROW()-3),V_Teknoloji!$AE$2:$AE$19,0))</f>
        <v>28.799948214892339</v>
      </c>
      <c r="J8" s="9">
        <f>INDEX(V_Teknoloji!I$2:I$19,MATCH(LARGE(V_Teknoloji!$AE$2:$AE$19,ROW()-3),V_Teknoloji!$AE$2:$AE$19,0))</f>
        <v>53.854241900810472</v>
      </c>
      <c r="K8" s="10">
        <f>INDEX(V_Teknoloji!J$2:J$19,MATCH(LARGE(V_Teknoloji!$AE$2:$AE$19,ROW()-3),V_Teknoloji!$AE$2:$AE$19,0))</f>
        <v>11637</v>
      </c>
      <c r="L8" s="10">
        <f>INDEX(V_Teknoloji!K$2:K$19,MATCH(LARGE(V_Teknoloji!$AE$2:$AE$19,ROW()-3),V_Teknoloji!$AE$2:$AE$19,0))</f>
        <v>11507</v>
      </c>
      <c r="M8" s="8">
        <f>INDEX(V_Teknoloji!L$2:L$19,MATCH(LARGE(V_Teknoloji!$AE$2:$AE$19,ROW()-3),V_Teknoloji!$AE$2:$AE$19,0))</f>
        <v>-1.1171264071496051E-2</v>
      </c>
      <c r="N8" s="11">
        <f>INDEX(V_Teknoloji!M$2:M$19,MATCH(LARGE(V_Teknoloji!$AE$2:$AE$19,ROW()-3),V_Teknoloji!$AE$2:$AE$19,0))</f>
        <v>1008664906.73</v>
      </c>
      <c r="O8" s="11">
        <f>INDEX(V_Teknoloji!N$2:N$19,MATCH(LARGE(V_Teknoloji!$AE$2:$AE$19,ROW()-3),V_Teknoloji!$AE$2:$AE$19,0))</f>
        <v>1028324854.14</v>
      </c>
      <c r="P8" s="8">
        <f>INDEX(V_Teknoloji!O$2:O$19,MATCH(LARGE(V_Teknoloji!$AE$2:$AE$19,ROW()-3),V_Teknoloji!$AE$2:$AE$19,0))</f>
        <v>1.9491059199963301E-2</v>
      </c>
      <c r="Q8" s="9">
        <f>INDEX(V_Teknoloji!P$2:P$19,MATCH(LARGE(V_Teknoloji!$AE$2:$AE$19,ROW()-3),V_Teknoloji!$AE$2:$AE$19,0))</f>
        <v>1.009664422203131</v>
      </c>
      <c r="R8" s="5" t="str">
        <f>INDEX(V_Teknoloji!Q$2:Q$19,MATCH(LARGE(V_Teknoloji!$AE$2:$AE$19,ROW()-3),V_Teknoloji!$AE$2:$AE$19,0))</f>
        <v>Görüyor</v>
      </c>
      <c r="S8" s="8">
        <f>INDEX(V_Teknoloji!R$2:R$19,MATCH(LARGE(V_Teknoloji!$AE$2:$AE$19,ROW()-3),V_Teknoloji!$AE$2:$AE$19,0))</f>
        <v>0.68359999999999999</v>
      </c>
      <c r="T8" s="8">
        <f>INDEX(V_Teknoloji!S$2:S$19,MATCH(LARGE(V_Teknoloji!$AE$2:$AE$19,ROW()-3),V_Teknoloji!$AE$2:$AE$19,0))</f>
        <v>0</v>
      </c>
      <c r="U8" s="8">
        <f>INDEX(V_Teknoloji!T$2:T$19,MATCH(LARGE(V_Teknoloji!$AE$2:$AE$19,ROW()-3),V_Teknoloji!$AE$2:$AE$19,0))</f>
        <v>0</v>
      </c>
      <c r="V8" s="8">
        <f>INDEX(V_Teknoloji!U$2:U$19,MATCH(LARGE(V_Teknoloji!$AE$2:$AE$19,ROW()-3),V_Teknoloji!$AE$2:$AE$19,0))</f>
        <v>2.2000000000000001E-3</v>
      </c>
      <c r="W8" s="8">
        <f>INDEX(V_Teknoloji!V$2:V$19,MATCH(LARGE(V_Teknoloji!$AE$2:$AE$19,ROW()-3),V_Teknoloji!$AE$2:$AE$19,0))</f>
        <v>2.5100000000000001E-2</v>
      </c>
      <c r="X8" s="8">
        <f>INDEX(V_Teknoloji!W$2:W$19,MATCH(LARGE(V_Teknoloji!$AE$2:$AE$19,ROW()-3),V_Teknoloji!$AE$2:$AE$19,0))</f>
        <v>7.2099999999999997E-2</v>
      </c>
      <c r="Y8" s="8">
        <f>INDEX(V_Teknoloji!X$2:X$19,MATCH(LARGE(V_Teknoloji!$AE$2:$AE$19,ROW()-3),V_Teknoloji!$AE$2:$AE$19,0))</f>
        <v>0</v>
      </c>
      <c r="Z8" s="8">
        <f>INDEX(V_Teknoloji!Y$2:Y$19,MATCH(LARGE(V_Teknoloji!$AE$2:$AE$19,ROW()-3),V_Teknoloji!$AE$2:$AE$19,0))</f>
        <v>3.5000000000000001E-3</v>
      </c>
      <c r="AA8" s="8">
        <f>INDEX(V_Teknoloji!Z$2:Z$19,MATCH(LARGE(V_Teknoloji!$AE$2:$AE$19,ROW()-3),V_Teknoloji!$AE$2:$AE$19,0))</f>
        <v>2.3E-2</v>
      </c>
      <c r="AB8" s="8">
        <f>INDEX(V_Teknoloji!AA$2:AA$19,MATCH(LARGE(V_Teknoloji!$AE$2:$AE$19,ROW()-3),V_Teknoloji!$AE$2:$AE$19,0))</f>
        <v>0.17560000000000001</v>
      </c>
      <c r="AC8" s="8">
        <f>INDEX(V_Teknoloji!AB$2:AB$19,MATCH(LARGE(V_Teknoloji!$AE$2:$AE$19,ROW()-3),V_Teknoloji!$AE$2:$AE$19,0))</f>
        <v>0</v>
      </c>
      <c r="AD8" s="8">
        <f>INDEX(V_Teknoloji!AC$2:AC$19,MATCH(LARGE(V_Teknoloji!$AE$2:$AE$19,ROW()-3),V_Teknoloji!$AE$2:$AE$19,0))</f>
        <v>0.98509999999999998</v>
      </c>
    </row>
    <row r="9" spans="1:30" x14ac:dyDescent="0.2">
      <c r="A9">
        <v>6</v>
      </c>
      <c r="B9" s="5" t="str">
        <f>INDEX(V_Teknoloji!A$2:A$19,MATCH(LARGE(V_Teknoloji!$AE$2:$AE$19,ROW()-3),V_Teknoloji!$AE$2:$AE$19,0))</f>
        <v>CPU</v>
      </c>
      <c r="C9" s="5" t="str">
        <f>INDEX(V_Teknoloji!B$2:B$19,MATCH(LARGE(V_Teknoloji!$AE$2:$AE$19,ROW()-3),V_Teknoloji!$AE$2:$AE$19,0))</f>
        <v>Aktif Portföy Teknoloji Katılım Fonu</v>
      </c>
      <c r="D9" s="5" t="str">
        <f>INDEX(V_Teknoloji!C$2:C$19,MATCH(LARGE(V_Teknoloji!$AE$2:$AE$19,ROW()-3),V_Teknoloji!$AE$2:$AE$19,0))</f>
        <v>Aktif Portföy</v>
      </c>
      <c r="E9" s="8">
        <f>INDEX(V_Teknoloji!D$2:D$19,MATCH(LARGE(V_Teknoloji!$AE$2:$AE$19,ROW()-3),V_Teknoloji!$AE$2:$AE$19,0))</f>
        <v>0.02</v>
      </c>
      <c r="F9" s="9">
        <f>INDEX(V_Teknoloji!E$2:E$19,MATCH(LARGE(V_Teknoloji!$AE$2:$AE$19,ROW()-3),V_Teknoloji!$AE$2:$AE$19,0))</f>
        <v>-0.74077680985425998</v>
      </c>
      <c r="G9" s="9">
        <f>INDEX(V_Teknoloji!F$2:F$19,MATCH(LARGE(V_Teknoloji!$AE$2:$AE$19,ROW()-3),V_Teknoloji!$AE$2:$AE$19,0))</f>
        <v>-1.329588292365014</v>
      </c>
      <c r="H9" s="9">
        <f>INDEX(V_Teknoloji!G$2:G$19,MATCH(LARGE(V_Teknoloji!$AE$2:$AE$19,ROW()-3),V_Teknoloji!$AE$2:$AE$19,0))</f>
        <v>2.8120243185119742</v>
      </c>
      <c r="I9" s="9">
        <f>INDEX(V_Teknoloji!H$2:H$19,MATCH(LARGE(V_Teknoloji!$AE$2:$AE$19,ROW()-3),V_Teknoloji!$AE$2:$AE$19,0))</f>
        <v>52.062356385912373</v>
      </c>
      <c r="J9" s="9">
        <f>INDEX(V_Teknoloji!I$2:I$19,MATCH(LARGE(V_Teknoloji!$AE$2:$AE$19,ROW()-3),V_Teknoloji!$AE$2:$AE$19,0))</f>
        <v>93.218508566018102</v>
      </c>
      <c r="K9" s="10">
        <f>INDEX(V_Teknoloji!J$2:J$19,MATCH(LARGE(V_Teknoloji!$AE$2:$AE$19,ROW()-3),V_Teknoloji!$AE$2:$AE$19,0))</f>
        <v>16679</v>
      </c>
      <c r="L9" s="10">
        <f>INDEX(V_Teknoloji!K$2:K$19,MATCH(LARGE(V_Teknoloji!$AE$2:$AE$19,ROW()-3),V_Teknoloji!$AE$2:$AE$19,0))</f>
        <v>17009</v>
      </c>
      <c r="M9" s="8">
        <f>INDEX(V_Teknoloji!L$2:L$19,MATCH(LARGE(V_Teknoloji!$AE$2:$AE$19,ROW()-3),V_Teknoloji!$AE$2:$AE$19,0))</f>
        <v>1.978535883446253E-2</v>
      </c>
      <c r="N9" s="11">
        <f>INDEX(V_Teknoloji!M$2:M$19,MATCH(LARGE(V_Teknoloji!$AE$2:$AE$19,ROW()-3),V_Teknoloji!$AE$2:$AE$19,0))</f>
        <v>1559130393.3399999</v>
      </c>
      <c r="O9" s="11">
        <f>INDEX(V_Teknoloji!N$2:N$19,MATCH(LARGE(V_Teknoloji!$AE$2:$AE$19,ROW()-3),V_Teknoloji!$AE$2:$AE$19,0))</f>
        <v>1540416602.1099999</v>
      </c>
      <c r="P9" s="8">
        <f>INDEX(V_Teknoloji!O$2:O$19,MATCH(LARGE(V_Teknoloji!$AE$2:$AE$19,ROW()-3),V_Teknoloji!$AE$2:$AE$19,0))</f>
        <v>-1.2002710812346501E-2</v>
      </c>
      <c r="Q9" s="9">
        <f>INDEX(V_Teknoloji!P$2:P$19,MATCH(LARGE(V_Teknoloji!$AE$2:$AE$19,ROW()-3),V_Teknoloji!$AE$2:$AE$19,0))</f>
        <v>1.5201074389303131</v>
      </c>
      <c r="R9" s="5" t="str">
        <f>INDEX(V_Teknoloji!Q$2:Q$19,MATCH(LARGE(V_Teknoloji!$AE$2:$AE$19,ROW()-3),V_Teknoloji!$AE$2:$AE$19,0))</f>
        <v>Görüyor</v>
      </c>
      <c r="S9" s="8">
        <f>INDEX(V_Teknoloji!R$2:R$19,MATCH(LARGE(V_Teknoloji!$AE$2:$AE$19,ROW()-3),V_Teknoloji!$AE$2:$AE$19,0))</f>
        <v>0.66670000000000007</v>
      </c>
      <c r="T9" s="8">
        <f>INDEX(V_Teknoloji!S$2:S$19,MATCH(LARGE(V_Teknoloji!$AE$2:$AE$19,ROW()-3),V_Teknoloji!$AE$2:$AE$19,0))</f>
        <v>0</v>
      </c>
      <c r="U9" s="8">
        <f>INDEX(V_Teknoloji!T$2:T$19,MATCH(LARGE(V_Teknoloji!$AE$2:$AE$19,ROW()-3),V_Teknoloji!$AE$2:$AE$19,0))</f>
        <v>0</v>
      </c>
      <c r="V9" s="8">
        <f>INDEX(V_Teknoloji!U$2:U$19,MATCH(LARGE(V_Teknoloji!$AE$2:$AE$19,ROW()-3),V_Teknoloji!$AE$2:$AE$19,0))</f>
        <v>0</v>
      </c>
      <c r="W9" s="8">
        <f>INDEX(V_Teknoloji!V$2:V$19,MATCH(LARGE(V_Teknoloji!$AE$2:$AE$19,ROW()-3),V_Teknoloji!$AE$2:$AE$19,0))</f>
        <v>0</v>
      </c>
      <c r="X9" s="8">
        <f>INDEX(V_Teknoloji!W$2:W$19,MATCH(LARGE(V_Teknoloji!$AE$2:$AE$19,ROW()-3),V_Teknoloji!$AE$2:$AE$19,0))</f>
        <v>0.25390000000000001</v>
      </c>
      <c r="Y9" s="8">
        <f>INDEX(V_Teknoloji!X$2:X$19,MATCH(LARGE(V_Teknoloji!$AE$2:$AE$19,ROW()-3),V_Teknoloji!$AE$2:$AE$19,0))</f>
        <v>0</v>
      </c>
      <c r="Z9" s="8">
        <f>INDEX(V_Teknoloji!Y$2:Y$19,MATCH(LARGE(V_Teknoloji!$AE$2:$AE$19,ROW()-3),V_Teknoloji!$AE$2:$AE$19,0))</f>
        <v>7.9399999999999998E-2</v>
      </c>
      <c r="AA9" s="8">
        <f>INDEX(V_Teknoloji!Z$2:Z$19,MATCH(LARGE(V_Teknoloji!$AE$2:$AE$19,ROW()-3),V_Teknoloji!$AE$2:$AE$19,0))</f>
        <v>0</v>
      </c>
      <c r="AB9" s="8">
        <f>INDEX(V_Teknoloji!AA$2:AA$19,MATCH(LARGE(V_Teknoloji!$AE$2:$AE$19,ROW()-3),V_Teknoloji!$AE$2:$AE$19,0))</f>
        <v>0</v>
      </c>
      <c r="AC9" s="8">
        <f>INDEX(V_Teknoloji!AB$2:AB$19,MATCH(LARGE(V_Teknoloji!$AE$2:$AE$19,ROW()-3),V_Teknoloji!$AE$2:$AE$19,0))</f>
        <v>0</v>
      </c>
      <c r="AD9" s="8">
        <f>INDEX(V_Teknoloji!AC$2:AC$19,MATCH(LARGE(V_Teknoloji!$AE$2:$AE$19,ROW()-3),V_Teknoloji!$AE$2:$AE$19,0))</f>
        <v>1</v>
      </c>
    </row>
    <row r="10" spans="1:30" x14ac:dyDescent="0.2">
      <c r="A10">
        <v>7</v>
      </c>
      <c r="B10" s="5" t="str">
        <f>INDEX(V_Teknoloji!A$2:A$19,MATCH(LARGE(V_Teknoloji!$AE$2:$AE$19,ROW()-3),V_Teknoloji!$AE$2:$AE$19,0))</f>
        <v>OJT</v>
      </c>
      <c r="C10" s="5" t="str">
        <f>INDEX(V_Teknoloji!B$2:B$19,MATCH(LARGE(V_Teknoloji!$AE$2:$AE$19,ROW()-3),V_Teknoloji!$AE$2:$AE$19,0))</f>
        <v>Qnb Portföy Teknoloji Fon Sepeti Fonu</v>
      </c>
      <c r="D10" s="5" t="str">
        <f>INDEX(V_Teknoloji!C$2:C$19,MATCH(LARGE(V_Teknoloji!$AE$2:$AE$19,ROW()-3),V_Teknoloji!$AE$2:$AE$19,0))</f>
        <v>Qnb Portföy</v>
      </c>
      <c r="E10" s="8">
        <f>INDEX(V_Teknoloji!D$2:D$19,MATCH(LARGE(V_Teknoloji!$AE$2:$AE$19,ROW()-3),V_Teknoloji!$AE$2:$AE$19,0))</f>
        <v>2.9499999999999998E-2</v>
      </c>
      <c r="F10" s="9">
        <f>INDEX(V_Teknoloji!E$2:E$19,MATCH(LARGE(V_Teknoloji!$AE$2:$AE$19,ROW()-3),V_Teknoloji!$AE$2:$AE$19,0))</f>
        <v>-0.88800895958152104</v>
      </c>
      <c r="G10" s="9">
        <f>INDEX(V_Teknoloji!F$2:F$19,MATCH(LARGE(V_Teknoloji!$AE$2:$AE$19,ROW()-3),V_Teknoloji!$AE$2:$AE$19,0))</f>
        <v>-1.6755451394906311</v>
      </c>
      <c r="H10" s="9">
        <f>INDEX(V_Teknoloji!G$2:G$19,MATCH(LARGE(V_Teknoloji!$AE$2:$AE$19,ROW()-3),V_Teknoloji!$AE$2:$AE$19,0))</f>
        <v>2.255902678648614</v>
      </c>
      <c r="I10" s="9">
        <f>INDEX(V_Teknoloji!H$2:H$19,MATCH(LARGE(V_Teknoloji!$AE$2:$AE$19,ROW()-3),V_Teknoloji!$AE$2:$AE$19,0))</f>
        <v>35.760462709152293</v>
      </c>
      <c r="J10" s="9">
        <f>INDEX(V_Teknoloji!I$2:I$19,MATCH(LARGE(V_Teknoloji!$AE$2:$AE$19,ROW()-3),V_Teknoloji!$AE$2:$AE$19,0))</f>
        <v>62.742062345521568</v>
      </c>
      <c r="K10" s="10">
        <f>INDEX(V_Teknoloji!J$2:J$19,MATCH(LARGE(V_Teknoloji!$AE$2:$AE$19,ROW()-3),V_Teknoloji!$AE$2:$AE$19,0))</f>
        <v>11670</v>
      </c>
      <c r="L10" s="10">
        <f>INDEX(V_Teknoloji!K$2:K$19,MATCH(LARGE(V_Teknoloji!$AE$2:$AE$19,ROW()-3),V_Teknoloji!$AE$2:$AE$19,0))</f>
        <v>11430</v>
      </c>
      <c r="M10" s="8">
        <f>INDEX(V_Teknoloji!L$2:L$19,MATCH(LARGE(V_Teknoloji!$AE$2:$AE$19,ROW()-3),V_Teknoloji!$AE$2:$AE$19,0))</f>
        <v>-2.0565552699228769E-2</v>
      </c>
      <c r="N10" s="11">
        <f>INDEX(V_Teknoloji!M$2:M$19,MATCH(LARGE(V_Teknoloji!$AE$2:$AE$19,ROW()-3),V_Teknoloji!$AE$2:$AE$19,0))</f>
        <v>4509727809.6599998</v>
      </c>
      <c r="O10" s="11">
        <f>INDEX(V_Teknoloji!N$2:N$19,MATCH(LARGE(V_Teknoloji!$AE$2:$AE$19,ROW()-3),V_Teknoloji!$AE$2:$AE$19,0))</f>
        <v>4692042996.6599998</v>
      </c>
      <c r="P10" s="8">
        <f>INDEX(V_Teknoloji!O$2:O$19,MATCH(LARGE(V_Teknoloji!$AE$2:$AE$19,ROW()-3),V_Teknoloji!$AE$2:$AE$19,0))</f>
        <v>4.0427093318021079E-2</v>
      </c>
      <c r="Q10" s="9">
        <f>INDEX(V_Teknoloji!P$2:P$19,MATCH(LARGE(V_Teknoloji!$AE$2:$AE$19,ROW()-3),V_Teknoloji!$AE$2:$AE$19,0))</f>
        <v>1.538275203829423</v>
      </c>
      <c r="R10" s="5" t="str">
        <f>INDEX(V_Teknoloji!Q$2:Q$19,MATCH(LARGE(V_Teknoloji!$AE$2:$AE$19,ROW()-3),V_Teknoloji!$AE$2:$AE$19,0))</f>
        <v>Görüyor</v>
      </c>
      <c r="S10" s="8">
        <f>INDEX(V_Teknoloji!R$2:R$19,MATCH(LARGE(V_Teknoloji!$AE$2:$AE$19,ROW()-3),V_Teknoloji!$AE$2:$AE$19,0))</f>
        <v>0.69669999999999999</v>
      </c>
      <c r="T10" s="8">
        <f>INDEX(V_Teknoloji!S$2:S$19,MATCH(LARGE(V_Teknoloji!$AE$2:$AE$19,ROW()-3),V_Teknoloji!$AE$2:$AE$19,0))</f>
        <v>0.10100000000000001</v>
      </c>
      <c r="U10" s="8">
        <f>INDEX(V_Teknoloji!T$2:T$19,MATCH(LARGE(V_Teknoloji!$AE$2:$AE$19,ROW()-3),V_Teknoloji!$AE$2:$AE$19,0))</f>
        <v>0</v>
      </c>
      <c r="V10" s="8">
        <f>INDEX(V_Teknoloji!U$2:U$19,MATCH(LARGE(V_Teknoloji!$AE$2:$AE$19,ROW()-3),V_Teknoloji!$AE$2:$AE$19,0))</f>
        <v>0</v>
      </c>
      <c r="W10" s="8">
        <f>INDEX(V_Teknoloji!V$2:V$19,MATCH(LARGE(V_Teknoloji!$AE$2:$AE$19,ROW()-3),V_Teknoloji!$AE$2:$AE$19,0))</f>
        <v>2.1899999999999999E-2</v>
      </c>
      <c r="X10" s="8">
        <f>INDEX(V_Teknoloji!W$2:W$19,MATCH(LARGE(V_Teknoloji!$AE$2:$AE$19,ROW()-3),V_Teknoloji!$AE$2:$AE$19,0))</f>
        <v>0.1249</v>
      </c>
      <c r="Y10" s="8">
        <f>INDEX(V_Teknoloji!X$2:X$19,MATCH(LARGE(V_Teknoloji!$AE$2:$AE$19,ROW()-3),V_Teknoloji!$AE$2:$AE$19,0))</f>
        <v>1.23E-2</v>
      </c>
      <c r="Z10" s="8">
        <f>INDEX(V_Teknoloji!Y$2:Y$19,MATCH(LARGE(V_Teknoloji!$AE$2:$AE$19,ROW()-3),V_Teknoloji!$AE$2:$AE$19,0))</f>
        <v>4.3200000000000002E-2</v>
      </c>
      <c r="AA10" s="8">
        <f>INDEX(V_Teknoloji!Z$2:Z$19,MATCH(LARGE(V_Teknoloji!$AE$2:$AE$19,ROW()-3),V_Teknoloji!$AE$2:$AE$19,0))</f>
        <v>0</v>
      </c>
      <c r="AB10" s="8">
        <f>INDEX(V_Teknoloji!AA$2:AA$19,MATCH(LARGE(V_Teknoloji!$AE$2:$AE$19,ROW()-3),V_Teknoloji!$AE$2:$AE$19,0))</f>
        <v>0</v>
      </c>
      <c r="AC10" s="8">
        <f>INDEX(V_Teknoloji!AB$2:AB$19,MATCH(LARGE(V_Teknoloji!$AE$2:$AE$19,ROW()-3),V_Teknoloji!$AE$2:$AE$19,0))</f>
        <v>0</v>
      </c>
      <c r="AD10" s="8">
        <f>INDEX(V_Teknoloji!AC$2:AC$19,MATCH(LARGE(V_Teknoloji!$AE$2:$AE$19,ROW()-3),V_Teknoloji!$AE$2:$AE$19,0))</f>
        <v>1</v>
      </c>
    </row>
    <row r="11" spans="1:30" x14ac:dyDescent="0.2">
      <c r="A11">
        <v>8</v>
      </c>
      <c r="B11" s="5" t="str">
        <f>INDEX(V_Teknoloji!A$2:A$19,MATCH(LARGE(V_Teknoloji!$AE$2:$AE$19,ROW()-3),V_Teknoloji!$AE$2:$AE$19,0))</f>
        <v>HOA</v>
      </c>
      <c r="C11" s="5" t="str">
        <f>INDEX(V_Teknoloji!B$2:B$19,MATCH(LARGE(V_Teknoloji!$AE$2:$AE$19,ROW()-3),V_Teknoloji!$AE$2:$AE$19,0))</f>
        <v>Hsbc Portföy Teknoloji Değişken Fon</v>
      </c>
      <c r="D11" s="5" t="str">
        <f>INDEX(V_Teknoloji!C$2:C$19,MATCH(LARGE(V_Teknoloji!$AE$2:$AE$19,ROW()-3),V_Teknoloji!$AE$2:$AE$19,0))</f>
        <v>Hsbc Portföy</v>
      </c>
      <c r="E11" s="8">
        <f>INDEX(V_Teknoloji!D$2:D$19,MATCH(LARGE(V_Teknoloji!$AE$2:$AE$19,ROW()-3),V_Teknoloji!$AE$2:$AE$19,0))</f>
        <v>1.7520000000000001E-2</v>
      </c>
      <c r="F11" s="9">
        <f>INDEX(V_Teknoloji!E$2:E$19,MATCH(LARGE(V_Teknoloji!$AE$2:$AE$19,ROW()-3),V_Teknoloji!$AE$2:$AE$19,0))</f>
        <v>-0.95774104058857779</v>
      </c>
      <c r="G11" s="9">
        <f>INDEX(V_Teknoloji!F$2:F$19,MATCH(LARGE(V_Teknoloji!$AE$2:$AE$19,ROW()-3),V_Teknoloji!$AE$2:$AE$19,0))</f>
        <v>-0.70896024773636768</v>
      </c>
      <c r="H11" s="9">
        <f>INDEX(V_Teknoloji!G$2:G$19,MATCH(LARGE(V_Teknoloji!$AE$2:$AE$19,ROW()-3),V_Teknoloji!$AE$2:$AE$19,0))</f>
        <v>1.2541619469330409</v>
      </c>
      <c r="I11" s="9">
        <f>INDEX(V_Teknoloji!H$2:H$19,MATCH(LARGE(V_Teknoloji!$AE$2:$AE$19,ROW()-3),V_Teknoloji!$AE$2:$AE$19,0))</f>
        <v>24.728858350951381</v>
      </c>
      <c r="J11" s="9">
        <f>INDEX(V_Teknoloji!I$2:I$19,MATCH(LARGE(V_Teknoloji!$AE$2:$AE$19,ROW()-3),V_Teknoloji!$AE$2:$AE$19,0))</f>
        <v>50.828965869870913</v>
      </c>
      <c r="K11" s="10">
        <f>INDEX(V_Teknoloji!J$2:J$19,MATCH(LARGE(V_Teknoloji!$AE$2:$AE$19,ROW()-3),V_Teknoloji!$AE$2:$AE$19,0))</f>
        <v>3473</v>
      </c>
      <c r="L11" s="10">
        <f>INDEX(V_Teknoloji!K$2:K$19,MATCH(LARGE(V_Teknoloji!$AE$2:$AE$19,ROW()-3),V_Teknoloji!$AE$2:$AE$19,0))</f>
        <v>3454</v>
      </c>
      <c r="M11" s="8">
        <f>INDEX(V_Teknoloji!L$2:L$19,MATCH(LARGE(V_Teknoloji!$AE$2:$AE$19,ROW()-3),V_Teknoloji!$AE$2:$AE$19,0))</f>
        <v>-5.4707745465015778E-3</v>
      </c>
      <c r="N11" s="11">
        <f>INDEX(V_Teknoloji!M$2:M$19,MATCH(LARGE(V_Teknoloji!$AE$2:$AE$19,ROW()-3),V_Teknoloji!$AE$2:$AE$19,0))</f>
        <v>2089082826.8</v>
      </c>
      <c r="O11" s="11">
        <f>INDEX(V_Teknoloji!N$2:N$19,MATCH(LARGE(V_Teknoloji!$AE$2:$AE$19,ROW()-3),V_Teknoloji!$AE$2:$AE$19,0))</f>
        <v>2089492654.5799999</v>
      </c>
      <c r="P11" s="8">
        <f>INDEX(V_Teknoloji!O$2:O$19,MATCH(LARGE(V_Teknoloji!$AE$2:$AE$19,ROW()-3),V_Teknoloji!$AE$2:$AE$19,0))</f>
        <v>1.961759365125548E-4</v>
      </c>
      <c r="Q11" s="9">
        <f>INDEX(V_Teknoloji!P$2:P$19,MATCH(LARGE(V_Teknoloji!$AE$2:$AE$19,ROW()-3),V_Teknoloji!$AE$2:$AE$19,0))</f>
        <v>1.4861087257430241</v>
      </c>
      <c r="R11" s="5" t="str">
        <f>INDEX(V_Teknoloji!Q$2:Q$19,MATCH(LARGE(V_Teknoloji!$AE$2:$AE$19,ROW()-3),V_Teknoloji!$AE$2:$AE$19,0))</f>
        <v>Görüyor</v>
      </c>
      <c r="S11" s="8">
        <f>INDEX(V_Teknoloji!R$2:R$19,MATCH(LARGE(V_Teknoloji!$AE$2:$AE$19,ROW()-3),V_Teknoloji!$AE$2:$AE$19,0))</f>
        <v>0.62270000000000003</v>
      </c>
      <c r="T11" s="8">
        <f>INDEX(V_Teknoloji!S$2:S$19,MATCH(LARGE(V_Teknoloji!$AE$2:$AE$19,ROW()-3),V_Teknoloji!$AE$2:$AE$19,0))</f>
        <v>7.2999999999999995E-2</v>
      </c>
      <c r="U11" s="8">
        <f>INDEX(V_Teknoloji!T$2:T$19,MATCH(LARGE(V_Teknoloji!$AE$2:$AE$19,ROW()-3),V_Teknoloji!$AE$2:$AE$19,0))</f>
        <v>0</v>
      </c>
      <c r="V11" s="8">
        <f>INDEX(V_Teknoloji!U$2:U$19,MATCH(LARGE(V_Teknoloji!$AE$2:$AE$19,ROW()-3),V_Teknoloji!$AE$2:$AE$19,0))</f>
        <v>2.0299999999999999E-2</v>
      </c>
      <c r="W11" s="8">
        <f>INDEX(V_Teknoloji!V$2:V$19,MATCH(LARGE(V_Teknoloji!$AE$2:$AE$19,ROW()-3),V_Teknoloji!$AE$2:$AE$19,0))</f>
        <v>0</v>
      </c>
      <c r="X11" s="8">
        <f>INDEX(V_Teknoloji!W$2:W$19,MATCH(LARGE(V_Teknoloji!$AE$2:$AE$19,ROW()-3),V_Teknoloji!$AE$2:$AE$19,0))</f>
        <v>0.12709999999999999</v>
      </c>
      <c r="Y11" s="8">
        <f>INDEX(V_Teknoloji!X$2:X$19,MATCH(LARGE(V_Teknoloji!$AE$2:$AE$19,ROW()-3),V_Teknoloji!$AE$2:$AE$19,0))</f>
        <v>1.84E-2</v>
      </c>
      <c r="Z11" s="8">
        <f>INDEX(V_Teknoloji!Y$2:Y$19,MATCH(LARGE(V_Teknoloji!$AE$2:$AE$19,ROW()-3),V_Teknoloji!$AE$2:$AE$19,0))</f>
        <v>5.0799999999999998E-2</v>
      </c>
      <c r="AA11" s="8">
        <f>INDEX(V_Teknoloji!Z$2:Z$19,MATCH(LARGE(V_Teknoloji!$AE$2:$AE$19,ROW()-3),V_Teknoloji!$AE$2:$AE$19,0))</f>
        <v>5.1900000000000002E-2</v>
      </c>
      <c r="AB11" s="8">
        <f>INDEX(V_Teknoloji!AA$2:AA$19,MATCH(LARGE(V_Teknoloji!$AE$2:$AE$19,ROW()-3),V_Teknoloji!$AE$2:$AE$19,0))</f>
        <v>2.3E-2</v>
      </c>
      <c r="AC11" s="8">
        <f>INDEX(V_Teknoloji!AB$2:AB$19,MATCH(LARGE(V_Teknoloji!$AE$2:$AE$19,ROW()-3),V_Teknoloji!$AE$2:$AE$19,0))</f>
        <v>2.7000000000000001E-3</v>
      </c>
      <c r="AD11" s="8">
        <f>INDEX(V_Teknoloji!AC$2:AC$19,MATCH(LARGE(V_Teknoloji!$AE$2:$AE$19,ROW()-3),V_Teknoloji!$AE$2:$AE$19,0))</f>
        <v>0.9899</v>
      </c>
    </row>
    <row r="12" spans="1:30" x14ac:dyDescent="0.2">
      <c r="A12">
        <v>9</v>
      </c>
      <c r="B12" s="5" t="str">
        <f>INDEX(V_Teknoloji!A$2:A$19,MATCH(LARGE(V_Teknoloji!$AE$2:$AE$19,ROW()-3),V_Teknoloji!$AE$2:$AE$19,0))</f>
        <v>RTD</v>
      </c>
      <c r="C12" s="5" t="str">
        <f>INDEX(V_Teknoloji!B$2:B$19,MATCH(LARGE(V_Teknoloji!$AE$2:$AE$19,ROW()-3),V_Teknoloji!$AE$2:$AE$19,0))</f>
        <v>Re-pıe Portföy Teknoloji Değişken Fon</v>
      </c>
      <c r="D12" s="5" t="str">
        <f>INDEX(V_Teknoloji!C$2:C$19,MATCH(LARGE(V_Teknoloji!$AE$2:$AE$19,ROW()-3),V_Teknoloji!$AE$2:$AE$19,0))</f>
        <v>Re-pıe Portföy</v>
      </c>
      <c r="E12" s="8">
        <f>INDEX(V_Teknoloji!D$2:D$19,MATCH(LARGE(V_Teknoloji!$AE$2:$AE$19,ROW()-3),V_Teknoloji!$AE$2:$AE$19,0))</f>
        <v>2.5000000000000001E-2</v>
      </c>
      <c r="F12" s="9">
        <f>INDEX(V_Teknoloji!E$2:E$19,MATCH(LARGE(V_Teknoloji!$AE$2:$AE$19,ROW()-3),V_Teknoloji!$AE$2:$AE$19,0))</f>
        <v>-1.0085414858344131</v>
      </c>
      <c r="G12" s="9">
        <f>INDEX(V_Teknoloji!F$2:F$19,MATCH(LARGE(V_Teknoloji!$AE$2:$AE$19,ROW()-3),V_Teknoloji!$AE$2:$AE$19,0))</f>
        <v>-3.8455197547289881</v>
      </c>
      <c r="H12" s="9">
        <f>INDEX(V_Teknoloji!G$2:G$19,MATCH(LARGE(V_Teknoloji!$AE$2:$AE$19,ROW()-3),V_Teknoloji!$AE$2:$AE$19,0))</f>
        <v>-2.035013255154983E-2</v>
      </c>
      <c r="I12" s="9">
        <f>INDEX(V_Teknoloji!H$2:H$19,MATCH(LARGE(V_Teknoloji!$AE$2:$AE$19,ROW()-3),V_Teknoloji!$AE$2:$AE$19,0))</f>
        <v>42.106635528600279</v>
      </c>
      <c r="J12" s="9">
        <f>INDEX(V_Teknoloji!I$2:I$19,MATCH(LARGE(V_Teknoloji!$AE$2:$AE$19,ROW()-3),V_Teknoloji!$AE$2:$AE$19,0))</f>
        <v>65.383342992669697</v>
      </c>
      <c r="K12" s="10">
        <f>INDEX(V_Teknoloji!J$2:J$19,MATCH(LARGE(V_Teknoloji!$AE$2:$AE$19,ROW()-3),V_Teknoloji!$AE$2:$AE$19,0))</f>
        <v>462</v>
      </c>
      <c r="L12" s="10">
        <f>INDEX(V_Teknoloji!K$2:K$19,MATCH(LARGE(V_Teknoloji!$AE$2:$AE$19,ROW()-3),V_Teknoloji!$AE$2:$AE$19,0))</f>
        <v>425</v>
      </c>
      <c r="M12" s="8">
        <f>INDEX(V_Teknoloji!L$2:L$19,MATCH(LARGE(V_Teknoloji!$AE$2:$AE$19,ROW()-3),V_Teknoloji!$AE$2:$AE$19,0))</f>
        <v>-8.0086580086580095E-2</v>
      </c>
      <c r="N12" s="11">
        <f>INDEX(V_Teknoloji!M$2:M$19,MATCH(LARGE(V_Teknoloji!$AE$2:$AE$19,ROW()-3),V_Teknoloji!$AE$2:$AE$19,0))</f>
        <v>29465172.489999998</v>
      </c>
      <c r="O12" s="11">
        <f>INDEX(V_Teknoloji!N$2:N$19,MATCH(LARGE(V_Teknoloji!$AE$2:$AE$19,ROW()-3),V_Teknoloji!$AE$2:$AE$19,0))</f>
        <v>29276239.449999999</v>
      </c>
      <c r="P12" s="8">
        <f>INDEX(V_Teknoloji!O$2:O$19,MATCH(LARGE(V_Teknoloji!$AE$2:$AE$19,ROW()-3),V_Teknoloji!$AE$2:$AE$19,0))</f>
        <v>-6.4120798907293386E-3</v>
      </c>
      <c r="Q12" s="9">
        <f>INDEX(V_Teknoloji!P$2:P$19,MATCH(LARGE(V_Teknoloji!$AE$2:$AE$19,ROW()-3),V_Teknoloji!$AE$2:$AE$19,0))</f>
        <v>2.0739370577512641</v>
      </c>
      <c r="R12" s="5" t="str">
        <f>INDEX(V_Teknoloji!Q$2:Q$19,MATCH(LARGE(V_Teknoloji!$AE$2:$AE$19,ROW()-3),V_Teknoloji!$AE$2:$AE$19,0))</f>
        <v>Görüyor</v>
      </c>
      <c r="S12" s="8">
        <f>INDEX(V_Teknoloji!R$2:R$19,MATCH(LARGE(V_Teknoloji!$AE$2:$AE$19,ROW()-3),V_Teknoloji!$AE$2:$AE$19,0))</f>
        <v>0.63039999999999996</v>
      </c>
      <c r="T12" s="8">
        <f>INDEX(V_Teknoloji!S$2:S$19,MATCH(LARGE(V_Teknoloji!$AE$2:$AE$19,ROW()-3),V_Teknoloji!$AE$2:$AE$19,0))</f>
        <v>0</v>
      </c>
      <c r="U12" s="8">
        <f>INDEX(V_Teknoloji!T$2:T$19,MATCH(LARGE(V_Teknoloji!$AE$2:$AE$19,ROW()-3),V_Teknoloji!$AE$2:$AE$19,0))</f>
        <v>0</v>
      </c>
      <c r="V12" s="8">
        <f>INDEX(V_Teknoloji!U$2:U$19,MATCH(LARGE(V_Teknoloji!$AE$2:$AE$19,ROW()-3),V_Teknoloji!$AE$2:$AE$19,0))</f>
        <v>0</v>
      </c>
      <c r="W12" s="8">
        <f>INDEX(V_Teknoloji!V$2:V$19,MATCH(LARGE(V_Teknoloji!$AE$2:$AE$19,ROW()-3),V_Teknoloji!$AE$2:$AE$19,0))</f>
        <v>0</v>
      </c>
      <c r="X12" s="8">
        <f>INDEX(V_Teknoloji!W$2:W$19,MATCH(LARGE(V_Teknoloji!$AE$2:$AE$19,ROW()-3),V_Teknoloji!$AE$2:$AE$19,0))</f>
        <v>0.32840000000000003</v>
      </c>
      <c r="Y12" s="8">
        <f>INDEX(V_Teknoloji!X$2:X$19,MATCH(LARGE(V_Teknoloji!$AE$2:$AE$19,ROW()-3),V_Teknoloji!$AE$2:$AE$19,0))</f>
        <v>0</v>
      </c>
      <c r="Z12" s="8">
        <f>INDEX(V_Teknoloji!Y$2:Y$19,MATCH(LARGE(V_Teknoloji!$AE$2:$AE$19,ROW()-3),V_Teknoloji!$AE$2:$AE$19,0))</f>
        <v>4.1200000000000001E-2</v>
      </c>
      <c r="AA12" s="8">
        <f>INDEX(V_Teknoloji!Z$2:Z$19,MATCH(LARGE(V_Teknoloji!$AE$2:$AE$19,ROW()-3),V_Teknoloji!$AE$2:$AE$19,0))</f>
        <v>0</v>
      </c>
      <c r="AB12" s="8">
        <f>INDEX(V_Teknoloji!AA$2:AA$19,MATCH(LARGE(V_Teknoloji!$AE$2:$AE$19,ROW()-3),V_Teknoloji!$AE$2:$AE$19,0))</f>
        <v>0</v>
      </c>
      <c r="AC12" s="8">
        <f>INDEX(V_Teknoloji!AB$2:AB$19,MATCH(LARGE(V_Teknoloji!$AE$2:$AE$19,ROW()-3),V_Teknoloji!$AE$2:$AE$19,0))</f>
        <v>0</v>
      </c>
      <c r="AD12" s="8">
        <f>INDEX(V_Teknoloji!AC$2:AC$19,MATCH(LARGE(V_Teknoloji!$AE$2:$AE$19,ROW()-3),V_Teknoloji!$AE$2:$AE$19,0))</f>
        <v>1</v>
      </c>
    </row>
    <row r="13" spans="1:30" x14ac:dyDescent="0.2">
      <c r="A13">
        <v>10</v>
      </c>
      <c r="B13" s="5" t="str">
        <f>INDEX(V_Teknoloji!A$2:A$19,MATCH(LARGE(V_Teknoloji!$AE$2:$AE$19,ROW()-3),V_Teknoloji!$AE$2:$AE$19,0))</f>
        <v>AFT</v>
      </c>
      <c r="C13" s="5" t="str">
        <f>INDEX(V_Teknoloji!B$2:B$19,MATCH(LARGE(V_Teknoloji!$AE$2:$AE$19,ROW()-3),V_Teknoloji!$AE$2:$AE$19,0))</f>
        <v>AK Portföy Yeni Teknolojiler Yabancı Hisse Senedi Fonu</v>
      </c>
      <c r="D13" s="5" t="str">
        <f>INDEX(V_Teknoloji!C$2:C$19,MATCH(LARGE(V_Teknoloji!$AE$2:$AE$19,ROW()-3),V_Teknoloji!$AE$2:$AE$19,0))</f>
        <v>AK Portföy</v>
      </c>
      <c r="E13" s="8">
        <f>INDEX(V_Teknoloji!D$2:D$19,MATCH(LARGE(V_Teknoloji!$AE$2:$AE$19,ROW()-3),V_Teknoloji!$AE$2:$AE$19,0))</f>
        <v>2.9000000000000001E-2</v>
      </c>
      <c r="F13" s="9">
        <f>INDEX(V_Teknoloji!E$2:E$19,MATCH(LARGE(V_Teknoloji!$AE$2:$AE$19,ROW()-3),V_Teknoloji!$AE$2:$AE$19,0))</f>
        <v>-1.075967506795283</v>
      </c>
      <c r="G13" s="9">
        <f>INDEX(V_Teknoloji!F$2:F$19,MATCH(LARGE(V_Teknoloji!$AE$2:$AE$19,ROW()-3),V_Teknoloji!$AE$2:$AE$19,0))</f>
        <v>-7.6190754894656099E-2</v>
      </c>
      <c r="H13" s="9">
        <f>INDEX(V_Teknoloji!G$2:G$19,MATCH(LARGE(V_Teknoloji!$AE$2:$AE$19,ROW()-3),V_Teknoloji!$AE$2:$AE$19,0))</f>
        <v>0.93728687228278318</v>
      </c>
      <c r="I13" s="9">
        <f>INDEX(V_Teknoloji!H$2:H$19,MATCH(LARGE(V_Teknoloji!$AE$2:$AE$19,ROW()-3),V_Teknoloji!$AE$2:$AE$19,0))</f>
        <v>11.21787340370339</v>
      </c>
      <c r="J13" s="9">
        <f>INDEX(V_Teknoloji!I$2:I$19,MATCH(LARGE(V_Teknoloji!$AE$2:$AE$19,ROW()-3),V_Teknoloji!$AE$2:$AE$19,0))</f>
        <v>50.707841984385091</v>
      </c>
      <c r="K13" s="10">
        <f>INDEX(V_Teknoloji!J$2:J$19,MATCH(LARGE(V_Teknoloji!$AE$2:$AE$19,ROW()-3),V_Teknoloji!$AE$2:$AE$19,0))</f>
        <v>144479</v>
      </c>
      <c r="L13" s="10">
        <f>INDEX(V_Teknoloji!K$2:K$19,MATCH(LARGE(V_Teknoloji!$AE$2:$AE$19,ROW()-3),V_Teknoloji!$AE$2:$AE$19,0))</f>
        <v>140082</v>
      </c>
      <c r="M13" s="8">
        <f>INDEX(V_Teknoloji!L$2:L$19,MATCH(LARGE(V_Teknoloji!$AE$2:$AE$19,ROW()-3),V_Teknoloji!$AE$2:$AE$19,0))</f>
        <v>-3.043348860388018E-2</v>
      </c>
      <c r="N13" s="11">
        <f>INDEX(V_Teknoloji!M$2:M$19,MATCH(LARGE(V_Teknoloji!$AE$2:$AE$19,ROW()-3),V_Teknoloji!$AE$2:$AE$19,0))</f>
        <v>20304518996.060001</v>
      </c>
      <c r="O13" s="11">
        <f>INDEX(V_Teknoloji!N$2:N$19,MATCH(LARGE(V_Teknoloji!$AE$2:$AE$19,ROW()-3),V_Teknoloji!$AE$2:$AE$19,0))</f>
        <v>19494386223.950001</v>
      </c>
      <c r="P13" s="8">
        <f>INDEX(V_Teknoloji!O$2:O$19,MATCH(LARGE(V_Teknoloji!$AE$2:$AE$19,ROW()-3),V_Teknoloji!$AE$2:$AE$19,0))</f>
        <v>-3.989913635812814E-2</v>
      </c>
      <c r="Q13" s="9">
        <f>INDEX(V_Teknoloji!P$2:P$19,MATCH(LARGE(V_Teknoloji!$AE$2:$AE$19,ROW()-3),V_Teknoloji!$AE$2:$AE$19,0))</f>
        <v>1.51778534300295</v>
      </c>
      <c r="R13" s="5" t="str">
        <f>INDEX(V_Teknoloji!Q$2:Q$19,MATCH(LARGE(V_Teknoloji!$AE$2:$AE$19,ROW()-3),V_Teknoloji!$AE$2:$AE$19,0))</f>
        <v>Görüyor</v>
      </c>
      <c r="S13" s="8">
        <f>INDEX(V_Teknoloji!R$2:R$19,MATCH(LARGE(V_Teknoloji!$AE$2:$AE$19,ROW()-3),V_Teknoloji!$AE$2:$AE$19,0))</f>
        <v>0.9536</v>
      </c>
      <c r="T13" s="8">
        <f>INDEX(V_Teknoloji!S$2:S$19,MATCH(LARGE(V_Teknoloji!$AE$2:$AE$19,ROW()-3),V_Teknoloji!$AE$2:$AE$19,0))</f>
        <v>0</v>
      </c>
      <c r="U13" s="8">
        <f>INDEX(V_Teknoloji!T$2:T$19,MATCH(LARGE(V_Teknoloji!$AE$2:$AE$19,ROW()-3),V_Teknoloji!$AE$2:$AE$19,0))</f>
        <v>1E-4</v>
      </c>
      <c r="V13" s="8">
        <f>INDEX(V_Teknoloji!U$2:U$19,MATCH(LARGE(V_Teknoloji!$AE$2:$AE$19,ROW()-3),V_Teknoloji!$AE$2:$AE$19,0))</f>
        <v>0</v>
      </c>
      <c r="W13" s="8">
        <f>INDEX(V_Teknoloji!V$2:V$19,MATCH(LARGE(V_Teknoloji!$AE$2:$AE$19,ROW()-3),V_Teknoloji!$AE$2:$AE$19,0))</f>
        <v>4.0500000000000001E-2</v>
      </c>
      <c r="X13" s="8">
        <f>INDEX(V_Teknoloji!W$2:W$19,MATCH(LARGE(V_Teknoloji!$AE$2:$AE$19,ROW()-3),V_Teknoloji!$AE$2:$AE$19,0))</f>
        <v>0</v>
      </c>
      <c r="Y13" s="8">
        <f>INDEX(V_Teknoloji!X$2:X$19,MATCH(LARGE(V_Teknoloji!$AE$2:$AE$19,ROW()-3),V_Teknoloji!$AE$2:$AE$19,0))</f>
        <v>0</v>
      </c>
      <c r="Z13" s="8">
        <f>INDEX(V_Teknoloji!Y$2:Y$19,MATCH(LARGE(V_Teknoloji!$AE$2:$AE$19,ROW()-3),V_Teknoloji!$AE$2:$AE$19,0))</f>
        <v>5.7999999999999996E-3</v>
      </c>
      <c r="AA13" s="8">
        <f>INDEX(V_Teknoloji!Z$2:Z$19,MATCH(LARGE(V_Teknoloji!$AE$2:$AE$19,ROW()-3),V_Teknoloji!$AE$2:$AE$19,0))</f>
        <v>0</v>
      </c>
      <c r="AB13" s="8">
        <f>INDEX(V_Teknoloji!AA$2:AA$19,MATCH(LARGE(V_Teknoloji!$AE$2:$AE$19,ROW()-3),V_Teknoloji!$AE$2:$AE$19,0))</f>
        <v>0</v>
      </c>
      <c r="AC13" s="8">
        <f>INDEX(V_Teknoloji!AB$2:AB$19,MATCH(LARGE(V_Teknoloji!$AE$2:$AE$19,ROW()-3),V_Teknoloji!$AE$2:$AE$19,0))</f>
        <v>0</v>
      </c>
      <c r="AD13" s="8">
        <f>INDEX(V_Teknoloji!AC$2:AC$19,MATCH(LARGE(V_Teknoloji!$AE$2:$AE$19,ROW()-3),V_Teknoloji!$AE$2:$AE$19,0))</f>
        <v>1</v>
      </c>
    </row>
    <row r="14" spans="1:30" x14ac:dyDescent="0.2">
      <c r="A14">
        <v>11</v>
      </c>
      <c r="B14" s="5" t="str">
        <f>INDEX(V_Teknoloji!A$2:A$19,MATCH(LARGE(V_Teknoloji!$AE$2:$AE$19,ROW()-3),V_Teknoloji!$AE$2:$AE$19,0))</f>
        <v>IRT</v>
      </c>
      <c r="C14" s="5" t="str">
        <f>INDEX(V_Teknoloji!B$2:B$19,MATCH(LARGE(V_Teknoloji!$AE$2:$AE$19,ROW()-3),V_Teknoloji!$AE$2:$AE$19,0))</f>
        <v>Inveo Portföy Teknoloji Değişken Fon</v>
      </c>
      <c r="D14" s="5" t="str">
        <f>INDEX(V_Teknoloji!C$2:C$19,MATCH(LARGE(V_Teknoloji!$AE$2:$AE$19,ROW()-3),V_Teknoloji!$AE$2:$AE$19,0))</f>
        <v>Inveo Portföy</v>
      </c>
      <c r="E14" s="8">
        <f>INDEX(V_Teknoloji!D$2:D$19,MATCH(LARGE(V_Teknoloji!$AE$2:$AE$19,ROW()-3),V_Teknoloji!$AE$2:$AE$19,0))</f>
        <v>1.95E-2</v>
      </c>
      <c r="F14" s="9">
        <f>INDEX(V_Teknoloji!E$2:E$19,MATCH(LARGE(V_Teknoloji!$AE$2:$AE$19,ROW()-3),V_Teknoloji!$AE$2:$AE$19,0))</f>
        <v>-1.224622091050565</v>
      </c>
      <c r="G14" s="9">
        <f>INDEX(V_Teknoloji!F$2:F$19,MATCH(LARGE(V_Teknoloji!$AE$2:$AE$19,ROW()-3),V_Teknoloji!$AE$2:$AE$19,0))</f>
        <v>-3.514964394329712</v>
      </c>
      <c r="H14" s="9">
        <f>INDEX(V_Teknoloji!G$2:G$19,MATCH(LARGE(V_Teknoloji!$AE$2:$AE$19,ROW()-3),V_Teknoloji!$AE$2:$AE$19,0))</f>
        <v>0.1272410216425435</v>
      </c>
      <c r="I14" s="9">
        <f>INDEX(V_Teknoloji!H$2:H$19,MATCH(LARGE(V_Teknoloji!$AE$2:$AE$19,ROW()-3),V_Teknoloji!$AE$2:$AE$19,0))</f>
        <v>39.763953871789553</v>
      </c>
      <c r="J14" s="9">
        <f>INDEX(V_Teknoloji!I$2:I$19,MATCH(LARGE(V_Teknoloji!$AE$2:$AE$19,ROW()-3),V_Teknoloji!$AE$2:$AE$19,0))</f>
        <v>77.968606735090134</v>
      </c>
      <c r="K14" s="10">
        <f>INDEX(V_Teknoloji!J$2:J$19,MATCH(LARGE(V_Teknoloji!$AE$2:$AE$19,ROW()-3),V_Teknoloji!$AE$2:$AE$19,0))</f>
        <v>1569</v>
      </c>
      <c r="L14" s="10">
        <f>INDEX(V_Teknoloji!K$2:K$19,MATCH(LARGE(V_Teknoloji!$AE$2:$AE$19,ROW()-3),V_Teknoloji!$AE$2:$AE$19,0))</f>
        <v>1572</v>
      </c>
      <c r="M14" s="8">
        <f>INDEX(V_Teknoloji!L$2:L$19,MATCH(LARGE(V_Teknoloji!$AE$2:$AE$19,ROW()-3),V_Teknoloji!$AE$2:$AE$19,0))</f>
        <v>1.912045889101321E-3</v>
      </c>
      <c r="N14" s="11">
        <f>INDEX(V_Teknoloji!M$2:M$19,MATCH(LARGE(V_Teknoloji!$AE$2:$AE$19,ROW()-3),V_Teknoloji!$AE$2:$AE$19,0))</f>
        <v>128801666.88</v>
      </c>
      <c r="O14" s="11">
        <f>INDEX(V_Teknoloji!N$2:N$19,MATCH(LARGE(V_Teknoloji!$AE$2:$AE$19,ROW()-3),V_Teknoloji!$AE$2:$AE$19,0))</f>
        <v>129665010.48</v>
      </c>
      <c r="P14" s="8">
        <f>INDEX(V_Teknoloji!O$2:O$19,MATCH(LARGE(V_Teknoloji!$AE$2:$AE$19,ROW()-3),V_Teknoloji!$AE$2:$AE$19,0))</f>
        <v>6.7028915146289947E-3</v>
      </c>
      <c r="Q14" s="9">
        <f>INDEX(V_Teknoloji!P$2:P$19,MATCH(LARGE(V_Teknoloji!$AE$2:$AE$19,ROW()-3),V_Teknoloji!$AE$2:$AE$19,0))</f>
        <v>1.6435815996508509</v>
      </c>
      <c r="R14" s="5" t="str">
        <f>INDEX(V_Teknoloji!Q$2:Q$19,MATCH(LARGE(V_Teknoloji!$AE$2:$AE$19,ROW()-3),V_Teknoloji!$AE$2:$AE$19,0))</f>
        <v>Görüyor</v>
      </c>
      <c r="S14" s="8">
        <f>INDEX(V_Teknoloji!R$2:R$19,MATCH(LARGE(V_Teknoloji!$AE$2:$AE$19,ROW()-3),V_Teknoloji!$AE$2:$AE$19,0))</f>
        <v>0.56399999999999995</v>
      </c>
      <c r="T14" s="8">
        <f>INDEX(V_Teknoloji!S$2:S$19,MATCH(LARGE(V_Teknoloji!$AE$2:$AE$19,ROW()-3),V_Teknoloji!$AE$2:$AE$19,0))</f>
        <v>0.1618</v>
      </c>
      <c r="U14" s="8">
        <f>INDEX(V_Teknoloji!T$2:T$19,MATCH(LARGE(V_Teknoloji!$AE$2:$AE$19,ROW()-3),V_Teknoloji!$AE$2:$AE$19,0))</f>
        <v>0</v>
      </c>
      <c r="V14" s="8">
        <f>INDEX(V_Teknoloji!U$2:U$19,MATCH(LARGE(V_Teknoloji!$AE$2:$AE$19,ROW()-3),V_Teknoloji!$AE$2:$AE$19,0))</f>
        <v>0</v>
      </c>
      <c r="W14" s="8">
        <f>INDEX(V_Teknoloji!V$2:V$19,MATCH(LARGE(V_Teknoloji!$AE$2:$AE$19,ROW()-3),V_Teknoloji!$AE$2:$AE$19,0))</f>
        <v>0</v>
      </c>
      <c r="X14" s="8">
        <f>INDEX(V_Teknoloji!W$2:W$19,MATCH(LARGE(V_Teknoloji!$AE$2:$AE$19,ROW()-3),V_Teknoloji!$AE$2:$AE$19,0))</f>
        <v>0.25259999999999999</v>
      </c>
      <c r="Y14" s="8">
        <f>INDEX(V_Teknoloji!X$2:X$19,MATCH(LARGE(V_Teknoloji!$AE$2:$AE$19,ROW()-3),V_Teknoloji!$AE$2:$AE$19,0))</f>
        <v>0</v>
      </c>
      <c r="Z14" s="8">
        <f>INDEX(V_Teknoloji!Y$2:Y$19,MATCH(LARGE(V_Teknoloji!$AE$2:$AE$19,ROW()-3),V_Teknoloji!$AE$2:$AE$19,0))</f>
        <v>2.1600000000000001E-2</v>
      </c>
      <c r="AA14" s="8">
        <f>INDEX(V_Teknoloji!Z$2:Z$19,MATCH(LARGE(V_Teknoloji!$AE$2:$AE$19,ROW()-3),V_Teknoloji!$AE$2:$AE$19,0))</f>
        <v>0</v>
      </c>
      <c r="AB14" s="8">
        <f>INDEX(V_Teknoloji!AA$2:AA$19,MATCH(LARGE(V_Teknoloji!$AE$2:$AE$19,ROW()-3),V_Teknoloji!$AE$2:$AE$19,0))</f>
        <v>0</v>
      </c>
      <c r="AC14" s="8">
        <f>INDEX(V_Teknoloji!AB$2:AB$19,MATCH(LARGE(V_Teknoloji!$AE$2:$AE$19,ROW()-3),V_Teknoloji!$AE$2:$AE$19,0))</f>
        <v>0</v>
      </c>
      <c r="AD14" s="8">
        <f>INDEX(V_Teknoloji!AC$2:AC$19,MATCH(LARGE(V_Teknoloji!$AE$2:$AE$19,ROW()-3),V_Teknoloji!$AE$2:$AE$19,0))</f>
        <v>0.99999999999999989</v>
      </c>
    </row>
    <row r="15" spans="1:30" x14ac:dyDescent="0.2">
      <c r="A15">
        <v>12</v>
      </c>
      <c r="B15" s="5" t="str">
        <f>INDEX(V_Teknoloji!A$2:A$19,MATCH(LARGE(V_Teknoloji!$AE$2:$AE$19,ROW()-3),V_Teknoloji!$AE$2:$AE$19,0))</f>
        <v>MTD</v>
      </c>
      <c r="C15" s="5" t="str">
        <f>INDEX(V_Teknoloji!B$2:B$19,MATCH(LARGE(V_Teknoloji!$AE$2:$AE$19,ROW()-3),V_Teknoloji!$AE$2:$AE$19,0))</f>
        <v>BV Portföy Malzeme Teknolojileri Değişken Fon</v>
      </c>
      <c r="D15" s="5" t="str">
        <f>INDEX(V_Teknoloji!C$2:C$19,MATCH(LARGE(V_Teknoloji!$AE$2:$AE$19,ROW()-3),V_Teknoloji!$AE$2:$AE$19,0))</f>
        <v>BV Portföy</v>
      </c>
      <c r="E15" s="8">
        <f>INDEX(V_Teknoloji!D$2:D$19,MATCH(LARGE(V_Teknoloji!$AE$2:$AE$19,ROW()-3),V_Teknoloji!$AE$2:$AE$19,0))</f>
        <v>2.5000000000000001E-2</v>
      </c>
      <c r="F15" s="9">
        <f>INDEX(V_Teknoloji!E$2:E$19,MATCH(LARGE(V_Teknoloji!$AE$2:$AE$19,ROW()-3),V_Teknoloji!$AE$2:$AE$19,0))</f>
        <v>-1.293333669355667</v>
      </c>
      <c r="G15" s="9">
        <f>INDEX(V_Teknoloji!F$2:F$19,MATCH(LARGE(V_Teknoloji!$AE$2:$AE$19,ROW()-3),V_Teknoloji!$AE$2:$AE$19,0))</f>
        <v>-2.2919585498399009</v>
      </c>
      <c r="H15" s="9">
        <f>INDEX(V_Teknoloji!G$2:G$19,MATCH(LARGE(V_Teknoloji!$AE$2:$AE$19,ROW()-3),V_Teknoloji!$AE$2:$AE$19,0))</f>
        <v>-0.44147359030202171</v>
      </c>
      <c r="I15" s="9">
        <f>INDEX(V_Teknoloji!H$2:H$19,MATCH(LARGE(V_Teknoloji!$AE$2:$AE$19,ROW()-3),V_Teknoloji!$AE$2:$AE$19,0))</f>
        <v>13.644217395455231</v>
      </c>
      <c r="J15" s="9" t="str">
        <f>INDEX(V_Teknoloji!I$2:I$19,MATCH(LARGE(V_Teknoloji!$AE$2:$AE$19,ROW()-3),V_Teknoloji!$AE$2:$AE$19,0))</f>
        <v>-</v>
      </c>
      <c r="K15" s="10">
        <f>INDEX(V_Teknoloji!J$2:J$19,MATCH(LARGE(V_Teknoloji!$AE$2:$AE$19,ROW()-3),V_Teknoloji!$AE$2:$AE$19,0))</f>
        <v>1937</v>
      </c>
      <c r="L15" s="10">
        <f>INDEX(V_Teknoloji!K$2:K$19,MATCH(LARGE(V_Teknoloji!$AE$2:$AE$19,ROW()-3),V_Teknoloji!$AE$2:$AE$19,0))</f>
        <v>1627</v>
      </c>
      <c r="M15" s="8">
        <f>INDEX(V_Teknoloji!L$2:L$19,MATCH(LARGE(V_Teknoloji!$AE$2:$AE$19,ROW()-3),V_Teknoloji!$AE$2:$AE$19,0))</f>
        <v>-0.1600413009808983</v>
      </c>
      <c r="N15" s="11">
        <f>INDEX(V_Teknoloji!M$2:M$19,MATCH(LARGE(V_Teknoloji!$AE$2:$AE$19,ROW()-3),V_Teknoloji!$AE$2:$AE$19,0))</f>
        <v>164782912.25999999</v>
      </c>
      <c r="O15" s="11">
        <f>INDEX(V_Teknoloji!N$2:N$19,MATCH(LARGE(V_Teknoloji!$AE$2:$AE$19,ROW()-3),V_Teknoloji!$AE$2:$AE$19,0))</f>
        <v>150052992.40000001</v>
      </c>
      <c r="P15" s="8">
        <f>INDEX(V_Teknoloji!O$2:O$19,MATCH(LARGE(V_Teknoloji!$AE$2:$AE$19,ROW()-3),V_Teknoloji!$AE$2:$AE$19,0))</f>
        <v>-8.9389850306557439E-2</v>
      </c>
      <c r="Q15" s="9">
        <f>INDEX(V_Teknoloji!P$2:P$19,MATCH(LARGE(V_Teknoloji!$AE$2:$AE$19,ROW()-3),V_Teknoloji!$AE$2:$AE$19,0))</f>
        <v>1.6157244050006581</v>
      </c>
      <c r="R15" s="5" t="str">
        <f>INDEX(V_Teknoloji!Q$2:Q$19,MATCH(LARGE(V_Teknoloji!$AE$2:$AE$19,ROW()-3),V_Teknoloji!$AE$2:$AE$19,0))</f>
        <v>Görüyor</v>
      </c>
      <c r="S15" s="8">
        <f>INDEX(V_Teknoloji!R$2:R$19,MATCH(LARGE(V_Teknoloji!$AE$2:$AE$19,ROW()-3),V_Teknoloji!$AE$2:$AE$19,0))</f>
        <v>0.68110000000000004</v>
      </c>
      <c r="T15" s="8">
        <f>INDEX(V_Teknoloji!S$2:S$19,MATCH(LARGE(V_Teknoloji!$AE$2:$AE$19,ROW()-3),V_Teknoloji!$AE$2:$AE$19,0))</f>
        <v>0</v>
      </c>
      <c r="U15" s="8">
        <f>INDEX(V_Teknoloji!T$2:T$19,MATCH(LARGE(V_Teknoloji!$AE$2:$AE$19,ROW()-3),V_Teknoloji!$AE$2:$AE$19,0))</f>
        <v>0</v>
      </c>
      <c r="V15" s="8">
        <f>INDEX(V_Teknoloji!U$2:U$19,MATCH(LARGE(V_Teknoloji!$AE$2:$AE$19,ROW()-3),V_Teknoloji!$AE$2:$AE$19,0))</f>
        <v>1E-4</v>
      </c>
      <c r="W15" s="8">
        <f>INDEX(V_Teknoloji!V$2:V$19,MATCH(LARGE(V_Teknoloji!$AE$2:$AE$19,ROW()-3),V_Teknoloji!$AE$2:$AE$19,0))</f>
        <v>0</v>
      </c>
      <c r="X15" s="8">
        <f>INDEX(V_Teknoloji!W$2:W$19,MATCH(LARGE(V_Teknoloji!$AE$2:$AE$19,ROW()-3),V_Teknoloji!$AE$2:$AE$19,0))</f>
        <v>0.30159999999999998</v>
      </c>
      <c r="Y15" s="8">
        <f>INDEX(V_Teknoloji!X$2:X$19,MATCH(LARGE(V_Teknoloji!$AE$2:$AE$19,ROW()-3),V_Teknoloji!$AE$2:$AE$19,0))</f>
        <v>0</v>
      </c>
      <c r="Z15" s="8">
        <f>INDEX(V_Teknoloji!Y$2:Y$19,MATCH(LARGE(V_Teknoloji!$AE$2:$AE$19,ROW()-3),V_Teknoloji!$AE$2:$AE$19,0))</f>
        <v>1.72E-2</v>
      </c>
      <c r="AA15" s="8">
        <f>INDEX(V_Teknoloji!Z$2:Z$19,MATCH(LARGE(V_Teknoloji!$AE$2:$AE$19,ROW()-3),V_Teknoloji!$AE$2:$AE$19,0))</f>
        <v>0</v>
      </c>
      <c r="AB15" s="8">
        <f>INDEX(V_Teknoloji!AA$2:AA$19,MATCH(LARGE(V_Teknoloji!$AE$2:$AE$19,ROW()-3),V_Teknoloji!$AE$2:$AE$19,0))</f>
        <v>0</v>
      </c>
      <c r="AC15" s="8">
        <f>INDEX(V_Teknoloji!AB$2:AB$19,MATCH(LARGE(V_Teknoloji!$AE$2:$AE$19,ROW()-3),V_Teknoloji!$AE$2:$AE$19,0))</f>
        <v>0</v>
      </c>
      <c r="AD15" s="8">
        <f>INDEX(V_Teknoloji!AC$2:AC$19,MATCH(LARGE(V_Teknoloji!$AE$2:$AE$19,ROW()-3),V_Teknoloji!$AE$2:$AE$19,0))</f>
        <v>1</v>
      </c>
    </row>
    <row r="16" spans="1:30" x14ac:dyDescent="0.2">
      <c r="A16">
        <v>13</v>
      </c>
      <c r="B16" s="5" t="str">
        <f>INDEX(V_Teknoloji!A$2:A$19,MATCH(LARGE(V_Teknoloji!$AE$2:$AE$19,ROW()-3),V_Teknoloji!$AE$2:$AE$19,0))</f>
        <v>TEJ</v>
      </c>
      <c r="C16" s="5" t="str">
        <f>INDEX(V_Teknoloji!B$2:B$19,MATCH(LARGE(V_Teknoloji!$AE$2:$AE$19,ROW()-3),V_Teknoloji!$AE$2:$AE$19,0))</f>
        <v>Azimut Portföy Teknoloji Fon Sepeti Fonu</v>
      </c>
      <c r="D16" s="5" t="str">
        <f>INDEX(V_Teknoloji!C$2:C$19,MATCH(LARGE(V_Teknoloji!$AE$2:$AE$19,ROW()-3),V_Teknoloji!$AE$2:$AE$19,0))</f>
        <v>Azimut Portföy</v>
      </c>
      <c r="E16" s="8">
        <f>INDEX(V_Teknoloji!D$2:D$19,MATCH(LARGE(V_Teknoloji!$AE$2:$AE$19,ROW()-3),V_Teknoloji!$AE$2:$AE$19,0))</f>
        <v>2.835E-2</v>
      </c>
      <c r="F16" s="9">
        <f>INDEX(V_Teknoloji!E$2:E$19,MATCH(LARGE(V_Teknoloji!$AE$2:$AE$19,ROW()-3),V_Teknoloji!$AE$2:$AE$19,0))</f>
        <v>-1.309237439191324</v>
      </c>
      <c r="G16" s="9">
        <f>INDEX(V_Teknoloji!F$2:F$19,MATCH(LARGE(V_Teknoloji!$AE$2:$AE$19,ROW()-3),V_Teknoloji!$AE$2:$AE$19,0))</f>
        <v>-1.2509731564670279</v>
      </c>
      <c r="H16" s="9">
        <f>INDEX(V_Teknoloji!G$2:G$19,MATCH(LARGE(V_Teknoloji!$AE$2:$AE$19,ROW()-3),V_Teknoloji!$AE$2:$AE$19,0))</f>
        <v>1.7598291603842851</v>
      </c>
      <c r="I16" s="9">
        <f>INDEX(V_Teknoloji!H$2:H$19,MATCH(LARGE(V_Teknoloji!$AE$2:$AE$19,ROW()-3),V_Teknoloji!$AE$2:$AE$19,0))</f>
        <v>39.838952772882052</v>
      </c>
      <c r="J16" s="9">
        <f>INDEX(V_Teknoloji!I$2:I$19,MATCH(LARGE(V_Teknoloji!$AE$2:$AE$19,ROW()-3),V_Teknoloji!$AE$2:$AE$19,0))</f>
        <v>69.691808780110037</v>
      </c>
      <c r="K16" s="10">
        <f>INDEX(V_Teknoloji!J$2:J$19,MATCH(LARGE(V_Teknoloji!$AE$2:$AE$19,ROW()-3),V_Teknoloji!$AE$2:$AE$19,0))</f>
        <v>1342</v>
      </c>
      <c r="L16" s="10">
        <f>INDEX(V_Teknoloji!K$2:K$19,MATCH(LARGE(V_Teknoloji!$AE$2:$AE$19,ROW()-3),V_Teknoloji!$AE$2:$AE$19,0))</f>
        <v>1331</v>
      </c>
      <c r="M16" s="8">
        <f>INDEX(V_Teknoloji!L$2:L$19,MATCH(LARGE(V_Teknoloji!$AE$2:$AE$19,ROW()-3),V_Teknoloji!$AE$2:$AE$19,0))</f>
        <v>-8.1967213114754189E-3</v>
      </c>
      <c r="N16" s="11">
        <f>INDEX(V_Teknoloji!M$2:M$19,MATCH(LARGE(V_Teknoloji!$AE$2:$AE$19,ROW()-3),V_Teknoloji!$AE$2:$AE$19,0))</f>
        <v>637062699.86000001</v>
      </c>
      <c r="O16" s="11">
        <f>INDEX(V_Teknoloji!N$2:N$19,MATCH(LARGE(V_Teknoloji!$AE$2:$AE$19,ROW()-3),V_Teknoloji!$AE$2:$AE$19,0))</f>
        <v>684187575.24000001</v>
      </c>
      <c r="P16" s="8">
        <f>INDEX(V_Teknoloji!O$2:O$19,MATCH(LARGE(V_Teknoloji!$AE$2:$AE$19,ROW()-3),V_Teknoloji!$AE$2:$AE$19,0))</f>
        <v>7.3972115131455851E-2</v>
      </c>
      <c r="Q16" s="9">
        <f>INDEX(V_Teknoloji!P$2:P$19,MATCH(LARGE(V_Teknoloji!$AE$2:$AE$19,ROW()-3),V_Teknoloji!$AE$2:$AE$19,0))</f>
        <v>1.5601430573102</v>
      </c>
      <c r="R16" s="5" t="str">
        <f>INDEX(V_Teknoloji!Q$2:Q$19,MATCH(LARGE(V_Teknoloji!$AE$2:$AE$19,ROW()-3),V_Teknoloji!$AE$2:$AE$19,0))</f>
        <v>Görüyor</v>
      </c>
      <c r="S16" s="8">
        <f>INDEX(V_Teknoloji!R$2:R$19,MATCH(LARGE(V_Teknoloji!$AE$2:$AE$19,ROW()-3),V_Teknoloji!$AE$2:$AE$19,0))</f>
        <v>0</v>
      </c>
      <c r="T16" s="8">
        <f>INDEX(V_Teknoloji!S$2:S$19,MATCH(LARGE(V_Teknoloji!$AE$2:$AE$19,ROW()-3),V_Teknoloji!$AE$2:$AE$19,0))</f>
        <v>0.7611</v>
      </c>
      <c r="U16" s="8">
        <f>INDEX(V_Teknoloji!T$2:T$19,MATCH(LARGE(V_Teknoloji!$AE$2:$AE$19,ROW()-3),V_Teknoloji!$AE$2:$AE$19,0))</f>
        <v>0</v>
      </c>
      <c r="V16" s="8">
        <f>INDEX(V_Teknoloji!U$2:U$19,MATCH(LARGE(V_Teknoloji!$AE$2:$AE$19,ROW()-3),V_Teknoloji!$AE$2:$AE$19,0))</f>
        <v>0</v>
      </c>
      <c r="W16" s="8">
        <f>INDEX(V_Teknoloji!V$2:V$19,MATCH(LARGE(V_Teknoloji!$AE$2:$AE$19,ROW()-3),V_Teknoloji!$AE$2:$AE$19,0))</f>
        <v>0</v>
      </c>
      <c r="X16" s="8">
        <f>INDEX(V_Teknoloji!W$2:W$19,MATCH(LARGE(V_Teknoloji!$AE$2:$AE$19,ROW()-3),V_Teknoloji!$AE$2:$AE$19,0))</f>
        <v>6.7699999999999996E-2</v>
      </c>
      <c r="Y16" s="8">
        <f>INDEX(V_Teknoloji!X$2:X$19,MATCH(LARGE(V_Teknoloji!$AE$2:$AE$19,ROW()-3),V_Teknoloji!$AE$2:$AE$19,0))</f>
        <v>0</v>
      </c>
      <c r="Z16" s="8">
        <f>INDEX(V_Teknoloji!Y$2:Y$19,MATCH(LARGE(V_Teknoloji!$AE$2:$AE$19,ROW()-3),V_Teknoloji!$AE$2:$AE$19,0))</f>
        <v>0.17119999999999999</v>
      </c>
      <c r="AA16" s="8">
        <f>INDEX(V_Teknoloji!Z$2:Z$19,MATCH(LARGE(V_Teknoloji!$AE$2:$AE$19,ROW()-3),V_Teknoloji!$AE$2:$AE$19,0))</f>
        <v>0</v>
      </c>
      <c r="AB16" s="8">
        <f>INDEX(V_Teknoloji!AA$2:AA$19,MATCH(LARGE(V_Teknoloji!$AE$2:$AE$19,ROW()-3),V_Teknoloji!$AE$2:$AE$19,0))</f>
        <v>0</v>
      </c>
      <c r="AC16" s="8">
        <f>INDEX(V_Teknoloji!AB$2:AB$19,MATCH(LARGE(V_Teknoloji!$AE$2:$AE$19,ROW()-3),V_Teknoloji!$AE$2:$AE$19,0))</f>
        <v>0</v>
      </c>
      <c r="AD16" s="8">
        <f>INDEX(V_Teknoloji!AC$2:AC$19,MATCH(LARGE(V_Teknoloji!$AE$2:$AE$19,ROW()-3),V_Teknoloji!$AE$2:$AE$19,0))</f>
        <v>1</v>
      </c>
    </row>
    <row r="17" spans="1:30" x14ac:dyDescent="0.2">
      <c r="A17">
        <v>14</v>
      </c>
      <c r="B17" s="5" t="str">
        <f>INDEX(V_Teknoloji!A$2:A$19,MATCH(LARGE(V_Teknoloji!$AE$2:$AE$19,ROW()-3),V_Teknoloji!$AE$2:$AE$19,0))</f>
        <v>BVV</v>
      </c>
      <c r="C17" s="5" t="str">
        <f>INDEX(V_Teknoloji!B$2:B$19,MATCH(LARGE(V_Teknoloji!$AE$2:$AE$19,ROW()-3),V_Teknoloji!$AE$2:$AE$19,0))</f>
        <v>BV Portföy Teknoloji Değişken Fon</v>
      </c>
      <c r="D17" s="5" t="str">
        <f>INDEX(V_Teknoloji!C$2:C$19,MATCH(LARGE(V_Teknoloji!$AE$2:$AE$19,ROW()-3),V_Teknoloji!$AE$2:$AE$19,0))</f>
        <v>BV Portföy</v>
      </c>
      <c r="E17" s="8">
        <f>INDEX(V_Teknoloji!D$2:D$19,MATCH(LARGE(V_Teknoloji!$AE$2:$AE$19,ROW()-3),V_Teknoloji!$AE$2:$AE$19,0))</f>
        <v>2.5000000000000001E-2</v>
      </c>
      <c r="F17" s="9">
        <f>INDEX(V_Teknoloji!E$2:E$19,MATCH(LARGE(V_Teknoloji!$AE$2:$AE$19,ROW()-3),V_Teknoloji!$AE$2:$AE$19,0))</f>
        <v>-1.7823745342913531</v>
      </c>
      <c r="G17" s="9">
        <f>INDEX(V_Teknoloji!F$2:F$19,MATCH(LARGE(V_Teknoloji!$AE$2:$AE$19,ROW()-3),V_Teknoloji!$AE$2:$AE$19,0))</f>
        <v>-2.8714488558126638</v>
      </c>
      <c r="H17" s="9">
        <f>INDEX(V_Teknoloji!G$2:G$19,MATCH(LARGE(V_Teknoloji!$AE$2:$AE$19,ROW()-3),V_Teknoloji!$AE$2:$AE$19,0))</f>
        <v>2.533403662587741</v>
      </c>
      <c r="I17" s="9">
        <f>INDEX(V_Teknoloji!H$2:H$19,MATCH(LARGE(V_Teknoloji!$AE$2:$AE$19,ROW()-3),V_Teknoloji!$AE$2:$AE$19,0))</f>
        <v>49.821867453003009</v>
      </c>
      <c r="J17" s="9">
        <f>INDEX(V_Teknoloji!I$2:I$19,MATCH(LARGE(V_Teknoloji!$AE$2:$AE$19,ROW()-3),V_Teknoloji!$AE$2:$AE$19,0))</f>
        <v>86.302255263518603</v>
      </c>
      <c r="K17" s="10">
        <f>INDEX(V_Teknoloji!J$2:J$19,MATCH(LARGE(V_Teknoloji!$AE$2:$AE$19,ROW()-3),V_Teknoloji!$AE$2:$AE$19,0))</f>
        <v>1106</v>
      </c>
      <c r="L17" s="10">
        <f>INDEX(V_Teknoloji!K$2:K$19,MATCH(LARGE(V_Teknoloji!$AE$2:$AE$19,ROW()-3),V_Teknoloji!$AE$2:$AE$19,0))</f>
        <v>1063</v>
      </c>
      <c r="M17" s="8">
        <f>INDEX(V_Teknoloji!L$2:L$19,MATCH(LARGE(V_Teknoloji!$AE$2:$AE$19,ROW()-3),V_Teknoloji!$AE$2:$AE$19,0))</f>
        <v>-3.8878842676311032E-2</v>
      </c>
      <c r="N17" s="11">
        <f>INDEX(V_Teknoloji!M$2:M$19,MATCH(LARGE(V_Teknoloji!$AE$2:$AE$19,ROW()-3),V_Teknoloji!$AE$2:$AE$19,0))</f>
        <v>174659317.24000001</v>
      </c>
      <c r="O17" s="11">
        <f>INDEX(V_Teknoloji!N$2:N$19,MATCH(LARGE(V_Teknoloji!$AE$2:$AE$19,ROW()-3),V_Teknoloji!$AE$2:$AE$19,0))</f>
        <v>171171069.58000001</v>
      </c>
      <c r="P17" s="8">
        <f>INDEX(V_Teknoloji!O$2:O$19,MATCH(LARGE(V_Teknoloji!$AE$2:$AE$19,ROW()-3),V_Teknoloji!$AE$2:$AE$19,0))</f>
        <v>-1.9971723897252991E-2</v>
      </c>
      <c r="Q17" s="9">
        <f>INDEX(V_Teknoloji!P$2:P$19,MATCH(LARGE(V_Teknoloji!$AE$2:$AE$19,ROW()-3),V_Teknoloji!$AE$2:$AE$19,0))</f>
        <v>1.821770437346486</v>
      </c>
      <c r="R17" s="5" t="str">
        <f>INDEX(V_Teknoloji!Q$2:Q$19,MATCH(LARGE(V_Teknoloji!$AE$2:$AE$19,ROW()-3),V_Teknoloji!$AE$2:$AE$19,0))</f>
        <v>Görüyor</v>
      </c>
      <c r="S17" s="8">
        <f>INDEX(V_Teknoloji!R$2:R$19,MATCH(LARGE(V_Teknoloji!$AE$2:$AE$19,ROW()-3),V_Teknoloji!$AE$2:$AE$19,0))</f>
        <v>0.71279999999999999</v>
      </c>
      <c r="T17" s="8">
        <f>INDEX(V_Teknoloji!S$2:S$19,MATCH(LARGE(V_Teknoloji!$AE$2:$AE$19,ROW()-3),V_Teknoloji!$AE$2:$AE$19,0))</f>
        <v>0</v>
      </c>
      <c r="U17" s="8">
        <f>INDEX(V_Teknoloji!T$2:T$19,MATCH(LARGE(V_Teknoloji!$AE$2:$AE$19,ROW()-3),V_Teknoloji!$AE$2:$AE$19,0))</f>
        <v>0</v>
      </c>
      <c r="V17" s="8">
        <f>INDEX(V_Teknoloji!U$2:U$19,MATCH(LARGE(V_Teknoloji!$AE$2:$AE$19,ROW()-3),V_Teknoloji!$AE$2:$AE$19,0))</f>
        <v>0</v>
      </c>
      <c r="W17" s="8">
        <f>INDEX(V_Teknoloji!V$2:V$19,MATCH(LARGE(V_Teknoloji!$AE$2:$AE$19,ROW()-3),V_Teknoloji!$AE$2:$AE$19,0))</f>
        <v>0</v>
      </c>
      <c r="X17" s="8">
        <f>INDEX(V_Teknoloji!W$2:W$19,MATCH(LARGE(V_Teknoloji!$AE$2:$AE$19,ROW()-3),V_Teknoloji!$AE$2:$AE$19,0))</f>
        <v>0.14660000000000001</v>
      </c>
      <c r="Y17" s="8">
        <f>INDEX(V_Teknoloji!X$2:X$19,MATCH(LARGE(V_Teknoloji!$AE$2:$AE$19,ROW()-3),V_Teknoloji!$AE$2:$AE$19,0))</f>
        <v>0</v>
      </c>
      <c r="Z17" s="8">
        <f>INDEX(V_Teknoloji!Y$2:Y$19,MATCH(LARGE(V_Teknoloji!$AE$2:$AE$19,ROW()-3),V_Teknoloji!$AE$2:$AE$19,0))</f>
        <v>9.6099999999999991E-2</v>
      </c>
      <c r="AA17" s="8">
        <f>INDEX(V_Teknoloji!Z$2:Z$19,MATCH(LARGE(V_Teknoloji!$AE$2:$AE$19,ROW()-3),V_Teknoloji!$AE$2:$AE$19,0))</f>
        <v>0</v>
      </c>
      <c r="AB17" s="8">
        <f>INDEX(V_Teknoloji!AA$2:AA$19,MATCH(LARGE(V_Teknoloji!$AE$2:$AE$19,ROW()-3),V_Teknoloji!$AE$2:$AE$19,0))</f>
        <v>0</v>
      </c>
      <c r="AC17" s="8">
        <f>INDEX(V_Teknoloji!AB$2:AB$19,MATCH(LARGE(V_Teknoloji!$AE$2:$AE$19,ROW()-3),V_Teknoloji!$AE$2:$AE$19,0))</f>
        <v>0</v>
      </c>
      <c r="AD17" s="8">
        <f>INDEX(V_Teknoloji!AC$2:AC$19,MATCH(LARGE(V_Teknoloji!$AE$2:$AE$19,ROW()-3),V_Teknoloji!$AE$2:$AE$19,0))</f>
        <v>0.95550000000000002</v>
      </c>
    </row>
    <row r="18" spans="1:30" x14ac:dyDescent="0.2">
      <c r="A18">
        <v>15</v>
      </c>
      <c r="B18" s="5" t="str">
        <f>INDEX(V_Teknoloji!A$2:A$19,MATCH(LARGE(V_Teknoloji!$AE$2:$AE$19,ROW()-3),V_Teknoloji!$AE$2:$AE$19,0))</f>
        <v>NTI</v>
      </c>
      <c r="C18" s="5" t="str">
        <f>INDEX(V_Teknoloji!B$2:B$19,MATCH(LARGE(V_Teknoloji!$AE$2:$AE$19,ROW()-3),V_Teknoloji!$AE$2:$AE$19,0))</f>
        <v>Neo Portföy Teknoloji VE İnovasyon Değişken Fon</v>
      </c>
      <c r="D18" s="5" t="str">
        <f>INDEX(V_Teknoloji!C$2:C$19,MATCH(LARGE(V_Teknoloji!$AE$2:$AE$19,ROW()-3),V_Teknoloji!$AE$2:$AE$19,0))</f>
        <v>Neo Portföy</v>
      </c>
      <c r="E18" s="8">
        <f>INDEX(V_Teknoloji!D$2:D$19,MATCH(LARGE(V_Teknoloji!$AE$2:$AE$19,ROW()-3),V_Teknoloji!$AE$2:$AE$19,0))</f>
        <v>2.2499999999999999E-2</v>
      </c>
      <c r="F18" s="9">
        <f>INDEX(V_Teknoloji!E$2:E$19,MATCH(LARGE(V_Teknoloji!$AE$2:$AE$19,ROW()-3),V_Teknoloji!$AE$2:$AE$19,0))</f>
        <v>-1.8384052551451371</v>
      </c>
      <c r="G18" s="9">
        <f>INDEX(V_Teknoloji!F$2:F$19,MATCH(LARGE(V_Teknoloji!$AE$2:$AE$19,ROW()-3),V_Teknoloji!$AE$2:$AE$19,0))</f>
        <v>-3.6884919857466341</v>
      </c>
      <c r="H18" s="9">
        <f>INDEX(V_Teknoloji!G$2:G$19,MATCH(LARGE(V_Teknoloji!$AE$2:$AE$19,ROW()-3),V_Teknoloji!$AE$2:$AE$19,0))</f>
        <v>-2.0092901885219621</v>
      </c>
      <c r="I18" s="9">
        <f>INDEX(V_Teknoloji!H$2:H$19,MATCH(LARGE(V_Teknoloji!$AE$2:$AE$19,ROW()-3),V_Teknoloji!$AE$2:$AE$19,0))</f>
        <v>41.849978358479767</v>
      </c>
      <c r="J18" s="9" t="str">
        <f>INDEX(V_Teknoloji!I$2:I$19,MATCH(LARGE(V_Teknoloji!$AE$2:$AE$19,ROW()-3),V_Teknoloji!$AE$2:$AE$19,0))</f>
        <v>-</v>
      </c>
      <c r="K18" s="10">
        <f>INDEX(V_Teknoloji!J$2:J$19,MATCH(LARGE(V_Teknoloji!$AE$2:$AE$19,ROW()-3),V_Teknoloji!$AE$2:$AE$19,0))</f>
        <v>1993</v>
      </c>
      <c r="L18" s="10">
        <f>INDEX(V_Teknoloji!K$2:K$19,MATCH(LARGE(V_Teknoloji!$AE$2:$AE$19,ROW()-3),V_Teknoloji!$AE$2:$AE$19,0))</f>
        <v>2042</v>
      </c>
      <c r="M18" s="8">
        <f>INDEX(V_Teknoloji!L$2:L$19,MATCH(LARGE(V_Teknoloji!$AE$2:$AE$19,ROW()-3),V_Teknoloji!$AE$2:$AE$19,0))</f>
        <v>2.458605117912693E-2</v>
      </c>
      <c r="N18" s="11">
        <f>INDEX(V_Teknoloji!M$2:M$19,MATCH(LARGE(V_Teknoloji!$AE$2:$AE$19,ROW()-3),V_Teknoloji!$AE$2:$AE$19,0))</f>
        <v>382100625.63999999</v>
      </c>
      <c r="O18" s="11">
        <f>INDEX(V_Teknoloji!N$2:N$19,MATCH(LARGE(V_Teknoloji!$AE$2:$AE$19,ROW()-3),V_Teknoloji!$AE$2:$AE$19,0))</f>
        <v>419447225.36000001</v>
      </c>
      <c r="P18" s="8">
        <f>INDEX(V_Teknoloji!O$2:O$19,MATCH(LARGE(V_Teknoloji!$AE$2:$AE$19,ROW()-3),V_Teknoloji!$AE$2:$AE$19,0))</f>
        <v>9.7740221328992405E-2</v>
      </c>
      <c r="Q18" s="9">
        <f>INDEX(V_Teknoloji!P$2:P$19,MATCH(LARGE(V_Teknoloji!$AE$2:$AE$19,ROW()-3),V_Teknoloji!$AE$2:$AE$19,0))</f>
        <v>2.316053669628547</v>
      </c>
      <c r="R18" s="5" t="str">
        <f>INDEX(V_Teknoloji!Q$2:Q$19,MATCH(LARGE(V_Teknoloji!$AE$2:$AE$19,ROW()-3),V_Teknoloji!$AE$2:$AE$19,0))</f>
        <v>Görüyor</v>
      </c>
      <c r="S18" s="8">
        <f>INDEX(V_Teknoloji!R$2:R$19,MATCH(LARGE(V_Teknoloji!$AE$2:$AE$19,ROW()-3),V_Teknoloji!$AE$2:$AE$19,0))</f>
        <v>0.76829999999999998</v>
      </c>
      <c r="T18" s="8">
        <f>INDEX(V_Teknoloji!S$2:S$19,MATCH(LARGE(V_Teknoloji!$AE$2:$AE$19,ROW()-3),V_Teknoloji!$AE$2:$AE$19,0))</f>
        <v>0</v>
      </c>
      <c r="U18" s="8">
        <f>INDEX(V_Teknoloji!T$2:T$19,MATCH(LARGE(V_Teknoloji!$AE$2:$AE$19,ROW()-3),V_Teknoloji!$AE$2:$AE$19,0))</f>
        <v>0</v>
      </c>
      <c r="V18" s="8">
        <f>INDEX(V_Teknoloji!U$2:U$19,MATCH(LARGE(V_Teknoloji!$AE$2:$AE$19,ROW()-3),V_Teknoloji!$AE$2:$AE$19,0))</f>
        <v>6.7000000000000002E-3</v>
      </c>
      <c r="W18" s="8">
        <f>INDEX(V_Teknoloji!V$2:V$19,MATCH(LARGE(V_Teknoloji!$AE$2:$AE$19,ROW()-3),V_Teknoloji!$AE$2:$AE$19,0))</f>
        <v>0</v>
      </c>
      <c r="X18" s="8">
        <f>INDEX(V_Teknoloji!W$2:W$19,MATCH(LARGE(V_Teknoloji!$AE$2:$AE$19,ROW()-3),V_Teknoloji!$AE$2:$AE$19,0))</f>
        <v>4.24E-2</v>
      </c>
      <c r="Y18" s="8">
        <f>INDEX(V_Teknoloji!X$2:X$19,MATCH(LARGE(V_Teknoloji!$AE$2:$AE$19,ROW()-3),V_Teknoloji!$AE$2:$AE$19,0))</f>
        <v>0</v>
      </c>
      <c r="Z18" s="8">
        <f>INDEX(V_Teknoloji!Y$2:Y$19,MATCH(LARGE(V_Teknoloji!$AE$2:$AE$19,ROW()-3),V_Teknoloji!$AE$2:$AE$19,0))</f>
        <v>0.18260000000000001</v>
      </c>
      <c r="AA18" s="8">
        <f>INDEX(V_Teknoloji!Z$2:Z$19,MATCH(LARGE(V_Teknoloji!$AE$2:$AE$19,ROW()-3),V_Teknoloji!$AE$2:$AE$19,0))</f>
        <v>0</v>
      </c>
      <c r="AB18" s="8">
        <f>INDEX(V_Teknoloji!AA$2:AA$19,MATCH(LARGE(V_Teknoloji!$AE$2:$AE$19,ROW()-3),V_Teknoloji!$AE$2:$AE$19,0))</f>
        <v>0</v>
      </c>
      <c r="AC18" s="8">
        <f>INDEX(V_Teknoloji!AB$2:AB$19,MATCH(LARGE(V_Teknoloji!$AE$2:$AE$19,ROW()-3),V_Teknoloji!$AE$2:$AE$19,0))</f>
        <v>0</v>
      </c>
      <c r="AD18" s="8">
        <f>INDEX(V_Teknoloji!AC$2:AC$19,MATCH(LARGE(V_Teknoloji!$AE$2:$AE$19,ROW()-3),V_Teknoloji!$AE$2:$AE$19,0))</f>
        <v>1</v>
      </c>
    </row>
    <row r="19" spans="1:30" x14ac:dyDescent="0.2">
      <c r="A19">
        <v>16</v>
      </c>
      <c r="B19" s="5" t="str">
        <f>INDEX(V_Teknoloji!A$2:A$19,MATCH(LARGE(V_Teknoloji!$AE$2:$AE$19,ROW()-3),V_Teknoloji!$AE$2:$AE$19,0))</f>
        <v>GUH</v>
      </c>
      <c r="C19" s="5" t="str">
        <f>INDEX(V_Teknoloji!B$2:B$19,MATCH(LARGE(V_Teknoloji!$AE$2:$AE$19,ROW()-3),V_Teknoloji!$AE$2:$AE$19,0))</f>
        <v>Garanti Portföy Yabancı Teknoloji Hisse Senedi Fonu</v>
      </c>
      <c r="D19" s="5" t="str">
        <f>INDEX(V_Teknoloji!C$2:C$19,MATCH(LARGE(V_Teknoloji!$AE$2:$AE$19,ROW()-3),V_Teknoloji!$AE$2:$AE$19,0))</f>
        <v>Garanti Portföy</v>
      </c>
      <c r="E19" s="8">
        <f>INDEX(V_Teknoloji!D$2:D$19,MATCH(LARGE(V_Teknoloji!$AE$2:$AE$19,ROW()-3),V_Teknoloji!$AE$2:$AE$19,0))</f>
        <v>0.03</v>
      </c>
      <c r="F19" s="9">
        <f>INDEX(V_Teknoloji!E$2:E$19,MATCH(LARGE(V_Teknoloji!$AE$2:$AE$19,ROW()-3),V_Teknoloji!$AE$2:$AE$19,0))</f>
        <v>-1.913634812137333</v>
      </c>
      <c r="G19" s="9">
        <f>INDEX(V_Teknoloji!F$2:F$19,MATCH(LARGE(V_Teknoloji!$AE$2:$AE$19,ROW()-3),V_Teknoloji!$AE$2:$AE$19,0))</f>
        <v>-1.6465735692581029</v>
      </c>
      <c r="H19" s="9">
        <f>INDEX(V_Teknoloji!G$2:G$19,MATCH(LARGE(V_Teknoloji!$AE$2:$AE$19,ROW()-3),V_Teknoloji!$AE$2:$AE$19,0))</f>
        <v>3.72641345720004</v>
      </c>
      <c r="I19" s="9">
        <f>INDEX(V_Teknoloji!H$2:H$19,MATCH(LARGE(V_Teknoloji!$AE$2:$AE$19,ROW()-3),V_Teknoloji!$AE$2:$AE$19,0))</f>
        <v>41.783161490290333</v>
      </c>
      <c r="J19" s="9">
        <f>INDEX(V_Teknoloji!I$2:I$19,MATCH(LARGE(V_Teknoloji!$AE$2:$AE$19,ROW()-3),V_Teknoloji!$AE$2:$AE$19,0))</f>
        <v>83.511062897844738</v>
      </c>
      <c r="K19" s="10">
        <f>INDEX(V_Teknoloji!J$2:J$19,MATCH(LARGE(V_Teknoloji!$AE$2:$AE$19,ROW()-3),V_Teknoloji!$AE$2:$AE$19,0))</f>
        <v>38050</v>
      </c>
      <c r="L19" s="10">
        <f>INDEX(V_Teknoloji!K$2:K$19,MATCH(LARGE(V_Teknoloji!$AE$2:$AE$19,ROW()-3),V_Teknoloji!$AE$2:$AE$19,0))</f>
        <v>38737</v>
      </c>
      <c r="M19" s="8">
        <f>INDEX(V_Teknoloji!L$2:L$19,MATCH(LARGE(V_Teknoloji!$AE$2:$AE$19,ROW()-3),V_Teknoloji!$AE$2:$AE$19,0))</f>
        <v>1.8055190538764702E-2</v>
      </c>
      <c r="N19" s="11">
        <f>INDEX(V_Teknoloji!M$2:M$19,MATCH(LARGE(V_Teknoloji!$AE$2:$AE$19,ROW()-3),V_Teknoloji!$AE$2:$AE$19,0))</f>
        <v>4238721092.3099999</v>
      </c>
      <c r="O19" s="11">
        <f>INDEX(V_Teknoloji!N$2:N$19,MATCH(LARGE(V_Teknoloji!$AE$2:$AE$19,ROW()-3),V_Teknoloji!$AE$2:$AE$19,0))</f>
        <v>4669084051.6999998</v>
      </c>
      <c r="P19" s="8">
        <f>INDEX(V_Teknoloji!O$2:O$19,MATCH(LARGE(V_Teknoloji!$AE$2:$AE$19,ROW()-3),V_Teknoloji!$AE$2:$AE$19,0))</f>
        <v>0.1015313227781784</v>
      </c>
      <c r="Q19" s="9">
        <f>INDEX(V_Teknoloji!P$2:P$19,MATCH(LARGE(V_Teknoloji!$AE$2:$AE$19,ROW()-3),V_Teknoloji!$AE$2:$AE$19,0))</f>
        <v>2.284442681529729</v>
      </c>
      <c r="R19" s="5" t="str">
        <f>INDEX(V_Teknoloji!Q$2:Q$19,MATCH(LARGE(V_Teknoloji!$AE$2:$AE$19,ROW()-3),V_Teknoloji!$AE$2:$AE$19,0))</f>
        <v>Görüyor</v>
      </c>
      <c r="S19" s="8">
        <f>INDEX(V_Teknoloji!R$2:R$19,MATCH(LARGE(V_Teknoloji!$AE$2:$AE$19,ROW()-3),V_Teknoloji!$AE$2:$AE$19,0))</f>
        <v>0.95090000000000008</v>
      </c>
      <c r="T19" s="8">
        <f>INDEX(V_Teknoloji!S$2:S$19,MATCH(LARGE(V_Teknoloji!$AE$2:$AE$19,ROW()-3),V_Teknoloji!$AE$2:$AE$19,0))</f>
        <v>0</v>
      </c>
      <c r="U19" s="8">
        <f>INDEX(V_Teknoloji!T$2:T$19,MATCH(LARGE(V_Teknoloji!$AE$2:$AE$19,ROW()-3),V_Teknoloji!$AE$2:$AE$19,0))</f>
        <v>0</v>
      </c>
      <c r="V19" s="8">
        <f>INDEX(V_Teknoloji!U$2:U$19,MATCH(LARGE(V_Teknoloji!$AE$2:$AE$19,ROW()-3),V_Teknoloji!$AE$2:$AE$19,0))</f>
        <v>2.0199999999999999E-2</v>
      </c>
      <c r="W19" s="8">
        <f>INDEX(V_Teknoloji!V$2:V$19,MATCH(LARGE(V_Teknoloji!$AE$2:$AE$19,ROW()-3),V_Teknoloji!$AE$2:$AE$19,0))</f>
        <v>2.5700000000000001E-2</v>
      </c>
      <c r="X19" s="8">
        <f>INDEX(V_Teknoloji!W$2:W$19,MATCH(LARGE(V_Teknoloji!$AE$2:$AE$19,ROW()-3),V_Teknoloji!$AE$2:$AE$19,0))</f>
        <v>0</v>
      </c>
      <c r="Y19" s="8">
        <f>INDEX(V_Teknoloji!X$2:X$19,MATCH(LARGE(V_Teknoloji!$AE$2:$AE$19,ROW()-3),V_Teknoloji!$AE$2:$AE$19,0))</f>
        <v>2.8999999999999998E-3</v>
      </c>
      <c r="Z19" s="8">
        <f>INDEX(V_Teknoloji!Y$2:Y$19,MATCH(LARGE(V_Teknoloji!$AE$2:$AE$19,ROW()-3),V_Teknoloji!$AE$2:$AE$19,0))</f>
        <v>0</v>
      </c>
      <c r="AA19" s="8">
        <f>INDEX(V_Teknoloji!Z$2:Z$19,MATCH(LARGE(V_Teknoloji!$AE$2:$AE$19,ROW()-3),V_Teknoloji!$AE$2:$AE$19,0))</f>
        <v>0</v>
      </c>
      <c r="AB19" s="8">
        <f>INDEX(V_Teknoloji!AA$2:AA$19,MATCH(LARGE(V_Teknoloji!$AE$2:$AE$19,ROW()-3),V_Teknoloji!$AE$2:$AE$19,0))</f>
        <v>0</v>
      </c>
      <c r="AC19" s="8">
        <f>INDEX(V_Teknoloji!AB$2:AB$19,MATCH(LARGE(V_Teknoloji!$AE$2:$AE$19,ROW()-3),V_Teknoloji!$AE$2:$AE$19,0))</f>
        <v>0</v>
      </c>
      <c r="AD19" s="8">
        <f>INDEX(V_Teknoloji!AC$2:AC$19,MATCH(LARGE(V_Teknoloji!$AE$2:$AE$19,ROW()-3),V_Teknoloji!$AE$2:$AE$19,0))</f>
        <v>0.99970000000000003</v>
      </c>
    </row>
    <row r="20" spans="1:30" x14ac:dyDescent="0.2">
      <c r="A20">
        <v>17</v>
      </c>
      <c r="B20" s="5" t="str">
        <f>INDEX(V_Teknoloji!A$2:A$19,MATCH(LARGE(V_Teknoloji!$AE$2:$AE$19,ROW()-3),V_Teknoloji!$AE$2:$AE$19,0))</f>
        <v>YAY</v>
      </c>
      <c r="C20" s="5" t="str">
        <f>INDEX(V_Teknoloji!B$2:B$19,MATCH(LARGE(V_Teknoloji!$AE$2:$AE$19,ROW()-3),V_Teknoloji!$AE$2:$AE$19,0))</f>
        <v>Yapı Kredi Portföy Yabancı Teknoloji Sektörü Hisse Senedi Fonu</v>
      </c>
      <c r="D20" s="5" t="str">
        <f>INDEX(V_Teknoloji!C$2:C$19,MATCH(LARGE(V_Teknoloji!$AE$2:$AE$19,ROW()-3),V_Teknoloji!$AE$2:$AE$19,0))</f>
        <v>Yapı Kredi Portföy</v>
      </c>
      <c r="E20" s="8">
        <f>INDEX(V_Teknoloji!D$2:D$19,MATCH(LARGE(V_Teknoloji!$AE$2:$AE$19,ROW()-3),V_Teknoloji!$AE$2:$AE$19,0))</f>
        <v>3.2485E-2</v>
      </c>
      <c r="F20" s="9">
        <f>INDEX(V_Teknoloji!E$2:E$19,MATCH(LARGE(V_Teknoloji!$AE$2:$AE$19,ROW()-3),V_Teknoloji!$AE$2:$AE$19,0))</f>
        <v>-2.0096800943303461</v>
      </c>
      <c r="G20" s="9">
        <f>INDEX(V_Teknoloji!F$2:F$19,MATCH(LARGE(V_Teknoloji!$AE$2:$AE$19,ROW()-3),V_Teknoloji!$AE$2:$AE$19,0))</f>
        <v>-1.561450673204567</v>
      </c>
      <c r="H20" s="9">
        <f>INDEX(V_Teknoloji!G$2:G$19,MATCH(LARGE(V_Teknoloji!$AE$2:$AE$19,ROW()-3),V_Teknoloji!$AE$2:$AE$19,0))</f>
        <v>3.9630335896502671</v>
      </c>
      <c r="I20" s="9">
        <f>INDEX(V_Teknoloji!H$2:H$19,MATCH(LARGE(V_Teknoloji!$AE$2:$AE$19,ROW()-3),V_Teknoloji!$AE$2:$AE$19,0))</f>
        <v>41.243537054386323</v>
      </c>
      <c r="J20" s="9">
        <f>INDEX(V_Teknoloji!I$2:I$19,MATCH(LARGE(V_Teknoloji!$AE$2:$AE$19,ROW()-3),V_Teknoloji!$AE$2:$AE$19,0))</f>
        <v>85.552624955274112</v>
      </c>
      <c r="K20" s="10">
        <f>INDEX(V_Teknoloji!J$2:J$19,MATCH(LARGE(V_Teknoloji!$AE$2:$AE$19,ROW()-3),V_Teknoloji!$AE$2:$AE$19,0))</f>
        <v>42690</v>
      </c>
      <c r="L20" s="10">
        <f>INDEX(V_Teknoloji!K$2:K$19,MATCH(LARGE(V_Teknoloji!$AE$2:$AE$19,ROW()-3),V_Teknoloji!$AE$2:$AE$19,0))</f>
        <v>44075</v>
      </c>
      <c r="M20" s="8">
        <f>INDEX(V_Teknoloji!L$2:L$19,MATCH(LARGE(V_Teknoloji!$AE$2:$AE$19,ROW()-3),V_Teknoloji!$AE$2:$AE$19,0))</f>
        <v>3.244319512766447E-2</v>
      </c>
      <c r="N20" s="11">
        <f>INDEX(V_Teknoloji!M$2:M$19,MATCH(LARGE(V_Teknoloji!$AE$2:$AE$19,ROW()-3),V_Teknoloji!$AE$2:$AE$19,0))</f>
        <v>12750475715.42</v>
      </c>
      <c r="O20" s="11">
        <f>INDEX(V_Teknoloji!N$2:N$19,MATCH(LARGE(V_Teknoloji!$AE$2:$AE$19,ROW()-3),V_Teknoloji!$AE$2:$AE$19,0))</f>
        <v>13402234674.120001</v>
      </c>
      <c r="P20" s="8">
        <f>INDEX(V_Teknoloji!O$2:O$19,MATCH(LARGE(V_Teknoloji!$AE$2:$AE$19,ROW()-3),V_Teknoloji!$AE$2:$AE$19,0))</f>
        <v>5.1116442495693359E-2</v>
      </c>
      <c r="Q20" s="9">
        <f>INDEX(V_Teknoloji!P$2:P$19,MATCH(LARGE(V_Teknoloji!$AE$2:$AE$19,ROW()-3),V_Teknoloji!$AE$2:$AE$19,0))</f>
        <v>2.1427987082172222</v>
      </c>
      <c r="R20" s="5" t="str">
        <f>INDEX(V_Teknoloji!Q$2:Q$19,MATCH(LARGE(V_Teknoloji!$AE$2:$AE$19,ROW()-3),V_Teknoloji!$AE$2:$AE$19,0))</f>
        <v>Görüyor</v>
      </c>
      <c r="S20" s="8">
        <f>INDEX(V_Teknoloji!R$2:R$19,MATCH(LARGE(V_Teknoloji!$AE$2:$AE$19,ROW()-3),V_Teknoloji!$AE$2:$AE$19,0))</f>
        <v>0.96689999999999998</v>
      </c>
      <c r="T20" s="8">
        <f>INDEX(V_Teknoloji!S$2:S$19,MATCH(LARGE(V_Teknoloji!$AE$2:$AE$19,ROW()-3),V_Teknoloji!$AE$2:$AE$19,0))</f>
        <v>1.0200000000000001E-2</v>
      </c>
      <c r="U20" s="8">
        <f>INDEX(V_Teknoloji!T$2:T$19,MATCH(LARGE(V_Teknoloji!$AE$2:$AE$19,ROW()-3),V_Teknoloji!$AE$2:$AE$19,0))</f>
        <v>0</v>
      </c>
      <c r="V20" s="8">
        <f>INDEX(V_Teknoloji!U$2:U$19,MATCH(LARGE(V_Teknoloji!$AE$2:$AE$19,ROW()-3),V_Teknoloji!$AE$2:$AE$19,0))</f>
        <v>0</v>
      </c>
      <c r="W20" s="8">
        <f>INDEX(V_Teknoloji!V$2:V$19,MATCH(LARGE(V_Teknoloji!$AE$2:$AE$19,ROW()-3),V_Teknoloji!$AE$2:$AE$19,0))</f>
        <v>0</v>
      </c>
      <c r="X20" s="8">
        <f>INDEX(V_Teknoloji!W$2:W$19,MATCH(LARGE(V_Teknoloji!$AE$2:$AE$19,ROW()-3),V_Teknoloji!$AE$2:$AE$19,0))</f>
        <v>0</v>
      </c>
      <c r="Y20" s="8">
        <f>INDEX(V_Teknoloji!X$2:X$19,MATCH(LARGE(V_Teknoloji!$AE$2:$AE$19,ROW()-3),V_Teknoloji!$AE$2:$AE$19,0))</f>
        <v>0</v>
      </c>
      <c r="Z20" s="8">
        <f>INDEX(V_Teknoloji!Y$2:Y$19,MATCH(LARGE(V_Teknoloji!$AE$2:$AE$19,ROW()-3),V_Teknoloji!$AE$2:$AE$19,0))</f>
        <v>1.95E-2</v>
      </c>
      <c r="AA20" s="8">
        <f>INDEX(V_Teknoloji!Z$2:Z$19,MATCH(LARGE(V_Teknoloji!$AE$2:$AE$19,ROW()-3),V_Teknoloji!$AE$2:$AE$19,0))</f>
        <v>0</v>
      </c>
      <c r="AB20" s="8">
        <f>INDEX(V_Teknoloji!AA$2:AA$19,MATCH(LARGE(V_Teknoloji!$AE$2:$AE$19,ROW()-3),V_Teknoloji!$AE$2:$AE$19,0))</f>
        <v>0</v>
      </c>
      <c r="AC20" s="8">
        <f>INDEX(V_Teknoloji!AB$2:AB$19,MATCH(LARGE(V_Teknoloji!$AE$2:$AE$19,ROW()-3),V_Teknoloji!$AE$2:$AE$19,0))</f>
        <v>0</v>
      </c>
      <c r="AD20" s="8">
        <f>INDEX(V_Teknoloji!AC$2:AC$19,MATCH(LARGE(V_Teknoloji!$AE$2:$AE$19,ROW()-3),V_Teknoloji!$AE$2:$AE$19,0))</f>
        <v>0.99659999999999993</v>
      </c>
    </row>
    <row r="21" spans="1:30" x14ac:dyDescent="0.2">
      <c r="A21">
        <v>18</v>
      </c>
      <c r="B21" s="5" t="str">
        <f>INDEX(V_Teknoloji!A$2:A$19,MATCH(LARGE(V_Teknoloji!$AE$2:$AE$19,ROW()-3),V_Teknoloji!$AE$2:$AE$19,0))</f>
        <v>BTK</v>
      </c>
      <c r="C21" s="5" t="str">
        <f>INDEX(V_Teknoloji!B$2:B$19,MATCH(LARGE(V_Teknoloji!$AE$2:$AE$19,ROW()-3),V_Teknoloji!$AE$2:$AE$19,0))</f>
        <v>BV Portföy Teknoloji Katılım Fonu</v>
      </c>
      <c r="D21" s="5" t="str">
        <f>INDEX(V_Teknoloji!C$2:C$19,MATCH(LARGE(V_Teknoloji!$AE$2:$AE$19,ROW()-3),V_Teknoloji!$AE$2:$AE$19,0))</f>
        <v>BV Portföy</v>
      </c>
      <c r="E21" s="8">
        <f>INDEX(V_Teknoloji!D$2:D$19,MATCH(LARGE(V_Teknoloji!$AE$2:$AE$19,ROW()-3),V_Teknoloji!$AE$2:$AE$19,0))</f>
        <v>0.02</v>
      </c>
      <c r="F21" s="9">
        <f>INDEX(V_Teknoloji!E$2:E$19,MATCH(LARGE(V_Teknoloji!$AE$2:$AE$19,ROW()-3),V_Teknoloji!$AE$2:$AE$19,0))</f>
        <v>-2.052823355948064</v>
      </c>
      <c r="G21" s="9">
        <f>INDEX(V_Teknoloji!F$2:F$19,MATCH(LARGE(V_Teknoloji!$AE$2:$AE$19,ROW()-3),V_Teknoloji!$AE$2:$AE$19,0))</f>
        <v>-3.8362481866859199</v>
      </c>
      <c r="H21" s="9">
        <f>INDEX(V_Teknoloji!G$2:G$19,MATCH(LARGE(V_Teknoloji!$AE$2:$AE$19,ROW()-3),V_Teknoloji!$AE$2:$AE$19,0))</f>
        <v>0.40485855800656001</v>
      </c>
      <c r="I21" s="9">
        <f>INDEX(V_Teknoloji!H$2:H$19,MATCH(LARGE(V_Teknoloji!$AE$2:$AE$19,ROW()-3),V_Teknoloji!$AE$2:$AE$19,0))</f>
        <v>49.914610228093622</v>
      </c>
      <c r="J21" s="9" t="str">
        <f>INDEX(V_Teknoloji!I$2:I$19,MATCH(LARGE(V_Teknoloji!$AE$2:$AE$19,ROW()-3),V_Teknoloji!$AE$2:$AE$19,0))</f>
        <v>-</v>
      </c>
      <c r="K21" s="10">
        <f>INDEX(V_Teknoloji!J$2:J$19,MATCH(LARGE(V_Teknoloji!$AE$2:$AE$19,ROW()-3),V_Teknoloji!$AE$2:$AE$19,0))</f>
        <v>2145</v>
      </c>
      <c r="L21" s="10">
        <f>INDEX(V_Teknoloji!K$2:K$19,MATCH(LARGE(V_Teknoloji!$AE$2:$AE$19,ROW()-3),V_Teknoloji!$AE$2:$AE$19,0))</f>
        <v>2130</v>
      </c>
      <c r="M21" s="8">
        <f>INDEX(V_Teknoloji!L$2:L$19,MATCH(LARGE(V_Teknoloji!$AE$2:$AE$19,ROW()-3),V_Teknoloji!$AE$2:$AE$19,0))</f>
        <v>-6.9930069930069783E-3</v>
      </c>
      <c r="N21" s="11">
        <f>INDEX(V_Teknoloji!M$2:M$19,MATCH(LARGE(V_Teknoloji!$AE$2:$AE$19,ROW()-3),V_Teknoloji!$AE$2:$AE$19,0))</f>
        <v>319639048.14999998</v>
      </c>
      <c r="O21" s="11">
        <f>INDEX(V_Teknoloji!N$2:N$19,MATCH(LARGE(V_Teknoloji!$AE$2:$AE$19,ROW()-3),V_Teknoloji!$AE$2:$AE$19,0))</f>
        <v>286972440.01999998</v>
      </c>
      <c r="P21" s="8">
        <f>INDEX(V_Teknoloji!O$2:O$19,MATCH(LARGE(V_Teknoloji!$AE$2:$AE$19,ROW()-3),V_Teknoloji!$AE$2:$AE$19,0))</f>
        <v>-0.1021984276297502</v>
      </c>
      <c r="Q21" s="9">
        <f>INDEX(V_Teknoloji!P$2:P$19,MATCH(LARGE(V_Teknoloji!$AE$2:$AE$19,ROW()-3),V_Teknoloji!$AE$2:$AE$19,0))</f>
        <v>1.8145836168501821</v>
      </c>
      <c r="R21" s="5" t="str">
        <f>INDEX(V_Teknoloji!Q$2:Q$19,MATCH(LARGE(V_Teknoloji!$AE$2:$AE$19,ROW()-3),V_Teknoloji!$AE$2:$AE$19,0))</f>
        <v>Görüyor</v>
      </c>
      <c r="S21" s="8">
        <f>INDEX(V_Teknoloji!R$2:R$19,MATCH(LARGE(V_Teknoloji!$AE$2:$AE$19,ROW()-3),V_Teknoloji!$AE$2:$AE$19,0))</f>
        <v>0.73230000000000006</v>
      </c>
      <c r="T21" s="8">
        <f>INDEX(V_Teknoloji!S$2:S$19,MATCH(LARGE(V_Teknoloji!$AE$2:$AE$19,ROW()-3),V_Teknoloji!$AE$2:$AE$19,0))</f>
        <v>0</v>
      </c>
      <c r="U21" s="8">
        <f>INDEX(V_Teknoloji!T$2:T$19,MATCH(LARGE(V_Teknoloji!$AE$2:$AE$19,ROW()-3),V_Teknoloji!$AE$2:$AE$19,0))</f>
        <v>0</v>
      </c>
      <c r="V21" s="8">
        <f>INDEX(V_Teknoloji!U$2:U$19,MATCH(LARGE(V_Teknoloji!$AE$2:$AE$19,ROW()-3),V_Teknoloji!$AE$2:$AE$19,0))</f>
        <v>0</v>
      </c>
      <c r="W21" s="8">
        <f>INDEX(V_Teknoloji!V$2:V$19,MATCH(LARGE(V_Teknoloji!$AE$2:$AE$19,ROW()-3),V_Teknoloji!$AE$2:$AE$19,0))</f>
        <v>0</v>
      </c>
      <c r="X21" s="8">
        <f>INDEX(V_Teknoloji!W$2:W$19,MATCH(LARGE(V_Teknoloji!$AE$2:$AE$19,ROW()-3),V_Teknoloji!$AE$2:$AE$19,0))</f>
        <v>0.20080000000000001</v>
      </c>
      <c r="Y21" s="8">
        <f>INDEX(V_Teknoloji!X$2:X$19,MATCH(LARGE(V_Teknoloji!$AE$2:$AE$19,ROW()-3),V_Teknoloji!$AE$2:$AE$19,0))</f>
        <v>0</v>
      </c>
      <c r="Z21" s="8">
        <f>INDEX(V_Teknoloji!Y$2:Y$19,MATCH(LARGE(V_Teknoloji!$AE$2:$AE$19,ROW()-3),V_Teknoloji!$AE$2:$AE$19,0))</f>
        <v>4.9000000000000002E-2</v>
      </c>
      <c r="AA21" s="8">
        <f>INDEX(V_Teknoloji!Z$2:Z$19,MATCH(LARGE(V_Teknoloji!$AE$2:$AE$19,ROW()-3),V_Teknoloji!$AE$2:$AE$19,0))</f>
        <v>0</v>
      </c>
      <c r="AB21" s="8">
        <f>INDEX(V_Teknoloji!AA$2:AA$19,MATCH(LARGE(V_Teknoloji!$AE$2:$AE$19,ROW()-3),V_Teknoloji!$AE$2:$AE$19,0))</f>
        <v>0</v>
      </c>
      <c r="AC21" s="8">
        <f>INDEX(V_Teknoloji!AB$2:AB$19,MATCH(LARGE(V_Teknoloji!$AE$2:$AE$19,ROW()-3),V_Teknoloji!$AE$2:$AE$19,0))</f>
        <v>1.7899999999999999E-2</v>
      </c>
      <c r="AD21" s="8">
        <f>INDEX(V_Teknoloji!AC$2:AC$19,MATCH(LARGE(V_Teknoloji!$AE$2:$AE$19,ROW()-3),V_Teknoloji!$AE$2:$AE$19,0))</f>
        <v>1</v>
      </c>
    </row>
  </sheetData>
  <conditionalFormatting sqref="B4:AD21">
    <cfRule type="expression" dxfId="2" priority="1">
      <formula>OR($B4="BAI",$B4="BHI",$B4="BIS",$B4="BSD",$B4="BTE",$B4="BTK",$B4="BV1",$B4="BVD",$B4="BVF",$B4="BVV",$B4="BVZ",$B4="MTD",$B4="RUT",$B4="SPR")</formula>
    </cfRule>
  </conditionalFormatting>
  <dataValidations count="1">
    <dataValidation type="list" sqref="E2" xr:uid="{00000000-0002-0000-1200-000000000000}">
      <formula1>"Günlük%,Haftalık,Aylık,Yılbaşına Göre,Yıllık"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E59"/>
  <sheetViews>
    <sheetView workbookViewId="0"/>
  </sheetViews>
  <sheetFormatPr baseColWidth="10" defaultColWidth="8.83203125" defaultRowHeight="15" x14ac:dyDescent="0.2"/>
  <sheetData>
    <row r="1" spans="1:31" x14ac:dyDescent="0.2">
      <c r="A1" t="s">
        <v>3</v>
      </c>
      <c r="B1" t="s">
        <v>589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527</v>
      </c>
      <c r="S1" t="s">
        <v>528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</row>
    <row r="2" spans="1:31" x14ac:dyDescent="0.2">
      <c r="A2" t="s">
        <v>590</v>
      </c>
      <c r="B2" t="s">
        <v>591</v>
      </c>
      <c r="C2" t="s">
        <v>50</v>
      </c>
      <c r="D2">
        <v>2.5000000000000001E-2</v>
      </c>
      <c r="E2">
        <v>1.3110851568902899</v>
      </c>
      <c r="F2">
        <v>2.490180249650598</v>
      </c>
      <c r="G2">
        <v>4.5323592369544308</v>
      </c>
      <c r="H2">
        <v>10.596242826704881</v>
      </c>
      <c r="I2">
        <v>7.7029969992023384</v>
      </c>
      <c r="J2">
        <v>169</v>
      </c>
      <c r="K2">
        <v>162</v>
      </c>
      <c r="L2">
        <v>-4.1420118343195263E-2</v>
      </c>
      <c r="M2">
        <v>14247676.859999999</v>
      </c>
      <c r="N2">
        <v>10191493.720000001</v>
      </c>
      <c r="O2">
        <v>-0.28469084327618582</v>
      </c>
      <c r="P2">
        <v>0.98349870036276332</v>
      </c>
      <c r="Q2" t="s">
        <v>41</v>
      </c>
      <c r="R2">
        <v>0.71230000000000004</v>
      </c>
      <c r="S2">
        <v>0</v>
      </c>
      <c r="T2">
        <v>0</v>
      </c>
      <c r="U2">
        <v>5.1900000000000002E-2</v>
      </c>
      <c r="V2">
        <v>0</v>
      </c>
      <c r="W2">
        <v>0.19159999999999999</v>
      </c>
      <c r="X2">
        <v>0</v>
      </c>
      <c r="Y2">
        <v>4.4200000000000003E-2</v>
      </c>
      <c r="Z2">
        <v>0</v>
      </c>
      <c r="AA2">
        <v>0</v>
      </c>
      <c r="AB2">
        <v>0</v>
      </c>
      <c r="AC2">
        <v>1</v>
      </c>
      <c r="AE2">
        <f>IF(ISNUMBER(INDEX($A$2:$AC$59,1,MATCH('Tüm Teknoloji'!$E$2,$A$1:$AC$1,0))),INDEX($A$2:$AC$59,1,MATCH('Tüm Teknoloji'!$E$2,$A$1:$AC$1,0)),-1000000000)-ROW()/10000000</f>
        <v>1.31108495689029</v>
      </c>
    </row>
    <row r="3" spans="1:31" x14ac:dyDescent="0.2">
      <c r="A3" t="s">
        <v>592</v>
      </c>
      <c r="B3" t="s">
        <v>593</v>
      </c>
      <c r="C3" t="s">
        <v>124</v>
      </c>
      <c r="D3">
        <v>2.9000000000000001E-2</v>
      </c>
      <c r="E3">
        <v>0.59641443666318406</v>
      </c>
      <c r="F3">
        <v>0.32356334306815621</v>
      </c>
      <c r="G3">
        <v>7.9515304548410271</v>
      </c>
      <c r="H3">
        <v>20.111418847586911</v>
      </c>
      <c r="I3">
        <v>19.79831401626608</v>
      </c>
      <c r="J3">
        <v>6663</v>
      </c>
      <c r="K3">
        <v>6741</v>
      </c>
      <c r="L3">
        <v>1.1706438541197571E-2</v>
      </c>
      <c r="M3">
        <v>120014259.95</v>
      </c>
      <c r="N3">
        <v>134556827.56</v>
      </c>
      <c r="O3">
        <v>0.1211736639967507</v>
      </c>
      <c r="P3">
        <v>0.67032384898505393</v>
      </c>
      <c r="Q3" t="s">
        <v>41</v>
      </c>
      <c r="R3">
        <v>0.6512</v>
      </c>
      <c r="S3">
        <v>0</v>
      </c>
      <c r="T3">
        <v>0</v>
      </c>
      <c r="U3">
        <v>0</v>
      </c>
      <c r="V3">
        <v>3.7499999999999999E-2</v>
      </c>
      <c r="W3">
        <v>0.30459999999999998</v>
      </c>
      <c r="X3">
        <v>6.7000000000000002E-3</v>
      </c>
      <c r="Y3">
        <v>0</v>
      </c>
      <c r="Z3">
        <v>0</v>
      </c>
      <c r="AA3">
        <v>0</v>
      </c>
      <c r="AB3">
        <v>0</v>
      </c>
      <c r="AC3">
        <v>1</v>
      </c>
      <c r="AE3">
        <f>IF(ISNUMBER(INDEX($A$2:$AC$59,2,MATCH('Tüm Teknoloji'!$E$2,$A$1:$AC$1,0))),INDEX($A$2:$AC$59,2,MATCH('Tüm Teknoloji'!$E$2,$A$1:$AC$1,0)),-1000000000)-ROW()/10000000</f>
        <v>0.5964141366631841</v>
      </c>
    </row>
    <row r="4" spans="1:31" x14ac:dyDescent="0.2">
      <c r="A4" t="s">
        <v>594</v>
      </c>
      <c r="B4" t="s">
        <v>595</v>
      </c>
      <c r="C4" t="s">
        <v>79</v>
      </c>
      <c r="D4">
        <v>2.75E-2</v>
      </c>
      <c r="E4">
        <v>9.815842443658962E-2</v>
      </c>
      <c r="F4">
        <v>0.60427996456495769</v>
      </c>
      <c r="G4">
        <v>2.9326001497143932</v>
      </c>
      <c r="H4">
        <v>12.981302139387971</v>
      </c>
      <c r="I4">
        <v>25.965863978656369</v>
      </c>
      <c r="J4">
        <v>2925</v>
      </c>
      <c r="K4">
        <v>2819</v>
      </c>
      <c r="L4">
        <v>-3.6239316239316199E-2</v>
      </c>
      <c r="M4">
        <v>177183982.00999999</v>
      </c>
      <c r="N4">
        <v>192617702.59</v>
      </c>
      <c r="O4">
        <v>8.7105619847334559E-2</v>
      </c>
      <c r="P4">
        <v>0.85296453219251922</v>
      </c>
      <c r="Q4" t="s">
        <v>41</v>
      </c>
      <c r="R4">
        <v>0.60570000000000002</v>
      </c>
      <c r="S4">
        <v>0</v>
      </c>
      <c r="T4">
        <v>0</v>
      </c>
      <c r="U4">
        <v>2.3999999999999998E-3</v>
      </c>
      <c r="V4">
        <v>9.9700000000000011E-2</v>
      </c>
      <c r="W4">
        <v>0.1142</v>
      </c>
      <c r="X4">
        <v>0</v>
      </c>
      <c r="Y4">
        <v>0.12</v>
      </c>
      <c r="Z4">
        <v>0</v>
      </c>
      <c r="AA4">
        <v>0</v>
      </c>
      <c r="AB4">
        <v>0</v>
      </c>
      <c r="AC4">
        <v>0.94200000000000006</v>
      </c>
      <c r="AE4">
        <f>IF(ISNUMBER(INDEX($A$2:$AC$59,3,MATCH('Tüm Teknoloji'!$E$2,$A$1:$AC$1,0))),INDEX($A$2:$AC$59,3,MATCH('Tüm Teknoloji'!$E$2,$A$1:$AC$1,0)),-1000000000)-ROW()/10000000</f>
        <v>9.8158024436589622E-2</v>
      </c>
    </row>
    <row r="5" spans="1:31" x14ac:dyDescent="0.2">
      <c r="A5" t="s">
        <v>596</v>
      </c>
      <c r="B5" t="s">
        <v>597</v>
      </c>
      <c r="C5" t="s">
        <v>100</v>
      </c>
      <c r="D5">
        <v>0.02</v>
      </c>
      <c r="E5">
        <v>6.7438068563108189E-2</v>
      </c>
      <c r="F5">
        <v>-1.976002803123456</v>
      </c>
      <c r="G5">
        <v>0.2142454043065678</v>
      </c>
      <c r="H5">
        <v>55.414455371640052</v>
      </c>
      <c r="I5">
        <v>77.770464157226456</v>
      </c>
      <c r="J5">
        <v>16162</v>
      </c>
      <c r="K5">
        <v>16181</v>
      </c>
      <c r="L5">
        <v>1.1755970795692681E-3</v>
      </c>
      <c r="M5">
        <v>1274168746.3599999</v>
      </c>
      <c r="N5">
        <v>1315201818.0599999</v>
      </c>
      <c r="O5">
        <v>3.2203797038046877E-2</v>
      </c>
      <c r="P5">
        <v>1.1509871192282921</v>
      </c>
      <c r="Q5" t="s">
        <v>41</v>
      </c>
      <c r="R5">
        <v>0</v>
      </c>
      <c r="S5">
        <v>0</v>
      </c>
      <c r="T5">
        <v>0</v>
      </c>
      <c r="U5">
        <v>4.6999999999999993E-3</v>
      </c>
      <c r="V5">
        <v>0</v>
      </c>
      <c r="W5">
        <v>0.92540000000000011</v>
      </c>
      <c r="X5">
        <v>1.35E-2</v>
      </c>
      <c r="Y5">
        <v>5.6399999999999999E-2</v>
      </c>
      <c r="Z5">
        <v>0</v>
      </c>
      <c r="AA5">
        <v>0</v>
      </c>
      <c r="AB5">
        <v>0</v>
      </c>
      <c r="AC5">
        <v>1</v>
      </c>
      <c r="AE5">
        <f>IF(ISNUMBER(INDEX($A$2:$AC$59,4,MATCH('Tüm Teknoloji'!$E$2,$A$1:$AC$1,0))),INDEX($A$2:$AC$59,4,MATCH('Tüm Teknoloji'!$E$2,$A$1:$AC$1,0)),-1000000000)-ROW()/10000000</f>
        <v>6.7437568563108188E-2</v>
      </c>
    </row>
    <row r="6" spans="1:31" x14ac:dyDescent="0.2">
      <c r="A6" t="s">
        <v>529</v>
      </c>
      <c r="B6" t="s">
        <v>530</v>
      </c>
      <c r="C6" t="s">
        <v>190</v>
      </c>
      <c r="D6">
        <v>2.5000000000000001E-2</v>
      </c>
      <c r="E6">
        <v>5.2488488982760373E-3</v>
      </c>
      <c r="F6">
        <v>-0.41887717880376713</v>
      </c>
      <c r="G6">
        <v>2.4888014270818331</v>
      </c>
      <c r="H6">
        <v>13.43782370708735</v>
      </c>
      <c r="I6">
        <v>34.86596818524275</v>
      </c>
      <c r="J6">
        <v>1031</v>
      </c>
      <c r="K6">
        <v>1021</v>
      </c>
      <c r="L6">
        <v>-9.6993210475266878E-3</v>
      </c>
      <c r="M6">
        <v>10643778.98</v>
      </c>
      <c r="N6">
        <v>10496444.84</v>
      </c>
      <c r="O6">
        <v>-1.3842277284867199E-2</v>
      </c>
      <c r="P6">
        <v>0.85426276976346305</v>
      </c>
      <c r="Q6" t="s">
        <v>41</v>
      </c>
      <c r="R6">
        <v>0.54049999999999998</v>
      </c>
      <c r="S6">
        <v>0</v>
      </c>
      <c r="T6">
        <v>0</v>
      </c>
      <c r="U6">
        <v>0</v>
      </c>
      <c r="V6">
        <v>0</v>
      </c>
      <c r="W6">
        <v>0.37200000000000011</v>
      </c>
      <c r="X6">
        <v>3.8899999999999997E-2</v>
      </c>
      <c r="Y6">
        <v>0</v>
      </c>
      <c r="Z6">
        <v>0</v>
      </c>
      <c r="AA6">
        <v>4.8599999999999997E-2</v>
      </c>
      <c r="AB6">
        <v>0</v>
      </c>
      <c r="AC6">
        <v>1</v>
      </c>
      <c r="AE6">
        <f>IF(ISNUMBER(INDEX($A$2:$AC$59,5,MATCH('Tüm Teknoloji'!$E$2,$A$1:$AC$1,0))),INDEX($A$2:$AC$59,5,MATCH('Tüm Teknoloji'!$E$2,$A$1:$AC$1,0)),-1000000000)-ROW()/10000000</f>
        <v>5.2482488982760374E-3</v>
      </c>
    </row>
    <row r="7" spans="1:31" x14ac:dyDescent="0.2">
      <c r="A7" t="s">
        <v>553</v>
      </c>
      <c r="B7" t="s">
        <v>554</v>
      </c>
      <c r="C7" t="s">
        <v>103</v>
      </c>
      <c r="D7">
        <v>2.9499999999999998E-2</v>
      </c>
      <c r="E7">
        <v>-7.5983624181819032E-3</v>
      </c>
      <c r="F7">
        <v>0.13178060310401471</v>
      </c>
      <c r="G7">
        <v>4.3794992206085626</v>
      </c>
      <c r="H7">
        <v>22.977294372538239</v>
      </c>
      <c r="I7">
        <v>46.129178079386847</v>
      </c>
      <c r="J7">
        <v>263</v>
      </c>
      <c r="K7">
        <v>219</v>
      </c>
      <c r="L7">
        <v>-0.1673003802281369</v>
      </c>
      <c r="M7">
        <v>14204070.289999999</v>
      </c>
      <c r="N7">
        <v>22114481.579999998</v>
      </c>
      <c r="O7">
        <v>0.55691158439064581</v>
      </c>
      <c r="P7">
        <v>1.1079624681315949</v>
      </c>
      <c r="Q7" t="s">
        <v>41</v>
      </c>
      <c r="R7">
        <v>0.60599999999999998</v>
      </c>
      <c r="S7">
        <v>1.3599999999999999E-2</v>
      </c>
      <c r="T7">
        <v>0</v>
      </c>
      <c r="U7">
        <v>8.5099999999999995E-2</v>
      </c>
      <c r="V7">
        <v>0</v>
      </c>
      <c r="W7">
        <v>0.2354</v>
      </c>
      <c r="X7">
        <v>0</v>
      </c>
      <c r="Y7">
        <v>5.9900000000000002E-2</v>
      </c>
      <c r="Z7">
        <v>0</v>
      </c>
      <c r="AA7">
        <v>0</v>
      </c>
      <c r="AB7">
        <v>0</v>
      </c>
      <c r="AC7">
        <v>1</v>
      </c>
      <c r="AE7">
        <f>IF(ISNUMBER(INDEX($A$2:$AC$59,6,MATCH('Tüm Teknoloji'!$E$2,$A$1:$AC$1,0))),INDEX($A$2:$AC$59,6,MATCH('Tüm Teknoloji'!$E$2,$A$1:$AC$1,0)),-1000000000)-ROW()/10000000</f>
        <v>-7.5990624181819033E-3</v>
      </c>
    </row>
    <row r="8" spans="1:31" x14ac:dyDescent="0.2">
      <c r="A8" t="s">
        <v>598</v>
      </c>
      <c r="B8" t="s">
        <v>599</v>
      </c>
      <c r="C8" t="s">
        <v>124</v>
      </c>
      <c r="D8">
        <v>2.9000000000000001E-2</v>
      </c>
      <c r="E8">
        <v>-0.15026746379908079</v>
      </c>
      <c r="F8">
        <v>0.51210985775871354</v>
      </c>
      <c r="G8">
        <v>5.8115559202933884</v>
      </c>
      <c r="H8">
        <v>22.535842252965121</v>
      </c>
      <c r="I8">
        <v>44.334560590461187</v>
      </c>
      <c r="J8">
        <v>13240</v>
      </c>
      <c r="K8">
        <v>12872</v>
      </c>
      <c r="L8">
        <v>-2.7794561933534689E-2</v>
      </c>
      <c r="M8">
        <v>141746629.65000001</v>
      </c>
      <c r="N8">
        <v>151101799.86000001</v>
      </c>
      <c r="O8">
        <v>6.5999242684639192E-2</v>
      </c>
      <c r="P8">
        <v>1.07976432486416</v>
      </c>
      <c r="Q8" t="s">
        <v>41</v>
      </c>
      <c r="R8">
        <v>0.65560000000000007</v>
      </c>
      <c r="S8">
        <v>0</v>
      </c>
      <c r="T8">
        <v>0</v>
      </c>
      <c r="U8">
        <v>0</v>
      </c>
      <c r="V8">
        <v>5.96E-2</v>
      </c>
      <c r="W8">
        <v>0.1996</v>
      </c>
      <c r="X8">
        <v>4.0000000000000001E-3</v>
      </c>
      <c r="Y8">
        <v>8.1199999999999994E-2</v>
      </c>
      <c r="Z8">
        <v>0</v>
      </c>
      <c r="AA8">
        <v>0</v>
      </c>
      <c r="AB8">
        <v>0</v>
      </c>
      <c r="AC8">
        <v>1</v>
      </c>
      <c r="AE8">
        <f>IF(ISNUMBER(INDEX($A$2:$AC$59,7,MATCH('Tüm Teknoloji'!$E$2,$A$1:$AC$1,0))),INDEX($A$2:$AC$59,7,MATCH('Tüm Teknoloji'!$E$2,$A$1:$AC$1,0)),-1000000000)-ROW()/10000000</f>
        <v>-0.15026826379908079</v>
      </c>
    </row>
    <row r="9" spans="1:31" x14ac:dyDescent="0.2">
      <c r="A9" t="s">
        <v>531</v>
      </c>
      <c r="B9" t="s">
        <v>532</v>
      </c>
      <c r="C9" t="s">
        <v>124</v>
      </c>
      <c r="D9">
        <v>2.9000000000000001E-2</v>
      </c>
      <c r="E9">
        <v>-0.169741087264208</v>
      </c>
      <c r="F9">
        <v>1.2811454280097221</v>
      </c>
      <c r="G9">
        <v>2.72698730361931</v>
      </c>
      <c r="H9">
        <v>25.569840461012561</v>
      </c>
      <c r="I9">
        <v>46.235650992932541</v>
      </c>
      <c r="J9">
        <v>7846</v>
      </c>
      <c r="K9">
        <v>7533</v>
      </c>
      <c r="L9">
        <v>-3.9892939077236789E-2</v>
      </c>
      <c r="M9">
        <v>376483323.17000002</v>
      </c>
      <c r="N9">
        <v>468031776.07999998</v>
      </c>
      <c r="O9">
        <v>0.24316735237874409</v>
      </c>
      <c r="P9">
        <v>1.1570885861873339</v>
      </c>
      <c r="Q9" t="s">
        <v>41</v>
      </c>
      <c r="R9">
        <v>0.63719999999999999</v>
      </c>
      <c r="S9">
        <v>0</v>
      </c>
      <c r="T9">
        <v>0</v>
      </c>
      <c r="U9">
        <v>0</v>
      </c>
      <c r="V9">
        <v>6.4000000000000001E-2</v>
      </c>
      <c r="W9">
        <v>0.24640000000000001</v>
      </c>
      <c r="X9">
        <v>5.9999999999999995E-4</v>
      </c>
      <c r="Y9">
        <v>5.1799999999999999E-2</v>
      </c>
      <c r="Z9">
        <v>0</v>
      </c>
      <c r="AA9">
        <v>0</v>
      </c>
      <c r="AB9">
        <v>0</v>
      </c>
      <c r="AC9">
        <v>1</v>
      </c>
      <c r="AE9">
        <f>IF(ISNUMBER(INDEX($A$2:$AC$59,8,MATCH('Tüm Teknoloji'!$E$2,$A$1:$AC$1,0))),INDEX($A$2:$AC$59,8,MATCH('Tüm Teknoloji'!$E$2,$A$1:$AC$1,0)),-1000000000)-ROW()/10000000</f>
        <v>-0.169741987264208</v>
      </c>
    </row>
    <row r="10" spans="1:31" x14ac:dyDescent="0.2">
      <c r="A10" t="s">
        <v>555</v>
      </c>
      <c r="B10" t="s">
        <v>556</v>
      </c>
      <c r="C10" t="s">
        <v>453</v>
      </c>
      <c r="D10">
        <v>2.4E-2</v>
      </c>
      <c r="E10">
        <v>-0.21799509550213261</v>
      </c>
      <c r="F10">
        <v>-2.6630587452918242</v>
      </c>
      <c r="G10">
        <v>4.4908567982177239</v>
      </c>
      <c r="H10">
        <v>45.326315393038698</v>
      </c>
      <c r="I10">
        <v>70.967183236161887</v>
      </c>
      <c r="J10">
        <v>16348</v>
      </c>
      <c r="K10">
        <v>18667</v>
      </c>
      <c r="L10">
        <v>0.14185221433814529</v>
      </c>
      <c r="M10">
        <v>1278297564.0999999</v>
      </c>
      <c r="N10">
        <v>1626199317.3399999</v>
      </c>
      <c r="O10">
        <v>0.27216022545184471</v>
      </c>
      <c r="P10">
        <v>2.0357857372455901</v>
      </c>
      <c r="Q10" t="s">
        <v>41</v>
      </c>
      <c r="R10">
        <v>0.74750000000000005</v>
      </c>
      <c r="S10">
        <v>0</v>
      </c>
      <c r="T10">
        <v>0</v>
      </c>
      <c r="U10">
        <v>0</v>
      </c>
      <c r="V10">
        <v>0</v>
      </c>
      <c r="W10">
        <v>9.5899999999999999E-2</v>
      </c>
      <c r="X10">
        <v>0</v>
      </c>
      <c r="Y10">
        <v>4.1700000000000001E-2</v>
      </c>
      <c r="Z10">
        <v>0</v>
      </c>
      <c r="AA10">
        <v>0</v>
      </c>
      <c r="AB10">
        <v>0</v>
      </c>
      <c r="AC10">
        <v>0.8851</v>
      </c>
      <c r="AE10">
        <f>IF(ISNUMBER(INDEX($A$2:$AC$59,9,MATCH('Tüm Teknoloji'!$E$2,$A$1:$AC$1,0))),INDEX($A$2:$AC$59,9,MATCH('Tüm Teknoloji'!$E$2,$A$1:$AC$1,0)),-1000000000)-ROW()/10000000</f>
        <v>-0.21799609550213261</v>
      </c>
    </row>
    <row r="11" spans="1:31" x14ac:dyDescent="0.2">
      <c r="A11" t="s">
        <v>600</v>
      </c>
      <c r="B11" t="s">
        <v>601</v>
      </c>
      <c r="C11" t="s">
        <v>82</v>
      </c>
      <c r="D11">
        <v>3.2000000000000001E-2</v>
      </c>
      <c r="E11">
        <v>-0.26911173903850782</v>
      </c>
      <c r="F11">
        <v>-4.18680431655104</v>
      </c>
      <c r="G11">
        <v>-6.6262024603630731</v>
      </c>
      <c r="H11">
        <v>38.14326291206833</v>
      </c>
      <c r="I11">
        <v>50.030876059207422</v>
      </c>
      <c r="J11">
        <v>2336</v>
      </c>
      <c r="K11">
        <v>2128</v>
      </c>
      <c r="L11">
        <v>-8.9041095890410982E-2</v>
      </c>
      <c r="M11">
        <v>164030635.46000001</v>
      </c>
      <c r="N11">
        <v>136842255.27000001</v>
      </c>
      <c r="O11">
        <v>-0.1657518433294741</v>
      </c>
      <c r="P11">
        <v>1.255850063743031</v>
      </c>
      <c r="Q11" t="s">
        <v>41</v>
      </c>
      <c r="R11">
        <v>0</v>
      </c>
      <c r="S11">
        <v>0</v>
      </c>
      <c r="T11">
        <v>0</v>
      </c>
      <c r="U11">
        <v>0</v>
      </c>
      <c r="V11">
        <v>0</v>
      </c>
      <c r="W11">
        <v>0.91739999999999999</v>
      </c>
      <c r="X11">
        <v>8.14E-2</v>
      </c>
      <c r="Y11">
        <v>1.1999999999999999E-3</v>
      </c>
      <c r="Z11">
        <v>0</v>
      </c>
      <c r="AA11">
        <v>0</v>
      </c>
      <c r="AB11">
        <v>0</v>
      </c>
      <c r="AC11">
        <v>1</v>
      </c>
      <c r="AE11">
        <f>IF(ISNUMBER(INDEX($A$2:$AC$59,10,MATCH('Tüm Teknoloji'!$E$2,$A$1:$AC$1,0))),INDEX($A$2:$AC$59,10,MATCH('Tüm Teknoloji'!$E$2,$A$1:$AC$1,0)),-1000000000)-ROW()/10000000</f>
        <v>-0.2691128390385078</v>
      </c>
    </row>
    <row r="12" spans="1:31" x14ac:dyDescent="0.2">
      <c r="A12" t="s">
        <v>602</v>
      </c>
      <c r="B12" t="s">
        <v>603</v>
      </c>
      <c r="C12" t="s">
        <v>138</v>
      </c>
      <c r="D12">
        <v>1.9E-2</v>
      </c>
      <c r="E12">
        <v>-0.32149509701875362</v>
      </c>
      <c r="F12">
        <v>-2.2975840679072879</v>
      </c>
      <c r="G12">
        <v>0.67581238877647554</v>
      </c>
      <c r="H12">
        <v>64.38494798067498</v>
      </c>
      <c r="I12">
        <v>79.104676654458387</v>
      </c>
      <c r="J12">
        <v>46610</v>
      </c>
      <c r="K12">
        <v>45894</v>
      </c>
      <c r="L12">
        <v>-1.5361510405492379E-2</v>
      </c>
      <c r="M12">
        <v>4210815823.8299999</v>
      </c>
      <c r="N12">
        <v>3987548761.4699998</v>
      </c>
      <c r="O12">
        <v>-5.3022281595998422E-2</v>
      </c>
      <c r="P12">
        <v>1.111482034145225</v>
      </c>
      <c r="Q12" t="s">
        <v>41</v>
      </c>
      <c r="R12">
        <v>0</v>
      </c>
      <c r="S12">
        <v>0</v>
      </c>
      <c r="T12">
        <v>0</v>
      </c>
      <c r="U12">
        <v>0</v>
      </c>
      <c r="V12">
        <v>3.7699999999999997E-2</v>
      </c>
      <c r="W12">
        <v>0.96019999999999994</v>
      </c>
      <c r="X12">
        <v>0</v>
      </c>
      <c r="Y12">
        <v>2.0999999999999999E-3</v>
      </c>
      <c r="Z12">
        <v>0</v>
      </c>
      <c r="AA12">
        <v>0</v>
      </c>
      <c r="AB12">
        <v>0</v>
      </c>
      <c r="AC12">
        <v>0.99999999999999989</v>
      </c>
      <c r="AE12">
        <f>IF(ISNUMBER(INDEX($A$2:$AC$59,11,MATCH('Tüm Teknoloji'!$E$2,$A$1:$AC$1,0))),INDEX($A$2:$AC$59,11,MATCH('Tüm Teknoloji'!$E$2,$A$1:$AC$1,0)),-1000000000)-ROW()/10000000</f>
        <v>-0.3214962970187536</v>
      </c>
    </row>
    <row r="13" spans="1:31" x14ac:dyDescent="0.2">
      <c r="A13" t="s">
        <v>604</v>
      </c>
      <c r="B13" t="s">
        <v>605</v>
      </c>
      <c r="C13" t="s">
        <v>124</v>
      </c>
      <c r="D13">
        <v>2.9000000000000001E-2</v>
      </c>
      <c r="E13">
        <v>-0.39203909333421771</v>
      </c>
      <c r="F13">
        <v>-2.4960162162446231</v>
      </c>
      <c r="G13">
        <v>0.20758816090149509</v>
      </c>
      <c r="H13">
        <v>45.43825322832091</v>
      </c>
      <c r="I13">
        <v>67.111164004646213</v>
      </c>
      <c r="J13">
        <v>22728</v>
      </c>
      <c r="K13">
        <v>22375</v>
      </c>
      <c r="L13">
        <v>-1.553150299190431E-2</v>
      </c>
      <c r="M13">
        <v>1127826116.77</v>
      </c>
      <c r="N13">
        <v>1051977113.8099999</v>
      </c>
      <c r="O13">
        <v>-6.7252390977808885E-2</v>
      </c>
      <c r="P13">
        <v>1.086997718400406</v>
      </c>
      <c r="Q13" t="s">
        <v>41</v>
      </c>
      <c r="R13">
        <v>0</v>
      </c>
      <c r="S13">
        <v>0</v>
      </c>
      <c r="T13">
        <v>0</v>
      </c>
      <c r="U13">
        <v>0</v>
      </c>
      <c r="V13">
        <v>9.2100000000000015E-2</v>
      </c>
      <c r="W13">
        <v>0.878</v>
      </c>
      <c r="X13">
        <v>5.9999999999999995E-4</v>
      </c>
      <c r="Y13">
        <v>2.93E-2</v>
      </c>
      <c r="Z13">
        <v>0</v>
      </c>
      <c r="AA13">
        <v>0</v>
      </c>
      <c r="AB13">
        <v>0</v>
      </c>
      <c r="AC13">
        <v>1</v>
      </c>
      <c r="AE13">
        <f>IF(ISNUMBER(INDEX($A$2:$AC$59,12,MATCH('Tüm Teknoloji'!$E$2,$A$1:$AC$1,0))),INDEX($A$2:$AC$59,12,MATCH('Tüm Teknoloji'!$E$2,$A$1:$AC$1,0)),-1000000000)-ROW()/10000000</f>
        <v>-0.3920403933342177</v>
      </c>
    </row>
    <row r="14" spans="1:31" x14ac:dyDescent="0.2">
      <c r="A14" t="s">
        <v>606</v>
      </c>
      <c r="B14" t="s">
        <v>607</v>
      </c>
      <c r="C14" t="s">
        <v>235</v>
      </c>
      <c r="D14">
        <v>2.5000000000000001E-2</v>
      </c>
      <c r="E14">
        <v>-0.40009489476233728</v>
      </c>
      <c r="F14">
        <v>0.32618611103540918</v>
      </c>
      <c r="G14">
        <v>8.480242630112933</v>
      </c>
      <c r="H14">
        <v>23.508108015039891</v>
      </c>
      <c r="I14">
        <v>67.825465059572252</v>
      </c>
      <c r="J14">
        <v>2820</v>
      </c>
      <c r="K14">
        <v>2866</v>
      </c>
      <c r="L14">
        <v>1.6312056737588732E-2</v>
      </c>
      <c r="M14">
        <v>68899990.439999998</v>
      </c>
      <c r="N14">
        <v>81880718.760000005</v>
      </c>
      <c r="O14">
        <v>0.18839956634397481</v>
      </c>
      <c r="P14">
        <v>0.76085212033676863</v>
      </c>
      <c r="Q14" t="s">
        <v>41</v>
      </c>
      <c r="R14">
        <v>0.57940000000000003</v>
      </c>
      <c r="S14">
        <v>0</v>
      </c>
      <c r="T14">
        <v>0</v>
      </c>
      <c r="U14">
        <v>3.0700000000000002E-2</v>
      </c>
      <c r="V14">
        <v>0.14330000000000001</v>
      </c>
      <c r="W14">
        <v>0.23469999999999999</v>
      </c>
      <c r="X14">
        <v>1.6000000000000001E-3</v>
      </c>
      <c r="Y14">
        <v>1.03E-2</v>
      </c>
      <c r="Z14">
        <v>0</v>
      </c>
      <c r="AA14">
        <v>0</v>
      </c>
      <c r="AB14">
        <v>0</v>
      </c>
      <c r="AC14">
        <v>1</v>
      </c>
      <c r="AE14">
        <f>IF(ISNUMBER(INDEX($A$2:$AC$59,13,MATCH('Tüm Teknoloji'!$E$2,$A$1:$AC$1,0))),INDEX($A$2:$AC$59,13,MATCH('Tüm Teknoloji'!$E$2,$A$1:$AC$1,0)),-1000000000)-ROW()/10000000</f>
        <v>-0.40009629476233727</v>
      </c>
    </row>
    <row r="15" spans="1:31" x14ac:dyDescent="0.2">
      <c r="A15" t="s">
        <v>608</v>
      </c>
      <c r="B15" t="s">
        <v>609</v>
      </c>
      <c r="C15" t="s">
        <v>71</v>
      </c>
      <c r="D15">
        <v>0.02</v>
      </c>
      <c r="E15">
        <v>-0.43520360017769161</v>
      </c>
      <c r="F15">
        <v>-0.94778108473437817</v>
      </c>
      <c r="G15">
        <v>3.2012058756081041</v>
      </c>
      <c r="H15">
        <v>44.428087430217509</v>
      </c>
      <c r="I15">
        <v>70.451434328538824</v>
      </c>
      <c r="J15">
        <v>11535</v>
      </c>
      <c r="K15">
        <v>11199</v>
      </c>
      <c r="L15">
        <v>-2.9128738621586488E-2</v>
      </c>
      <c r="M15">
        <v>879069031.23000002</v>
      </c>
      <c r="N15">
        <v>877948172.90999997</v>
      </c>
      <c r="O15">
        <v>-1.275051537683813E-3</v>
      </c>
      <c r="P15">
        <v>1.1555182698889599</v>
      </c>
      <c r="Q15" t="s">
        <v>41</v>
      </c>
      <c r="R15">
        <v>0.47399999999999998</v>
      </c>
      <c r="S15">
        <v>0.1313</v>
      </c>
      <c r="T15">
        <v>8.9999999999999998E-4</v>
      </c>
      <c r="U15">
        <v>8.0000000000000004E-4</v>
      </c>
      <c r="V15">
        <v>0.1022</v>
      </c>
      <c r="W15">
        <v>0.21360000000000001</v>
      </c>
      <c r="X15">
        <v>0</v>
      </c>
      <c r="Y15">
        <v>2.9399999999999999E-2</v>
      </c>
      <c r="Z15">
        <v>0</v>
      </c>
      <c r="AA15">
        <v>0</v>
      </c>
      <c r="AB15">
        <v>0</v>
      </c>
      <c r="AC15">
        <v>0.95219999999999994</v>
      </c>
      <c r="AE15">
        <f>IF(ISNUMBER(INDEX($A$2:$AC$59,14,MATCH('Tüm Teknoloji'!$E$2,$A$1:$AC$1,0))),INDEX($A$2:$AC$59,14,MATCH('Tüm Teknoloji'!$E$2,$A$1:$AC$1,0)),-1000000000)-ROW()/10000000</f>
        <v>-0.4352051001776916</v>
      </c>
    </row>
    <row r="16" spans="1:31" x14ac:dyDescent="0.2">
      <c r="A16" t="s">
        <v>557</v>
      </c>
      <c r="B16" t="s">
        <v>558</v>
      </c>
      <c r="C16" t="s">
        <v>262</v>
      </c>
      <c r="D16">
        <v>2.5499999999999998E-2</v>
      </c>
      <c r="E16">
        <v>-0.48379547046297772</v>
      </c>
      <c r="F16">
        <v>-0.73235115257376249</v>
      </c>
      <c r="G16">
        <v>2.3720517016378122</v>
      </c>
      <c r="H16">
        <v>22.80112297810939</v>
      </c>
      <c r="I16">
        <v>51.425974343832401</v>
      </c>
      <c r="J16">
        <v>448</v>
      </c>
      <c r="K16">
        <v>401</v>
      </c>
      <c r="L16">
        <v>-0.1049107142857143</v>
      </c>
      <c r="M16">
        <v>400271028.85000002</v>
      </c>
      <c r="N16">
        <v>265347290.43000001</v>
      </c>
      <c r="O16">
        <v>-0.33708094939482158</v>
      </c>
      <c r="P16">
        <v>1.132426545965703</v>
      </c>
      <c r="Q16" t="s">
        <v>41</v>
      </c>
      <c r="R16">
        <v>0.70900000000000007</v>
      </c>
      <c r="S16">
        <v>0</v>
      </c>
      <c r="T16">
        <v>1.24E-2</v>
      </c>
      <c r="U16">
        <v>0</v>
      </c>
      <c r="V16">
        <v>0</v>
      </c>
      <c r="W16">
        <v>7.4999999999999997E-3</v>
      </c>
      <c r="X16">
        <v>5.1900000000000002E-2</v>
      </c>
      <c r="Y16">
        <v>0.20949999999999999</v>
      </c>
      <c r="Z16">
        <v>0</v>
      </c>
      <c r="AA16">
        <v>0</v>
      </c>
      <c r="AB16">
        <v>0</v>
      </c>
      <c r="AC16">
        <v>0.99030000000000007</v>
      </c>
      <c r="AE16">
        <f>IF(ISNUMBER(INDEX($A$2:$AC$59,15,MATCH('Tüm Teknoloji'!$E$2,$A$1:$AC$1,0))),INDEX($A$2:$AC$59,15,MATCH('Tüm Teknoloji'!$E$2,$A$1:$AC$1,0)),-1000000000)-ROW()/10000000</f>
        <v>-0.48379707046297771</v>
      </c>
    </row>
    <row r="17" spans="1:31" x14ac:dyDescent="0.2">
      <c r="A17" t="s">
        <v>559</v>
      </c>
      <c r="B17" t="s">
        <v>560</v>
      </c>
      <c r="C17" t="s">
        <v>87</v>
      </c>
      <c r="D17">
        <v>2.1000000000000001E-2</v>
      </c>
      <c r="E17">
        <v>-0.59574506213061484</v>
      </c>
      <c r="F17">
        <v>-0.33867768832693818</v>
      </c>
      <c r="G17">
        <v>4.5734052110245393</v>
      </c>
      <c r="H17">
        <v>31.599895174095138</v>
      </c>
      <c r="I17">
        <v>52.438422170712109</v>
      </c>
      <c r="J17">
        <v>9161</v>
      </c>
      <c r="K17">
        <v>8935</v>
      </c>
      <c r="L17">
        <v>-2.4669795873812909E-2</v>
      </c>
      <c r="M17">
        <v>1310745574.8099999</v>
      </c>
      <c r="N17">
        <v>1393846016.02</v>
      </c>
      <c r="O17">
        <v>6.3399368120732325E-2</v>
      </c>
      <c r="P17">
        <v>1.683754895893564</v>
      </c>
      <c r="Q17" t="s">
        <v>41</v>
      </c>
      <c r="R17">
        <v>0</v>
      </c>
      <c r="S17">
        <v>0.9677</v>
      </c>
      <c r="T17">
        <v>2.7199999999999998E-2</v>
      </c>
      <c r="U17">
        <v>0</v>
      </c>
      <c r="V17">
        <v>0</v>
      </c>
      <c r="W17">
        <v>0</v>
      </c>
      <c r="X17">
        <v>5.1000000000000004E-3</v>
      </c>
      <c r="Y17">
        <v>0</v>
      </c>
      <c r="Z17">
        <v>0</v>
      </c>
      <c r="AA17">
        <v>0</v>
      </c>
      <c r="AB17">
        <v>0</v>
      </c>
      <c r="AC17">
        <v>1</v>
      </c>
      <c r="AE17">
        <f>IF(ISNUMBER(INDEX($A$2:$AC$59,16,MATCH('Tüm Teknoloji'!$E$2,$A$1:$AC$1,0))),INDEX($A$2:$AC$59,16,MATCH('Tüm Teknoloji'!$E$2,$A$1:$AC$1,0)),-1000000000)-ROW()/10000000</f>
        <v>-0.59574676213061484</v>
      </c>
    </row>
    <row r="18" spans="1:31" x14ac:dyDescent="0.2">
      <c r="A18" t="s">
        <v>610</v>
      </c>
      <c r="B18" t="s">
        <v>611</v>
      </c>
      <c r="C18" t="s">
        <v>124</v>
      </c>
      <c r="D18">
        <v>2.9000000000000001E-2</v>
      </c>
      <c r="E18">
        <v>-0.60249610490028527</v>
      </c>
      <c r="F18">
        <v>2.489844782203043E-2</v>
      </c>
      <c r="G18">
        <v>4.1113445709276553</v>
      </c>
      <c r="H18">
        <v>22.10591577374954</v>
      </c>
      <c r="I18">
        <v>56.988249661667624</v>
      </c>
      <c r="J18">
        <v>12756</v>
      </c>
      <c r="K18">
        <v>12358</v>
      </c>
      <c r="L18">
        <v>-3.1201003449357171E-2</v>
      </c>
      <c r="M18">
        <v>159819687.22999999</v>
      </c>
      <c r="N18">
        <v>179240907.80000001</v>
      </c>
      <c r="O18">
        <v>0.1215195756330727</v>
      </c>
      <c r="P18">
        <v>1.2441524835576001</v>
      </c>
      <c r="Q18" t="s">
        <v>41</v>
      </c>
      <c r="R18">
        <v>0.66890000000000005</v>
      </c>
      <c r="S18">
        <v>0</v>
      </c>
      <c r="T18">
        <v>0</v>
      </c>
      <c r="U18">
        <v>0</v>
      </c>
      <c r="V18">
        <v>4.4600000000000001E-2</v>
      </c>
      <c r="W18">
        <v>0.24229999999999999</v>
      </c>
      <c r="X18">
        <v>8.0000000000000004E-4</v>
      </c>
      <c r="Y18">
        <v>4.3400000000000001E-2</v>
      </c>
      <c r="Z18">
        <v>0</v>
      </c>
      <c r="AA18">
        <v>0</v>
      </c>
      <c r="AB18">
        <v>0</v>
      </c>
      <c r="AC18">
        <v>1</v>
      </c>
      <c r="AE18">
        <f>IF(ISNUMBER(INDEX($A$2:$AC$59,17,MATCH('Tüm Teknoloji'!$E$2,$A$1:$AC$1,0))),INDEX($A$2:$AC$59,17,MATCH('Tüm Teknoloji'!$E$2,$A$1:$AC$1,0)),-1000000000)-ROW()/10000000</f>
        <v>-0.60249790490028532</v>
      </c>
    </row>
    <row r="19" spans="1:31" x14ac:dyDescent="0.2">
      <c r="A19" t="s">
        <v>612</v>
      </c>
      <c r="B19" t="s">
        <v>613</v>
      </c>
      <c r="C19" t="s">
        <v>262</v>
      </c>
      <c r="D19">
        <v>2.92E-2</v>
      </c>
      <c r="E19">
        <v>-0.61633308107457152</v>
      </c>
      <c r="F19">
        <v>-0.95452776295154029</v>
      </c>
      <c r="G19">
        <v>1.4430856773508529</v>
      </c>
      <c r="H19">
        <v>21.236849533296699</v>
      </c>
      <c r="I19">
        <v>44.510222797337519</v>
      </c>
      <c r="J19">
        <v>873</v>
      </c>
      <c r="K19">
        <v>809</v>
      </c>
      <c r="L19">
        <v>-7.3310423825887705E-2</v>
      </c>
      <c r="M19">
        <v>532468448.94</v>
      </c>
      <c r="N19">
        <v>434126828.57999998</v>
      </c>
      <c r="O19">
        <v>-0.18469004230348571</v>
      </c>
      <c r="P19">
        <v>1.355564458752428</v>
      </c>
      <c r="Q19" t="s">
        <v>41</v>
      </c>
      <c r="R19">
        <v>0.73370000000000002</v>
      </c>
      <c r="S19">
        <v>0</v>
      </c>
      <c r="T19">
        <v>1.6E-2</v>
      </c>
      <c r="U19">
        <v>0</v>
      </c>
      <c r="V19">
        <v>2.5499999999999998E-2</v>
      </c>
      <c r="W19">
        <v>0</v>
      </c>
      <c r="X19">
        <v>1.83E-2</v>
      </c>
      <c r="Y19">
        <v>0.1983</v>
      </c>
      <c r="Z19">
        <v>0</v>
      </c>
      <c r="AA19">
        <v>0</v>
      </c>
      <c r="AB19">
        <v>0</v>
      </c>
      <c r="AC19">
        <v>0.99180000000000001</v>
      </c>
      <c r="AE19">
        <f>IF(ISNUMBER(INDEX($A$2:$AC$59,18,MATCH('Tüm Teknoloji'!$E$2,$A$1:$AC$1,0))),INDEX($A$2:$AC$59,18,MATCH('Tüm Teknoloji'!$E$2,$A$1:$AC$1,0)),-1000000000)-ROW()/10000000</f>
        <v>-0.61633498107457152</v>
      </c>
    </row>
    <row r="20" spans="1:31" x14ac:dyDescent="0.2">
      <c r="A20" t="s">
        <v>533</v>
      </c>
      <c r="B20" t="s">
        <v>534</v>
      </c>
      <c r="C20" t="s">
        <v>147</v>
      </c>
      <c r="D20">
        <v>0.02</v>
      </c>
      <c r="E20">
        <v>-0.63356664141996921</v>
      </c>
      <c r="F20">
        <v>-1.458753354695896</v>
      </c>
      <c r="G20">
        <v>1.5918572827708699</v>
      </c>
      <c r="H20">
        <v>38.491343146214483</v>
      </c>
      <c r="I20">
        <v>70.835716524147244</v>
      </c>
      <c r="J20">
        <v>3384</v>
      </c>
      <c r="K20">
        <v>3336</v>
      </c>
      <c r="L20">
        <v>-1.418439716312059E-2</v>
      </c>
      <c r="M20">
        <v>116498251.41</v>
      </c>
      <c r="N20">
        <v>113376402.7</v>
      </c>
      <c r="O20">
        <v>-2.679738684671806E-2</v>
      </c>
      <c r="P20">
        <v>1.3777615864404851</v>
      </c>
      <c r="Q20" t="s">
        <v>41</v>
      </c>
      <c r="R20">
        <v>0.67749999999999999</v>
      </c>
      <c r="S20">
        <v>0</v>
      </c>
      <c r="T20">
        <v>0</v>
      </c>
      <c r="U20">
        <v>0</v>
      </c>
      <c r="V20">
        <v>0</v>
      </c>
      <c r="W20">
        <v>0.31609999999999999</v>
      </c>
      <c r="X20">
        <v>0</v>
      </c>
      <c r="Y20">
        <v>6.4000000000000003E-3</v>
      </c>
      <c r="Z20">
        <v>0</v>
      </c>
      <c r="AA20">
        <v>0</v>
      </c>
      <c r="AB20">
        <v>0</v>
      </c>
      <c r="AC20">
        <v>1</v>
      </c>
      <c r="AE20">
        <f>IF(ISNUMBER(INDEX($A$2:$AC$59,19,MATCH('Tüm Teknoloji'!$E$2,$A$1:$AC$1,0))),INDEX($A$2:$AC$59,19,MATCH('Tüm Teknoloji'!$E$2,$A$1:$AC$1,0)),-1000000000)-ROW()/10000000</f>
        <v>-0.63356864141996916</v>
      </c>
    </row>
    <row r="21" spans="1:31" x14ac:dyDescent="0.2">
      <c r="A21" t="s">
        <v>614</v>
      </c>
      <c r="B21" t="s">
        <v>615</v>
      </c>
      <c r="C21" t="s">
        <v>82</v>
      </c>
      <c r="D21">
        <v>2.7E-2</v>
      </c>
      <c r="E21">
        <v>-0.65709079681499638</v>
      </c>
      <c r="F21">
        <v>0.30851729304617331</v>
      </c>
      <c r="G21">
        <v>5.0515734145141433</v>
      </c>
      <c r="H21">
        <v>25.738581526321731</v>
      </c>
      <c r="I21">
        <v>51.415602035566863</v>
      </c>
      <c r="J21">
        <v>7034</v>
      </c>
      <c r="K21">
        <v>6893</v>
      </c>
      <c r="L21">
        <v>-2.004549331816885E-2</v>
      </c>
      <c r="M21">
        <v>745215619.57000005</v>
      </c>
      <c r="N21">
        <v>762422657.88999999</v>
      </c>
      <c r="O21">
        <v>2.3090012968231429E-2</v>
      </c>
      <c r="P21">
        <v>1.132107793821449</v>
      </c>
      <c r="Q21" t="s">
        <v>41</v>
      </c>
      <c r="R21">
        <v>0.66700000000000004</v>
      </c>
      <c r="S21">
        <v>0</v>
      </c>
      <c r="T21">
        <v>0</v>
      </c>
      <c r="U21">
        <v>7.8700000000000006E-2</v>
      </c>
      <c r="V21">
        <v>0</v>
      </c>
      <c r="W21">
        <v>0.2132</v>
      </c>
      <c r="X21">
        <v>2.1100000000000001E-2</v>
      </c>
      <c r="Y21">
        <v>0</v>
      </c>
      <c r="Z21">
        <v>0</v>
      </c>
      <c r="AA21">
        <v>0</v>
      </c>
      <c r="AB21">
        <v>0</v>
      </c>
      <c r="AC21">
        <v>0.98000000000000009</v>
      </c>
      <c r="AE21">
        <f>IF(ISNUMBER(INDEX($A$2:$AC$59,20,MATCH('Tüm Teknoloji'!$E$2,$A$1:$AC$1,0))),INDEX($A$2:$AC$59,20,MATCH('Tüm Teknoloji'!$E$2,$A$1:$AC$1,0)),-1000000000)-ROW()/10000000</f>
        <v>-0.65709289681499639</v>
      </c>
    </row>
    <row r="22" spans="1:31" x14ac:dyDescent="0.2">
      <c r="A22" t="s">
        <v>561</v>
      </c>
      <c r="B22" t="s">
        <v>562</v>
      </c>
      <c r="C22" t="s">
        <v>138</v>
      </c>
      <c r="D22">
        <v>2.75E-2</v>
      </c>
      <c r="E22">
        <v>-0.68868045458834182</v>
      </c>
      <c r="F22">
        <v>-0.77769752870608944</v>
      </c>
      <c r="G22">
        <v>3.4796225192001979</v>
      </c>
      <c r="H22">
        <v>28.799948214892339</v>
      </c>
      <c r="I22">
        <v>53.854241900810472</v>
      </c>
      <c r="J22">
        <v>11637</v>
      </c>
      <c r="K22">
        <v>11507</v>
      </c>
      <c r="L22">
        <v>-1.1171264071496051E-2</v>
      </c>
      <c r="M22">
        <v>1008664906.73</v>
      </c>
      <c r="N22">
        <v>1028324854.14</v>
      </c>
      <c r="O22">
        <v>1.9491059199963301E-2</v>
      </c>
      <c r="P22">
        <v>1.009664422203131</v>
      </c>
      <c r="Q22" t="s">
        <v>41</v>
      </c>
      <c r="R22">
        <v>0.68359999999999999</v>
      </c>
      <c r="S22">
        <v>0</v>
      </c>
      <c r="T22">
        <v>0</v>
      </c>
      <c r="U22">
        <v>2.2000000000000001E-3</v>
      </c>
      <c r="V22">
        <v>2.5100000000000001E-2</v>
      </c>
      <c r="W22">
        <v>7.2099999999999997E-2</v>
      </c>
      <c r="X22">
        <v>0</v>
      </c>
      <c r="Y22">
        <v>3.5000000000000001E-3</v>
      </c>
      <c r="Z22">
        <v>2.3E-2</v>
      </c>
      <c r="AA22">
        <v>0.17560000000000001</v>
      </c>
      <c r="AB22">
        <v>0</v>
      </c>
      <c r="AC22">
        <v>0.98509999999999998</v>
      </c>
      <c r="AE22">
        <f>IF(ISNUMBER(INDEX($A$2:$AC$59,21,MATCH('Tüm Teknoloji'!$E$2,$A$1:$AC$1,0))),INDEX($A$2:$AC$59,21,MATCH('Tüm Teknoloji'!$E$2,$A$1:$AC$1,0)),-1000000000)-ROW()/10000000</f>
        <v>-0.68868265458834177</v>
      </c>
    </row>
    <row r="23" spans="1:31" x14ac:dyDescent="0.2">
      <c r="A23" t="s">
        <v>616</v>
      </c>
      <c r="B23" t="s">
        <v>617</v>
      </c>
      <c r="C23" t="s">
        <v>71</v>
      </c>
      <c r="D23">
        <v>2.5000000000000001E-2</v>
      </c>
      <c r="E23">
        <v>-0.71291730994440528</v>
      </c>
      <c r="F23">
        <v>-1.774532768198922</v>
      </c>
      <c r="G23">
        <v>-1.197913625020752</v>
      </c>
      <c r="H23">
        <v>24.688594638908889</v>
      </c>
      <c r="I23">
        <v>51.90025761816355</v>
      </c>
      <c r="J23">
        <v>1753</v>
      </c>
      <c r="K23">
        <v>1678</v>
      </c>
      <c r="L23">
        <v>-4.2783799201369099E-2</v>
      </c>
      <c r="M23">
        <v>74170699.129999995</v>
      </c>
      <c r="N23">
        <v>63998574.399999999</v>
      </c>
      <c r="O23">
        <v>-0.1371447869484306</v>
      </c>
      <c r="P23">
        <v>1.0888485018198499</v>
      </c>
      <c r="Q23" t="s">
        <v>41</v>
      </c>
      <c r="R23">
        <v>0.46600000000000003</v>
      </c>
      <c r="S23">
        <v>0.1489</v>
      </c>
      <c r="T23">
        <v>1.04E-2</v>
      </c>
      <c r="U23">
        <v>0</v>
      </c>
      <c r="V23">
        <v>0.10920000000000001</v>
      </c>
      <c r="W23">
        <v>0.24329999999999999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0.9778</v>
      </c>
      <c r="AE23">
        <f>IF(ISNUMBER(INDEX($A$2:$AC$59,22,MATCH('Tüm Teknoloji'!$E$2,$A$1:$AC$1,0))),INDEX($A$2:$AC$59,22,MATCH('Tüm Teknoloji'!$E$2,$A$1:$AC$1,0)),-1000000000)-ROW()/10000000</f>
        <v>-0.71291960994440529</v>
      </c>
    </row>
    <row r="24" spans="1:31" x14ac:dyDescent="0.2">
      <c r="A24" t="s">
        <v>563</v>
      </c>
      <c r="B24" t="s">
        <v>564</v>
      </c>
      <c r="C24" t="s">
        <v>147</v>
      </c>
      <c r="D24">
        <v>0.02</v>
      </c>
      <c r="E24">
        <v>-0.74077680985425998</v>
      </c>
      <c r="F24">
        <v>-1.329588292365014</v>
      </c>
      <c r="G24">
        <v>2.8120243185119742</v>
      </c>
      <c r="H24">
        <v>52.062356385912373</v>
      </c>
      <c r="I24">
        <v>93.218508566018102</v>
      </c>
      <c r="J24">
        <v>16679</v>
      </c>
      <c r="K24">
        <v>17009</v>
      </c>
      <c r="L24">
        <v>1.978535883446253E-2</v>
      </c>
      <c r="M24">
        <v>1559130393.3399999</v>
      </c>
      <c r="N24">
        <v>1540416602.1099999</v>
      </c>
      <c r="O24">
        <v>-1.2002710812346501E-2</v>
      </c>
      <c r="P24">
        <v>1.5201074389303131</v>
      </c>
      <c r="Q24" t="s">
        <v>41</v>
      </c>
      <c r="R24">
        <v>0.66670000000000007</v>
      </c>
      <c r="S24">
        <v>0</v>
      </c>
      <c r="T24">
        <v>0</v>
      </c>
      <c r="U24">
        <v>0</v>
      </c>
      <c r="V24">
        <v>0</v>
      </c>
      <c r="W24">
        <v>0.25390000000000001</v>
      </c>
      <c r="X24">
        <v>0</v>
      </c>
      <c r="Y24">
        <v>7.9399999999999998E-2</v>
      </c>
      <c r="Z24">
        <v>0</v>
      </c>
      <c r="AA24">
        <v>0</v>
      </c>
      <c r="AB24">
        <v>0</v>
      </c>
      <c r="AC24">
        <v>1</v>
      </c>
      <c r="AE24">
        <f>IF(ISNUMBER(INDEX($A$2:$AC$59,23,MATCH('Tüm Teknoloji'!$E$2,$A$1:$AC$1,0))),INDEX($A$2:$AC$59,23,MATCH('Tüm Teknoloji'!$E$2,$A$1:$AC$1,0)),-1000000000)-ROW()/10000000</f>
        <v>-0.74077920985425993</v>
      </c>
    </row>
    <row r="25" spans="1:31" x14ac:dyDescent="0.2">
      <c r="A25" t="s">
        <v>618</v>
      </c>
      <c r="B25" t="s">
        <v>619</v>
      </c>
      <c r="C25" t="s">
        <v>62</v>
      </c>
      <c r="D25">
        <v>0.02</v>
      </c>
      <c r="E25">
        <v>-0.74951329030162883</v>
      </c>
      <c r="F25">
        <v>-1.912982729311441</v>
      </c>
      <c r="G25">
        <v>1.9276638491574789</v>
      </c>
      <c r="H25">
        <v>36.413273256042856</v>
      </c>
      <c r="I25">
        <v>62.190214141727608</v>
      </c>
      <c r="J25">
        <v>789</v>
      </c>
      <c r="K25">
        <v>757</v>
      </c>
      <c r="L25">
        <v>-4.0557667934093773E-2</v>
      </c>
      <c r="M25">
        <v>16976463.719999999</v>
      </c>
      <c r="N25">
        <v>14483916.67</v>
      </c>
      <c r="O25">
        <v>-0.14682369020489969</v>
      </c>
      <c r="P25">
        <v>1.0458220854183859</v>
      </c>
      <c r="Q25" t="s">
        <v>41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E25">
        <f>IF(ISNUMBER(INDEX($A$2:$AC$59,24,MATCH('Tüm Teknoloji'!$E$2,$A$1:$AC$1,0))),INDEX($A$2:$AC$59,24,MATCH('Tüm Teknoloji'!$E$2,$A$1:$AC$1,0)),-1000000000)-ROW()/10000000</f>
        <v>-0.74951579030162885</v>
      </c>
    </row>
    <row r="26" spans="1:31" x14ac:dyDescent="0.2">
      <c r="A26" t="s">
        <v>565</v>
      </c>
      <c r="B26" t="s">
        <v>566</v>
      </c>
      <c r="C26" t="s">
        <v>228</v>
      </c>
      <c r="D26">
        <v>2.9499999999999998E-2</v>
      </c>
      <c r="E26">
        <v>-0.88800895958152104</v>
      </c>
      <c r="F26">
        <v>-1.6755451394906311</v>
      </c>
      <c r="G26">
        <v>2.255902678648614</v>
      </c>
      <c r="H26">
        <v>35.760462709152293</v>
      </c>
      <c r="I26">
        <v>62.742062345521568</v>
      </c>
      <c r="J26">
        <v>11670</v>
      </c>
      <c r="K26">
        <v>11430</v>
      </c>
      <c r="L26">
        <v>-2.0565552699228769E-2</v>
      </c>
      <c r="M26">
        <v>4509727809.6599998</v>
      </c>
      <c r="N26">
        <v>4692042996.6599998</v>
      </c>
      <c r="O26">
        <v>4.0427093318021079E-2</v>
      </c>
      <c r="P26">
        <v>1.538275203829423</v>
      </c>
      <c r="Q26" t="s">
        <v>41</v>
      </c>
      <c r="R26">
        <v>0.69669999999999999</v>
      </c>
      <c r="S26">
        <v>0.10100000000000001</v>
      </c>
      <c r="T26">
        <v>0</v>
      </c>
      <c r="U26">
        <v>0</v>
      </c>
      <c r="V26">
        <v>2.1899999999999999E-2</v>
      </c>
      <c r="W26">
        <v>0.1249</v>
      </c>
      <c r="X26">
        <v>1.23E-2</v>
      </c>
      <c r="Y26">
        <v>4.3200000000000002E-2</v>
      </c>
      <c r="Z26">
        <v>0</v>
      </c>
      <c r="AA26">
        <v>0</v>
      </c>
      <c r="AB26">
        <v>0</v>
      </c>
      <c r="AC26">
        <v>1</v>
      </c>
      <c r="AE26">
        <f>IF(ISNUMBER(INDEX($A$2:$AC$59,25,MATCH('Tüm Teknoloji'!$E$2,$A$1:$AC$1,0))),INDEX($A$2:$AC$59,25,MATCH('Tüm Teknoloji'!$E$2,$A$1:$AC$1,0)),-1000000000)-ROW()/10000000</f>
        <v>-0.888011559581521</v>
      </c>
    </row>
    <row r="27" spans="1:31" x14ac:dyDescent="0.2">
      <c r="A27" t="s">
        <v>620</v>
      </c>
      <c r="B27" t="s">
        <v>621</v>
      </c>
      <c r="C27" t="s">
        <v>124</v>
      </c>
      <c r="D27">
        <v>2.9000000000000001E-2</v>
      </c>
      <c r="E27">
        <v>-0.94552319058174294</v>
      </c>
      <c r="F27">
        <v>-0.70310749895426961</v>
      </c>
      <c r="G27">
        <v>1.3307307610775481</v>
      </c>
      <c r="H27">
        <v>26.748428799507209</v>
      </c>
      <c r="I27">
        <v>54.295003362072308</v>
      </c>
      <c r="J27">
        <v>16331</v>
      </c>
      <c r="K27">
        <v>15710</v>
      </c>
      <c r="L27">
        <v>-3.8025840426183288E-2</v>
      </c>
      <c r="M27">
        <v>870243161.61000001</v>
      </c>
      <c r="N27">
        <v>1050744952.35</v>
      </c>
      <c r="O27">
        <v>0.20741535090728111</v>
      </c>
      <c r="P27">
        <v>1.3342788491111079</v>
      </c>
      <c r="Q27" t="s">
        <v>41</v>
      </c>
      <c r="R27">
        <v>0.65310000000000001</v>
      </c>
      <c r="S27">
        <v>0</v>
      </c>
      <c r="T27">
        <v>0</v>
      </c>
      <c r="U27">
        <v>0</v>
      </c>
      <c r="V27">
        <v>4.5900000000000003E-2</v>
      </c>
      <c r="W27">
        <v>0.20230000000000001</v>
      </c>
      <c r="X27">
        <v>1.4E-3</v>
      </c>
      <c r="Y27">
        <v>9.7299999999999998E-2</v>
      </c>
      <c r="Z27">
        <v>0</v>
      </c>
      <c r="AA27">
        <v>0</v>
      </c>
      <c r="AB27">
        <v>0</v>
      </c>
      <c r="AC27">
        <v>1</v>
      </c>
      <c r="AE27">
        <f>IF(ISNUMBER(INDEX($A$2:$AC$59,26,MATCH('Tüm Teknoloji'!$E$2,$A$1:$AC$1,0))),INDEX($A$2:$AC$59,26,MATCH('Tüm Teknoloji'!$E$2,$A$1:$AC$1,0)),-1000000000)-ROW()/10000000</f>
        <v>-0.94552589058174297</v>
      </c>
    </row>
    <row r="28" spans="1:31" x14ac:dyDescent="0.2">
      <c r="A28" t="s">
        <v>567</v>
      </c>
      <c r="B28" t="s">
        <v>568</v>
      </c>
      <c r="C28" t="s">
        <v>90</v>
      </c>
      <c r="D28">
        <v>1.7520000000000001E-2</v>
      </c>
      <c r="E28">
        <v>-0.95774104058857779</v>
      </c>
      <c r="F28">
        <v>-0.70896024773636768</v>
      </c>
      <c r="G28">
        <v>1.2541619469330409</v>
      </c>
      <c r="H28">
        <v>24.728858350951381</v>
      </c>
      <c r="I28">
        <v>50.828965869870913</v>
      </c>
      <c r="J28">
        <v>3473</v>
      </c>
      <c r="K28">
        <v>3454</v>
      </c>
      <c r="L28">
        <v>-5.4707745465015778E-3</v>
      </c>
      <c r="M28">
        <v>2089082826.8</v>
      </c>
      <c r="N28">
        <v>2089492654.5799999</v>
      </c>
      <c r="O28">
        <v>1.961759365125548E-4</v>
      </c>
      <c r="P28">
        <v>1.4861087257430241</v>
      </c>
      <c r="Q28" t="s">
        <v>41</v>
      </c>
      <c r="R28">
        <v>0.62270000000000003</v>
      </c>
      <c r="S28">
        <v>7.2999999999999995E-2</v>
      </c>
      <c r="T28">
        <v>0</v>
      </c>
      <c r="U28">
        <v>2.0299999999999999E-2</v>
      </c>
      <c r="V28">
        <v>0</v>
      </c>
      <c r="W28">
        <v>0.12709999999999999</v>
      </c>
      <c r="X28">
        <v>1.84E-2</v>
      </c>
      <c r="Y28">
        <v>5.0799999999999998E-2</v>
      </c>
      <c r="Z28">
        <v>5.1900000000000002E-2</v>
      </c>
      <c r="AA28">
        <v>2.3E-2</v>
      </c>
      <c r="AB28">
        <v>2.7000000000000001E-3</v>
      </c>
      <c r="AC28">
        <v>0.9899</v>
      </c>
      <c r="AE28">
        <f>IF(ISNUMBER(INDEX($A$2:$AC$59,27,MATCH('Tüm Teknoloji'!$E$2,$A$1:$AC$1,0))),INDEX($A$2:$AC$59,27,MATCH('Tüm Teknoloji'!$E$2,$A$1:$AC$1,0)),-1000000000)-ROW()/10000000</f>
        <v>-0.95774384058857776</v>
      </c>
    </row>
    <row r="29" spans="1:31" x14ac:dyDescent="0.2">
      <c r="A29" t="s">
        <v>622</v>
      </c>
      <c r="B29" t="s">
        <v>623</v>
      </c>
      <c r="C29" t="s">
        <v>87</v>
      </c>
      <c r="D29">
        <v>2.75E-2</v>
      </c>
      <c r="E29">
        <v>-0.97199273177345225</v>
      </c>
      <c r="F29">
        <v>-1.6544826872705749</v>
      </c>
      <c r="G29">
        <v>1.1445731877478991</v>
      </c>
      <c r="H29">
        <v>15.635370264769531</v>
      </c>
      <c r="I29">
        <v>40.567517638834502</v>
      </c>
      <c r="J29">
        <v>2305</v>
      </c>
      <c r="K29">
        <v>2196</v>
      </c>
      <c r="L29">
        <v>-4.7288503253796077E-2</v>
      </c>
      <c r="M29">
        <v>113541289.62</v>
      </c>
      <c r="N29">
        <v>89285862.900000006</v>
      </c>
      <c r="O29">
        <v>-0.21362648602264481</v>
      </c>
      <c r="P29">
        <v>1.5407652508355809</v>
      </c>
      <c r="Q29" t="s">
        <v>41</v>
      </c>
      <c r="R29">
        <v>0.62170000000000003</v>
      </c>
      <c r="S29">
        <v>6.3E-2</v>
      </c>
      <c r="T29">
        <v>2.2800000000000001E-2</v>
      </c>
      <c r="U29">
        <v>0</v>
      </c>
      <c r="V29">
        <v>0</v>
      </c>
      <c r="W29">
        <v>0.24360000000000001</v>
      </c>
      <c r="X29">
        <v>0</v>
      </c>
      <c r="Y29">
        <v>4.8899999999999999E-2</v>
      </c>
      <c r="Z29">
        <v>0</v>
      </c>
      <c r="AA29">
        <v>0</v>
      </c>
      <c r="AB29">
        <v>0</v>
      </c>
      <c r="AC29">
        <v>1</v>
      </c>
      <c r="AE29">
        <f>IF(ISNUMBER(INDEX($A$2:$AC$59,28,MATCH('Tüm Teknoloji'!$E$2,$A$1:$AC$1,0))),INDEX($A$2:$AC$59,28,MATCH('Tüm Teknoloji'!$E$2,$A$1:$AC$1,0)),-1000000000)-ROW()/10000000</f>
        <v>-0.97199563177345227</v>
      </c>
    </row>
    <row r="30" spans="1:31" x14ac:dyDescent="0.2">
      <c r="A30" t="s">
        <v>624</v>
      </c>
      <c r="B30" t="s">
        <v>625</v>
      </c>
      <c r="C30" t="s">
        <v>100</v>
      </c>
      <c r="D30">
        <v>0.03</v>
      </c>
      <c r="E30">
        <v>-1.00784986365553</v>
      </c>
      <c r="F30">
        <v>-2.1433750345779101</v>
      </c>
      <c r="G30">
        <v>1.665197834088628</v>
      </c>
      <c r="H30">
        <v>34.580906440226819</v>
      </c>
      <c r="I30">
        <v>52.688070529625762</v>
      </c>
      <c r="J30">
        <v>13182</v>
      </c>
      <c r="K30">
        <v>12801</v>
      </c>
      <c r="L30">
        <v>-2.8903049613108741E-2</v>
      </c>
      <c r="M30">
        <v>640225489.95000005</v>
      </c>
      <c r="N30">
        <v>617270032.19000006</v>
      </c>
      <c r="O30">
        <v>-3.5855269932774443E-2</v>
      </c>
      <c r="P30">
        <v>1.2973031307862131</v>
      </c>
      <c r="Q30" t="s">
        <v>41</v>
      </c>
      <c r="R30">
        <v>0.63900000000000001</v>
      </c>
      <c r="S30">
        <v>0</v>
      </c>
      <c r="T30">
        <v>0</v>
      </c>
      <c r="U30">
        <v>2.9999999999999997E-4</v>
      </c>
      <c r="V30">
        <v>6.4000000000000003E-3</v>
      </c>
      <c r="W30">
        <v>0.1991</v>
      </c>
      <c r="X30">
        <v>0</v>
      </c>
      <c r="Y30">
        <v>0.1424</v>
      </c>
      <c r="Z30">
        <v>0</v>
      </c>
      <c r="AA30">
        <v>0</v>
      </c>
      <c r="AB30">
        <v>0</v>
      </c>
      <c r="AC30">
        <v>0.98719999999999997</v>
      </c>
      <c r="AE30">
        <f>IF(ISNUMBER(INDEX($A$2:$AC$59,29,MATCH('Tüm Teknoloji'!$E$2,$A$1:$AC$1,0))),INDEX($A$2:$AC$59,29,MATCH('Tüm Teknoloji'!$E$2,$A$1:$AC$1,0)),-1000000000)-ROW()/10000000</f>
        <v>-1.00785286365553</v>
      </c>
    </row>
    <row r="31" spans="1:31" x14ac:dyDescent="0.2">
      <c r="A31" t="s">
        <v>569</v>
      </c>
      <c r="B31" t="s">
        <v>570</v>
      </c>
      <c r="C31" t="s">
        <v>168</v>
      </c>
      <c r="D31">
        <v>2.5000000000000001E-2</v>
      </c>
      <c r="E31">
        <v>-1.0085414858344131</v>
      </c>
      <c r="F31">
        <v>-3.8455197547289881</v>
      </c>
      <c r="G31">
        <v>-2.035013255154983E-2</v>
      </c>
      <c r="H31">
        <v>42.106635528600279</v>
      </c>
      <c r="I31">
        <v>65.383342992669697</v>
      </c>
      <c r="J31">
        <v>462</v>
      </c>
      <c r="K31">
        <v>425</v>
      </c>
      <c r="L31">
        <v>-8.0086580086580095E-2</v>
      </c>
      <c r="M31">
        <v>29465172.489999998</v>
      </c>
      <c r="N31">
        <v>29276239.449999999</v>
      </c>
      <c r="O31">
        <v>-6.4120798907293386E-3</v>
      </c>
      <c r="P31">
        <v>2.0739370577512641</v>
      </c>
      <c r="Q31" t="s">
        <v>41</v>
      </c>
      <c r="R31">
        <v>0.63039999999999996</v>
      </c>
      <c r="S31">
        <v>0</v>
      </c>
      <c r="T31">
        <v>0</v>
      </c>
      <c r="U31">
        <v>0</v>
      </c>
      <c r="V31">
        <v>0</v>
      </c>
      <c r="W31">
        <v>0.32840000000000003</v>
      </c>
      <c r="X31">
        <v>0</v>
      </c>
      <c r="Y31">
        <v>4.1200000000000001E-2</v>
      </c>
      <c r="Z31">
        <v>0</v>
      </c>
      <c r="AA31">
        <v>0</v>
      </c>
      <c r="AB31">
        <v>0</v>
      </c>
      <c r="AC31">
        <v>1</v>
      </c>
      <c r="AE31">
        <f>IF(ISNUMBER(INDEX($A$2:$AC$59,30,MATCH('Tüm Teknoloji'!$E$2,$A$1:$AC$1,0))),INDEX($A$2:$AC$59,30,MATCH('Tüm Teknoloji'!$E$2,$A$1:$AC$1,0)),-1000000000)-ROW()/10000000</f>
        <v>-1.0085445858344131</v>
      </c>
    </row>
    <row r="32" spans="1:31" x14ac:dyDescent="0.2">
      <c r="A32" t="s">
        <v>626</v>
      </c>
      <c r="B32" t="s">
        <v>627</v>
      </c>
      <c r="C32" t="s">
        <v>71</v>
      </c>
      <c r="D32">
        <v>2.75E-2</v>
      </c>
      <c r="E32">
        <v>-1.012405029439734</v>
      </c>
      <c r="F32">
        <v>-5.3110285974783844</v>
      </c>
      <c r="G32">
        <v>-6.1915109564933957</v>
      </c>
      <c r="H32">
        <v>25.15458748464059</v>
      </c>
      <c r="I32">
        <v>42.00331133631623</v>
      </c>
      <c r="J32">
        <v>3202</v>
      </c>
      <c r="K32">
        <v>3057</v>
      </c>
      <c r="L32">
        <v>-4.5284197376639579E-2</v>
      </c>
      <c r="M32">
        <v>251231606.66999999</v>
      </c>
      <c r="N32">
        <v>220578710.91</v>
      </c>
      <c r="O32">
        <v>-0.1220105072219813</v>
      </c>
      <c r="P32">
        <v>1.4067757713402309</v>
      </c>
      <c r="Q32" t="s">
        <v>41</v>
      </c>
      <c r="R32">
        <v>0</v>
      </c>
      <c r="S32">
        <v>0</v>
      </c>
      <c r="T32">
        <v>4.3E-3</v>
      </c>
      <c r="U32">
        <v>0</v>
      </c>
      <c r="V32">
        <v>1.35E-2</v>
      </c>
      <c r="W32">
        <v>0.94930000000000003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0.96710000000000007</v>
      </c>
      <c r="AE32">
        <f>IF(ISNUMBER(INDEX($A$2:$AC$59,31,MATCH('Tüm Teknoloji'!$E$2,$A$1:$AC$1,0))),INDEX($A$2:$AC$59,31,MATCH('Tüm Teknoloji'!$E$2,$A$1:$AC$1,0)),-1000000000)-ROW()/10000000</f>
        <v>-1.0124082294397341</v>
      </c>
    </row>
    <row r="33" spans="1:31" x14ac:dyDescent="0.2">
      <c r="A33" t="s">
        <v>571</v>
      </c>
      <c r="B33" t="s">
        <v>572</v>
      </c>
      <c r="C33" t="s">
        <v>124</v>
      </c>
      <c r="D33">
        <v>2.9000000000000001E-2</v>
      </c>
      <c r="E33">
        <v>-1.075967506795283</v>
      </c>
      <c r="F33">
        <v>-7.6190754894656099E-2</v>
      </c>
      <c r="G33">
        <v>0.93728687228278318</v>
      </c>
      <c r="H33">
        <v>11.21787340370339</v>
      </c>
      <c r="I33">
        <v>50.707841984385091</v>
      </c>
      <c r="J33">
        <v>144479</v>
      </c>
      <c r="K33">
        <v>140082</v>
      </c>
      <c r="L33">
        <v>-3.043348860388018E-2</v>
      </c>
      <c r="M33">
        <v>20304518996.060001</v>
      </c>
      <c r="N33">
        <v>19494386223.950001</v>
      </c>
      <c r="O33">
        <v>-3.989913635812814E-2</v>
      </c>
      <c r="P33">
        <v>1.51778534300295</v>
      </c>
      <c r="Q33" t="s">
        <v>41</v>
      </c>
      <c r="R33">
        <v>0.9536</v>
      </c>
      <c r="S33">
        <v>0</v>
      </c>
      <c r="T33">
        <v>1E-4</v>
      </c>
      <c r="U33">
        <v>0</v>
      </c>
      <c r="V33">
        <v>4.0500000000000001E-2</v>
      </c>
      <c r="W33">
        <v>0</v>
      </c>
      <c r="X33">
        <v>0</v>
      </c>
      <c r="Y33">
        <v>5.7999999999999996E-3</v>
      </c>
      <c r="Z33">
        <v>0</v>
      </c>
      <c r="AA33">
        <v>0</v>
      </c>
      <c r="AB33">
        <v>0</v>
      </c>
      <c r="AC33">
        <v>1</v>
      </c>
      <c r="AE33">
        <f>IF(ISNUMBER(INDEX($A$2:$AC$59,32,MATCH('Tüm Teknoloji'!$E$2,$A$1:$AC$1,0))),INDEX($A$2:$AC$59,32,MATCH('Tüm Teknoloji'!$E$2,$A$1:$AC$1,0)),-1000000000)-ROW()/10000000</f>
        <v>-1.0759708067952829</v>
      </c>
    </row>
    <row r="34" spans="1:31" x14ac:dyDescent="0.2">
      <c r="A34" t="s">
        <v>628</v>
      </c>
      <c r="B34" t="s">
        <v>629</v>
      </c>
      <c r="C34" t="s">
        <v>71</v>
      </c>
      <c r="D34">
        <v>2.5000000000000001E-2</v>
      </c>
      <c r="E34">
        <v>-1.101960197160001</v>
      </c>
      <c r="F34">
        <v>-2.1813378028430419</v>
      </c>
      <c r="G34">
        <v>1.1640266915230459</v>
      </c>
      <c r="H34">
        <v>30.29541591933085</v>
      </c>
      <c r="I34">
        <v>50.376050374241167</v>
      </c>
      <c r="J34">
        <v>2598</v>
      </c>
      <c r="K34">
        <v>2450</v>
      </c>
      <c r="L34">
        <v>-5.6966897613548888E-2</v>
      </c>
      <c r="M34">
        <v>157161858.25</v>
      </c>
      <c r="N34">
        <v>138685398.41999999</v>
      </c>
      <c r="O34">
        <v>-0.1175632563507184</v>
      </c>
      <c r="P34">
        <v>1.2477485780945461</v>
      </c>
      <c r="Q34" t="s">
        <v>41</v>
      </c>
      <c r="R34">
        <v>0.43569999999999998</v>
      </c>
      <c r="S34">
        <v>0.18099999999999999</v>
      </c>
      <c r="T34">
        <v>5.7999999999999996E-3</v>
      </c>
      <c r="U34">
        <v>0</v>
      </c>
      <c r="V34">
        <v>7.0999999999999994E-2</v>
      </c>
      <c r="W34">
        <v>0.28199999999999997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0.97549999999999992</v>
      </c>
      <c r="AE34">
        <f>IF(ISNUMBER(INDEX($A$2:$AC$59,33,MATCH('Tüm Teknoloji'!$E$2,$A$1:$AC$1,0))),INDEX($A$2:$AC$59,33,MATCH('Tüm Teknoloji'!$E$2,$A$1:$AC$1,0)),-1000000000)-ROW()/10000000</f>
        <v>-1.101963597160001</v>
      </c>
    </row>
    <row r="35" spans="1:31" x14ac:dyDescent="0.2">
      <c r="A35" t="s">
        <v>535</v>
      </c>
      <c r="B35" t="s">
        <v>536</v>
      </c>
      <c r="C35" t="s">
        <v>280</v>
      </c>
      <c r="D35">
        <v>2.5000000000000001E-2</v>
      </c>
      <c r="E35">
        <v>-1.1273337925507549</v>
      </c>
      <c r="F35">
        <v>-6.4149280660613526</v>
      </c>
      <c r="G35">
        <v>0.11971712839367039</v>
      </c>
      <c r="H35">
        <v>13.24034355787729</v>
      </c>
      <c r="I35">
        <v>25.99864943869088</v>
      </c>
      <c r="J35">
        <v>18574</v>
      </c>
      <c r="K35">
        <v>17825</v>
      </c>
      <c r="L35">
        <v>-4.0325185743512397E-2</v>
      </c>
      <c r="M35">
        <v>580177673.65999997</v>
      </c>
      <c r="N35">
        <v>530383893.91000003</v>
      </c>
      <c r="O35">
        <v>-8.5825053273560603E-2</v>
      </c>
      <c r="P35">
        <v>1.415051262909587</v>
      </c>
      <c r="Q35" t="s">
        <v>41</v>
      </c>
      <c r="R35">
        <v>0.6984999999999999</v>
      </c>
      <c r="S35">
        <v>0</v>
      </c>
      <c r="T35">
        <v>0</v>
      </c>
      <c r="U35">
        <v>1.3599999999999999E-2</v>
      </c>
      <c r="V35">
        <v>0</v>
      </c>
      <c r="W35">
        <v>0.2288</v>
      </c>
      <c r="X35">
        <v>0</v>
      </c>
      <c r="Y35">
        <v>5.91E-2</v>
      </c>
      <c r="Z35">
        <v>0</v>
      </c>
      <c r="AA35">
        <v>0</v>
      </c>
      <c r="AB35">
        <v>0</v>
      </c>
      <c r="AC35">
        <v>0.99999999999999989</v>
      </c>
      <c r="AE35">
        <f>IF(ISNUMBER(INDEX($A$2:$AC$59,34,MATCH('Tüm Teknoloji'!$E$2,$A$1:$AC$1,0))),INDEX($A$2:$AC$59,34,MATCH('Tüm Teknoloji'!$E$2,$A$1:$AC$1,0)),-1000000000)-ROW()/10000000</f>
        <v>-1.127337292550755</v>
      </c>
    </row>
    <row r="36" spans="1:31" x14ac:dyDescent="0.2">
      <c r="A36" t="s">
        <v>630</v>
      </c>
      <c r="B36" t="s">
        <v>631</v>
      </c>
      <c r="C36" t="s">
        <v>138</v>
      </c>
      <c r="D36">
        <v>2.75E-2</v>
      </c>
      <c r="E36">
        <v>-1.2176547576869809</v>
      </c>
      <c r="F36">
        <v>-0.9472966028996832</v>
      </c>
      <c r="G36">
        <v>2.8773496048729141</v>
      </c>
      <c r="H36">
        <v>27.62306973488775</v>
      </c>
      <c r="I36">
        <v>51.282254219753831</v>
      </c>
      <c r="J36">
        <v>13485</v>
      </c>
      <c r="K36">
        <v>13191</v>
      </c>
      <c r="L36">
        <v>-2.180200222469408E-2</v>
      </c>
      <c r="M36">
        <v>634219138.67999995</v>
      </c>
      <c r="N36">
        <v>643978704.64999998</v>
      </c>
      <c r="O36">
        <v>1.5388318287449691E-2</v>
      </c>
      <c r="P36">
        <v>1.176562474227679</v>
      </c>
      <c r="Q36" t="s">
        <v>41</v>
      </c>
      <c r="R36">
        <v>0.64400000000000002</v>
      </c>
      <c r="S36">
        <v>2.06E-2</v>
      </c>
      <c r="T36">
        <v>0</v>
      </c>
      <c r="U36">
        <v>5.0000000000000001E-4</v>
      </c>
      <c r="V36">
        <v>1.1599999999999999E-2</v>
      </c>
      <c r="W36">
        <v>9.7200000000000009E-2</v>
      </c>
      <c r="X36">
        <v>0</v>
      </c>
      <c r="Y36">
        <v>3.3999999999999998E-3</v>
      </c>
      <c r="Z36">
        <v>9.9000000000000005E-2</v>
      </c>
      <c r="AA36">
        <v>0.1042</v>
      </c>
      <c r="AB36">
        <v>0</v>
      </c>
      <c r="AC36">
        <v>0.98050000000000004</v>
      </c>
      <c r="AE36">
        <f>IF(ISNUMBER(INDEX($A$2:$AC$59,35,MATCH('Tüm Teknoloji'!$E$2,$A$1:$AC$1,0))),INDEX($A$2:$AC$59,35,MATCH('Tüm Teknoloji'!$E$2,$A$1:$AC$1,0)),-1000000000)-ROW()/10000000</f>
        <v>-1.2176583576869811</v>
      </c>
    </row>
    <row r="37" spans="1:31" x14ac:dyDescent="0.2">
      <c r="A37" t="s">
        <v>573</v>
      </c>
      <c r="B37" t="s">
        <v>574</v>
      </c>
      <c r="C37" t="s">
        <v>62</v>
      </c>
      <c r="D37">
        <v>1.95E-2</v>
      </c>
      <c r="E37">
        <v>-1.224622091050565</v>
      </c>
      <c r="F37">
        <v>-3.514964394329712</v>
      </c>
      <c r="G37">
        <v>0.1272410216425435</v>
      </c>
      <c r="H37">
        <v>39.763953871789553</v>
      </c>
      <c r="I37">
        <v>77.968606735090134</v>
      </c>
      <c r="J37">
        <v>1569</v>
      </c>
      <c r="K37">
        <v>1572</v>
      </c>
      <c r="L37">
        <v>1.912045889101321E-3</v>
      </c>
      <c r="M37">
        <v>128801666.88</v>
      </c>
      <c r="N37">
        <v>129665010.48</v>
      </c>
      <c r="O37">
        <v>6.7028915146289947E-3</v>
      </c>
      <c r="P37">
        <v>1.6435815996508509</v>
      </c>
      <c r="Q37" t="s">
        <v>41</v>
      </c>
      <c r="R37">
        <v>0.56399999999999995</v>
      </c>
      <c r="S37">
        <v>0.1618</v>
      </c>
      <c r="T37">
        <v>0</v>
      </c>
      <c r="U37">
        <v>0</v>
      </c>
      <c r="V37">
        <v>0</v>
      </c>
      <c r="W37">
        <v>0.25259999999999999</v>
      </c>
      <c r="X37">
        <v>0</v>
      </c>
      <c r="Y37">
        <v>2.1600000000000001E-2</v>
      </c>
      <c r="Z37">
        <v>0</v>
      </c>
      <c r="AA37">
        <v>0</v>
      </c>
      <c r="AB37">
        <v>0</v>
      </c>
      <c r="AC37">
        <v>0.99999999999999989</v>
      </c>
      <c r="AE37">
        <f>IF(ISNUMBER(INDEX($A$2:$AC$59,36,MATCH('Tüm Teknoloji'!$E$2,$A$1:$AC$1,0))),INDEX($A$2:$AC$59,36,MATCH('Tüm Teknoloji'!$E$2,$A$1:$AC$1,0)),-1000000000)-ROW()/10000000</f>
        <v>-1.2246257910505649</v>
      </c>
    </row>
    <row r="38" spans="1:31" x14ac:dyDescent="0.2">
      <c r="A38" t="s">
        <v>632</v>
      </c>
      <c r="B38" t="s">
        <v>633</v>
      </c>
      <c r="C38" t="s">
        <v>147</v>
      </c>
      <c r="D38">
        <v>0.02</v>
      </c>
      <c r="E38">
        <v>-1.234708009420715</v>
      </c>
      <c r="F38">
        <v>-6.9175744354751494</v>
      </c>
      <c r="G38">
        <v>-2.8701749307966762</v>
      </c>
      <c r="H38">
        <v>9.013686090568406</v>
      </c>
      <c r="I38">
        <v>14.951643174088931</v>
      </c>
      <c r="J38">
        <v>1466</v>
      </c>
      <c r="K38">
        <v>1998</v>
      </c>
      <c r="L38">
        <v>0.36289222373806268</v>
      </c>
      <c r="M38">
        <v>96592803.909999996</v>
      </c>
      <c r="N38">
        <v>99130570.489999995</v>
      </c>
      <c r="O38">
        <v>2.6272832729491439E-2</v>
      </c>
      <c r="P38">
        <v>1.4827456519604381</v>
      </c>
      <c r="Q38" t="s">
        <v>41</v>
      </c>
      <c r="R38">
        <v>0.60439999999999994</v>
      </c>
      <c r="S38">
        <v>0</v>
      </c>
      <c r="T38">
        <v>0</v>
      </c>
      <c r="U38">
        <v>0</v>
      </c>
      <c r="V38">
        <v>0</v>
      </c>
      <c r="W38">
        <v>0.31940000000000002</v>
      </c>
      <c r="X38">
        <v>0</v>
      </c>
      <c r="Y38">
        <v>7.6200000000000004E-2</v>
      </c>
      <c r="Z38">
        <v>0</v>
      </c>
      <c r="AA38">
        <v>0</v>
      </c>
      <c r="AB38">
        <v>0</v>
      </c>
      <c r="AC38">
        <v>1</v>
      </c>
      <c r="AE38">
        <f>IF(ISNUMBER(INDEX($A$2:$AC$59,37,MATCH('Tüm Teknoloji'!$E$2,$A$1:$AC$1,0))),INDEX($A$2:$AC$59,37,MATCH('Tüm Teknoloji'!$E$2,$A$1:$AC$1,0)),-1000000000)-ROW()/10000000</f>
        <v>-1.234711809420715</v>
      </c>
    </row>
    <row r="39" spans="1:31" x14ac:dyDescent="0.2">
      <c r="A39" t="s">
        <v>537</v>
      </c>
      <c r="B39" t="s">
        <v>538</v>
      </c>
      <c r="C39" t="s">
        <v>100</v>
      </c>
      <c r="D39">
        <v>2.5000000000000001E-2</v>
      </c>
      <c r="E39">
        <v>-1.2350278620450019</v>
      </c>
      <c r="F39">
        <v>-2.857718284070021</v>
      </c>
      <c r="G39">
        <v>1.4457310219916359</v>
      </c>
      <c r="H39">
        <v>44.360271817079052</v>
      </c>
      <c r="I39">
        <v>77.990949740598154</v>
      </c>
      <c r="J39">
        <v>13573</v>
      </c>
      <c r="K39">
        <v>14321</v>
      </c>
      <c r="L39">
        <v>5.5109408384292242E-2</v>
      </c>
      <c r="M39">
        <v>1046976452.15</v>
      </c>
      <c r="N39">
        <v>1087617766.25</v>
      </c>
      <c r="O39">
        <v>3.8817791953717602E-2</v>
      </c>
      <c r="P39">
        <v>1.7695426324961649</v>
      </c>
      <c r="Q39" t="s">
        <v>41</v>
      </c>
      <c r="R39">
        <v>0</v>
      </c>
      <c r="S39">
        <v>0.6663</v>
      </c>
      <c r="T39">
        <v>0</v>
      </c>
      <c r="U39">
        <v>8.9999999999999998E-4</v>
      </c>
      <c r="V39">
        <v>9.1999999999999998E-3</v>
      </c>
      <c r="W39">
        <v>0</v>
      </c>
      <c r="X39">
        <v>0</v>
      </c>
      <c r="Y39">
        <v>0.3236</v>
      </c>
      <c r="Z39">
        <v>0</v>
      </c>
      <c r="AA39">
        <v>0</v>
      </c>
      <c r="AB39">
        <v>0</v>
      </c>
      <c r="AC39">
        <v>1</v>
      </c>
      <c r="AE39">
        <f>IF(ISNUMBER(INDEX($A$2:$AC$59,38,MATCH('Tüm Teknoloji'!$E$2,$A$1:$AC$1,0))),INDEX($A$2:$AC$59,38,MATCH('Tüm Teknoloji'!$E$2,$A$1:$AC$1,0)),-1000000000)-ROW()/10000000</f>
        <v>-1.235031762045002</v>
      </c>
    </row>
    <row r="40" spans="1:31" x14ac:dyDescent="0.2">
      <c r="A40" t="s">
        <v>539</v>
      </c>
      <c r="B40" t="s">
        <v>540</v>
      </c>
      <c r="C40" t="s">
        <v>280</v>
      </c>
      <c r="D40">
        <v>2.5000000000000001E-2</v>
      </c>
      <c r="E40">
        <v>-1.2468262651208371</v>
      </c>
      <c r="F40">
        <v>-3.7341488614624612</v>
      </c>
      <c r="G40">
        <v>0.51118374662535437</v>
      </c>
      <c r="H40">
        <v>39.769040757613922</v>
      </c>
      <c r="I40">
        <v>70.558770372674488</v>
      </c>
      <c r="J40">
        <v>5413</v>
      </c>
      <c r="K40">
        <v>5253</v>
      </c>
      <c r="L40">
        <v>-2.9558470349159479E-2</v>
      </c>
      <c r="M40">
        <v>280376122.50999999</v>
      </c>
      <c r="N40">
        <v>273683715.80000001</v>
      </c>
      <c r="O40">
        <v>-2.3869388912607151E-2</v>
      </c>
      <c r="P40">
        <v>2.0779673622265622</v>
      </c>
      <c r="Q40" t="s">
        <v>41</v>
      </c>
      <c r="R40">
        <v>0.64549999999999996</v>
      </c>
      <c r="S40">
        <v>0</v>
      </c>
      <c r="T40">
        <v>0</v>
      </c>
      <c r="U40">
        <v>1.26E-2</v>
      </c>
      <c r="V40">
        <v>0</v>
      </c>
      <c r="W40">
        <v>0.22559999999999999</v>
      </c>
      <c r="X40">
        <v>0</v>
      </c>
      <c r="Y40">
        <v>0.1163</v>
      </c>
      <c r="Z40">
        <v>0</v>
      </c>
      <c r="AA40">
        <v>0</v>
      </c>
      <c r="AB40">
        <v>0</v>
      </c>
      <c r="AC40">
        <v>1</v>
      </c>
      <c r="AE40">
        <f>IF(ISNUMBER(INDEX($A$2:$AC$59,39,MATCH('Tüm Teknoloji'!$E$2,$A$1:$AC$1,0))),INDEX($A$2:$AC$59,39,MATCH('Tüm Teknoloji'!$E$2,$A$1:$AC$1,0)),-1000000000)-ROW()/10000000</f>
        <v>-1.2468302651208369</v>
      </c>
    </row>
    <row r="41" spans="1:31" x14ac:dyDescent="0.2">
      <c r="A41" t="s">
        <v>575</v>
      </c>
      <c r="B41" t="s">
        <v>576</v>
      </c>
      <c r="C41" t="s">
        <v>50</v>
      </c>
      <c r="D41">
        <v>2.5000000000000001E-2</v>
      </c>
      <c r="E41">
        <v>-1.293333669355667</v>
      </c>
      <c r="F41">
        <v>-2.2919585498399009</v>
      </c>
      <c r="G41">
        <v>-0.44147359030202171</v>
      </c>
      <c r="H41">
        <v>13.644217395455231</v>
      </c>
      <c r="I41" t="s">
        <v>165</v>
      </c>
      <c r="J41">
        <v>1937</v>
      </c>
      <c r="K41">
        <v>1627</v>
      </c>
      <c r="L41">
        <v>-0.1600413009808983</v>
      </c>
      <c r="M41">
        <v>164782912.25999999</v>
      </c>
      <c r="N41">
        <v>150052992.40000001</v>
      </c>
      <c r="O41">
        <v>-8.9389850306557439E-2</v>
      </c>
      <c r="P41">
        <v>1.6157244050006581</v>
      </c>
      <c r="Q41" t="s">
        <v>41</v>
      </c>
      <c r="R41">
        <v>0.68110000000000004</v>
      </c>
      <c r="S41">
        <v>0</v>
      </c>
      <c r="T41">
        <v>0</v>
      </c>
      <c r="U41">
        <v>1E-4</v>
      </c>
      <c r="V41">
        <v>0</v>
      </c>
      <c r="W41">
        <v>0.30159999999999998</v>
      </c>
      <c r="X41">
        <v>0</v>
      </c>
      <c r="Y41">
        <v>1.72E-2</v>
      </c>
      <c r="Z41">
        <v>0</v>
      </c>
      <c r="AA41">
        <v>0</v>
      </c>
      <c r="AB41">
        <v>0</v>
      </c>
      <c r="AC41">
        <v>1</v>
      </c>
      <c r="AE41">
        <f>IF(ISNUMBER(INDEX($A$2:$AC$59,40,MATCH('Tüm Teknoloji'!$E$2,$A$1:$AC$1,0))),INDEX($A$2:$AC$59,40,MATCH('Tüm Teknoloji'!$E$2,$A$1:$AC$1,0)),-1000000000)-ROW()/10000000</f>
        <v>-1.2933377693556669</v>
      </c>
    </row>
    <row r="42" spans="1:31" x14ac:dyDescent="0.2">
      <c r="A42" t="s">
        <v>577</v>
      </c>
      <c r="B42" t="s">
        <v>578</v>
      </c>
      <c r="C42" t="s">
        <v>121</v>
      </c>
      <c r="D42">
        <v>2.835E-2</v>
      </c>
      <c r="E42">
        <v>-1.309237439191324</v>
      </c>
      <c r="F42">
        <v>-1.2509731564670279</v>
      </c>
      <c r="G42">
        <v>1.7598291603842851</v>
      </c>
      <c r="H42">
        <v>39.838952772882052</v>
      </c>
      <c r="I42">
        <v>69.691808780110037</v>
      </c>
      <c r="J42">
        <v>1342</v>
      </c>
      <c r="K42">
        <v>1331</v>
      </c>
      <c r="L42">
        <v>-8.1967213114754189E-3</v>
      </c>
      <c r="M42">
        <v>637062699.86000001</v>
      </c>
      <c r="N42">
        <v>684187575.24000001</v>
      </c>
      <c r="O42">
        <v>7.3972115131455851E-2</v>
      </c>
      <c r="P42">
        <v>1.5601430573102</v>
      </c>
      <c r="Q42" t="s">
        <v>41</v>
      </c>
      <c r="R42">
        <v>0</v>
      </c>
      <c r="S42">
        <v>0.7611</v>
      </c>
      <c r="T42">
        <v>0</v>
      </c>
      <c r="U42">
        <v>0</v>
      </c>
      <c r="V42">
        <v>0</v>
      </c>
      <c r="W42">
        <v>6.7699999999999996E-2</v>
      </c>
      <c r="X42">
        <v>0</v>
      </c>
      <c r="Y42">
        <v>0.17119999999999999</v>
      </c>
      <c r="Z42">
        <v>0</v>
      </c>
      <c r="AA42">
        <v>0</v>
      </c>
      <c r="AB42">
        <v>0</v>
      </c>
      <c r="AC42">
        <v>1</v>
      </c>
      <c r="AE42">
        <f>IF(ISNUMBER(INDEX($A$2:$AC$59,41,MATCH('Tüm Teknoloji'!$E$2,$A$1:$AC$1,0))),INDEX($A$2:$AC$59,41,MATCH('Tüm Teknoloji'!$E$2,$A$1:$AC$1,0)),-1000000000)-ROW()/10000000</f>
        <v>-1.309241639191324</v>
      </c>
    </row>
    <row r="43" spans="1:31" x14ac:dyDescent="0.2">
      <c r="A43" t="s">
        <v>550</v>
      </c>
      <c r="B43" t="s">
        <v>551</v>
      </c>
      <c r="C43" t="s">
        <v>50</v>
      </c>
      <c r="D43">
        <v>2.5000000000000001E-2</v>
      </c>
      <c r="E43">
        <v>-1.319062123900905</v>
      </c>
      <c r="F43">
        <v>-1.5730915195010911</v>
      </c>
      <c r="G43">
        <v>6.8883092092261622</v>
      </c>
      <c r="H43">
        <v>24.140386142430241</v>
      </c>
      <c r="I43">
        <v>50.216863343400703</v>
      </c>
      <c r="J43">
        <v>995</v>
      </c>
      <c r="K43">
        <v>977</v>
      </c>
      <c r="L43">
        <v>-1.809045226130657E-2</v>
      </c>
      <c r="M43">
        <v>234496220.94999999</v>
      </c>
      <c r="N43">
        <v>255813593.34999999</v>
      </c>
      <c r="O43">
        <v>9.0907104232376357E-2</v>
      </c>
      <c r="P43">
        <v>1.248415614176849</v>
      </c>
      <c r="Q43" t="s">
        <v>41</v>
      </c>
      <c r="R43">
        <v>0.69930000000000003</v>
      </c>
      <c r="S43">
        <v>0</v>
      </c>
      <c r="T43">
        <v>0</v>
      </c>
      <c r="U43">
        <v>0</v>
      </c>
      <c r="V43">
        <v>0</v>
      </c>
      <c r="W43">
        <v>0.13569999999999999</v>
      </c>
      <c r="X43">
        <v>0</v>
      </c>
      <c r="Y43">
        <v>0.1222</v>
      </c>
      <c r="Z43">
        <v>0</v>
      </c>
      <c r="AA43">
        <v>0</v>
      </c>
      <c r="AB43">
        <v>0</v>
      </c>
      <c r="AC43">
        <v>0.95720000000000005</v>
      </c>
      <c r="AE43">
        <f>IF(ISNUMBER(INDEX($A$2:$AC$59,42,MATCH('Tüm Teknoloji'!$E$2,$A$1:$AC$1,0))),INDEX($A$2:$AC$59,42,MATCH('Tüm Teknoloji'!$E$2,$A$1:$AC$1,0)),-1000000000)-ROW()/10000000</f>
        <v>-1.3190664239009051</v>
      </c>
    </row>
    <row r="44" spans="1:31" x14ac:dyDescent="0.2">
      <c r="A44" t="s">
        <v>634</v>
      </c>
      <c r="B44" t="s">
        <v>635</v>
      </c>
      <c r="C44" t="s">
        <v>235</v>
      </c>
      <c r="D44">
        <v>2.5000000000000001E-2</v>
      </c>
      <c r="E44">
        <v>-1.322002354147678</v>
      </c>
      <c r="F44">
        <v>-4.862385321100926</v>
      </c>
      <c r="G44">
        <v>-4.4216569702048458</v>
      </c>
      <c r="H44">
        <v>21.150649196731731</v>
      </c>
      <c r="I44">
        <v>81.588833469031073</v>
      </c>
      <c r="J44">
        <v>9112</v>
      </c>
      <c r="K44">
        <v>8244</v>
      </c>
      <c r="L44">
        <v>-9.5258999122036836E-2</v>
      </c>
      <c r="M44">
        <v>667533527.54999995</v>
      </c>
      <c r="N44">
        <v>567297170.37</v>
      </c>
      <c r="O44">
        <v>-0.15015928495440559</v>
      </c>
      <c r="P44">
        <v>1.6039786088002821</v>
      </c>
      <c r="Q44" t="s">
        <v>41</v>
      </c>
      <c r="R44">
        <v>0.62549999999999994</v>
      </c>
      <c r="S44">
        <v>0</v>
      </c>
      <c r="T44">
        <v>0</v>
      </c>
      <c r="U44">
        <v>1.84E-2</v>
      </c>
      <c r="V44">
        <v>0</v>
      </c>
      <c r="W44">
        <v>0</v>
      </c>
      <c r="X44">
        <v>0</v>
      </c>
      <c r="Y44">
        <v>0.19059999999999999</v>
      </c>
      <c r="Z44">
        <v>0</v>
      </c>
      <c r="AA44">
        <v>0</v>
      </c>
      <c r="AB44">
        <v>0</v>
      </c>
      <c r="AC44">
        <v>0.83449999999999991</v>
      </c>
      <c r="AE44">
        <f>IF(ISNUMBER(INDEX($A$2:$AC$59,43,MATCH('Tüm Teknoloji'!$E$2,$A$1:$AC$1,0))),INDEX($A$2:$AC$59,43,MATCH('Tüm Teknoloji'!$E$2,$A$1:$AC$1,0)),-1000000000)-ROW()/10000000</f>
        <v>-1.3220067541476779</v>
      </c>
    </row>
    <row r="45" spans="1:31" x14ac:dyDescent="0.2">
      <c r="A45" t="s">
        <v>541</v>
      </c>
      <c r="B45" t="s">
        <v>542</v>
      </c>
      <c r="C45" t="s">
        <v>37</v>
      </c>
      <c r="D45">
        <v>3.1503150000000001E-2</v>
      </c>
      <c r="E45">
        <v>-1.3364876041356499</v>
      </c>
      <c r="F45">
        <v>-4.8487033412831</v>
      </c>
      <c r="G45">
        <v>15.241175692850989</v>
      </c>
      <c r="H45">
        <v>27.476704187260541</v>
      </c>
      <c r="I45">
        <v>46.102379288389869</v>
      </c>
      <c r="J45">
        <v>46</v>
      </c>
      <c r="K45">
        <v>106</v>
      </c>
      <c r="L45">
        <v>1.304347826086957</v>
      </c>
      <c r="M45">
        <v>21692507.350000001</v>
      </c>
      <c r="N45">
        <v>31837426.25</v>
      </c>
      <c r="O45">
        <v>0.46766926184768559</v>
      </c>
      <c r="P45">
        <v>3.6159289384655811</v>
      </c>
      <c r="Q45" t="s">
        <v>41</v>
      </c>
      <c r="R45">
        <v>0.64359999999999995</v>
      </c>
      <c r="S45">
        <v>3.3700000000000001E-2</v>
      </c>
      <c r="T45">
        <v>0</v>
      </c>
      <c r="U45">
        <v>0</v>
      </c>
      <c r="V45">
        <v>0</v>
      </c>
      <c r="W45">
        <v>0.15939999999999999</v>
      </c>
      <c r="X45">
        <v>0</v>
      </c>
      <c r="Y45">
        <v>0.1633</v>
      </c>
      <c r="Z45">
        <v>0</v>
      </c>
      <c r="AA45">
        <v>0</v>
      </c>
      <c r="AB45">
        <v>0</v>
      </c>
      <c r="AC45">
        <v>0.99999999999999989</v>
      </c>
      <c r="AE45">
        <f>IF(ISNUMBER(INDEX($A$2:$AC$59,44,MATCH('Tüm Teknoloji'!$E$2,$A$1:$AC$1,0))),INDEX($A$2:$AC$59,44,MATCH('Tüm Teknoloji'!$E$2,$A$1:$AC$1,0)),-1000000000)-ROW()/10000000</f>
        <v>-1.3364921041356499</v>
      </c>
    </row>
    <row r="46" spans="1:31" x14ac:dyDescent="0.2">
      <c r="A46" t="s">
        <v>636</v>
      </c>
      <c r="B46" t="s">
        <v>637</v>
      </c>
      <c r="C46" t="s">
        <v>235</v>
      </c>
      <c r="D46">
        <v>2.5000000000000001E-2</v>
      </c>
      <c r="E46">
        <v>-1.4322415176560741</v>
      </c>
      <c r="F46">
        <v>-3.098216811780985</v>
      </c>
      <c r="G46">
        <v>1.157134481782252</v>
      </c>
      <c r="H46">
        <v>70.309633222946147</v>
      </c>
      <c r="I46">
        <v>127.8236223822984</v>
      </c>
      <c r="J46">
        <v>14686</v>
      </c>
      <c r="K46">
        <v>15644</v>
      </c>
      <c r="L46">
        <v>6.5232193926188176E-2</v>
      </c>
      <c r="M46">
        <v>1322355898.6099999</v>
      </c>
      <c r="N46">
        <v>1324534641.5699999</v>
      </c>
      <c r="O46">
        <v>1.6476222190184851E-3</v>
      </c>
      <c r="P46">
        <v>2.5479547558443052</v>
      </c>
      <c r="Q46" t="s">
        <v>41</v>
      </c>
      <c r="R46">
        <v>0.65280000000000005</v>
      </c>
      <c r="S46">
        <v>0</v>
      </c>
      <c r="T46">
        <v>0</v>
      </c>
      <c r="U46">
        <v>7.1000000000000004E-3</v>
      </c>
      <c r="V46">
        <v>0</v>
      </c>
      <c r="W46">
        <v>0.21920000000000001</v>
      </c>
      <c r="X46">
        <v>0</v>
      </c>
      <c r="Y46">
        <v>1.29E-2</v>
      </c>
      <c r="Z46">
        <v>0</v>
      </c>
      <c r="AA46">
        <v>0</v>
      </c>
      <c r="AB46">
        <v>0</v>
      </c>
      <c r="AC46">
        <v>0.89200000000000002</v>
      </c>
      <c r="AE46">
        <f>IF(ISNUMBER(INDEX($A$2:$AC$59,45,MATCH('Tüm Teknoloji'!$E$2,$A$1:$AC$1,0))),INDEX($A$2:$AC$59,45,MATCH('Tüm Teknoloji'!$E$2,$A$1:$AC$1,0)),-1000000000)-ROW()/10000000</f>
        <v>-1.4322461176560741</v>
      </c>
    </row>
    <row r="47" spans="1:31" x14ac:dyDescent="0.2">
      <c r="A47" t="s">
        <v>543</v>
      </c>
      <c r="B47" t="s">
        <v>544</v>
      </c>
      <c r="C47" t="s">
        <v>50</v>
      </c>
      <c r="D47">
        <v>2.5000000000000001E-2</v>
      </c>
      <c r="E47">
        <v>-1.605020865883156</v>
      </c>
      <c r="F47">
        <v>-4.1637098908224761</v>
      </c>
      <c r="G47">
        <v>0.88841112856237192</v>
      </c>
      <c r="H47">
        <v>28.063850742385661</v>
      </c>
      <c r="I47">
        <v>52.842059772538889</v>
      </c>
      <c r="J47">
        <v>4770</v>
      </c>
      <c r="K47">
        <v>4842</v>
      </c>
      <c r="L47">
        <v>1.509433962264151E-2</v>
      </c>
      <c r="M47">
        <v>148562038.16999999</v>
      </c>
      <c r="N47">
        <v>170615984.19999999</v>
      </c>
      <c r="O47">
        <v>0.14844940404468329</v>
      </c>
      <c r="P47">
        <v>1.3397770178127011</v>
      </c>
      <c r="Q47" t="s">
        <v>41</v>
      </c>
      <c r="R47">
        <v>0.64489999999999992</v>
      </c>
      <c r="S47">
        <v>0</v>
      </c>
      <c r="T47">
        <v>0</v>
      </c>
      <c r="U47">
        <v>2.3800000000000002E-2</v>
      </c>
      <c r="V47">
        <v>0</v>
      </c>
      <c r="W47">
        <v>0.1479</v>
      </c>
      <c r="X47">
        <v>0</v>
      </c>
      <c r="Y47">
        <v>0.14460000000000001</v>
      </c>
      <c r="Z47">
        <v>0</v>
      </c>
      <c r="AA47">
        <v>0</v>
      </c>
      <c r="AB47">
        <v>0</v>
      </c>
      <c r="AC47">
        <v>0.96119999999999994</v>
      </c>
      <c r="AE47">
        <f>IF(ISNUMBER(INDEX($A$2:$AC$59,46,MATCH('Tüm Teknoloji'!$E$2,$A$1:$AC$1,0))),INDEX($A$2:$AC$59,46,MATCH('Tüm Teknoloji'!$E$2,$A$1:$AC$1,0)),-1000000000)-ROW()/10000000</f>
        <v>-1.605025565883156</v>
      </c>
    </row>
    <row r="48" spans="1:31" x14ac:dyDescent="0.2">
      <c r="A48" t="s">
        <v>638</v>
      </c>
      <c r="B48" t="s">
        <v>639</v>
      </c>
      <c r="C48" t="s">
        <v>82</v>
      </c>
      <c r="D48">
        <v>2.7E-2</v>
      </c>
      <c r="E48">
        <v>-1.6489973108363201</v>
      </c>
      <c r="F48">
        <v>-4.5726596960574684</v>
      </c>
      <c r="G48">
        <v>-0.2371296002383283</v>
      </c>
      <c r="H48">
        <v>71.41406216513883</v>
      </c>
      <c r="I48">
        <v>120.4681586447081</v>
      </c>
      <c r="J48">
        <v>17325</v>
      </c>
      <c r="K48">
        <v>19156</v>
      </c>
      <c r="L48">
        <v>0.1056854256854256</v>
      </c>
      <c r="M48">
        <v>2757169024.7199998</v>
      </c>
      <c r="N48">
        <v>3018476264.5700002</v>
      </c>
      <c r="O48">
        <v>9.4773747096094985E-2</v>
      </c>
      <c r="P48">
        <v>2.7948373732619922</v>
      </c>
      <c r="Q48" t="s">
        <v>41</v>
      </c>
      <c r="R48">
        <v>0.63629999999999998</v>
      </c>
      <c r="S48">
        <v>0</v>
      </c>
      <c r="T48">
        <v>0</v>
      </c>
      <c r="U48">
        <v>5.4399999999999997E-2</v>
      </c>
      <c r="V48">
        <v>3.2800000000000003E-2</v>
      </c>
      <c r="W48">
        <v>0.22270000000000001</v>
      </c>
      <c r="X48">
        <v>8.0000000000000002E-3</v>
      </c>
      <c r="Y48">
        <v>0</v>
      </c>
      <c r="Z48">
        <v>0</v>
      </c>
      <c r="AA48">
        <v>0</v>
      </c>
      <c r="AB48">
        <v>0</v>
      </c>
      <c r="AC48">
        <v>0.95419999999999994</v>
      </c>
      <c r="AE48">
        <f>IF(ISNUMBER(INDEX($A$2:$AC$59,47,MATCH('Tüm Teknoloji'!$E$2,$A$1:$AC$1,0))),INDEX($A$2:$AC$59,47,MATCH('Tüm Teknoloji'!$E$2,$A$1:$AC$1,0)),-1000000000)-ROW()/10000000</f>
        <v>-1.64900211083632</v>
      </c>
    </row>
    <row r="49" spans="1:31" x14ac:dyDescent="0.2">
      <c r="A49" t="s">
        <v>579</v>
      </c>
      <c r="B49" t="s">
        <v>580</v>
      </c>
      <c r="C49" t="s">
        <v>50</v>
      </c>
      <c r="D49">
        <v>2.5000000000000001E-2</v>
      </c>
      <c r="E49">
        <v>-1.7823745342913531</v>
      </c>
      <c r="F49">
        <v>-2.8714488558126638</v>
      </c>
      <c r="G49">
        <v>2.533403662587741</v>
      </c>
      <c r="H49">
        <v>49.821867453003009</v>
      </c>
      <c r="I49">
        <v>86.302255263518603</v>
      </c>
      <c r="J49">
        <v>1106</v>
      </c>
      <c r="K49">
        <v>1063</v>
      </c>
      <c r="L49">
        <v>-3.8878842676311032E-2</v>
      </c>
      <c r="M49">
        <v>174659317.24000001</v>
      </c>
      <c r="N49">
        <v>171171069.58000001</v>
      </c>
      <c r="O49">
        <v>-1.9971723897252991E-2</v>
      </c>
      <c r="P49">
        <v>1.821770437346486</v>
      </c>
      <c r="Q49" t="s">
        <v>41</v>
      </c>
      <c r="R49">
        <v>0.71279999999999999</v>
      </c>
      <c r="S49">
        <v>0</v>
      </c>
      <c r="T49">
        <v>0</v>
      </c>
      <c r="U49">
        <v>0</v>
      </c>
      <c r="V49">
        <v>0</v>
      </c>
      <c r="W49">
        <v>0.14660000000000001</v>
      </c>
      <c r="X49">
        <v>0</v>
      </c>
      <c r="Y49">
        <v>9.6099999999999991E-2</v>
      </c>
      <c r="Z49">
        <v>0</v>
      </c>
      <c r="AA49">
        <v>0</v>
      </c>
      <c r="AB49">
        <v>0</v>
      </c>
      <c r="AC49">
        <v>0.95550000000000002</v>
      </c>
      <c r="AE49">
        <f>IF(ISNUMBER(INDEX($A$2:$AC$59,48,MATCH('Tüm Teknoloji'!$E$2,$A$1:$AC$1,0))),INDEX($A$2:$AC$59,48,MATCH('Tüm Teknoloji'!$E$2,$A$1:$AC$1,0)),-1000000000)-ROW()/10000000</f>
        <v>-1.782379434291353</v>
      </c>
    </row>
    <row r="50" spans="1:31" x14ac:dyDescent="0.2">
      <c r="A50" t="s">
        <v>640</v>
      </c>
      <c r="B50" t="s">
        <v>641</v>
      </c>
      <c r="C50" t="s">
        <v>82</v>
      </c>
      <c r="D50">
        <v>2.7E-2</v>
      </c>
      <c r="E50">
        <v>-1.787412873835692</v>
      </c>
      <c r="F50">
        <v>-1.507344436341052</v>
      </c>
      <c r="G50">
        <v>0.88385540157469578</v>
      </c>
      <c r="H50">
        <v>35.763235663477118</v>
      </c>
      <c r="I50">
        <v>66.158417293402465</v>
      </c>
      <c r="J50">
        <v>24309</v>
      </c>
      <c r="K50">
        <v>23690</v>
      </c>
      <c r="L50">
        <v>-2.5463819984367971E-2</v>
      </c>
      <c r="M50">
        <v>2668688075.6900001</v>
      </c>
      <c r="N50">
        <v>2566694915.6599998</v>
      </c>
      <c r="O50">
        <v>-3.8218464330504243E-2</v>
      </c>
      <c r="P50">
        <v>1.636183313648897</v>
      </c>
      <c r="Q50" t="s">
        <v>41</v>
      </c>
      <c r="R50">
        <v>0.62829999999999997</v>
      </c>
      <c r="S50">
        <v>2.9700000000000001E-2</v>
      </c>
      <c r="T50">
        <v>0</v>
      </c>
      <c r="U50">
        <v>5.8200000000000002E-2</v>
      </c>
      <c r="V50">
        <v>0</v>
      </c>
      <c r="W50">
        <v>0.14929999999999999</v>
      </c>
      <c r="X50">
        <v>6.1999999999999998E-3</v>
      </c>
      <c r="Y50">
        <v>0</v>
      </c>
      <c r="Z50">
        <v>0</v>
      </c>
      <c r="AA50">
        <v>0</v>
      </c>
      <c r="AB50">
        <v>0</v>
      </c>
      <c r="AC50">
        <v>0.87169999999999992</v>
      </c>
      <c r="AE50">
        <f>IF(ISNUMBER(INDEX($A$2:$AC$59,49,MATCH('Tüm Teknoloji'!$E$2,$A$1:$AC$1,0))),INDEX($A$2:$AC$59,49,MATCH('Tüm Teknoloji'!$E$2,$A$1:$AC$1,0)),-1000000000)-ROW()/10000000</f>
        <v>-1.7874178738356921</v>
      </c>
    </row>
    <row r="51" spans="1:31" x14ac:dyDescent="0.2">
      <c r="A51" t="s">
        <v>642</v>
      </c>
      <c r="B51" t="s">
        <v>643</v>
      </c>
      <c r="C51" t="s">
        <v>37</v>
      </c>
      <c r="D51">
        <v>2.5000000000000001E-2</v>
      </c>
      <c r="E51">
        <v>-1.791631699948792</v>
      </c>
      <c r="F51">
        <v>-1.0661752624319121</v>
      </c>
      <c r="G51">
        <v>2.1203802103816121</v>
      </c>
      <c r="H51">
        <v>27.515406547301531</v>
      </c>
      <c r="I51">
        <v>41.39677906245165</v>
      </c>
      <c r="J51">
        <v>14312</v>
      </c>
      <c r="K51">
        <v>13692</v>
      </c>
      <c r="L51">
        <v>-4.3320290665176057E-2</v>
      </c>
      <c r="M51">
        <v>790411082.63</v>
      </c>
      <c r="N51">
        <v>754122224.75</v>
      </c>
      <c r="O51">
        <v>-4.5911372800154893E-2</v>
      </c>
      <c r="P51">
        <v>1.7145020745203641</v>
      </c>
      <c r="Q51" t="s">
        <v>41</v>
      </c>
      <c r="R51">
        <v>0.61909999999999998</v>
      </c>
      <c r="S51">
        <v>9.1400000000000009E-2</v>
      </c>
      <c r="T51">
        <v>5.0000000000000001E-4</v>
      </c>
      <c r="U51">
        <v>0</v>
      </c>
      <c r="V51">
        <v>0</v>
      </c>
      <c r="W51">
        <v>0</v>
      </c>
      <c r="X51">
        <v>0</v>
      </c>
      <c r="Y51">
        <v>0.16569999999999999</v>
      </c>
      <c r="Z51">
        <v>0</v>
      </c>
      <c r="AA51">
        <v>0.1086</v>
      </c>
      <c r="AB51">
        <v>0</v>
      </c>
      <c r="AC51">
        <v>0.98529999999999995</v>
      </c>
      <c r="AE51">
        <f>IF(ISNUMBER(INDEX($A$2:$AC$59,50,MATCH('Tüm Teknoloji'!$E$2,$A$1:$AC$1,0))),INDEX($A$2:$AC$59,50,MATCH('Tüm Teknoloji'!$E$2,$A$1:$AC$1,0)),-1000000000)-ROW()/10000000</f>
        <v>-1.7916367999487921</v>
      </c>
    </row>
    <row r="52" spans="1:31" x14ac:dyDescent="0.2">
      <c r="A52" t="s">
        <v>581</v>
      </c>
      <c r="B52" t="s">
        <v>582</v>
      </c>
      <c r="C52" t="s">
        <v>59</v>
      </c>
      <c r="D52">
        <v>2.2499999999999999E-2</v>
      </c>
      <c r="E52">
        <v>-1.8384052551451371</v>
      </c>
      <c r="F52">
        <v>-3.6884919857466341</v>
      </c>
      <c r="G52">
        <v>-2.0092901885219621</v>
      </c>
      <c r="H52">
        <v>41.849978358479767</v>
      </c>
      <c r="I52" t="s">
        <v>165</v>
      </c>
      <c r="J52">
        <v>1993</v>
      </c>
      <c r="K52">
        <v>2042</v>
      </c>
      <c r="L52">
        <v>2.458605117912693E-2</v>
      </c>
      <c r="M52">
        <v>382100625.63999999</v>
      </c>
      <c r="N52">
        <v>419447225.36000001</v>
      </c>
      <c r="O52">
        <v>9.7740221328992405E-2</v>
      </c>
      <c r="P52">
        <v>2.316053669628547</v>
      </c>
      <c r="Q52" t="s">
        <v>41</v>
      </c>
      <c r="R52">
        <v>0.76829999999999998</v>
      </c>
      <c r="S52">
        <v>0</v>
      </c>
      <c r="T52">
        <v>0</v>
      </c>
      <c r="U52">
        <v>6.7000000000000002E-3</v>
      </c>
      <c r="V52">
        <v>0</v>
      </c>
      <c r="W52">
        <v>4.24E-2</v>
      </c>
      <c r="X52">
        <v>0</v>
      </c>
      <c r="Y52">
        <v>0.18260000000000001</v>
      </c>
      <c r="Z52">
        <v>0</v>
      </c>
      <c r="AA52">
        <v>0</v>
      </c>
      <c r="AB52">
        <v>0</v>
      </c>
      <c r="AC52">
        <v>1</v>
      </c>
      <c r="AE52">
        <f>IF(ISNUMBER(INDEX($A$2:$AC$59,51,MATCH('Tüm Teknoloji'!$E$2,$A$1:$AC$1,0))),INDEX($A$2:$AC$59,51,MATCH('Tüm Teknoloji'!$E$2,$A$1:$AC$1,0)),-1000000000)-ROW()/10000000</f>
        <v>-1.838410455145137</v>
      </c>
    </row>
    <row r="53" spans="1:31" x14ac:dyDescent="0.2">
      <c r="A53" t="s">
        <v>644</v>
      </c>
      <c r="B53" t="s">
        <v>645</v>
      </c>
      <c r="C53" t="s">
        <v>82</v>
      </c>
      <c r="D53">
        <v>2.7E-2</v>
      </c>
      <c r="E53">
        <v>-1.8738213932298911</v>
      </c>
      <c r="F53">
        <v>-1.8462272376547411</v>
      </c>
      <c r="G53">
        <v>7.0430182302138489</v>
      </c>
      <c r="H53">
        <v>36.591362565374077</v>
      </c>
      <c r="I53">
        <v>48.112996370124883</v>
      </c>
      <c r="J53">
        <v>2603</v>
      </c>
      <c r="K53">
        <v>2446</v>
      </c>
      <c r="L53">
        <v>-6.0315021129465962E-2</v>
      </c>
      <c r="M53">
        <v>240520317.91</v>
      </c>
      <c r="N53">
        <v>180928344.16</v>
      </c>
      <c r="O53">
        <v>-0.24776274315543961</v>
      </c>
      <c r="P53">
        <v>1.295743052674053</v>
      </c>
      <c r="Q53" t="s">
        <v>41</v>
      </c>
      <c r="R53">
        <v>0.61570000000000003</v>
      </c>
      <c r="S53">
        <v>5.0299999999999997E-2</v>
      </c>
      <c r="T53">
        <v>0</v>
      </c>
      <c r="U53">
        <v>4.1700000000000001E-2</v>
      </c>
      <c r="V53">
        <v>0</v>
      </c>
      <c r="W53">
        <v>0.2601</v>
      </c>
      <c r="X53">
        <v>2.9600000000000001E-2</v>
      </c>
      <c r="Y53">
        <v>0</v>
      </c>
      <c r="Z53">
        <v>0</v>
      </c>
      <c r="AA53">
        <v>0</v>
      </c>
      <c r="AB53">
        <v>0</v>
      </c>
      <c r="AC53">
        <v>0.99740000000000006</v>
      </c>
      <c r="AE53">
        <f>IF(ISNUMBER(INDEX($A$2:$AC$59,52,MATCH('Tüm Teknoloji'!$E$2,$A$1:$AC$1,0))),INDEX($A$2:$AC$59,52,MATCH('Tüm Teknoloji'!$E$2,$A$1:$AC$1,0)),-1000000000)-ROW()/10000000</f>
        <v>-1.873826693229891</v>
      </c>
    </row>
    <row r="54" spans="1:31" x14ac:dyDescent="0.2">
      <c r="A54" t="s">
        <v>583</v>
      </c>
      <c r="B54" t="s">
        <v>584</v>
      </c>
      <c r="C54" t="s">
        <v>82</v>
      </c>
      <c r="D54">
        <v>0.03</v>
      </c>
      <c r="E54">
        <v>-1.913634812137333</v>
      </c>
      <c r="F54">
        <v>-1.6465735692581029</v>
      </c>
      <c r="G54">
        <v>3.72641345720004</v>
      </c>
      <c r="H54">
        <v>41.783161490290333</v>
      </c>
      <c r="I54">
        <v>83.511062897844738</v>
      </c>
      <c r="J54">
        <v>38050</v>
      </c>
      <c r="K54">
        <v>38737</v>
      </c>
      <c r="L54">
        <v>1.8055190538764702E-2</v>
      </c>
      <c r="M54">
        <v>4238721092.3099999</v>
      </c>
      <c r="N54">
        <v>4669084051.6999998</v>
      </c>
      <c r="O54">
        <v>0.1015313227781784</v>
      </c>
      <c r="P54">
        <v>2.284442681529729</v>
      </c>
      <c r="Q54" t="s">
        <v>41</v>
      </c>
      <c r="R54">
        <v>0.95090000000000008</v>
      </c>
      <c r="S54">
        <v>0</v>
      </c>
      <c r="T54">
        <v>0</v>
      </c>
      <c r="U54">
        <v>2.0199999999999999E-2</v>
      </c>
      <c r="V54">
        <v>2.5700000000000001E-2</v>
      </c>
      <c r="W54">
        <v>0</v>
      </c>
      <c r="X54">
        <v>2.8999999999999998E-3</v>
      </c>
      <c r="Y54">
        <v>0</v>
      </c>
      <c r="Z54">
        <v>0</v>
      </c>
      <c r="AA54">
        <v>0</v>
      </c>
      <c r="AB54">
        <v>0</v>
      </c>
      <c r="AC54">
        <v>0.99970000000000003</v>
      </c>
      <c r="AE54">
        <f>IF(ISNUMBER(INDEX($A$2:$AC$59,53,MATCH('Tüm Teknoloji'!$E$2,$A$1:$AC$1,0))),INDEX($A$2:$AC$59,53,MATCH('Tüm Teknoloji'!$E$2,$A$1:$AC$1,0)),-1000000000)-ROW()/10000000</f>
        <v>-1.913640212137333</v>
      </c>
    </row>
    <row r="55" spans="1:31" x14ac:dyDescent="0.2">
      <c r="A55" t="s">
        <v>585</v>
      </c>
      <c r="B55" t="s">
        <v>586</v>
      </c>
      <c r="C55" t="s">
        <v>100</v>
      </c>
      <c r="D55">
        <v>3.2485E-2</v>
      </c>
      <c r="E55">
        <v>-2.0096800943303461</v>
      </c>
      <c r="F55">
        <v>-1.561450673204567</v>
      </c>
      <c r="G55">
        <v>3.9630335896502671</v>
      </c>
      <c r="H55">
        <v>41.243537054386323</v>
      </c>
      <c r="I55">
        <v>85.552624955274112</v>
      </c>
      <c r="J55">
        <v>42690</v>
      </c>
      <c r="K55">
        <v>44075</v>
      </c>
      <c r="L55">
        <v>3.244319512766447E-2</v>
      </c>
      <c r="M55">
        <v>12750475715.42</v>
      </c>
      <c r="N55">
        <v>13402234674.120001</v>
      </c>
      <c r="O55">
        <v>5.1116442495693359E-2</v>
      </c>
      <c r="P55">
        <v>2.1427987082172222</v>
      </c>
      <c r="Q55" t="s">
        <v>41</v>
      </c>
      <c r="R55">
        <v>0.96689999999999998</v>
      </c>
      <c r="S55">
        <v>1.0200000000000001E-2</v>
      </c>
      <c r="T55">
        <v>0</v>
      </c>
      <c r="U55">
        <v>0</v>
      </c>
      <c r="V55">
        <v>0</v>
      </c>
      <c r="W55">
        <v>0</v>
      </c>
      <c r="X55">
        <v>0</v>
      </c>
      <c r="Y55">
        <v>1.95E-2</v>
      </c>
      <c r="Z55">
        <v>0</v>
      </c>
      <c r="AA55">
        <v>0</v>
      </c>
      <c r="AB55">
        <v>0</v>
      </c>
      <c r="AC55">
        <v>0.99659999999999993</v>
      </c>
      <c r="AE55">
        <f>IF(ISNUMBER(INDEX($A$2:$AC$59,54,MATCH('Tüm Teknoloji'!$E$2,$A$1:$AC$1,0))),INDEX($A$2:$AC$59,54,MATCH('Tüm Teknoloji'!$E$2,$A$1:$AC$1,0)),-1000000000)-ROW()/10000000</f>
        <v>-2.009685594330346</v>
      </c>
    </row>
    <row r="56" spans="1:31" x14ac:dyDescent="0.2">
      <c r="A56" t="s">
        <v>587</v>
      </c>
      <c r="B56" t="s">
        <v>588</v>
      </c>
      <c r="C56" t="s">
        <v>50</v>
      </c>
      <c r="D56">
        <v>0.02</v>
      </c>
      <c r="E56">
        <v>-2.052823355948064</v>
      </c>
      <c r="F56">
        <v>-3.8362481866859199</v>
      </c>
      <c r="G56">
        <v>0.40485855800656001</v>
      </c>
      <c r="H56">
        <v>49.914610228093622</v>
      </c>
      <c r="I56" t="s">
        <v>165</v>
      </c>
      <c r="J56">
        <v>2145</v>
      </c>
      <c r="K56">
        <v>2130</v>
      </c>
      <c r="L56">
        <v>-6.9930069930069783E-3</v>
      </c>
      <c r="M56">
        <v>319639048.14999998</v>
      </c>
      <c r="N56">
        <v>286972440.01999998</v>
      </c>
      <c r="O56">
        <v>-0.1021984276297502</v>
      </c>
      <c r="P56">
        <v>1.8145836168501821</v>
      </c>
      <c r="Q56" t="s">
        <v>41</v>
      </c>
      <c r="R56">
        <v>0.73230000000000006</v>
      </c>
      <c r="S56">
        <v>0</v>
      </c>
      <c r="T56">
        <v>0</v>
      </c>
      <c r="U56">
        <v>0</v>
      </c>
      <c r="V56">
        <v>0</v>
      </c>
      <c r="W56">
        <v>0.20080000000000001</v>
      </c>
      <c r="X56">
        <v>0</v>
      </c>
      <c r="Y56">
        <v>4.9000000000000002E-2</v>
      </c>
      <c r="Z56">
        <v>0</v>
      </c>
      <c r="AA56">
        <v>0</v>
      </c>
      <c r="AB56">
        <v>1.7899999999999999E-2</v>
      </c>
      <c r="AC56">
        <v>1</v>
      </c>
      <c r="AE56">
        <f>IF(ISNUMBER(INDEX($A$2:$AC$59,55,MATCH('Tüm Teknoloji'!$E$2,$A$1:$AC$1,0))),INDEX($A$2:$AC$59,55,MATCH('Tüm Teknoloji'!$E$2,$A$1:$AC$1,0)),-1000000000)-ROW()/10000000</f>
        <v>-2.0528289559480641</v>
      </c>
    </row>
    <row r="57" spans="1:31" x14ac:dyDescent="0.2">
      <c r="A57" t="s">
        <v>646</v>
      </c>
      <c r="B57" t="s">
        <v>647</v>
      </c>
      <c r="C57" t="s">
        <v>138</v>
      </c>
      <c r="D57">
        <v>2.5000000000000001E-2</v>
      </c>
      <c r="E57">
        <v>-2.1268811246333512</v>
      </c>
      <c r="F57">
        <v>-2.3396640246393652</v>
      </c>
      <c r="G57">
        <v>6.0632477190723399</v>
      </c>
      <c r="H57">
        <v>45.695907105313793</v>
      </c>
      <c r="I57">
        <v>58.209107856142552</v>
      </c>
      <c r="J57">
        <v>15241</v>
      </c>
      <c r="K57">
        <v>14871</v>
      </c>
      <c r="L57">
        <v>-2.427662226887994E-2</v>
      </c>
      <c r="M57">
        <v>955220848.25999999</v>
      </c>
      <c r="N57">
        <v>914756969.10000002</v>
      </c>
      <c r="O57">
        <v>-4.2360757968911263E-2</v>
      </c>
      <c r="P57">
        <v>1.267572438347355</v>
      </c>
      <c r="Q57" t="s">
        <v>41</v>
      </c>
      <c r="R57">
        <v>0.67830000000000001</v>
      </c>
      <c r="S57">
        <v>0</v>
      </c>
      <c r="T57">
        <v>0</v>
      </c>
      <c r="U57">
        <v>2.9000000000000001E-2</v>
      </c>
      <c r="V57">
        <v>1.8499999999999999E-2</v>
      </c>
      <c r="W57">
        <v>0.27229999999999999</v>
      </c>
      <c r="X57">
        <v>0</v>
      </c>
      <c r="Y57">
        <v>1.9E-3</v>
      </c>
      <c r="Z57">
        <v>0</v>
      </c>
      <c r="AA57">
        <v>0</v>
      </c>
      <c r="AB57">
        <v>0</v>
      </c>
      <c r="AC57">
        <v>1</v>
      </c>
      <c r="AE57">
        <f>IF(ISNUMBER(INDEX($A$2:$AC$59,56,MATCH('Tüm Teknoloji'!$E$2,$A$1:$AC$1,0))),INDEX($A$2:$AC$59,56,MATCH('Tüm Teknoloji'!$E$2,$A$1:$AC$1,0)),-1000000000)-ROW()/10000000</f>
        <v>-2.1268868246333512</v>
      </c>
    </row>
    <row r="58" spans="1:31" x14ac:dyDescent="0.2">
      <c r="A58" t="s">
        <v>545</v>
      </c>
      <c r="B58" t="s">
        <v>546</v>
      </c>
      <c r="C58" t="s">
        <v>228</v>
      </c>
      <c r="D58">
        <v>2.75E-2</v>
      </c>
      <c r="E58">
        <v>-2.141979256458026</v>
      </c>
      <c r="F58">
        <v>-3.3241966684962039</v>
      </c>
      <c r="G58">
        <v>0.34809783693463547</v>
      </c>
      <c r="H58">
        <v>24.711915796277559</v>
      </c>
      <c r="I58">
        <v>43.259655958765187</v>
      </c>
      <c r="J58">
        <v>921</v>
      </c>
      <c r="K58">
        <v>885</v>
      </c>
      <c r="L58">
        <v>-3.9087947882736167E-2</v>
      </c>
      <c r="M58">
        <v>348869367.64999998</v>
      </c>
      <c r="N58">
        <v>344911877.99000001</v>
      </c>
      <c r="O58">
        <v>-1.134375794199927E-2</v>
      </c>
      <c r="P58">
        <v>1.541596877836469</v>
      </c>
      <c r="Q58" t="s">
        <v>41</v>
      </c>
      <c r="R58">
        <v>0.56520000000000004</v>
      </c>
      <c r="S58">
        <v>0.23760000000000001</v>
      </c>
      <c r="T58">
        <v>0</v>
      </c>
      <c r="U58">
        <v>0</v>
      </c>
      <c r="V58">
        <v>2.9600000000000001E-2</v>
      </c>
      <c r="W58">
        <v>0.1003</v>
      </c>
      <c r="X58">
        <v>2.3900000000000001E-2</v>
      </c>
      <c r="Y58">
        <v>4.3400000000000001E-2</v>
      </c>
      <c r="Z58">
        <v>0</v>
      </c>
      <c r="AA58">
        <v>0</v>
      </c>
      <c r="AB58">
        <v>0</v>
      </c>
      <c r="AC58">
        <v>1</v>
      </c>
      <c r="AE58">
        <f>IF(ISNUMBER(INDEX($A$2:$AC$59,57,MATCH('Tüm Teknoloji'!$E$2,$A$1:$AC$1,0))),INDEX($A$2:$AC$59,57,MATCH('Tüm Teknoloji'!$E$2,$A$1:$AC$1,0)),-1000000000)-ROW()/10000000</f>
        <v>-2.1419850564580258</v>
      </c>
    </row>
    <row r="59" spans="1:31" x14ac:dyDescent="0.2">
      <c r="A59" t="s">
        <v>648</v>
      </c>
      <c r="B59" t="s">
        <v>649</v>
      </c>
      <c r="C59" t="s">
        <v>138</v>
      </c>
      <c r="D59">
        <v>2.5000000000000001E-2</v>
      </c>
      <c r="E59">
        <v>-2.1726118997058008</v>
      </c>
      <c r="F59">
        <v>-5.3053270472892988</v>
      </c>
      <c r="G59">
        <v>-3.735344984464628</v>
      </c>
      <c r="H59">
        <v>68.301564168554819</v>
      </c>
      <c r="I59">
        <v>115.124099308672</v>
      </c>
      <c r="J59">
        <v>54239</v>
      </c>
      <c r="K59">
        <v>51769</v>
      </c>
      <c r="L59">
        <v>-4.5539187669389143E-2</v>
      </c>
      <c r="M59">
        <v>7978085029.4099998</v>
      </c>
      <c r="N59">
        <v>6142423406.4200001</v>
      </c>
      <c r="O59">
        <v>-0.2300879993410839</v>
      </c>
      <c r="P59">
        <v>2.4239777831940281</v>
      </c>
      <c r="Q59" t="s">
        <v>41</v>
      </c>
      <c r="R59">
        <v>0.67130000000000001</v>
      </c>
      <c r="S59">
        <v>4.0000000000000002E-4</v>
      </c>
      <c r="T59">
        <v>0</v>
      </c>
      <c r="U59">
        <v>0</v>
      </c>
      <c r="V59">
        <v>9.1000000000000004E-3</v>
      </c>
      <c r="W59">
        <v>0.31440000000000001</v>
      </c>
      <c r="X59">
        <v>0</v>
      </c>
      <c r="Y59">
        <v>4.7999999999999996E-3</v>
      </c>
      <c r="Z59">
        <v>0</v>
      </c>
      <c r="AA59">
        <v>0</v>
      </c>
      <c r="AB59">
        <v>0</v>
      </c>
      <c r="AC59">
        <v>1</v>
      </c>
      <c r="AE59">
        <f>IF(ISNUMBER(INDEX($A$2:$AC$59,58,MATCH('Tüm Teknoloji'!$E$2,$A$1:$AC$1,0))),INDEX($A$2:$AC$59,58,MATCH('Tüm Teknoloji'!$E$2,$A$1:$AC$1,0)),-1000000000)-ROW()/10000000</f>
        <v>-2.1726177997058009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D61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2" max="2" width="9" customWidth="1"/>
    <col min="3" max="3" width="68" customWidth="1"/>
    <col min="4" max="4" width="26" customWidth="1"/>
    <col min="5" max="30" width="13" customWidth="1"/>
  </cols>
  <sheetData>
    <row r="1" spans="1:30" x14ac:dyDescent="0.2">
      <c r="F1" s="6">
        <v>46216</v>
      </c>
      <c r="G1" s="6">
        <v>46210</v>
      </c>
      <c r="H1" s="6">
        <v>46185</v>
      </c>
      <c r="I1" s="6">
        <v>46022</v>
      </c>
      <c r="J1" s="6">
        <v>45852</v>
      </c>
    </row>
    <row r="2" spans="1:30" x14ac:dyDescent="0.2">
      <c r="B2" s="3" t="s">
        <v>75</v>
      </c>
      <c r="D2" s="7" t="s">
        <v>0</v>
      </c>
      <c r="E2" s="2" t="s">
        <v>13</v>
      </c>
    </row>
    <row r="3" spans="1:30" ht="48" x14ac:dyDescent="0.2">
      <c r="B3" s="4" t="s">
        <v>3</v>
      </c>
      <c r="C3" s="4" t="s">
        <v>589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6</v>
      </c>
      <c r="J3" s="4" t="s">
        <v>16</v>
      </c>
      <c r="K3" s="4" t="s">
        <v>17</v>
      </c>
      <c r="L3" s="4" t="s">
        <v>18</v>
      </c>
      <c r="M3" s="4" t="s">
        <v>19</v>
      </c>
      <c r="N3" s="4" t="s">
        <v>20</v>
      </c>
      <c r="O3" s="4" t="s">
        <v>21</v>
      </c>
      <c r="P3" s="4" t="s">
        <v>22</v>
      </c>
      <c r="Q3" s="4" t="s">
        <v>23</v>
      </c>
      <c r="R3" s="4" t="s">
        <v>24</v>
      </c>
      <c r="S3" s="4" t="s">
        <v>527</v>
      </c>
      <c r="T3" s="4" t="s">
        <v>528</v>
      </c>
      <c r="U3" s="4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4" t="s">
        <v>31</v>
      </c>
      <c r="AB3" s="4" t="s">
        <v>32</v>
      </c>
      <c r="AC3" s="4" t="s">
        <v>33</v>
      </c>
      <c r="AD3" s="4" t="s">
        <v>34</v>
      </c>
    </row>
    <row r="4" spans="1:30" x14ac:dyDescent="0.2">
      <c r="A4">
        <v>1</v>
      </c>
      <c r="B4" s="5" t="str">
        <f>INDEX('V_Tüm Teknoloji'!A$2:A$59,MATCH(LARGE('V_Tüm Teknoloji'!$AE$2:$AE$59,ROW()-3),'V_Tüm Teknoloji'!$AE$2:$AE$59,0))</f>
        <v>SPR</v>
      </c>
      <c r="C4" s="5" t="str">
        <f>INDEX('V_Tüm Teknoloji'!B$2:B$59,MATCH(LARGE('V_Tüm Teknoloji'!$AE$2:$AE$59,ROW()-3),'V_Tüm Teknoloji'!$AE$2:$AE$59,0))</f>
        <v>BV Portföy Spor Endüstrisi Değişken Fon</v>
      </c>
      <c r="D4" s="5" t="str">
        <f>INDEX('V_Tüm Teknoloji'!C$2:C$59,MATCH(LARGE('V_Tüm Teknoloji'!$AE$2:$AE$59,ROW()-3),'V_Tüm Teknoloji'!$AE$2:$AE$59,0))</f>
        <v>BV Portföy</v>
      </c>
      <c r="E4" s="8">
        <f>INDEX('V_Tüm Teknoloji'!D$2:D$59,MATCH(LARGE('V_Tüm Teknoloji'!$AE$2:$AE$59,ROW()-3),'V_Tüm Teknoloji'!$AE$2:$AE$59,0))</f>
        <v>2.5000000000000001E-2</v>
      </c>
      <c r="F4" s="9">
        <f>INDEX('V_Tüm Teknoloji'!E$2:E$59,MATCH(LARGE('V_Tüm Teknoloji'!$AE$2:$AE$59,ROW()-3),'V_Tüm Teknoloji'!$AE$2:$AE$59,0))</f>
        <v>1.3110851568902899</v>
      </c>
      <c r="G4" s="9">
        <f>INDEX('V_Tüm Teknoloji'!F$2:F$59,MATCH(LARGE('V_Tüm Teknoloji'!$AE$2:$AE$59,ROW()-3),'V_Tüm Teknoloji'!$AE$2:$AE$59,0))</f>
        <v>2.490180249650598</v>
      </c>
      <c r="H4" s="9">
        <f>INDEX('V_Tüm Teknoloji'!G$2:G$59,MATCH(LARGE('V_Tüm Teknoloji'!$AE$2:$AE$59,ROW()-3),'V_Tüm Teknoloji'!$AE$2:$AE$59,0))</f>
        <v>4.5323592369544308</v>
      </c>
      <c r="I4" s="9">
        <f>INDEX('V_Tüm Teknoloji'!H$2:H$59,MATCH(LARGE('V_Tüm Teknoloji'!$AE$2:$AE$59,ROW()-3),'V_Tüm Teknoloji'!$AE$2:$AE$59,0))</f>
        <v>10.596242826704881</v>
      </c>
      <c r="J4" s="9">
        <f>INDEX('V_Tüm Teknoloji'!I$2:I$59,MATCH(LARGE('V_Tüm Teknoloji'!$AE$2:$AE$59,ROW()-3),'V_Tüm Teknoloji'!$AE$2:$AE$59,0))</f>
        <v>7.7029969992023384</v>
      </c>
      <c r="K4" s="10">
        <f>INDEX('V_Tüm Teknoloji'!J$2:J$59,MATCH(LARGE('V_Tüm Teknoloji'!$AE$2:$AE$59,ROW()-3),'V_Tüm Teknoloji'!$AE$2:$AE$59,0))</f>
        <v>169</v>
      </c>
      <c r="L4" s="10">
        <f>INDEX('V_Tüm Teknoloji'!K$2:K$59,MATCH(LARGE('V_Tüm Teknoloji'!$AE$2:$AE$59,ROW()-3),'V_Tüm Teknoloji'!$AE$2:$AE$59,0))</f>
        <v>162</v>
      </c>
      <c r="M4" s="8">
        <f>INDEX('V_Tüm Teknoloji'!L$2:L$59,MATCH(LARGE('V_Tüm Teknoloji'!$AE$2:$AE$59,ROW()-3),'V_Tüm Teknoloji'!$AE$2:$AE$59,0))</f>
        <v>-4.1420118343195263E-2</v>
      </c>
      <c r="N4" s="11">
        <f>INDEX('V_Tüm Teknoloji'!M$2:M$59,MATCH(LARGE('V_Tüm Teknoloji'!$AE$2:$AE$59,ROW()-3),'V_Tüm Teknoloji'!$AE$2:$AE$59,0))</f>
        <v>14247676.859999999</v>
      </c>
      <c r="O4" s="11">
        <f>INDEX('V_Tüm Teknoloji'!N$2:N$59,MATCH(LARGE('V_Tüm Teknoloji'!$AE$2:$AE$59,ROW()-3),'V_Tüm Teknoloji'!$AE$2:$AE$59,0))</f>
        <v>10191493.720000001</v>
      </c>
      <c r="P4" s="8">
        <f>INDEX('V_Tüm Teknoloji'!O$2:O$59,MATCH(LARGE('V_Tüm Teknoloji'!$AE$2:$AE$59,ROW()-3),'V_Tüm Teknoloji'!$AE$2:$AE$59,0))</f>
        <v>-0.28469084327618582</v>
      </c>
      <c r="Q4" s="9">
        <f>INDEX('V_Tüm Teknoloji'!P$2:P$59,MATCH(LARGE('V_Tüm Teknoloji'!$AE$2:$AE$59,ROW()-3),'V_Tüm Teknoloji'!$AE$2:$AE$59,0))</f>
        <v>0.98349870036276332</v>
      </c>
      <c r="R4" s="5" t="str">
        <f>INDEX('V_Tüm Teknoloji'!Q$2:Q$59,MATCH(LARGE('V_Tüm Teknoloji'!$AE$2:$AE$59,ROW()-3),'V_Tüm Teknoloji'!$AE$2:$AE$59,0))</f>
        <v>Görüyor</v>
      </c>
      <c r="S4" s="8">
        <f>INDEX('V_Tüm Teknoloji'!R$2:R$59,MATCH(LARGE('V_Tüm Teknoloji'!$AE$2:$AE$59,ROW()-3),'V_Tüm Teknoloji'!$AE$2:$AE$59,0))</f>
        <v>0.71230000000000004</v>
      </c>
      <c r="T4" s="8">
        <f>INDEX('V_Tüm Teknoloji'!S$2:S$59,MATCH(LARGE('V_Tüm Teknoloji'!$AE$2:$AE$59,ROW()-3),'V_Tüm Teknoloji'!$AE$2:$AE$59,0))</f>
        <v>0</v>
      </c>
      <c r="U4" s="8">
        <f>INDEX('V_Tüm Teknoloji'!T$2:T$59,MATCH(LARGE('V_Tüm Teknoloji'!$AE$2:$AE$59,ROW()-3),'V_Tüm Teknoloji'!$AE$2:$AE$59,0))</f>
        <v>0</v>
      </c>
      <c r="V4" s="8">
        <f>INDEX('V_Tüm Teknoloji'!U$2:U$59,MATCH(LARGE('V_Tüm Teknoloji'!$AE$2:$AE$59,ROW()-3),'V_Tüm Teknoloji'!$AE$2:$AE$59,0))</f>
        <v>5.1900000000000002E-2</v>
      </c>
      <c r="W4" s="8">
        <f>INDEX('V_Tüm Teknoloji'!V$2:V$59,MATCH(LARGE('V_Tüm Teknoloji'!$AE$2:$AE$59,ROW()-3),'V_Tüm Teknoloji'!$AE$2:$AE$59,0))</f>
        <v>0</v>
      </c>
      <c r="X4" s="8">
        <f>INDEX('V_Tüm Teknoloji'!W$2:W$59,MATCH(LARGE('V_Tüm Teknoloji'!$AE$2:$AE$59,ROW()-3),'V_Tüm Teknoloji'!$AE$2:$AE$59,0))</f>
        <v>0.19159999999999999</v>
      </c>
      <c r="Y4" s="8">
        <f>INDEX('V_Tüm Teknoloji'!X$2:X$59,MATCH(LARGE('V_Tüm Teknoloji'!$AE$2:$AE$59,ROW()-3),'V_Tüm Teknoloji'!$AE$2:$AE$59,0))</f>
        <v>0</v>
      </c>
      <c r="Z4" s="8">
        <f>INDEX('V_Tüm Teknoloji'!Y$2:Y$59,MATCH(LARGE('V_Tüm Teknoloji'!$AE$2:$AE$59,ROW()-3),'V_Tüm Teknoloji'!$AE$2:$AE$59,0))</f>
        <v>4.4200000000000003E-2</v>
      </c>
      <c r="AA4" s="8">
        <f>INDEX('V_Tüm Teknoloji'!Z$2:Z$59,MATCH(LARGE('V_Tüm Teknoloji'!$AE$2:$AE$59,ROW()-3),'V_Tüm Teknoloji'!$AE$2:$AE$59,0))</f>
        <v>0</v>
      </c>
      <c r="AB4" s="8">
        <f>INDEX('V_Tüm Teknoloji'!AA$2:AA$59,MATCH(LARGE('V_Tüm Teknoloji'!$AE$2:$AE$59,ROW()-3),'V_Tüm Teknoloji'!$AE$2:$AE$59,0))</f>
        <v>0</v>
      </c>
      <c r="AC4" s="8">
        <f>INDEX('V_Tüm Teknoloji'!AB$2:AB$59,MATCH(LARGE('V_Tüm Teknoloji'!$AE$2:$AE$59,ROW()-3),'V_Tüm Teknoloji'!$AE$2:$AE$59,0))</f>
        <v>0</v>
      </c>
      <c r="AD4" s="8">
        <f>INDEX('V_Tüm Teknoloji'!AC$2:AC$59,MATCH(LARGE('V_Tüm Teknoloji'!$AE$2:$AE$59,ROW()-3),'V_Tüm Teknoloji'!$AE$2:$AE$59,0))</f>
        <v>1</v>
      </c>
    </row>
    <row r="5" spans="1:30" x14ac:dyDescent="0.2">
      <c r="A5">
        <v>2</v>
      </c>
      <c r="B5" s="5" t="str">
        <f>INDEX('V_Tüm Teknoloji'!A$2:A$59,MATCH(LARGE('V_Tüm Teknoloji'!$AE$2:$AE$59,ROW()-3),'V_Tüm Teknoloji'!$AE$2:$AE$59,0))</f>
        <v>TAR</v>
      </c>
      <c r="C5" s="5" t="str">
        <f>INDEX('V_Tüm Teknoloji'!B$2:B$59,MATCH(LARGE('V_Tüm Teknoloji'!$AE$2:$AE$59,ROW()-3),'V_Tüm Teknoloji'!$AE$2:$AE$59,0))</f>
        <v>AK Portföy Tarım VE Gıda Teknolojileri Değişken Fon</v>
      </c>
      <c r="D5" s="5" t="str">
        <f>INDEX('V_Tüm Teknoloji'!C$2:C$59,MATCH(LARGE('V_Tüm Teknoloji'!$AE$2:$AE$59,ROW()-3),'V_Tüm Teknoloji'!$AE$2:$AE$59,0))</f>
        <v>AK Portföy</v>
      </c>
      <c r="E5" s="8">
        <f>INDEX('V_Tüm Teknoloji'!D$2:D$59,MATCH(LARGE('V_Tüm Teknoloji'!$AE$2:$AE$59,ROW()-3),'V_Tüm Teknoloji'!$AE$2:$AE$59,0))</f>
        <v>2.9000000000000001E-2</v>
      </c>
      <c r="F5" s="9">
        <f>INDEX('V_Tüm Teknoloji'!E$2:E$59,MATCH(LARGE('V_Tüm Teknoloji'!$AE$2:$AE$59,ROW()-3),'V_Tüm Teknoloji'!$AE$2:$AE$59,0))</f>
        <v>0.59641443666318406</v>
      </c>
      <c r="G5" s="9">
        <f>INDEX('V_Tüm Teknoloji'!F$2:F$59,MATCH(LARGE('V_Tüm Teknoloji'!$AE$2:$AE$59,ROW()-3),'V_Tüm Teknoloji'!$AE$2:$AE$59,0))</f>
        <v>0.32356334306815621</v>
      </c>
      <c r="H5" s="9">
        <f>INDEX('V_Tüm Teknoloji'!G$2:G$59,MATCH(LARGE('V_Tüm Teknoloji'!$AE$2:$AE$59,ROW()-3),'V_Tüm Teknoloji'!$AE$2:$AE$59,0))</f>
        <v>7.9515304548410271</v>
      </c>
      <c r="I5" s="9">
        <f>INDEX('V_Tüm Teknoloji'!H$2:H$59,MATCH(LARGE('V_Tüm Teknoloji'!$AE$2:$AE$59,ROW()-3),'V_Tüm Teknoloji'!$AE$2:$AE$59,0))</f>
        <v>20.111418847586911</v>
      </c>
      <c r="J5" s="9">
        <f>INDEX('V_Tüm Teknoloji'!I$2:I$59,MATCH(LARGE('V_Tüm Teknoloji'!$AE$2:$AE$59,ROW()-3),'V_Tüm Teknoloji'!$AE$2:$AE$59,0))</f>
        <v>19.79831401626608</v>
      </c>
      <c r="K5" s="10">
        <f>INDEX('V_Tüm Teknoloji'!J$2:J$59,MATCH(LARGE('V_Tüm Teknoloji'!$AE$2:$AE$59,ROW()-3),'V_Tüm Teknoloji'!$AE$2:$AE$59,0))</f>
        <v>6663</v>
      </c>
      <c r="L5" s="10">
        <f>INDEX('V_Tüm Teknoloji'!K$2:K$59,MATCH(LARGE('V_Tüm Teknoloji'!$AE$2:$AE$59,ROW()-3),'V_Tüm Teknoloji'!$AE$2:$AE$59,0))</f>
        <v>6741</v>
      </c>
      <c r="M5" s="8">
        <f>INDEX('V_Tüm Teknoloji'!L$2:L$59,MATCH(LARGE('V_Tüm Teknoloji'!$AE$2:$AE$59,ROW()-3),'V_Tüm Teknoloji'!$AE$2:$AE$59,0))</f>
        <v>1.1706438541197571E-2</v>
      </c>
      <c r="N5" s="11">
        <f>INDEX('V_Tüm Teknoloji'!M$2:M$59,MATCH(LARGE('V_Tüm Teknoloji'!$AE$2:$AE$59,ROW()-3),'V_Tüm Teknoloji'!$AE$2:$AE$59,0))</f>
        <v>120014259.95</v>
      </c>
      <c r="O5" s="11">
        <f>INDEX('V_Tüm Teknoloji'!N$2:N$59,MATCH(LARGE('V_Tüm Teknoloji'!$AE$2:$AE$59,ROW()-3),'V_Tüm Teknoloji'!$AE$2:$AE$59,0))</f>
        <v>134556827.56</v>
      </c>
      <c r="P5" s="8">
        <f>INDEX('V_Tüm Teknoloji'!O$2:O$59,MATCH(LARGE('V_Tüm Teknoloji'!$AE$2:$AE$59,ROW()-3),'V_Tüm Teknoloji'!$AE$2:$AE$59,0))</f>
        <v>0.1211736639967507</v>
      </c>
      <c r="Q5" s="9">
        <f>INDEX('V_Tüm Teknoloji'!P$2:P$59,MATCH(LARGE('V_Tüm Teknoloji'!$AE$2:$AE$59,ROW()-3),'V_Tüm Teknoloji'!$AE$2:$AE$59,0))</f>
        <v>0.67032384898505393</v>
      </c>
      <c r="R5" s="5" t="str">
        <f>INDEX('V_Tüm Teknoloji'!Q$2:Q$59,MATCH(LARGE('V_Tüm Teknoloji'!$AE$2:$AE$59,ROW()-3),'V_Tüm Teknoloji'!$AE$2:$AE$59,0))</f>
        <v>Görüyor</v>
      </c>
      <c r="S5" s="8">
        <f>INDEX('V_Tüm Teknoloji'!R$2:R$59,MATCH(LARGE('V_Tüm Teknoloji'!$AE$2:$AE$59,ROW()-3),'V_Tüm Teknoloji'!$AE$2:$AE$59,0))</f>
        <v>0.6512</v>
      </c>
      <c r="T5" s="8">
        <f>INDEX('V_Tüm Teknoloji'!S$2:S$59,MATCH(LARGE('V_Tüm Teknoloji'!$AE$2:$AE$59,ROW()-3),'V_Tüm Teknoloji'!$AE$2:$AE$59,0))</f>
        <v>0</v>
      </c>
      <c r="U5" s="8">
        <f>INDEX('V_Tüm Teknoloji'!T$2:T$59,MATCH(LARGE('V_Tüm Teknoloji'!$AE$2:$AE$59,ROW()-3),'V_Tüm Teknoloji'!$AE$2:$AE$59,0))</f>
        <v>0</v>
      </c>
      <c r="V5" s="8">
        <f>INDEX('V_Tüm Teknoloji'!U$2:U$59,MATCH(LARGE('V_Tüm Teknoloji'!$AE$2:$AE$59,ROW()-3),'V_Tüm Teknoloji'!$AE$2:$AE$59,0))</f>
        <v>0</v>
      </c>
      <c r="W5" s="8">
        <f>INDEX('V_Tüm Teknoloji'!V$2:V$59,MATCH(LARGE('V_Tüm Teknoloji'!$AE$2:$AE$59,ROW()-3),'V_Tüm Teknoloji'!$AE$2:$AE$59,0))</f>
        <v>3.7499999999999999E-2</v>
      </c>
      <c r="X5" s="8">
        <f>INDEX('V_Tüm Teknoloji'!W$2:W$59,MATCH(LARGE('V_Tüm Teknoloji'!$AE$2:$AE$59,ROW()-3),'V_Tüm Teknoloji'!$AE$2:$AE$59,0))</f>
        <v>0.30459999999999998</v>
      </c>
      <c r="Y5" s="8">
        <f>INDEX('V_Tüm Teknoloji'!X$2:X$59,MATCH(LARGE('V_Tüm Teknoloji'!$AE$2:$AE$59,ROW()-3),'V_Tüm Teknoloji'!$AE$2:$AE$59,0))</f>
        <v>6.7000000000000002E-3</v>
      </c>
      <c r="Z5" s="8">
        <f>INDEX('V_Tüm Teknoloji'!Y$2:Y$59,MATCH(LARGE('V_Tüm Teknoloji'!$AE$2:$AE$59,ROW()-3),'V_Tüm Teknoloji'!$AE$2:$AE$59,0))</f>
        <v>0</v>
      </c>
      <c r="AA5" s="8">
        <f>INDEX('V_Tüm Teknoloji'!Z$2:Z$59,MATCH(LARGE('V_Tüm Teknoloji'!$AE$2:$AE$59,ROW()-3),'V_Tüm Teknoloji'!$AE$2:$AE$59,0))</f>
        <v>0</v>
      </c>
      <c r="AB5" s="8">
        <f>INDEX('V_Tüm Teknoloji'!AA$2:AA$59,MATCH(LARGE('V_Tüm Teknoloji'!$AE$2:$AE$59,ROW()-3),'V_Tüm Teknoloji'!$AE$2:$AE$59,0))</f>
        <v>0</v>
      </c>
      <c r="AC5" s="8">
        <f>INDEX('V_Tüm Teknoloji'!AB$2:AB$59,MATCH(LARGE('V_Tüm Teknoloji'!$AE$2:$AE$59,ROW()-3),'V_Tüm Teknoloji'!$AE$2:$AE$59,0))</f>
        <v>0</v>
      </c>
      <c r="AD5" s="8">
        <f>INDEX('V_Tüm Teknoloji'!AC$2:AC$59,MATCH(LARGE('V_Tüm Teknoloji'!$AE$2:$AE$59,ROW()-3),'V_Tüm Teknoloji'!$AE$2:$AE$59,0))</f>
        <v>1</v>
      </c>
    </row>
    <row r="6" spans="1:30" x14ac:dyDescent="0.2">
      <c r="A6">
        <v>3</v>
      </c>
      <c r="B6" s="5" t="str">
        <f>INDEX('V_Tüm Teknoloji'!A$2:A$59,MATCH(LARGE('V_Tüm Teknoloji'!$AE$2:$AE$59,ROW()-3),'V_Tüm Teknoloji'!$AE$2:$AE$59,0))</f>
        <v>ZMY</v>
      </c>
      <c r="C6" s="5" t="str">
        <f>INDEX('V_Tüm Teknoloji'!B$2:B$59,MATCH(LARGE('V_Tüm Teknoloji'!$AE$2:$AE$59,ROW()-3),'V_Tüm Teknoloji'!$AE$2:$AE$59,0))</f>
        <v>Ziraat Portföy Metaverse VE Yeni Teknolojiler Değişken Fon</v>
      </c>
      <c r="D6" s="5" t="str">
        <f>INDEX('V_Tüm Teknoloji'!C$2:C$59,MATCH(LARGE('V_Tüm Teknoloji'!$AE$2:$AE$59,ROW()-3),'V_Tüm Teknoloji'!$AE$2:$AE$59,0))</f>
        <v>Ziraat Portföy</v>
      </c>
      <c r="E6" s="8">
        <f>INDEX('V_Tüm Teknoloji'!D$2:D$59,MATCH(LARGE('V_Tüm Teknoloji'!$AE$2:$AE$59,ROW()-3),'V_Tüm Teknoloji'!$AE$2:$AE$59,0))</f>
        <v>2.75E-2</v>
      </c>
      <c r="F6" s="9">
        <f>INDEX('V_Tüm Teknoloji'!E$2:E$59,MATCH(LARGE('V_Tüm Teknoloji'!$AE$2:$AE$59,ROW()-3),'V_Tüm Teknoloji'!$AE$2:$AE$59,0))</f>
        <v>9.815842443658962E-2</v>
      </c>
      <c r="G6" s="9">
        <f>INDEX('V_Tüm Teknoloji'!F$2:F$59,MATCH(LARGE('V_Tüm Teknoloji'!$AE$2:$AE$59,ROW()-3),'V_Tüm Teknoloji'!$AE$2:$AE$59,0))</f>
        <v>0.60427996456495769</v>
      </c>
      <c r="H6" s="9">
        <f>INDEX('V_Tüm Teknoloji'!G$2:G$59,MATCH(LARGE('V_Tüm Teknoloji'!$AE$2:$AE$59,ROW()-3),'V_Tüm Teknoloji'!$AE$2:$AE$59,0))</f>
        <v>2.9326001497143932</v>
      </c>
      <c r="I6" s="9">
        <f>INDEX('V_Tüm Teknoloji'!H$2:H$59,MATCH(LARGE('V_Tüm Teknoloji'!$AE$2:$AE$59,ROW()-3),'V_Tüm Teknoloji'!$AE$2:$AE$59,0))</f>
        <v>12.981302139387971</v>
      </c>
      <c r="J6" s="9">
        <f>INDEX('V_Tüm Teknoloji'!I$2:I$59,MATCH(LARGE('V_Tüm Teknoloji'!$AE$2:$AE$59,ROW()-3),'V_Tüm Teknoloji'!$AE$2:$AE$59,0))</f>
        <v>25.965863978656369</v>
      </c>
      <c r="K6" s="10">
        <f>INDEX('V_Tüm Teknoloji'!J$2:J$59,MATCH(LARGE('V_Tüm Teknoloji'!$AE$2:$AE$59,ROW()-3),'V_Tüm Teknoloji'!$AE$2:$AE$59,0))</f>
        <v>2925</v>
      </c>
      <c r="L6" s="10">
        <f>INDEX('V_Tüm Teknoloji'!K$2:K$59,MATCH(LARGE('V_Tüm Teknoloji'!$AE$2:$AE$59,ROW()-3),'V_Tüm Teknoloji'!$AE$2:$AE$59,0))</f>
        <v>2819</v>
      </c>
      <c r="M6" s="8">
        <f>INDEX('V_Tüm Teknoloji'!L$2:L$59,MATCH(LARGE('V_Tüm Teknoloji'!$AE$2:$AE$59,ROW()-3),'V_Tüm Teknoloji'!$AE$2:$AE$59,0))</f>
        <v>-3.6239316239316199E-2</v>
      </c>
      <c r="N6" s="11">
        <f>INDEX('V_Tüm Teknoloji'!M$2:M$59,MATCH(LARGE('V_Tüm Teknoloji'!$AE$2:$AE$59,ROW()-3),'V_Tüm Teknoloji'!$AE$2:$AE$59,0))</f>
        <v>177183982.00999999</v>
      </c>
      <c r="O6" s="11">
        <f>INDEX('V_Tüm Teknoloji'!N$2:N$59,MATCH(LARGE('V_Tüm Teknoloji'!$AE$2:$AE$59,ROW()-3),'V_Tüm Teknoloji'!$AE$2:$AE$59,0))</f>
        <v>192617702.59</v>
      </c>
      <c r="P6" s="8">
        <f>INDEX('V_Tüm Teknoloji'!O$2:O$59,MATCH(LARGE('V_Tüm Teknoloji'!$AE$2:$AE$59,ROW()-3),'V_Tüm Teknoloji'!$AE$2:$AE$59,0))</f>
        <v>8.7105619847334559E-2</v>
      </c>
      <c r="Q6" s="9">
        <f>INDEX('V_Tüm Teknoloji'!P$2:P$59,MATCH(LARGE('V_Tüm Teknoloji'!$AE$2:$AE$59,ROW()-3),'V_Tüm Teknoloji'!$AE$2:$AE$59,0))</f>
        <v>0.85296453219251922</v>
      </c>
      <c r="R6" s="5" t="str">
        <f>INDEX('V_Tüm Teknoloji'!Q$2:Q$59,MATCH(LARGE('V_Tüm Teknoloji'!$AE$2:$AE$59,ROW()-3),'V_Tüm Teknoloji'!$AE$2:$AE$59,0))</f>
        <v>Görüyor</v>
      </c>
      <c r="S6" s="8">
        <f>INDEX('V_Tüm Teknoloji'!R$2:R$59,MATCH(LARGE('V_Tüm Teknoloji'!$AE$2:$AE$59,ROW()-3),'V_Tüm Teknoloji'!$AE$2:$AE$59,0))</f>
        <v>0.60570000000000002</v>
      </c>
      <c r="T6" s="8">
        <f>INDEX('V_Tüm Teknoloji'!S$2:S$59,MATCH(LARGE('V_Tüm Teknoloji'!$AE$2:$AE$59,ROW()-3),'V_Tüm Teknoloji'!$AE$2:$AE$59,0))</f>
        <v>0</v>
      </c>
      <c r="U6" s="8">
        <f>INDEX('V_Tüm Teknoloji'!T$2:T$59,MATCH(LARGE('V_Tüm Teknoloji'!$AE$2:$AE$59,ROW()-3),'V_Tüm Teknoloji'!$AE$2:$AE$59,0))</f>
        <v>0</v>
      </c>
      <c r="V6" s="8">
        <f>INDEX('V_Tüm Teknoloji'!U$2:U$59,MATCH(LARGE('V_Tüm Teknoloji'!$AE$2:$AE$59,ROW()-3),'V_Tüm Teknoloji'!$AE$2:$AE$59,0))</f>
        <v>2.3999999999999998E-3</v>
      </c>
      <c r="W6" s="8">
        <f>INDEX('V_Tüm Teknoloji'!V$2:V$59,MATCH(LARGE('V_Tüm Teknoloji'!$AE$2:$AE$59,ROW()-3),'V_Tüm Teknoloji'!$AE$2:$AE$59,0))</f>
        <v>9.9700000000000011E-2</v>
      </c>
      <c r="X6" s="8">
        <f>INDEX('V_Tüm Teknoloji'!W$2:W$59,MATCH(LARGE('V_Tüm Teknoloji'!$AE$2:$AE$59,ROW()-3),'V_Tüm Teknoloji'!$AE$2:$AE$59,0))</f>
        <v>0.1142</v>
      </c>
      <c r="Y6" s="8">
        <f>INDEX('V_Tüm Teknoloji'!X$2:X$59,MATCH(LARGE('V_Tüm Teknoloji'!$AE$2:$AE$59,ROW()-3),'V_Tüm Teknoloji'!$AE$2:$AE$59,0))</f>
        <v>0</v>
      </c>
      <c r="Z6" s="8">
        <f>INDEX('V_Tüm Teknoloji'!Y$2:Y$59,MATCH(LARGE('V_Tüm Teknoloji'!$AE$2:$AE$59,ROW()-3),'V_Tüm Teknoloji'!$AE$2:$AE$59,0))</f>
        <v>0.12</v>
      </c>
      <c r="AA6" s="8">
        <f>INDEX('V_Tüm Teknoloji'!Z$2:Z$59,MATCH(LARGE('V_Tüm Teknoloji'!$AE$2:$AE$59,ROW()-3),'V_Tüm Teknoloji'!$AE$2:$AE$59,0))</f>
        <v>0</v>
      </c>
      <c r="AB6" s="8">
        <f>INDEX('V_Tüm Teknoloji'!AA$2:AA$59,MATCH(LARGE('V_Tüm Teknoloji'!$AE$2:$AE$59,ROW()-3),'V_Tüm Teknoloji'!$AE$2:$AE$59,0))</f>
        <v>0</v>
      </c>
      <c r="AC6" s="8">
        <f>INDEX('V_Tüm Teknoloji'!AB$2:AB$59,MATCH(LARGE('V_Tüm Teknoloji'!$AE$2:$AE$59,ROW()-3),'V_Tüm Teknoloji'!$AE$2:$AE$59,0))</f>
        <v>0</v>
      </c>
      <c r="AD6" s="8">
        <f>INDEX('V_Tüm Teknoloji'!AC$2:AC$59,MATCH(LARGE('V_Tüm Teknoloji'!$AE$2:$AE$59,ROW()-3),'V_Tüm Teknoloji'!$AE$2:$AE$59,0))</f>
        <v>0.94200000000000006</v>
      </c>
    </row>
    <row r="7" spans="1:30" x14ac:dyDescent="0.2">
      <c r="A7">
        <v>4</v>
      </c>
      <c r="B7" s="5" t="str">
        <f>INDEX('V_Tüm Teknoloji'!A$2:A$59,MATCH(LARGE('V_Tüm Teknoloji'!$AE$2:$AE$59,ROW()-3),'V_Tüm Teknoloji'!$AE$2:$AE$59,0))</f>
        <v>YHZ</v>
      </c>
      <c r="C7" s="5" t="str">
        <f>INDEX('V_Tüm Teknoloji'!B$2:B$59,MATCH(LARGE('V_Tüm Teknoloji'!$AE$2:$AE$59,ROW()-3),'V_Tüm Teknoloji'!$AE$2:$AE$59,0))</f>
        <v>Yapı Kredi Portföy Bıst Teknoloji Ağırlık Sınırlamalı Endeksi Hisse Senedi Fonu ( Hisse Senedi Yoğun Fon)</v>
      </c>
      <c r="D7" s="5" t="str">
        <f>INDEX('V_Tüm Teknoloji'!C$2:C$59,MATCH(LARGE('V_Tüm Teknoloji'!$AE$2:$AE$59,ROW()-3),'V_Tüm Teknoloji'!$AE$2:$AE$59,0))</f>
        <v>Yapı Kredi Portföy</v>
      </c>
      <c r="E7" s="8">
        <f>INDEX('V_Tüm Teknoloji'!D$2:D$59,MATCH(LARGE('V_Tüm Teknoloji'!$AE$2:$AE$59,ROW()-3),'V_Tüm Teknoloji'!$AE$2:$AE$59,0))</f>
        <v>0.02</v>
      </c>
      <c r="F7" s="9">
        <f>INDEX('V_Tüm Teknoloji'!E$2:E$59,MATCH(LARGE('V_Tüm Teknoloji'!$AE$2:$AE$59,ROW()-3),'V_Tüm Teknoloji'!$AE$2:$AE$59,0))</f>
        <v>6.7438068563108189E-2</v>
      </c>
      <c r="G7" s="9">
        <f>INDEX('V_Tüm Teknoloji'!F$2:F$59,MATCH(LARGE('V_Tüm Teknoloji'!$AE$2:$AE$59,ROW()-3),'V_Tüm Teknoloji'!$AE$2:$AE$59,0))</f>
        <v>-1.976002803123456</v>
      </c>
      <c r="H7" s="9">
        <f>INDEX('V_Tüm Teknoloji'!G$2:G$59,MATCH(LARGE('V_Tüm Teknoloji'!$AE$2:$AE$59,ROW()-3),'V_Tüm Teknoloji'!$AE$2:$AE$59,0))</f>
        <v>0.2142454043065678</v>
      </c>
      <c r="I7" s="9">
        <f>INDEX('V_Tüm Teknoloji'!H$2:H$59,MATCH(LARGE('V_Tüm Teknoloji'!$AE$2:$AE$59,ROW()-3),'V_Tüm Teknoloji'!$AE$2:$AE$59,0))</f>
        <v>55.414455371640052</v>
      </c>
      <c r="J7" s="9">
        <f>INDEX('V_Tüm Teknoloji'!I$2:I$59,MATCH(LARGE('V_Tüm Teknoloji'!$AE$2:$AE$59,ROW()-3),'V_Tüm Teknoloji'!$AE$2:$AE$59,0))</f>
        <v>77.770464157226456</v>
      </c>
      <c r="K7" s="10">
        <f>INDEX('V_Tüm Teknoloji'!J$2:J$59,MATCH(LARGE('V_Tüm Teknoloji'!$AE$2:$AE$59,ROW()-3),'V_Tüm Teknoloji'!$AE$2:$AE$59,0))</f>
        <v>16162</v>
      </c>
      <c r="L7" s="10">
        <f>INDEX('V_Tüm Teknoloji'!K$2:K$59,MATCH(LARGE('V_Tüm Teknoloji'!$AE$2:$AE$59,ROW()-3),'V_Tüm Teknoloji'!$AE$2:$AE$59,0))</f>
        <v>16181</v>
      </c>
      <c r="M7" s="8">
        <f>INDEX('V_Tüm Teknoloji'!L$2:L$59,MATCH(LARGE('V_Tüm Teknoloji'!$AE$2:$AE$59,ROW()-3),'V_Tüm Teknoloji'!$AE$2:$AE$59,0))</f>
        <v>1.1755970795692681E-3</v>
      </c>
      <c r="N7" s="11">
        <f>INDEX('V_Tüm Teknoloji'!M$2:M$59,MATCH(LARGE('V_Tüm Teknoloji'!$AE$2:$AE$59,ROW()-3),'V_Tüm Teknoloji'!$AE$2:$AE$59,0))</f>
        <v>1274168746.3599999</v>
      </c>
      <c r="O7" s="11">
        <f>INDEX('V_Tüm Teknoloji'!N$2:N$59,MATCH(LARGE('V_Tüm Teknoloji'!$AE$2:$AE$59,ROW()-3),'V_Tüm Teknoloji'!$AE$2:$AE$59,0))</f>
        <v>1315201818.0599999</v>
      </c>
      <c r="P7" s="8">
        <f>INDEX('V_Tüm Teknoloji'!O$2:O$59,MATCH(LARGE('V_Tüm Teknoloji'!$AE$2:$AE$59,ROW()-3),'V_Tüm Teknoloji'!$AE$2:$AE$59,0))</f>
        <v>3.2203797038046877E-2</v>
      </c>
      <c r="Q7" s="9">
        <f>INDEX('V_Tüm Teknoloji'!P$2:P$59,MATCH(LARGE('V_Tüm Teknoloji'!$AE$2:$AE$59,ROW()-3),'V_Tüm Teknoloji'!$AE$2:$AE$59,0))</f>
        <v>1.1509871192282921</v>
      </c>
      <c r="R7" s="5" t="str">
        <f>INDEX('V_Tüm Teknoloji'!Q$2:Q$59,MATCH(LARGE('V_Tüm Teknoloji'!$AE$2:$AE$59,ROW()-3),'V_Tüm Teknoloji'!$AE$2:$AE$59,0))</f>
        <v>Görüyor</v>
      </c>
      <c r="S7" s="8">
        <f>INDEX('V_Tüm Teknoloji'!R$2:R$59,MATCH(LARGE('V_Tüm Teknoloji'!$AE$2:$AE$59,ROW()-3),'V_Tüm Teknoloji'!$AE$2:$AE$59,0))</f>
        <v>0</v>
      </c>
      <c r="T7" s="8">
        <f>INDEX('V_Tüm Teknoloji'!S$2:S$59,MATCH(LARGE('V_Tüm Teknoloji'!$AE$2:$AE$59,ROW()-3),'V_Tüm Teknoloji'!$AE$2:$AE$59,0))</f>
        <v>0</v>
      </c>
      <c r="U7" s="8">
        <f>INDEX('V_Tüm Teknoloji'!T$2:T$59,MATCH(LARGE('V_Tüm Teknoloji'!$AE$2:$AE$59,ROW()-3),'V_Tüm Teknoloji'!$AE$2:$AE$59,0))</f>
        <v>0</v>
      </c>
      <c r="V7" s="8">
        <f>INDEX('V_Tüm Teknoloji'!U$2:U$59,MATCH(LARGE('V_Tüm Teknoloji'!$AE$2:$AE$59,ROW()-3),'V_Tüm Teknoloji'!$AE$2:$AE$59,0))</f>
        <v>4.6999999999999993E-3</v>
      </c>
      <c r="W7" s="8">
        <f>INDEX('V_Tüm Teknoloji'!V$2:V$59,MATCH(LARGE('V_Tüm Teknoloji'!$AE$2:$AE$59,ROW()-3),'V_Tüm Teknoloji'!$AE$2:$AE$59,0))</f>
        <v>0</v>
      </c>
      <c r="X7" s="8">
        <f>INDEX('V_Tüm Teknoloji'!W$2:W$59,MATCH(LARGE('V_Tüm Teknoloji'!$AE$2:$AE$59,ROW()-3),'V_Tüm Teknoloji'!$AE$2:$AE$59,0))</f>
        <v>0.92540000000000011</v>
      </c>
      <c r="Y7" s="8">
        <f>INDEX('V_Tüm Teknoloji'!X$2:X$59,MATCH(LARGE('V_Tüm Teknoloji'!$AE$2:$AE$59,ROW()-3),'V_Tüm Teknoloji'!$AE$2:$AE$59,0))</f>
        <v>1.35E-2</v>
      </c>
      <c r="Z7" s="8">
        <f>INDEX('V_Tüm Teknoloji'!Y$2:Y$59,MATCH(LARGE('V_Tüm Teknoloji'!$AE$2:$AE$59,ROW()-3),'V_Tüm Teknoloji'!$AE$2:$AE$59,0))</f>
        <v>5.6399999999999999E-2</v>
      </c>
      <c r="AA7" s="8">
        <f>INDEX('V_Tüm Teknoloji'!Z$2:Z$59,MATCH(LARGE('V_Tüm Teknoloji'!$AE$2:$AE$59,ROW()-3),'V_Tüm Teknoloji'!$AE$2:$AE$59,0))</f>
        <v>0</v>
      </c>
      <c r="AB7" s="8">
        <f>INDEX('V_Tüm Teknoloji'!AA$2:AA$59,MATCH(LARGE('V_Tüm Teknoloji'!$AE$2:$AE$59,ROW()-3),'V_Tüm Teknoloji'!$AE$2:$AE$59,0))</f>
        <v>0</v>
      </c>
      <c r="AC7" s="8">
        <f>INDEX('V_Tüm Teknoloji'!AB$2:AB$59,MATCH(LARGE('V_Tüm Teknoloji'!$AE$2:$AE$59,ROW()-3),'V_Tüm Teknoloji'!$AE$2:$AE$59,0))</f>
        <v>0</v>
      </c>
      <c r="AD7" s="8">
        <f>INDEX('V_Tüm Teknoloji'!AC$2:AC$59,MATCH(LARGE('V_Tüm Teknoloji'!$AE$2:$AE$59,ROW()-3),'V_Tüm Teknoloji'!$AE$2:$AE$59,0))</f>
        <v>1</v>
      </c>
    </row>
    <row r="8" spans="1:30" x14ac:dyDescent="0.2">
      <c r="A8">
        <v>5</v>
      </c>
      <c r="B8" s="5" t="str">
        <f>INDEX('V_Tüm Teknoloji'!A$2:A$59,MATCH(LARGE('V_Tüm Teknoloji'!$AE$2:$AE$59,ROW()-3),'V_Tüm Teknoloji'!$AE$2:$AE$59,0))</f>
        <v>KIB</v>
      </c>
      <c r="C8" s="5" t="str">
        <f>INDEX('V_Tüm Teknoloji'!B$2:B$59,MATCH(LARGE('V_Tüm Teknoloji'!$AE$2:$AE$59,ROW()-3),'V_Tüm Teknoloji'!$AE$2:$AE$59,0))</f>
        <v>Trıve Portföy Robotik Teknolojileri Değişken Fon</v>
      </c>
      <c r="D8" s="5" t="str">
        <f>INDEX('V_Tüm Teknoloji'!C$2:C$59,MATCH(LARGE('V_Tüm Teknoloji'!$AE$2:$AE$59,ROW()-3),'V_Tüm Teknoloji'!$AE$2:$AE$59,0))</f>
        <v>Trıve Portföy</v>
      </c>
      <c r="E8" s="8">
        <f>INDEX('V_Tüm Teknoloji'!D$2:D$59,MATCH(LARGE('V_Tüm Teknoloji'!$AE$2:$AE$59,ROW()-3),'V_Tüm Teknoloji'!$AE$2:$AE$59,0))</f>
        <v>2.5000000000000001E-2</v>
      </c>
      <c r="F8" s="9">
        <f>INDEX('V_Tüm Teknoloji'!E$2:E$59,MATCH(LARGE('V_Tüm Teknoloji'!$AE$2:$AE$59,ROW()-3),'V_Tüm Teknoloji'!$AE$2:$AE$59,0))</f>
        <v>5.2488488982760373E-3</v>
      </c>
      <c r="G8" s="9">
        <f>INDEX('V_Tüm Teknoloji'!F$2:F$59,MATCH(LARGE('V_Tüm Teknoloji'!$AE$2:$AE$59,ROW()-3),'V_Tüm Teknoloji'!$AE$2:$AE$59,0))</f>
        <v>-0.41887717880376713</v>
      </c>
      <c r="H8" s="9">
        <f>INDEX('V_Tüm Teknoloji'!G$2:G$59,MATCH(LARGE('V_Tüm Teknoloji'!$AE$2:$AE$59,ROW()-3),'V_Tüm Teknoloji'!$AE$2:$AE$59,0))</f>
        <v>2.4888014270818331</v>
      </c>
      <c r="I8" s="9">
        <f>INDEX('V_Tüm Teknoloji'!H$2:H$59,MATCH(LARGE('V_Tüm Teknoloji'!$AE$2:$AE$59,ROW()-3),'V_Tüm Teknoloji'!$AE$2:$AE$59,0))</f>
        <v>13.43782370708735</v>
      </c>
      <c r="J8" s="9">
        <f>INDEX('V_Tüm Teknoloji'!I$2:I$59,MATCH(LARGE('V_Tüm Teknoloji'!$AE$2:$AE$59,ROW()-3),'V_Tüm Teknoloji'!$AE$2:$AE$59,0))</f>
        <v>34.86596818524275</v>
      </c>
      <c r="K8" s="10">
        <f>INDEX('V_Tüm Teknoloji'!J$2:J$59,MATCH(LARGE('V_Tüm Teknoloji'!$AE$2:$AE$59,ROW()-3),'V_Tüm Teknoloji'!$AE$2:$AE$59,0))</f>
        <v>1031</v>
      </c>
      <c r="L8" s="10">
        <f>INDEX('V_Tüm Teknoloji'!K$2:K$59,MATCH(LARGE('V_Tüm Teknoloji'!$AE$2:$AE$59,ROW()-3),'V_Tüm Teknoloji'!$AE$2:$AE$59,0))</f>
        <v>1021</v>
      </c>
      <c r="M8" s="8">
        <f>INDEX('V_Tüm Teknoloji'!L$2:L$59,MATCH(LARGE('V_Tüm Teknoloji'!$AE$2:$AE$59,ROW()-3),'V_Tüm Teknoloji'!$AE$2:$AE$59,0))</f>
        <v>-9.6993210475266878E-3</v>
      </c>
      <c r="N8" s="11">
        <f>INDEX('V_Tüm Teknoloji'!M$2:M$59,MATCH(LARGE('V_Tüm Teknoloji'!$AE$2:$AE$59,ROW()-3),'V_Tüm Teknoloji'!$AE$2:$AE$59,0))</f>
        <v>10643778.98</v>
      </c>
      <c r="O8" s="11">
        <f>INDEX('V_Tüm Teknoloji'!N$2:N$59,MATCH(LARGE('V_Tüm Teknoloji'!$AE$2:$AE$59,ROW()-3),'V_Tüm Teknoloji'!$AE$2:$AE$59,0))</f>
        <v>10496444.84</v>
      </c>
      <c r="P8" s="8">
        <f>INDEX('V_Tüm Teknoloji'!O$2:O$59,MATCH(LARGE('V_Tüm Teknoloji'!$AE$2:$AE$59,ROW()-3),'V_Tüm Teknoloji'!$AE$2:$AE$59,0))</f>
        <v>-1.3842277284867199E-2</v>
      </c>
      <c r="Q8" s="9">
        <f>INDEX('V_Tüm Teknoloji'!P$2:P$59,MATCH(LARGE('V_Tüm Teknoloji'!$AE$2:$AE$59,ROW()-3),'V_Tüm Teknoloji'!$AE$2:$AE$59,0))</f>
        <v>0.85426276976346305</v>
      </c>
      <c r="R8" s="5" t="str">
        <f>INDEX('V_Tüm Teknoloji'!Q$2:Q$59,MATCH(LARGE('V_Tüm Teknoloji'!$AE$2:$AE$59,ROW()-3),'V_Tüm Teknoloji'!$AE$2:$AE$59,0))</f>
        <v>Görüyor</v>
      </c>
      <c r="S8" s="8">
        <f>INDEX('V_Tüm Teknoloji'!R$2:R$59,MATCH(LARGE('V_Tüm Teknoloji'!$AE$2:$AE$59,ROW()-3),'V_Tüm Teknoloji'!$AE$2:$AE$59,0))</f>
        <v>0.54049999999999998</v>
      </c>
      <c r="T8" s="8">
        <f>INDEX('V_Tüm Teknoloji'!S$2:S$59,MATCH(LARGE('V_Tüm Teknoloji'!$AE$2:$AE$59,ROW()-3),'V_Tüm Teknoloji'!$AE$2:$AE$59,0))</f>
        <v>0</v>
      </c>
      <c r="U8" s="8">
        <f>INDEX('V_Tüm Teknoloji'!T$2:T$59,MATCH(LARGE('V_Tüm Teknoloji'!$AE$2:$AE$59,ROW()-3),'V_Tüm Teknoloji'!$AE$2:$AE$59,0))</f>
        <v>0</v>
      </c>
      <c r="V8" s="8">
        <f>INDEX('V_Tüm Teknoloji'!U$2:U$59,MATCH(LARGE('V_Tüm Teknoloji'!$AE$2:$AE$59,ROW()-3),'V_Tüm Teknoloji'!$AE$2:$AE$59,0))</f>
        <v>0</v>
      </c>
      <c r="W8" s="8">
        <f>INDEX('V_Tüm Teknoloji'!V$2:V$59,MATCH(LARGE('V_Tüm Teknoloji'!$AE$2:$AE$59,ROW()-3),'V_Tüm Teknoloji'!$AE$2:$AE$59,0))</f>
        <v>0</v>
      </c>
      <c r="X8" s="8">
        <f>INDEX('V_Tüm Teknoloji'!W$2:W$59,MATCH(LARGE('V_Tüm Teknoloji'!$AE$2:$AE$59,ROW()-3),'V_Tüm Teknoloji'!$AE$2:$AE$59,0))</f>
        <v>0.37200000000000011</v>
      </c>
      <c r="Y8" s="8">
        <f>INDEX('V_Tüm Teknoloji'!X$2:X$59,MATCH(LARGE('V_Tüm Teknoloji'!$AE$2:$AE$59,ROW()-3),'V_Tüm Teknoloji'!$AE$2:$AE$59,0))</f>
        <v>3.8899999999999997E-2</v>
      </c>
      <c r="Z8" s="8">
        <f>INDEX('V_Tüm Teknoloji'!Y$2:Y$59,MATCH(LARGE('V_Tüm Teknoloji'!$AE$2:$AE$59,ROW()-3),'V_Tüm Teknoloji'!$AE$2:$AE$59,0))</f>
        <v>0</v>
      </c>
      <c r="AA8" s="8">
        <f>INDEX('V_Tüm Teknoloji'!Z$2:Z$59,MATCH(LARGE('V_Tüm Teknoloji'!$AE$2:$AE$59,ROW()-3),'V_Tüm Teknoloji'!$AE$2:$AE$59,0))</f>
        <v>0</v>
      </c>
      <c r="AB8" s="8">
        <f>INDEX('V_Tüm Teknoloji'!AA$2:AA$59,MATCH(LARGE('V_Tüm Teknoloji'!$AE$2:$AE$59,ROW()-3),'V_Tüm Teknoloji'!$AE$2:$AE$59,0))</f>
        <v>4.8599999999999997E-2</v>
      </c>
      <c r="AC8" s="8">
        <f>INDEX('V_Tüm Teknoloji'!AB$2:AB$59,MATCH(LARGE('V_Tüm Teknoloji'!$AE$2:$AE$59,ROW()-3),'V_Tüm Teknoloji'!$AE$2:$AE$59,0))</f>
        <v>0</v>
      </c>
      <c r="AD8" s="8">
        <f>INDEX('V_Tüm Teknoloji'!AC$2:AC$59,MATCH(LARGE('V_Tüm Teknoloji'!$AE$2:$AE$59,ROW()-3),'V_Tüm Teknoloji'!$AE$2:$AE$59,0))</f>
        <v>1</v>
      </c>
    </row>
    <row r="9" spans="1:30" x14ac:dyDescent="0.2">
      <c r="A9">
        <v>6</v>
      </c>
      <c r="B9" s="5" t="str">
        <f>INDEX('V_Tüm Teknoloji'!A$2:A$59,MATCH(LARGE('V_Tüm Teknoloji'!$AE$2:$AE$59,ROW()-3),'V_Tüm Teknoloji'!$AE$2:$AE$59,0))</f>
        <v>HTJ</v>
      </c>
      <c r="C9" s="5" t="str">
        <f>INDEX('V_Tüm Teknoloji'!B$2:B$59,MATCH(LARGE('V_Tüm Teknoloji'!$AE$2:$AE$59,ROW()-3),'V_Tüm Teknoloji'!$AE$2:$AE$59,0))</f>
        <v>Hedef Portföy Teknoloji Değişken Fon</v>
      </c>
      <c r="D9" s="5" t="str">
        <f>INDEX('V_Tüm Teknoloji'!C$2:C$59,MATCH(LARGE('V_Tüm Teknoloji'!$AE$2:$AE$59,ROW()-3),'V_Tüm Teknoloji'!$AE$2:$AE$59,0))</f>
        <v>Hedef Portföy</v>
      </c>
      <c r="E9" s="8">
        <f>INDEX('V_Tüm Teknoloji'!D$2:D$59,MATCH(LARGE('V_Tüm Teknoloji'!$AE$2:$AE$59,ROW()-3),'V_Tüm Teknoloji'!$AE$2:$AE$59,0))</f>
        <v>2.9499999999999998E-2</v>
      </c>
      <c r="F9" s="9">
        <f>INDEX('V_Tüm Teknoloji'!E$2:E$59,MATCH(LARGE('V_Tüm Teknoloji'!$AE$2:$AE$59,ROW()-3),'V_Tüm Teknoloji'!$AE$2:$AE$59,0))</f>
        <v>-7.5983624181819032E-3</v>
      </c>
      <c r="G9" s="9">
        <f>INDEX('V_Tüm Teknoloji'!F$2:F$59,MATCH(LARGE('V_Tüm Teknoloji'!$AE$2:$AE$59,ROW()-3),'V_Tüm Teknoloji'!$AE$2:$AE$59,0))</f>
        <v>0.13178060310401471</v>
      </c>
      <c r="H9" s="9">
        <f>INDEX('V_Tüm Teknoloji'!G$2:G$59,MATCH(LARGE('V_Tüm Teknoloji'!$AE$2:$AE$59,ROW()-3),'V_Tüm Teknoloji'!$AE$2:$AE$59,0))</f>
        <v>4.3794992206085626</v>
      </c>
      <c r="I9" s="9">
        <f>INDEX('V_Tüm Teknoloji'!H$2:H$59,MATCH(LARGE('V_Tüm Teknoloji'!$AE$2:$AE$59,ROW()-3),'V_Tüm Teknoloji'!$AE$2:$AE$59,0))</f>
        <v>22.977294372538239</v>
      </c>
      <c r="J9" s="9">
        <f>INDEX('V_Tüm Teknoloji'!I$2:I$59,MATCH(LARGE('V_Tüm Teknoloji'!$AE$2:$AE$59,ROW()-3),'V_Tüm Teknoloji'!$AE$2:$AE$59,0))</f>
        <v>46.129178079386847</v>
      </c>
      <c r="K9" s="10">
        <f>INDEX('V_Tüm Teknoloji'!J$2:J$59,MATCH(LARGE('V_Tüm Teknoloji'!$AE$2:$AE$59,ROW()-3),'V_Tüm Teknoloji'!$AE$2:$AE$59,0))</f>
        <v>263</v>
      </c>
      <c r="L9" s="10">
        <f>INDEX('V_Tüm Teknoloji'!K$2:K$59,MATCH(LARGE('V_Tüm Teknoloji'!$AE$2:$AE$59,ROW()-3),'V_Tüm Teknoloji'!$AE$2:$AE$59,0))</f>
        <v>219</v>
      </c>
      <c r="M9" s="8">
        <f>INDEX('V_Tüm Teknoloji'!L$2:L$59,MATCH(LARGE('V_Tüm Teknoloji'!$AE$2:$AE$59,ROW()-3),'V_Tüm Teknoloji'!$AE$2:$AE$59,0))</f>
        <v>-0.1673003802281369</v>
      </c>
      <c r="N9" s="11">
        <f>INDEX('V_Tüm Teknoloji'!M$2:M$59,MATCH(LARGE('V_Tüm Teknoloji'!$AE$2:$AE$59,ROW()-3),'V_Tüm Teknoloji'!$AE$2:$AE$59,0))</f>
        <v>14204070.289999999</v>
      </c>
      <c r="O9" s="11">
        <f>INDEX('V_Tüm Teknoloji'!N$2:N$59,MATCH(LARGE('V_Tüm Teknoloji'!$AE$2:$AE$59,ROW()-3),'V_Tüm Teknoloji'!$AE$2:$AE$59,0))</f>
        <v>22114481.579999998</v>
      </c>
      <c r="P9" s="8">
        <f>INDEX('V_Tüm Teknoloji'!O$2:O$59,MATCH(LARGE('V_Tüm Teknoloji'!$AE$2:$AE$59,ROW()-3),'V_Tüm Teknoloji'!$AE$2:$AE$59,0))</f>
        <v>0.55691158439064581</v>
      </c>
      <c r="Q9" s="9">
        <f>INDEX('V_Tüm Teknoloji'!P$2:P$59,MATCH(LARGE('V_Tüm Teknoloji'!$AE$2:$AE$59,ROW()-3),'V_Tüm Teknoloji'!$AE$2:$AE$59,0))</f>
        <v>1.1079624681315949</v>
      </c>
      <c r="R9" s="5" t="str">
        <f>INDEX('V_Tüm Teknoloji'!Q$2:Q$59,MATCH(LARGE('V_Tüm Teknoloji'!$AE$2:$AE$59,ROW()-3),'V_Tüm Teknoloji'!$AE$2:$AE$59,0))</f>
        <v>Görüyor</v>
      </c>
      <c r="S9" s="8">
        <f>INDEX('V_Tüm Teknoloji'!R$2:R$59,MATCH(LARGE('V_Tüm Teknoloji'!$AE$2:$AE$59,ROW()-3),'V_Tüm Teknoloji'!$AE$2:$AE$59,0))</f>
        <v>0.60599999999999998</v>
      </c>
      <c r="T9" s="8">
        <f>INDEX('V_Tüm Teknoloji'!S$2:S$59,MATCH(LARGE('V_Tüm Teknoloji'!$AE$2:$AE$59,ROW()-3),'V_Tüm Teknoloji'!$AE$2:$AE$59,0))</f>
        <v>1.3599999999999999E-2</v>
      </c>
      <c r="U9" s="8">
        <f>INDEX('V_Tüm Teknoloji'!T$2:T$59,MATCH(LARGE('V_Tüm Teknoloji'!$AE$2:$AE$59,ROW()-3),'V_Tüm Teknoloji'!$AE$2:$AE$59,0))</f>
        <v>0</v>
      </c>
      <c r="V9" s="8">
        <f>INDEX('V_Tüm Teknoloji'!U$2:U$59,MATCH(LARGE('V_Tüm Teknoloji'!$AE$2:$AE$59,ROW()-3),'V_Tüm Teknoloji'!$AE$2:$AE$59,0))</f>
        <v>8.5099999999999995E-2</v>
      </c>
      <c r="W9" s="8">
        <f>INDEX('V_Tüm Teknoloji'!V$2:V$59,MATCH(LARGE('V_Tüm Teknoloji'!$AE$2:$AE$59,ROW()-3),'V_Tüm Teknoloji'!$AE$2:$AE$59,0))</f>
        <v>0</v>
      </c>
      <c r="X9" s="8">
        <f>INDEX('V_Tüm Teknoloji'!W$2:W$59,MATCH(LARGE('V_Tüm Teknoloji'!$AE$2:$AE$59,ROW()-3),'V_Tüm Teknoloji'!$AE$2:$AE$59,0))</f>
        <v>0.2354</v>
      </c>
      <c r="Y9" s="8">
        <f>INDEX('V_Tüm Teknoloji'!X$2:X$59,MATCH(LARGE('V_Tüm Teknoloji'!$AE$2:$AE$59,ROW()-3),'V_Tüm Teknoloji'!$AE$2:$AE$59,0))</f>
        <v>0</v>
      </c>
      <c r="Z9" s="8">
        <f>INDEX('V_Tüm Teknoloji'!Y$2:Y$59,MATCH(LARGE('V_Tüm Teknoloji'!$AE$2:$AE$59,ROW()-3),'V_Tüm Teknoloji'!$AE$2:$AE$59,0))</f>
        <v>5.9900000000000002E-2</v>
      </c>
      <c r="AA9" s="8">
        <f>INDEX('V_Tüm Teknoloji'!Z$2:Z$59,MATCH(LARGE('V_Tüm Teknoloji'!$AE$2:$AE$59,ROW()-3),'V_Tüm Teknoloji'!$AE$2:$AE$59,0))</f>
        <v>0</v>
      </c>
      <c r="AB9" s="8">
        <f>INDEX('V_Tüm Teknoloji'!AA$2:AA$59,MATCH(LARGE('V_Tüm Teknoloji'!$AE$2:$AE$59,ROW()-3),'V_Tüm Teknoloji'!$AE$2:$AE$59,0))</f>
        <v>0</v>
      </c>
      <c r="AC9" s="8">
        <f>INDEX('V_Tüm Teknoloji'!AB$2:AB$59,MATCH(LARGE('V_Tüm Teknoloji'!$AE$2:$AE$59,ROW()-3),'V_Tüm Teknoloji'!$AE$2:$AE$59,0))</f>
        <v>0</v>
      </c>
      <c r="AD9" s="8">
        <f>INDEX('V_Tüm Teknoloji'!AC$2:AC$59,MATCH(LARGE('V_Tüm Teknoloji'!$AE$2:$AE$59,ROW()-3),'V_Tüm Teknoloji'!$AE$2:$AE$59,0))</f>
        <v>1</v>
      </c>
    </row>
    <row r="10" spans="1:30" x14ac:dyDescent="0.2">
      <c r="A10">
        <v>7</v>
      </c>
      <c r="B10" s="5" t="str">
        <f>INDEX('V_Tüm Teknoloji'!A$2:A$59,MATCH(LARGE('V_Tüm Teknoloji'!$AE$2:$AE$59,ROW()-3),'V_Tüm Teknoloji'!$AE$2:$AE$59,0))</f>
        <v>MTV</v>
      </c>
      <c r="C10" s="5" t="str">
        <f>INDEX('V_Tüm Teknoloji'!B$2:B$59,MATCH(LARGE('V_Tüm Teknoloji'!$AE$2:$AE$59,ROW()-3),'V_Tüm Teknoloji'!$AE$2:$AE$59,0))</f>
        <v>AK Portföy Metaverse VE Dijital Yaşam Teknolojileri Değişken Fon</v>
      </c>
      <c r="D10" s="5" t="str">
        <f>INDEX('V_Tüm Teknoloji'!C$2:C$59,MATCH(LARGE('V_Tüm Teknoloji'!$AE$2:$AE$59,ROW()-3),'V_Tüm Teknoloji'!$AE$2:$AE$59,0))</f>
        <v>AK Portföy</v>
      </c>
      <c r="E10" s="8">
        <f>INDEX('V_Tüm Teknoloji'!D$2:D$59,MATCH(LARGE('V_Tüm Teknoloji'!$AE$2:$AE$59,ROW()-3),'V_Tüm Teknoloji'!$AE$2:$AE$59,0))</f>
        <v>2.9000000000000001E-2</v>
      </c>
      <c r="F10" s="9">
        <f>INDEX('V_Tüm Teknoloji'!E$2:E$59,MATCH(LARGE('V_Tüm Teknoloji'!$AE$2:$AE$59,ROW()-3),'V_Tüm Teknoloji'!$AE$2:$AE$59,0))</f>
        <v>-0.15026746379908079</v>
      </c>
      <c r="G10" s="9">
        <f>INDEX('V_Tüm Teknoloji'!F$2:F$59,MATCH(LARGE('V_Tüm Teknoloji'!$AE$2:$AE$59,ROW()-3),'V_Tüm Teknoloji'!$AE$2:$AE$59,0))</f>
        <v>0.51210985775871354</v>
      </c>
      <c r="H10" s="9">
        <f>INDEX('V_Tüm Teknoloji'!G$2:G$59,MATCH(LARGE('V_Tüm Teknoloji'!$AE$2:$AE$59,ROW()-3),'V_Tüm Teknoloji'!$AE$2:$AE$59,0))</f>
        <v>5.8115559202933884</v>
      </c>
      <c r="I10" s="9">
        <f>INDEX('V_Tüm Teknoloji'!H$2:H$59,MATCH(LARGE('V_Tüm Teknoloji'!$AE$2:$AE$59,ROW()-3),'V_Tüm Teknoloji'!$AE$2:$AE$59,0))</f>
        <v>22.535842252965121</v>
      </c>
      <c r="J10" s="9">
        <f>INDEX('V_Tüm Teknoloji'!I$2:I$59,MATCH(LARGE('V_Tüm Teknoloji'!$AE$2:$AE$59,ROW()-3),'V_Tüm Teknoloji'!$AE$2:$AE$59,0))</f>
        <v>44.334560590461187</v>
      </c>
      <c r="K10" s="10">
        <f>INDEX('V_Tüm Teknoloji'!J$2:J$59,MATCH(LARGE('V_Tüm Teknoloji'!$AE$2:$AE$59,ROW()-3),'V_Tüm Teknoloji'!$AE$2:$AE$59,0))</f>
        <v>13240</v>
      </c>
      <c r="L10" s="10">
        <f>INDEX('V_Tüm Teknoloji'!K$2:K$59,MATCH(LARGE('V_Tüm Teknoloji'!$AE$2:$AE$59,ROW()-3),'V_Tüm Teknoloji'!$AE$2:$AE$59,0))</f>
        <v>12872</v>
      </c>
      <c r="M10" s="8">
        <f>INDEX('V_Tüm Teknoloji'!L$2:L$59,MATCH(LARGE('V_Tüm Teknoloji'!$AE$2:$AE$59,ROW()-3),'V_Tüm Teknoloji'!$AE$2:$AE$59,0))</f>
        <v>-2.7794561933534689E-2</v>
      </c>
      <c r="N10" s="11">
        <f>INDEX('V_Tüm Teknoloji'!M$2:M$59,MATCH(LARGE('V_Tüm Teknoloji'!$AE$2:$AE$59,ROW()-3),'V_Tüm Teknoloji'!$AE$2:$AE$59,0))</f>
        <v>141746629.65000001</v>
      </c>
      <c r="O10" s="11">
        <f>INDEX('V_Tüm Teknoloji'!N$2:N$59,MATCH(LARGE('V_Tüm Teknoloji'!$AE$2:$AE$59,ROW()-3),'V_Tüm Teknoloji'!$AE$2:$AE$59,0))</f>
        <v>151101799.86000001</v>
      </c>
      <c r="P10" s="8">
        <f>INDEX('V_Tüm Teknoloji'!O$2:O$59,MATCH(LARGE('V_Tüm Teknoloji'!$AE$2:$AE$59,ROW()-3),'V_Tüm Teknoloji'!$AE$2:$AE$59,0))</f>
        <v>6.5999242684639192E-2</v>
      </c>
      <c r="Q10" s="9">
        <f>INDEX('V_Tüm Teknoloji'!P$2:P$59,MATCH(LARGE('V_Tüm Teknoloji'!$AE$2:$AE$59,ROW()-3),'V_Tüm Teknoloji'!$AE$2:$AE$59,0))</f>
        <v>1.07976432486416</v>
      </c>
      <c r="R10" s="5" t="str">
        <f>INDEX('V_Tüm Teknoloji'!Q$2:Q$59,MATCH(LARGE('V_Tüm Teknoloji'!$AE$2:$AE$59,ROW()-3),'V_Tüm Teknoloji'!$AE$2:$AE$59,0))</f>
        <v>Görüyor</v>
      </c>
      <c r="S10" s="8">
        <f>INDEX('V_Tüm Teknoloji'!R$2:R$59,MATCH(LARGE('V_Tüm Teknoloji'!$AE$2:$AE$59,ROW()-3),'V_Tüm Teknoloji'!$AE$2:$AE$59,0))</f>
        <v>0.65560000000000007</v>
      </c>
      <c r="T10" s="8">
        <f>INDEX('V_Tüm Teknoloji'!S$2:S$59,MATCH(LARGE('V_Tüm Teknoloji'!$AE$2:$AE$59,ROW()-3),'V_Tüm Teknoloji'!$AE$2:$AE$59,0))</f>
        <v>0</v>
      </c>
      <c r="U10" s="8">
        <f>INDEX('V_Tüm Teknoloji'!T$2:T$59,MATCH(LARGE('V_Tüm Teknoloji'!$AE$2:$AE$59,ROW()-3),'V_Tüm Teknoloji'!$AE$2:$AE$59,0))</f>
        <v>0</v>
      </c>
      <c r="V10" s="8">
        <f>INDEX('V_Tüm Teknoloji'!U$2:U$59,MATCH(LARGE('V_Tüm Teknoloji'!$AE$2:$AE$59,ROW()-3),'V_Tüm Teknoloji'!$AE$2:$AE$59,0))</f>
        <v>0</v>
      </c>
      <c r="W10" s="8">
        <f>INDEX('V_Tüm Teknoloji'!V$2:V$59,MATCH(LARGE('V_Tüm Teknoloji'!$AE$2:$AE$59,ROW()-3),'V_Tüm Teknoloji'!$AE$2:$AE$59,0))</f>
        <v>5.96E-2</v>
      </c>
      <c r="X10" s="8">
        <f>INDEX('V_Tüm Teknoloji'!W$2:W$59,MATCH(LARGE('V_Tüm Teknoloji'!$AE$2:$AE$59,ROW()-3),'V_Tüm Teknoloji'!$AE$2:$AE$59,0))</f>
        <v>0.1996</v>
      </c>
      <c r="Y10" s="8">
        <f>INDEX('V_Tüm Teknoloji'!X$2:X$59,MATCH(LARGE('V_Tüm Teknoloji'!$AE$2:$AE$59,ROW()-3),'V_Tüm Teknoloji'!$AE$2:$AE$59,0))</f>
        <v>4.0000000000000001E-3</v>
      </c>
      <c r="Z10" s="8">
        <f>INDEX('V_Tüm Teknoloji'!Y$2:Y$59,MATCH(LARGE('V_Tüm Teknoloji'!$AE$2:$AE$59,ROW()-3),'V_Tüm Teknoloji'!$AE$2:$AE$59,0))</f>
        <v>8.1199999999999994E-2</v>
      </c>
      <c r="AA10" s="8">
        <f>INDEX('V_Tüm Teknoloji'!Z$2:Z$59,MATCH(LARGE('V_Tüm Teknoloji'!$AE$2:$AE$59,ROW()-3),'V_Tüm Teknoloji'!$AE$2:$AE$59,0))</f>
        <v>0</v>
      </c>
      <c r="AB10" s="8">
        <f>INDEX('V_Tüm Teknoloji'!AA$2:AA$59,MATCH(LARGE('V_Tüm Teknoloji'!$AE$2:$AE$59,ROW()-3),'V_Tüm Teknoloji'!$AE$2:$AE$59,0))</f>
        <v>0</v>
      </c>
      <c r="AC10" s="8">
        <f>INDEX('V_Tüm Teknoloji'!AB$2:AB$59,MATCH(LARGE('V_Tüm Teknoloji'!$AE$2:$AE$59,ROW()-3),'V_Tüm Teknoloji'!$AE$2:$AE$59,0))</f>
        <v>0</v>
      </c>
      <c r="AD10" s="8">
        <f>INDEX('V_Tüm Teknoloji'!AC$2:AC$59,MATCH(LARGE('V_Tüm Teknoloji'!$AE$2:$AE$59,ROW()-3),'V_Tüm Teknoloji'!$AE$2:$AE$59,0))</f>
        <v>1</v>
      </c>
    </row>
    <row r="11" spans="1:30" x14ac:dyDescent="0.2">
      <c r="A11">
        <v>8</v>
      </c>
      <c r="B11" s="5" t="str">
        <f>INDEX('V_Tüm Teknoloji'!A$2:A$59,MATCH(LARGE('V_Tüm Teknoloji'!$AE$2:$AE$59,ROW()-3),'V_Tüm Teknoloji'!$AE$2:$AE$59,0))</f>
        <v>DTZ</v>
      </c>
      <c r="C11" s="5" t="str">
        <f>INDEX('V_Tüm Teknoloji'!B$2:B$59,MATCH(LARGE('V_Tüm Teknoloji'!$AE$2:$AE$59,ROW()-3),'V_Tüm Teknoloji'!$AE$2:$AE$59,0))</f>
        <v>AK Portföy Robotik Teknolojiler Değişken Fon</v>
      </c>
      <c r="D11" s="5" t="str">
        <f>INDEX('V_Tüm Teknoloji'!C$2:C$59,MATCH(LARGE('V_Tüm Teknoloji'!$AE$2:$AE$59,ROW()-3),'V_Tüm Teknoloji'!$AE$2:$AE$59,0))</f>
        <v>AK Portföy</v>
      </c>
      <c r="E11" s="8">
        <f>INDEX('V_Tüm Teknoloji'!D$2:D$59,MATCH(LARGE('V_Tüm Teknoloji'!$AE$2:$AE$59,ROW()-3),'V_Tüm Teknoloji'!$AE$2:$AE$59,0))</f>
        <v>2.9000000000000001E-2</v>
      </c>
      <c r="F11" s="9">
        <f>INDEX('V_Tüm Teknoloji'!E$2:E$59,MATCH(LARGE('V_Tüm Teknoloji'!$AE$2:$AE$59,ROW()-3),'V_Tüm Teknoloji'!$AE$2:$AE$59,0))</f>
        <v>-0.169741087264208</v>
      </c>
      <c r="G11" s="9">
        <f>INDEX('V_Tüm Teknoloji'!F$2:F$59,MATCH(LARGE('V_Tüm Teknoloji'!$AE$2:$AE$59,ROW()-3),'V_Tüm Teknoloji'!$AE$2:$AE$59,0))</f>
        <v>1.2811454280097221</v>
      </c>
      <c r="H11" s="9">
        <f>INDEX('V_Tüm Teknoloji'!G$2:G$59,MATCH(LARGE('V_Tüm Teknoloji'!$AE$2:$AE$59,ROW()-3),'V_Tüm Teknoloji'!$AE$2:$AE$59,0))</f>
        <v>2.72698730361931</v>
      </c>
      <c r="I11" s="9">
        <f>INDEX('V_Tüm Teknoloji'!H$2:H$59,MATCH(LARGE('V_Tüm Teknoloji'!$AE$2:$AE$59,ROW()-3),'V_Tüm Teknoloji'!$AE$2:$AE$59,0))</f>
        <v>25.569840461012561</v>
      </c>
      <c r="J11" s="9">
        <f>INDEX('V_Tüm Teknoloji'!I$2:I$59,MATCH(LARGE('V_Tüm Teknoloji'!$AE$2:$AE$59,ROW()-3),'V_Tüm Teknoloji'!$AE$2:$AE$59,0))</f>
        <v>46.235650992932541</v>
      </c>
      <c r="K11" s="10">
        <f>INDEX('V_Tüm Teknoloji'!J$2:J$59,MATCH(LARGE('V_Tüm Teknoloji'!$AE$2:$AE$59,ROW()-3),'V_Tüm Teknoloji'!$AE$2:$AE$59,0))</f>
        <v>7846</v>
      </c>
      <c r="L11" s="10">
        <f>INDEX('V_Tüm Teknoloji'!K$2:K$59,MATCH(LARGE('V_Tüm Teknoloji'!$AE$2:$AE$59,ROW()-3),'V_Tüm Teknoloji'!$AE$2:$AE$59,0))</f>
        <v>7533</v>
      </c>
      <c r="M11" s="8">
        <f>INDEX('V_Tüm Teknoloji'!L$2:L$59,MATCH(LARGE('V_Tüm Teknoloji'!$AE$2:$AE$59,ROW()-3),'V_Tüm Teknoloji'!$AE$2:$AE$59,0))</f>
        <v>-3.9892939077236789E-2</v>
      </c>
      <c r="N11" s="11">
        <f>INDEX('V_Tüm Teknoloji'!M$2:M$59,MATCH(LARGE('V_Tüm Teknoloji'!$AE$2:$AE$59,ROW()-3),'V_Tüm Teknoloji'!$AE$2:$AE$59,0))</f>
        <v>376483323.17000002</v>
      </c>
      <c r="O11" s="11">
        <f>INDEX('V_Tüm Teknoloji'!N$2:N$59,MATCH(LARGE('V_Tüm Teknoloji'!$AE$2:$AE$59,ROW()-3),'V_Tüm Teknoloji'!$AE$2:$AE$59,0))</f>
        <v>468031776.07999998</v>
      </c>
      <c r="P11" s="8">
        <f>INDEX('V_Tüm Teknoloji'!O$2:O$59,MATCH(LARGE('V_Tüm Teknoloji'!$AE$2:$AE$59,ROW()-3),'V_Tüm Teknoloji'!$AE$2:$AE$59,0))</f>
        <v>0.24316735237874409</v>
      </c>
      <c r="Q11" s="9">
        <f>INDEX('V_Tüm Teknoloji'!P$2:P$59,MATCH(LARGE('V_Tüm Teknoloji'!$AE$2:$AE$59,ROW()-3),'V_Tüm Teknoloji'!$AE$2:$AE$59,0))</f>
        <v>1.1570885861873339</v>
      </c>
      <c r="R11" s="5" t="str">
        <f>INDEX('V_Tüm Teknoloji'!Q$2:Q$59,MATCH(LARGE('V_Tüm Teknoloji'!$AE$2:$AE$59,ROW()-3),'V_Tüm Teknoloji'!$AE$2:$AE$59,0))</f>
        <v>Görüyor</v>
      </c>
      <c r="S11" s="8">
        <f>INDEX('V_Tüm Teknoloji'!R$2:R$59,MATCH(LARGE('V_Tüm Teknoloji'!$AE$2:$AE$59,ROW()-3),'V_Tüm Teknoloji'!$AE$2:$AE$59,0))</f>
        <v>0.63719999999999999</v>
      </c>
      <c r="T11" s="8">
        <f>INDEX('V_Tüm Teknoloji'!S$2:S$59,MATCH(LARGE('V_Tüm Teknoloji'!$AE$2:$AE$59,ROW()-3),'V_Tüm Teknoloji'!$AE$2:$AE$59,0))</f>
        <v>0</v>
      </c>
      <c r="U11" s="8">
        <f>INDEX('V_Tüm Teknoloji'!T$2:T$59,MATCH(LARGE('V_Tüm Teknoloji'!$AE$2:$AE$59,ROW()-3),'V_Tüm Teknoloji'!$AE$2:$AE$59,0))</f>
        <v>0</v>
      </c>
      <c r="V11" s="8">
        <f>INDEX('V_Tüm Teknoloji'!U$2:U$59,MATCH(LARGE('V_Tüm Teknoloji'!$AE$2:$AE$59,ROW()-3),'V_Tüm Teknoloji'!$AE$2:$AE$59,0))</f>
        <v>0</v>
      </c>
      <c r="W11" s="8">
        <f>INDEX('V_Tüm Teknoloji'!V$2:V$59,MATCH(LARGE('V_Tüm Teknoloji'!$AE$2:$AE$59,ROW()-3),'V_Tüm Teknoloji'!$AE$2:$AE$59,0))</f>
        <v>6.4000000000000001E-2</v>
      </c>
      <c r="X11" s="8">
        <f>INDEX('V_Tüm Teknoloji'!W$2:W$59,MATCH(LARGE('V_Tüm Teknoloji'!$AE$2:$AE$59,ROW()-3),'V_Tüm Teknoloji'!$AE$2:$AE$59,0))</f>
        <v>0.24640000000000001</v>
      </c>
      <c r="Y11" s="8">
        <f>INDEX('V_Tüm Teknoloji'!X$2:X$59,MATCH(LARGE('V_Tüm Teknoloji'!$AE$2:$AE$59,ROW()-3),'V_Tüm Teknoloji'!$AE$2:$AE$59,0))</f>
        <v>5.9999999999999995E-4</v>
      </c>
      <c r="Z11" s="8">
        <f>INDEX('V_Tüm Teknoloji'!Y$2:Y$59,MATCH(LARGE('V_Tüm Teknoloji'!$AE$2:$AE$59,ROW()-3),'V_Tüm Teknoloji'!$AE$2:$AE$59,0))</f>
        <v>5.1799999999999999E-2</v>
      </c>
      <c r="AA11" s="8">
        <f>INDEX('V_Tüm Teknoloji'!Z$2:Z$59,MATCH(LARGE('V_Tüm Teknoloji'!$AE$2:$AE$59,ROW()-3),'V_Tüm Teknoloji'!$AE$2:$AE$59,0))</f>
        <v>0</v>
      </c>
      <c r="AB11" s="8">
        <f>INDEX('V_Tüm Teknoloji'!AA$2:AA$59,MATCH(LARGE('V_Tüm Teknoloji'!$AE$2:$AE$59,ROW()-3),'V_Tüm Teknoloji'!$AE$2:$AE$59,0))</f>
        <v>0</v>
      </c>
      <c r="AC11" s="8">
        <f>INDEX('V_Tüm Teknoloji'!AB$2:AB$59,MATCH(LARGE('V_Tüm Teknoloji'!$AE$2:$AE$59,ROW()-3),'V_Tüm Teknoloji'!$AE$2:$AE$59,0))</f>
        <v>0</v>
      </c>
      <c r="AD11" s="8">
        <f>INDEX('V_Tüm Teknoloji'!AC$2:AC$59,MATCH(LARGE('V_Tüm Teknoloji'!$AE$2:$AE$59,ROW()-3),'V_Tüm Teknoloji'!$AE$2:$AE$59,0))</f>
        <v>1</v>
      </c>
    </row>
    <row r="12" spans="1:30" x14ac:dyDescent="0.2">
      <c r="A12">
        <v>9</v>
      </c>
      <c r="B12" s="5" t="str">
        <f>INDEX('V_Tüm Teknoloji'!A$2:A$59,MATCH(LARGE('V_Tüm Teknoloji'!$AE$2:$AE$59,ROW()-3),'V_Tüm Teknoloji'!$AE$2:$AE$59,0))</f>
        <v>KTJ</v>
      </c>
      <c r="C12" s="5" t="str">
        <f>INDEX('V_Tüm Teknoloji'!B$2:B$59,MATCH(LARGE('V_Tüm Teknoloji'!$AE$2:$AE$59,ROW()-3),'V_Tüm Teknoloji'!$AE$2:$AE$59,0))</f>
        <v>Kuveyt Türk Portföy Teknoloji Katılım Fonu</v>
      </c>
      <c r="D12" s="5" t="str">
        <f>INDEX('V_Tüm Teknoloji'!C$2:C$59,MATCH(LARGE('V_Tüm Teknoloji'!$AE$2:$AE$59,ROW()-3),'V_Tüm Teknoloji'!$AE$2:$AE$59,0))</f>
        <v>Kuveyt Türk Portföy</v>
      </c>
      <c r="E12" s="8">
        <f>INDEX('V_Tüm Teknoloji'!D$2:D$59,MATCH(LARGE('V_Tüm Teknoloji'!$AE$2:$AE$59,ROW()-3),'V_Tüm Teknoloji'!$AE$2:$AE$59,0))</f>
        <v>2.4E-2</v>
      </c>
      <c r="F12" s="9">
        <f>INDEX('V_Tüm Teknoloji'!E$2:E$59,MATCH(LARGE('V_Tüm Teknoloji'!$AE$2:$AE$59,ROW()-3),'V_Tüm Teknoloji'!$AE$2:$AE$59,0))</f>
        <v>-0.21799509550213261</v>
      </c>
      <c r="G12" s="9">
        <f>INDEX('V_Tüm Teknoloji'!F$2:F$59,MATCH(LARGE('V_Tüm Teknoloji'!$AE$2:$AE$59,ROW()-3),'V_Tüm Teknoloji'!$AE$2:$AE$59,0))</f>
        <v>-2.6630587452918242</v>
      </c>
      <c r="H12" s="9">
        <f>INDEX('V_Tüm Teknoloji'!G$2:G$59,MATCH(LARGE('V_Tüm Teknoloji'!$AE$2:$AE$59,ROW()-3),'V_Tüm Teknoloji'!$AE$2:$AE$59,0))</f>
        <v>4.4908567982177239</v>
      </c>
      <c r="I12" s="9">
        <f>INDEX('V_Tüm Teknoloji'!H$2:H$59,MATCH(LARGE('V_Tüm Teknoloji'!$AE$2:$AE$59,ROW()-3),'V_Tüm Teknoloji'!$AE$2:$AE$59,0))</f>
        <v>45.326315393038698</v>
      </c>
      <c r="J12" s="9">
        <f>INDEX('V_Tüm Teknoloji'!I$2:I$59,MATCH(LARGE('V_Tüm Teknoloji'!$AE$2:$AE$59,ROW()-3),'V_Tüm Teknoloji'!$AE$2:$AE$59,0))</f>
        <v>70.967183236161887</v>
      </c>
      <c r="K12" s="10">
        <f>INDEX('V_Tüm Teknoloji'!J$2:J$59,MATCH(LARGE('V_Tüm Teknoloji'!$AE$2:$AE$59,ROW()-3),'V_Tüm Teknoloji'!$AE$2:$AE$59,0))</f>
        <v>16348</v>
      </c>
      <c r="L12" s="10">
        <f>INDEX('V_Tüm Teknoloji'!K$2:K$59,MATCH(LARGE('V_Tüm Teknoloji'!$AE$2:$AE$59,ROW()-3),'V_Tüm Teknoloji'!$AE$2:$AE$59,0))</f>
        <v>18667</v>
      </c>
      <c r="M12" s="8">
        <f>INDEX('V_Tüm Teknoloji'!L$2:L$59,MATCH(LARGE('V_Tüm Teknoloji'!$AE$2:$AE$59,ROW()-3),'V_Tüm Teknoloji'!$AE$2:$AE$59,0))</f>
        <v>0.14185221433814529</v>
      </c>
      <c r="N12" s="11">
        <f>INDEX('V_Tüm Teknoloji'!M$2:M$59,MATCH(LARGE('V_Tüm Teknoloji'!$AE$2:$AE$59,ROW()-3),'V_Tüm Teknoloji'!$AE$2:$AE$59,0))</f>
        <v>1278297564.0999999</v>
      </c>
      <c r="O12" s="11">
        <f>INDEX('V_Tüm Teknoloji'!N$2:N$59,MATCH(LARGE('V_Tüm Teknoloji'!$AE$2:$AE$59,ROW()-3),'V_Tüm Teknoloji'!$AE$2:$AE$59,0))</f>
        <v>1626199317.3399999</v>
      </c>
      <c r="P12" s="8">
        <f>INDEX('V_Tüm Teknoloji'!O$2:O$59,MATCH(LARGE('V_Tüm Teknoloji'!$AE$2:$AE$59,ROW()-3),'V_Tüm Teknoloji'!$AE$2:$AE$59,0))</f>
        <v>0.27216022545184471</v>
      </c>
      <c r="Q12" s="9">
        <f>INDEX('V_Tüm Teknoloji'!P$2:P$59,MATCH(LARGE('V_Tüm Teknoloji'!$AE$2:$AE$59,ROW()-3),'V_Tüm Teknoloji'!$AE$2:$AE$59,0))</f>
        <v>2.0357857372455901</v>
      </c>
      <c r="R12" s="5" t="str">
        <f>INDEX('V_Tüm Teknoloji'!Q$2:Q$59,MATCH(LARGE('V_Tüm Teknoloji'!$AE$2:$AE$59,ROW()-3),'V_Tüm Teknoloji'!$AE$2:$AE$59,0))</f>
        <v>Görüyor</v>
      </c>
      <c r="S12" s="8">
        <f>INDEX('V_Tüm Teknoloji'!R$2:R$59,MATCH(LARGE('V_Tüm Teknoloji'!$AE$2:$AE$59,ROW()-3),'V_Tüm Teknoloji'!$AE$2:$AE$59,0))</f>
        <v>0.74750000000000005</v>
      </c>
      <c r="T12" s="8">
        <f>INDEX('V_Tüm Teknoloji'!S$2:S$59,MATCH(LARGE('V_Tüm Teknoloji'!$AE$2:$AE$59,ROW()-3),'V_Tüm Teknoloji'!$AE$2:$AE$59,0))</f>
        <v>0</v>
      </c>
      <c r="U12" s="8">
        <f>INDEX('V_Tüm Teknoloji'!T$2:T$59,MATCH(LARGE('V_Tüm Teknoloji'!$AE$2:$AE$59,ROW()-3),'V_Tüm Teknoloji'!$AE$2:$AE$59,0))</f>
        <v>0</v>
      </c>
      <c r="V12" s="8">
        <f>INDEX('V_Tüm Teknoloji'!U$2:U$59,MATCH(LARGE('V_Tüm Teknoloji'!$AE$2:$AE$59,ROW()-3),'V_Tüm Teknoloji'!$AE$2:$AE$59,0))</f>
        <v>0</v>
      </c>
      <c r="W12" s="8">
        <f>INDEX('V_Tüm Teknoloji'!V$2:V$59,MATCH(LARGE('V_Tüm Teknoloji'!$AE$2:$AE$59,ROW()-3),'V_Tüm Teknoloji'!$AE$2:$AE$59,0))</f>
        <v>0</v>
      </c>
      <c r="X12" s="8">
        <f>INDEX('V_Tüm Teknoloji'!W$2:W$59,MATCH(LARGE('V_Tüm Teknoloji'!$AE$2:$AE$59,ROW()-3),'V_Tüm Teknoloji'!$AE$2:$AE$59,0))</f>
        <v>9.5899999999999999E-2</v>
      </c>
      <c r="Y12" s="8">
        <f>INDEX('V_Tüm Teknoloji'!X$2:X$59,MATCH(LARGE('V_Tüm Teknoloji'!$AE$2:$AE$59,ROW()-3),'V_Tüm Teknoloji'!$AE$2:$AE$59,0))</f>
        <v>0</v>
      </c>
      <c r="Z12" s="8">
        <f>INDEX('V_Tüm Teknoloji'!Y$2:Y$59,MATCH(LARGE('V_Tüm Teknoloji'!$AE$2:$AE$59,ROW()-3),'V_Tüm Teknoloji'!$AE$2:$AE$59,0))</f>
        <v>4.1700000000000001E-2</v>
      </c>
      <c r="AA12" s="8">
        <f>INDEX('V_Tüm Teknoloji'!Z$2:Z$59,MATCH(LARGE('V_Tüm Teknoloji'!$AE$2:$AE$59,ROW()-3),'V_Tüm Teknoloji'!$AE$2:$AE$59,0))</f>
        <v>0</v>
      </c>
      <c r="AB12" s="8">
        <f>INDEX('V_Tüm Teknoloji'!AA$2:AA$59,MATCH(LARGE('V_Tüm Teknoloji'!$AE$2:$AE$59,ROW()-3),'V_Tüm Teknoloji'!$AE$2:$AE$59,0))</f>
        <v>0</v>
      </c>
      <c r="AC12" s="8">
        <f>INDEX('V_Tüm Teknoloji'!AB$2:AB$59,MATCH(LARGE('V_Tüm Teknoloji'!$AE$2:$AE$59,ROW()-3),'V_Tüm Teknoloji'!$AE$2:$AE$59,0))</f>
        <v>0</v>
      </c>
      <c r="AD12" s="8">
        <f>INDEX('V_Tüm Teknoloji'!AC$2:AC$59,MATCH(LARGE('V_Tüm Teknoloji'!$AE$2:$AE$59,ROW()-3),'V_Tüm Teknoloji'!$AE$2:$AE$59,0))</f>
        <v>0.8851</v>
      </c>
    </row>
    <row r="13" spans="1:30" x14ac:dyDescent="0.2">
      <c r="A13">
        <v>10</v>
      </c>
      <c r="B13" s="5" t="str">
        <f>INDEX('V_Tüm Teknoloji'!A$2:A$59,MATCH(LARGE('V_Tüm Teknoloji'!$AE$2:$AE$59,ROW()-3),'V_Tüm Teknoloji'!$AE$2:$AE$59,0))</f>
        <v>GRT</v>
      </c>
      <c r="C13" s="5" t="str">
        <f>INDEX('V_Tüm Teknoloji'!B$2:B$59,MATCH(LARGE('V_Tüm Teknoloji'!$AE$2:$AE$59,ROW()-3),'V_Tüm Teknoloji'!$AE$2:$AE$59,0))</f>
        <v>Garanti Portföy Teknoloji Şirketleri Hisse Senedi (TL) Fonu (Hisse Senedi Yoğun Fon)</v>
      </c>
      <c r="D13" s="5" t="str">
        <f>INDEX('V_Tüm Teknoloji'!C$2:C$59,MATCH(LARGE('V_Tüm Teknoloji'!$AE$2:$AE$59,ROW()-3),'V_Tüm Teknoloji'!$AE$2:$AE$59,0))</f>
        <v>Garanti Portföy</v>
      </c>
      <c r="E13" s="8">
        <f>INDEX('V_Tüm Teknoloji'!D$2:D$59,MATCH(LARGE('V_Tüm Teknoloji'!$AE$2:$AE$59,ROW()-3),'V_Tüm Teknoloji'!$AE$2:$AE$59,0))</f>
        <v>3.2000000000000001E-2</v>
      </c>
      <c r="F13" s="9">
        <f>INDEX('V_Tüm Teknoloji'!E$2:E$59,MATCH(LARGE('V_Tüm Teknoloji'!$AE$2:$AE$59,ROW()-3),'V_Tüm Teknoloji'!$AE$2:$AE$59,0))</f>
        <v>-0.26911173903850782</v>
      </c>
      <c r="G13" s="9">
        <f>INDEX('V_Tüm Teknoloji'!F$2:F$59,MATCH(LARGE('V_Tüm Teknoloji'!$AE$2:$AE$59,ROW()-3),'V_Tüm Teknoloji'!$AE$2:$AE$59,0))</f>
        <v>-4.18680431655104</v>
      </c>
      <c r="H13" s="9">
        <f>INDEX('V_Tüm Teknoloji'!G$2:G$59,MATCH(LARGE('V_Tüm Teknoloji'!$AE$2:$AE$59,ROW()-3),'V_Tüm Teknoloji'!$AE$2:$AE$59,0))</f>
        <v>-6.6262024603630731</v>
      </c>
      <c r="I13" s="9">
        <f>INDEX('V_Tüm Teknoloji'!H$2:H$59,MATCH(LARGE('V_Tüm Teknoloji'!$AE$2:$AE$59,ROW()-3),'V_Tüm Teknoloji'!$AE$2:$AE$59,0))</f>
        <v>38.14326291206833</v>
      </c>
      <c r="J13" s="9">
        <f>INDEX('V_Tüm Teknoloji'!I$2:I$59,MATCH(LARGE('V_Tüm Teknoloji'!$AE$2:$AE$59,ROW()-3),'V_Tüm Teknoloji'!$AE$2:$AE$59,0))</f>
        <v>50.030876059207422</v>
      </c>
      <c r="K13" s="10">
        <f>INDEX('V_Tüm Teknoloji'!J$2:J$59,MATCH(LARGE('V_Tüm Teknoloji'!$AE$2:$AE$59,ROW()-3),'V_Tüm Teknoloji'!$AE$2:$AE$59,0))</f>
        <v>2336</v>
      </c>
      <c r="L13" s="10">
        <f>INDEX('V_Tüm Teknoloji'!K$2:K$59,MATCH(LARGE('V_Tüm Teknoloji'!$AE$2:$AE$59,ROW()-3),'V_Tüm Teknoloji'!$AE$2:$AE$59,0))</f>
        <v>2128</v>
      </c>
      <c r="M13" s="8">
        <f>INDEX('V_Tüm Teknoloji'!L$2:L$59,MATCH(LARGE('V_Tüm Teknoloji'!$AE$2:$AE$59,ROW()-3),'V_Tüm Teknoloji'!$AE$2:$AE$59,0))</f>
        <v>-8.9041095890410982E-2</v>
      </c>
      <c r="N13" s="11">
        <f>INDEX('V_Tüm Teknoloji'!M$2:M$59,MATCH(LARGE('V_Tüm Teknoloji'!$AE$2:$AE$59,ROW()-3),'V_Tüm Teknoloji'!$AE$2:$AE$59,0))</f>
        <v>164030635.46000001</v>
      </c>
      <c r="O13" s="11">
        <f>INDEX('V_Tüm Teknoloji'!N$2:N$59,MATCH(LARGE('V_Tüm Teknoloji'!$AE$2:$AE$59,ROW()-3),'V_Tüm Teknoloji'!$AE$2:$AE$59,0))</f>
        <v>136842255.27000001</v>
      </c>
      <c r="P13" s="8">
        <f>INDEX('V_Tüm Teknoloji'!O$2:O$59,MATCH(LARGE('V_Tüm Teknoloji'!$AE$2:$AE$59,ROW()-3),'V_Tüm Teknoloji'!$AE$2:$AE$59,0))</f>
        <v>-0.1657518433294741</v>
      </c>
      <c r="Q13" s="9">
        <f>INDEX('V_Tüm Teknoloji'!P$2:P$59,MATCH(LARGE('V_Tüm Teknoloji'!$AE$2:$AE$59,ROW()-3),'V_Tüm Teknoloji'!$AE$2:$AE$59,0))</f>
        <v>1.255850063743031</v>
      </c>
      <c r="R13" s="5" t="str">
        <f>INDEX('V_Tüm Teknoloji'!Q$2:Q$59,MATCH(LARGE('V_Tüm Teknoloji'!$AE$2:$AE$59,ROW()-3),'V_Tüm Teknoloji'!$AE$2:$AE$59,0))</f>
        <v>Görüyor</v>
      </c>
      <c r="S13" s="8">
        <f>INDEX('V_Tüm Teknoloji'!R$2:R$59,MATCH(LARGE('V_Tüm Teknoloji'!$AE$2:$AE$59,ROW()-3),'V_Tüm Teknoloji'!$AE$2:$AE$59,0))</f>
        <v>0</v>
      </c>
      <c r="T13" s="8">
        <f>INDEX('V_Tüm Teknoloji'!S$2:S$59,MATCH(LARGE('V_Tüm Teknoloji'!$AE$2:$AE$59,ROW()-3),'V_Tüm Teknoloji'!$AE$2:$AE$59,0))</f>
        <v>0</v>
      </c>
      <c r="U13" s="8">
        <f>INDEX('V_Tüm Teknoloji'!T$2:T$59,MATCH(LARGE('V_Tüm Teknoloji'!$AE$2:$AE$59,ROW()-3),'V_Tüm Teknoloji'!$AE$2:$AE$59,0))</f>
        <v>0</v>
      </c>
      <c r="V13" s="8">
        <f>INDEX('V_Tüm Teknoloji'!U$2:U$59,MATCH(LARGE('V_Tüm Teknoloji'!$AE$2:$AE$59,ROW()-3),'V_Tüm Teknoloji'!$AE$2:$AE$59,0))</f>
        <v>0</v>
      </c>
      <c r="W13" s="8">
        <f>INDEX('V_Tüm Teknoloji'!V$2:V$59,MATCH(LARGE('V_Tüm Teknoloji'!$AE$2:$AE$59,ROW()-3),'V_Tüm Teknoloji'!$AE$2:$AE$59,0))</f>
        <v>0</v>
      </c>
      <c r="X13" s="8">
        <f>INDEX('V_Tüm Teknoloji'!W$2:W$59,MATCH(LARGE('V_Tüm Teknoloji'!$AE$2:$AE$59,ROW()-3),'V_Tüm Teknoloji'!$AE$2:$AE$59,0))</f>
        <v>0.91739999999999999</v>
      </c>
      <c r="Y13" s="8">
        <f>INDEX('V_Tüm Teknoloji'!X$2:X$59,MATCH(LARGE('V_Tüm Teknoloji'!$AE$2:$AE$59,ROW()-3),'V_Tüm Teknoloji'!$AE$2:$AE$59,0))</f>
        <v>8.14E-2</v>
      </c>
      <c r="Z13" s="8">
        <f>INDEX('V_Tüm Teknoloji'!Y$2:Y$59,MATCH(LARGE('V_Tüm Teknoloji'!$AE$2:$AE$59,ROW()-3),'V_Tüm Teknoloji'!$AE$2:$AE$59,0))</f>
        <v>1.1999999999999999E-3</v>
      </c>
      <c r="AA13" s="8">
        <f>INDEX('V_Tüm Teknoloji'!Z$2:Z$59,MATCH(LARGE('V_Tüm Teknoloji'!$AE$2:$AE$59,ROW()-3),'V_Tüm Teknoloji'!$AE$2:$AE$59,0))</f>
        <v>0</v>
      </c>
      <c r="AB13" s="8">
        <f>INDEX('V_Tüm Teknoloji'!AA$2:AA$59,MATCH(LARGE('V_Tüm Teknoloji'!$AE$2:$AE$59,ROW()-3),'V_Tüm Teknoloji'!$AE$2:$AE$59,0))</f>
        <v>0</v>
      </c>
      <c r="AC13" s="8">
        <f>INDEX('V_Tüm Teknoloji'!AB$2:AB$59,MATCH(LARGE('V_Tüm Teknoloji'!$AE$2:$AE$59,ROW()-3),'V_Tüm Teknoloji'!$AE$2:$AE$59,0))</f>
        <v>0</v>
      </c>
      <c r="AD13" s="8">
        <f>INDEX('V_Tüm Teknoloji'!AC$2:AC$59,MATCH(LARGE('V_Tüm Teknoloji'!$AE$2:$AE$59,ROW()-3),'V_Tüm Teknoloji'!$AE$2:$AE$59,0))</f>
        <v>1</v>
      </c>
    </row>
    <row r="14" spans="1:30" x14ac:dyDescent="0.2">
      <c r="A14">
        <v>11</v>
      </c>
      <c r="B14" s="5" t="str">
        <f>INDEX('V_Tüm Teknoloji'!A$2:A$59,MATCH(LARGE('V_Tüm Teknoloji'!$AE$2:$AE$59,ROW()-3),'V_Tüm Teknoloji'!$AE$2:$AE$59,0))</f>
        <v>TTE</v>
      </c>
      <c r="C14" s="5" t="str">
        <f>INDEX('V_Tüm Teknoloji'!B$2:B$59,MATCH(LARGE('V_Tüm Teknoloji'!$AE$2:$AE$59,ROW()-3),'V_Tüm Teknoloji'!$AE$2:$AE$59,0))</f>
        <v>İŞ Portföy Bıst Teknoloji Ağırlık Sınırlamalı Endeksi Hisse Senedi (TL) Fonu (Hisse Senedi Yoğun Fon)</v>
      </c>
      <c r="D14" s="5" t="str">
        <f>INDEX('V_Tüm Teknoloji'!C$2:C$59,MATCH(LARGE('V_Tüm Teknoloji'!$AE$2:$AE$59,ROW()-3),'V_Tüm Teknoloji'!$AE$2:$AE$59,0))</f>
        <v>İŞ Portföy</v>
      </c>
      <c r="E14" s="8">
        <f>INDEX('V_Tüm Teknoloji'!D$2:D$59,MATCH(LARGE('V_Tüm Teknoloji'!$AE$2:$AE$59,ROW()-3),'V_Tüm Teknoloji'!$AE$2:$AE$59,0))</f>
        <v>1.9E-2</v>
      </c>
      <c r="F14" s="9">
        <f>INDEX('V_Tüm Teknoloji'!E$2:E$59,MATCH(LARGE('V_Tüm Teknoloji'!$AE$2:$AE$59,ROW()-3),'V_Tüm Teknoloji'!$AE$2:$AE$59,0))</f>
        <v>-0.32149509701875362</v>
      </c>
      <c r="G14" s="9">
        <f>INDEX('V_Tüm Teknoloji'!F$2:F$59,MATCH(LARGE('V_Tüm Teknoloji'!$AE$2:$AE$59,ROW()-3),'V_Tüm Teknoloji'!$AE$2:$AE$59,0))</f>
        <v>-2.2975840679072879</v>
      </c>
      <c r="H14" s="9">
        <f>INDEX('V_Tüm Teknoloji'!G$2:G$59,MATCH(LARGE('V_Tüm Teknoloji'!$AE$2:$AE$59,ROW()-3),'V_Tüm Teknoloji'!$AE$2:$AE$59,0))</f>
        <v>0.67581238877647554</v>
      </c>
      <c r="I14" s="9">
        <f>INDEX('V_Tüm Teknoloji'!H$2:H$59,MATCH(LARGE('V_Tüm Teknoloji'!$AE$2:$AE$59,ROW()-3),'V_Tüm Teknoloji'!$AE$2:$AE$59,0))</f>
        <v>64.38494798067498</v>
      </c>
      <c r="J14" s="9">
        <f>INDEX('V_Tüm Teknoloji'!I$2:I$59,MATCH(LARGE('V_Tüm Teknoloji'!$AE$2:$AE$59,ROW()-3),'V_Tüm Teknoloji'!$AE$2:$AE$59,0))</f>
        <v>79.104676654458387</v>
      </c>
      <c r="K14" s="10">
        <f>INDEX('V_Tüm Teknoloji'!J$2:J$59,MATCH(LARGE('V_Tüm Teknoloji'!$AE$2:$AE$59,ROW()-3),'V_Tüm Teknoloji'!$AE$2:$AE$59,0))</f>
        <v>46610</v>
      </c>
      <c r="L14" s="10">
        <f>INDEX('V_Tüm Teknoloji'!K$2:K$59,MATCH(LARGE('V_Tüm Teknoloji'!$AE$2:$AE$59,ROW()-3),'V_Tüm Teknoloji'!$AE$2:$AE$59,0))</f>
        <v>45894</v>
      </c>
      <c r="M14" s="8">
        <f>INDEX('V_Tüm Teknoloji'!L$2:L$59,MATCH(LARGE('V_Tüm Teknoloji'!$AE$2:$AE$59,ROW()-3),'V_Tüm Teknoloji'!$AE$2:$AE$59,0))</f>
        <v>-1.5361510405492379E-2</v>
      </c>
      <c r="N14" s="11">
        <f>INDEX('V_Tüm Teknoloji'!M$2:M$59,MATCH(LARGE('V_Tüm Teknoloji'!$AE$2:$AE$59,ROW()-3),'V_Tüm Teknoloji'!$AE$2:$AE$59,0))</f>
        <v>4210815823.8299999</v>
      </c>
      <c r="O14" s="11">
        <f>INDEX('V_Tüm Teknoloji'!N$2:N$59,MATCH(LARGE('V_Tüm Teknoloji'!$AE$2:$AE$59,ROW()-3),'V_Tüm Teknoloji'!$AE$2:$AE$59,0))</f>
        <v>3987548761.4699998</v>
      </c>
      <c r="P14" s="8">
        <f>INDEX('V_Tüm Teknoloji'!O$2:O$59,MATCH(LARGE('V_Tüm Teknoloji'!$AE$2:$AE$59,ROW()-3),'V_Tüm Teknoloji'!$AE$2:$AE$59,0))</f>
        <v>-5.3022281595998422E-2</v>
      </c>
      <c r="Q14" s="9">
        <f>INDEX('V_Tüm Teknoloji'!P$2:P$59,MATCH(LARGE('V_Tüm Teknoloji'!$AE$2:$AE$59,ROW()-3),'V_Tüm Teknoloji'!$AE$2:$AE$59,0))</f>
        <v>1.111482034145225</v>
      </c>
      <c r="R14" s="5" t="str">
        <f>INDEX('V_Tüm Teknoloji'!Q$2:Q$59,MATCH(LARGE('V_Tüm Teknoloji'!$AE$2:$AE$59,ROW()-3),'V_Tüm Teknoloji'!$AE$2:$AE$59,0))</f>
        <v>Görüyor</v>
      </c>
      <c r="S14" s="8">
        <f>INDEX('V_Tüm Teknoloji'!R$2:R$59,MATCH(LARGE('V_Tüm Teknoloji'!$AE$2:$AE$59,ROW()-3),'V_Tüm Teknoloji'!$AE$2:$AE$59,0))</f>
        <v>0</v>
      </c>
      <c r="T14" s="8">
        <f>INDEX('V_Tüm Teknoloji'!S$2:S$59,MATCH(LARGE('V_Tüm Teknoloji'!$AE$2:$AE$59,ROW()-3),'V_Tüm Teknoloji'!$AE$2:$AE$59,0))</f>
        <v>0</v>
      </c>
      <c r="U14" s="8">
        <f>INDEX('V_Tüm Teknoloji'!T$2:T$59,MATCH(LARGE('V_Tüm Teknoloji'!$AE$2:$AE$59,ROW()-3),'V_Tüm Teknoloji'!$AE$2:$AE$59,0))</f>
        <v>0</v>
      </c>
      <c r="V14" s="8">
        <f>INDEX('V_Tüm Teknoloji'!U$2:U$59,MATCH(LARGE('V_Tüm Teknoloji'!$AE$2:$AE$59,ROW()-3),'V_Tüm Teknoloji'!$AE$2:$AE$59,0))</f>
        <v>0</v>
      </c>
      <c r="W14" s="8">
        <f>INDEX('V_Tüm Teknoloji'!V$2:V$59,MATCH(LARGE('V_Tüm Teknoloji'!$AE$2:$AE$59,ROW()-3),'V_Tüm Teknoloji'!$AE$2:$AE$59,0))</f>
        <v>3.7699999999999997E-2</v>
      </c>
      <c r="X14" s="8">
        <f>INDEX('V_Tüm Teknoloji'!W$2:W$59,MATCH(LARGE('V_Tüm Teknoloji'!$AE$2:$AE$59,ROW()-3),'V_Tüm Teknoloji'!$AE$2:$AE$59,0))</f>
        <v>0.96019999999999994</v>
      </c>
      <c r="Y14" s="8">
        <f>INDEX('V_Tüm Teknoloji'!X$2:X$59,MATCH(LARGE('V_Tüm Teknoloji'!$AE$2:$AE$59,ROW()-3),'V_Tüm Teknoloji'!$AE$2:$AE$59,0))</f>
        <v>0</v>
      </c>
      <c r="Z14" s="8">
        <f>INDEX('V_Tüm Teknoloji'!Y$2:Y$59,MATCH(LARGE('V_Tüm Teknoloji'!$AE$2:$AE$59,ROW()-3),'V_Tüm Teknoloji'!$AE$2:$AE$59,0))</f>
        <v>2.0999999999999999E-3</v>
      </c>
      <c r="AA14" s="8">
        <f>INDEX('V_Tüm Teknoloji'!Z$2:Z$59,MATCH(LARGE('V_Tüm Teknoloji'!$AE$2:$AE$59,ROW()-3),'V_Tüm Teknoloji'!$AE$2:$AE$59,0))</f>
        <v>0</v>
      </c>
      <c r="AB14" s="8">
        <f>INDEX('V_Tüm Teknoloji'!AA$2:AA$59,MATCH(LARGE('V_Tüm Teknoloji'!$AE$2:$AE$59,ROW()-3),'V_Tüm Teknoloji'!$AE$2:$AE$59,0))</f>
        <v>0</v>
      </c>
      <c r="AC14" s="8">
        <f>INDEX('V_Tüm Teknoloji'!AB$2:AB$59,MATCH(LARGE('V_Tüm Teknoloji'!$AE$2:$AE$59,ROW()-3),'V_Tüm Teknoloji'!$AE$2:$AE$59,0))</f>
        <v>0</v>
      </c>
      <c r="AD14" s="8">
        <f>INDEX('V_Tüm Teknoloji'!AC$2:AC$59,MATCH(LARGE('V_Tüm Teknoloji'!$AE$2:$AE$59,ROW()-3),'V_Tüm Teknoloji'!$AE$2:$AE$59,0))</f>
        <v>0.99999999999999989</v>
      </c>
    </row>
    <row r="15" spans="1:30" x14ac:dyDescent="0.2">
      <c r="A15">
        <v>12</v>
      </c>
      <c r="B15" s="5" t="str">
        <f>INDEX('V_Tüm Teknoloji'!A$2:A$59,MATCH(LARGE('V_Tüm Teknoloji'!$AE$2:$AE$59,ROW()-3),'V_Tüm Teknoloji'!$AE$2:$AE$59,0))</f>
        <v>ICZ</v>
      </c>
      <c r="C15" s="5" t="str">
        <f>INDEX('V_Tüm Teknoloji'!B$2:B$59,MATCH(LARGE('V_Tüm Teknoloji'!$AE$2:$AE$59,ROW()-3),'V_Tüm Teknoloji'!$AE$2:$AE$59,0))</f>
        <v>AK Portföy Teknoloji Şirketleri Hisse Senedi (TL) Fonu (Hisse Senedi Yoğun Fon)</v>
      </c>
      <c r="D15" s="5" t="str">
        <f>INDEX('V_Tüm Teknoloji'!C$2:C$59,MATCH(LARGE('V_Tüm Teknoloji'!$AE$2:$AE$59,ROW()-3),'V_Tüm Teknoloji'!$AE$2:$AE$59,0))</f>
        <v>AK Portföy</v>
      </c>
      <c r="E15" s="8">
        <f>INDEX('V_Tüm Teknoloji'!D$2:D$59,MATCH(LARGE('V_Tüm Teknoloji'!$AE$2:$AE$59,ROW()-3),'V_Tüm Teknoloji'!$AE$2:$AE$59,0))</f>
        <v>2.9000000000000001E-2</v>
      </c>
      <c r="F15" s="9">
        <f>INDEX('V_Tüm Teknoloji'!E$2:E$59,MATCH(LARGE('V_Tüm Teknoloji'!$AE$2:$AE$59,ROW()-3),'V_Tüm Teknoloji'!$AE$2:$AE$59,0))</f>
        <v>-0.39203909333421771</v>
      </c>
      <c r="G15" s="9">
        <f>INDEX('V_Tüm Teknoloji'!F$2:F$59,MATCH(LARGE('V_Tüm Teknoloji'!$AE$2:$AE$59,ROW()-3),'V_Tüm Teknoloji'!$AE$2:$AE$59,0))</f>
        <v>-2.4960162162446231</v>
      </c>
      <c r="H15" s="9">
        <f>INDEX('V_Tüm Teknoloji'!G$2:G$59,MATCH(LARGE('V_Tüm Teknoloji'!$AE$2:$AE$59,ROW()-3),'V_Tüm Teknoloji'!$AE$2:$AE$59,0))</f>
        <v>0.20758816090149509</v>
      </c>
      <c r="I15" s="9">
        <f>INDEX('V_Tüm Teknoloji'!H$2:H$59,MATCH(LARGE('V_Tüm Teknoloji'!$AE$2:$AE$59,ROW()-3),'V_Tüm Teknoloji'!$AE$2:$AE$59,0))</f>
        <v>45.43825322832091</v>
      </c>
      <c r="J15" s="9">
        <f>INDEX('V_Tüm Teknoloji'!I$2:I$59,MATCH(LARGE('V_Tüm Teknoloji'!$AE$2:$AE$59,ROW()-3),'V_Tüm Teknoloji'!$AE$2:$AE$59,0))</f>
        <v>67.111164004646213</v>
      </c>
      <c r="K15" s="10">
        <f>INDEX('V_Tüm Teknoloji'!J$2:J$59,MATCH(LARGE('V_Tüm Teknoloji'!$AE$2:$AE$59,ROW()-3),'V_Tüm Teknoloji'!$AE$2:$AE$59,0))</f>
        <v>22728</v>
      </c>
      <c r="L15" s="10">
        <f>INDEX('V_Tüm Teknoloji'!K$2:K$59,MATCH(LARGE('V_Tüm Teknoloji'!$AE$2:$AE$59,ROW()-3),'V_Tüm Teknoloji'!$AE$2:$AE$59,0))</f>
        <v>22375</v>
      </c>
      <c r="M15" s="8">
        <f>INDEX('V_Tüm Teknoloji'!L$2:L$59,MATCH(LARGE('V_Tüm Teknoloji'!$AE$2:$AE$59,ROW()-3),'V_Tüm Teknoloji'!$AE$2:$AE$59,0))</f>
        <v>-1.553150299190431E-2</v>
      </c>
      <c r="N15" s="11">
        <f>INDEX('V_Tüm Teknoloji'!M$2:M$59,MATCH(LARGE('V_Tüm Teknoloji'!$AE$2:$AE$59,ROW()-3),'V_Tüm Teknoloji'!$AE$2:$AE$59,0))</f>
        <v>1127826116.77</v>
      </c>
      <c r="O15" s="11">
        <f>INDEX('V_Tüm Teknoloji'!N$2:N$59,MATCH(LARGE('V_Tüm Teknoloji'!$AE$2:$AE$59,ROW()-3),'V_Tüm Teknoloji'!$AE$2:$AE$59,0))</f>
        <v>1051977113.8099999</v>
      </c>
      <c r="P15" s="8">
        <f>INDEX('V_Tüm Teknoloji'!O$2:O$59,MATCH(LARGE('V_Tüm Teknoloji'!$AE$2:$AE$59,ROW()-3),'V_Tüm Teknoloji'!$AE$2:$AE$59,0))</f>
        <v>-6.7252390977808885E-2</v>
      </c>
      <c r="Q15" s="9">
        <f>INDEX('V_Tüm Teknoloji'!P$2:P$59,MATCH(LARGE('V_Tüm Teknoloji'!$AE$2:$AE$59,ROW()-3),'V_Tüm Teknoloji'!$AE$2:$AE$59,0))</f>
        <v>1.086997718400406</v>
      </c>
      <c r="R15" s="5" t="str">
        <f>INDEX('V_Tüm Teknoloji'!Q$2:Q$59,MATCH(LARGE('V_Tüm Teknoloji'!$AE$2:$AE$59,ROW()-3),'V_Tüm Teknoloji'!$AE$2:$AE$59,0))</f>
        <v>Görüyor</v>
      </c>
      <c r="S15" s="8">
        <f>INDEX('V_Tüm Teknoloji'!R$2:R$59,MATCH(LARGE('V_Tüm Teknoloji'!$AE$2:$AE$59,ROW()-3),'V_Tüm Teknoloji'!$AE$2:$AE$59,0))</f>
        <v>0</v>
      </c>
      <c r="T15" s="8">
        <f>INDEX('V_Tüm Teknoloji'!S$2:S$59,MATCH(LARGE('V_Tüm Teknoloji'!$AE$2:$AE$59,ROW()-3),'V_Tüm Teknoloji'!$AE$2:$AE$59,0))</f>
        <v>0</v>
      </c>
      <c r="U15" s="8">
        <f>INDEX('V_Tüm Teknoloji'!T$2:T$59,MATCH(LARGE('V_Tüm Teknoloji'!$AE$2:$AE$59,ROW()-3),'V_Tüm Teknoloji'!$AE$2:$AE$59,0))</f>
        <v>0</v>
      </c>
      <c r="V15" s="8">
        <f>INDEX('V_Tüm Teknoloji'!U$2:U$59,MATCH(LARGE('V_Tüm Teknoloji'!$AE$2:$AE$59,ROW()-3),'V_Tüm Teknoloji'!$AE$2:$AE$59,0))</f>
        <v>0</v>
      </c>
      <c r="W15" s="8">
        <f>INDEX('V_Tüm Teknoloji'!V$2:V$59,MATCH(LARGE('V_Tüm Teknoloji'!$AE$2:$AE$59,ROW()-3),'V_Tüm Teknoloji'!$AE$2:$AE$59,0))</f>
        <v>9.2100000000000015E-2</v>
      </c>
      <c r="X15" s="8">
        <f>INDEX('V_Tüm Teknoloji'!W$2:W$59,MATCH(LARGE('V_Tüm Teknoloji'!$AE$2:$AE$59,ROW()-3),'V_Tüm Teknoloji'!$AE$2:$AE$59,0))</f>
        <v>0.878</v>
      </c>
      <c r="Y15" s="8">
        <f>INDEX('V_Tüm Teknoloji'!X$2:X$59,MATCH(LARGE('V_Tüm Teknoloji'!$AE$2:$AE$59,ROW()-3),'V_Tüm Teknoloji'!$AE$2:$AE$59,0))</f>
        <v>5.9999999999999995E-4</v>
      </c>
      <c r="Z15" s="8">
        <f>INDEX('V_Tüm Teknoloji'!Y$2:Y$59,MATCH(LARGE('V_Tüm Teknoloji'!$AE$2:$AE$59,ROW()-3),'V_Tüm Teknoloji'!$AE$2:$AE$59,0))</f>
        <v>2.93E-2</v>
      </c>
      <c r="AA15" s="8">
        <f>INDEX('V_Tüm Teknoloji'!Z$2:Z$59,MATCH(LARGE('V_Tüm Teknoloji'!$AE$2:$AE$59,ROW()-3),'V_Tüm Teknoloji'!$AE$2:$AE$59,0))</f>
        <v>0</v>
      </c>
      <c r="AB15" s="8">
        <f>INDEX('V_Tüm Teknoloji'!AA$2:AA$59,MATCH(LARGE('V_Tüm Teknoloji'!$AE$2:$AE$59,ROW()-3),'V_Tüm Teknoloji'!$AE$2:$AE$59,0))</f>
        <v>0</v>
      </c>
      <c r="AC15" s="8">
        <f>INDEX('V_Tüm Teknoloji'!AB$2:AB$59,MATCH(LARGE('V_Tüm Teknoloji'!$AE$2:$AE$59,ROW()-3),'V_Tüm Teknoloji'!$AE$2:$AE$59,0))</f>
        <v>0</v>
      </c>
      <c r="AD15" s="8">
        <f>INDEX('V_Tüm Teknoloji'!AC$2:AC$59,MATCH(LARGE('V_Tüm Teknoloji'!$AE$2:$AE$59,ROW()-3),'V_Tüm Teknoloji'!$AE$2:$AE$59,0))</f>
        <v>1</v>
      </c>
    </row>
    <row r="16" spans="1:30" x14ac:dyDescent="0.2">
      <c r="A16">
        <v>13</v>
      </c>
      <c r="B16" s="5" t="str">
        <f>INDEX('V_Tüm Teknoloji'!A$2:A$59,MATCH(LARGE('V_Tüm Teknoloji'!$AE$2:$AE$59,ROW()-3),'V_Tüm Teknoloji'!$AE$2:$AE$59,0))</f>
        <v>RPM</v>
      </c>
      <c r="C16" s="5" t="str">
        <f>INDEX('V_Tüm Teknoloji'!B$2:B$59,MATCH(LARGE('V_Tüm Teknoloji'!$AE$2:$AE$59,ROW()-3),'V_Tüm Teknoloji'!$AE$2:$AE$59,0))</f>
        <v>Rota Portföy İlaç VE Medikal Teknolojileri Değişken Fon</v>
      </c>
      <c r="D16" s="5" t="str">
        <f>INDEX('V_Tüm Teknoloji'!C$2:C$59,MATCH(LARGE('V_Tüm Teknoloji'!$AE$2:$AE$59,ROW()-3),'V_Tüm Teknoloji'!$AE$2:$AE$59,0))</f>
        <v>Rota Portföy</v>
      </c>
      <c r="E16" s="8">
        <f>INDEX('V_Tüm Teknoloji'!D$2:D$59,MATCH(LARGE('V_Tüm Teknoloji'!$AE$2:$AE$59,ROW()-3),'V_Tüm Teknoloji'!$AE$2:$AE$59,0))</f>
        <v>2.5000000000000001E-2</v>
      </c>
      <c r="F16" s="9">
        <f>INDEX('V_Tüm Teknoloji'!E$2:E$59,MATCH(LARGE('V_Tüm Teknoloji'!$AE$2:$AE$59,ROW()-3),'V_Tüm Teknoloji'!$AE$2:$AE$59,0))</f>
        <v>-0.40009489476233728</v>
      </c>
      <c r="G16" s="9">
        <f>INDEX('V_Tüm Teknoloji'!F$2:F$59,MATCH(LARGE('V_Tüm Teknoloji'!$AE$2:$AE$59,ROW()-3),'V_Tüm Teknoloji'!$AE$2:$AE$59,0))</f>
        <v>0.32618611103540918</v>
      </c>
      <c r="H16" s="9">
        <f>INDEX('V_Tüm Teknoloji'!G$2:G$59,MATCH(LARGE('V_Tüm Teknoloji'!$AE$2:$AE$59,ROW()-3),'V_Tüm Teknoloji'!$AE$2:$AE$59,0))</f>
        <v>8.480242630112933</v>
      </c>
      <c r="I16" s="9">
        <f>INDEX('V_Tüm Teknoloji'!H$2:H$59,MATCH(LARGE('V_Tüm Teknoloji'!$AE$2:$AE$59,ROW()-3),'V_Tüm Teknoloji'!$AE$2:$AE$59,0))</f>
        <v>23.508108015039891</v>
      </c>
      <c r="J16" s="9">
        <f>INDEX('V_Tüm Teknoloji'!I$2:I$59,MATCH(LARGE('V_Tüm Teknoloji'!$AE$2:$AE$59,ROW()-3),'V_Tüm Teknoloji'!$AE$2:$AE$59,0))</f>
        <v>67.825465059572252</v>
      </c>
      <c r="K16" s="10">
        <f>INDEX('V_Tüm Teknoloji'!J$2:J$59,MATCH(LARGE('V_Tüm Teknoloji'!$AE$2:$AE$59,ROW()-3),'V_Tüm Teknoloji'!$AE$2:$AE$59,0))</f>
        <v>2820</v>
      </c>
      <c r="L16" s="10">
        <f>INDEX('V_Tüm Teknoloji'!K$2:K$59,MATCH(LARGE('V_Tüm Teknoloji'!$AE$2:$AE$59,ROW()-3),'V_Tüm Teknoloji'!$AE$2:$AE$59,0))</f>
        <v>2866</v>
      </c>
      <c r="M16" s="8">
        <f>INDEX('V_Tüm Teknoloji'!L$2:L$59,MATCH(LARGE('V_Tüm Teknoloji'!$AE$2:$AE$59,ROW()-3),'V_Tüm Teknoloji'!$AE$2:$AE$59,0))</f>
        <v>1.6312056737588732E-2</v>
      </c>
      <c r="N16" s="11">
        <f>INDEX('V_Tüm Teknoloji'!M$2:M$59,MATCH(LARGE('V_Tüm Teknoloji'!$AE$2:$AE$59,ROW()-3),'V_Tüm Teknoloji'!$AE$2:$AE$59,0))</f>
        <v>68899990.439999998</v>
      </c>
      <c r="O16" s="11">
        <f>INDEX('V_Tüm Teknoloji'!N$2:N$59,MATCH(LARGE('V_Tüm Teknoloji'!$AE$2:$AE$59,ROW()-3),'V_Tüm Teknoloji'!$AE$2:$AE$59,0))</f>
        <v>81880718.760000005</v>
      </c>
      <c r="P16" s="8">
        <f>INDEX('V_Tüm Teknoloji'!O$2:O$59,MATCH(LARGE('V_Tüm Teknoloji'!$AE$2:$AE$59,ROW()-3),'V_Tüm Teknoloji'!$AE$2:$AE$59,0))</f>
        <v>0.18839956634397481</v>
      </c>
      <c r="Q16" s="9">
        <f>INDEX('V_Tüm Teknoloji'!P$2:P$59,MATCH(LARGE('V_Tüm Teknoloji'!$AE$2:$AE$59,ROW()-3),'V_Tüm Teknoloji'!$AE$2:$AE$59,0))</f>
        <v>0.76085212033676863</v>
      </c>
      <c r="R16" s="5" t="str">
        <f>INDEX('V_Tüm Teknoloji'!Q$2:Q$59,MATCH(LARGE('V_Tüm Teknoloji'!$AE$2:$AE$59,ROW()-3),'V_Tüm Teknoloji'!$AE$2:$AE$59,0))</f>
        <v>Görüyor</v>
      </c>
      <c r="S16" s="8">
        <f>INDEX('V_Tüm Teknoloji'!R$2:R$59,MATCH(LARGE('V_Tüm Teknoloji'!$AE$2:$AE$59,ROW()-3),'V_Tüm Teknoloji'!$AE$2:$AE$59,0))</f>
        <v>0.57940000000000003</v>
      </c>
      <c r="T16" s="8">
        <f>INDEX('V_Tüm Teknoloji'!S$2:S$59,MATCH(LARGE('V_Tüm Teknoloji'!$AE$2:$AE$59,ROW()-3),'V_Tüm Teknoloji'!$AE$2:$AE$59,0))</f>
        <v>0</v>
      </c>
      <c r="U16" s="8">
        <f>INDEX('V_Tüm Teknoloji'!T$2:T$59,MATCH(LARGE('V_Tüm Teknoloji'!$AE$2:$AE$59,ROW()-3),'V_Tüm Teknoloji'!$AE$2:$AE$59,0))</f>
        <v>0</v>
      </c>
      <c r="V16" s="8">
        <f>INDEX('V_Tüm Teknoloji'!U$2:U$59,MATCH(LARGE('V_Tüm Teknoloji'!$AE$2:$AE$59,ROW()-3),'V_Tüm Teknoloji'!$AE$2:$AE$59,0))</f>
        <v>3.0700000000000002E-2</v>
      </c>
      <c r="W16" s="8">
        <f>INDEX('V_Tüm Teknoloji'!V$2:V$59,MATCH(LARGE('V_Tüm Teknoloji'!$AE$2:$AE$59,ROW()-3),'V_Tüm Teknoloji'!$AE$2:$AE$59,0))</f>
        <v>0.14330000000000001</v>
      </c>
      <c r="X16" s="8">
        <f>INDEX('V_Tüm Teknoloji'!W$2:W$59,MATCH(LARGE('V_Tüm Teknoloji'!$AE$2:$AE$59,ROW()-3),'V_Tüm Teknoloji'!$AE$2:$AE$59,0))</f>
        <v>0.23469999999999999</v>
      </c>
      <c r="Y16" s="8">
        <f>INDEX('V_Tüm Teknoloji'!X$2:X$59,MATCH(LARGE('V_Tüm Teknoloji'!$AE$2:$AE$59,ROW()-3),'V_Tüm Teknoloji'!$AE$2:$AE$59,0))</f>
        <v>1.6000000000000001E-3</v>
      </c>
      <c r="Z16" s="8">
        <f>INDEX('V_Tüm Teknoloji'!Y$2:Y$59,MATCH(LARGE('V_Tüm Teknoloji'!$AE$2:$AE$59,ROW()-3),'V_Tüm Teknoloji'!$AE$2:$AE$59,0))</f>
        <v>1.03E-2</v>
      </c>
      <c r="AA16" s="8">
        <f>INDEX('V_Tüm Teknoloji'!Z$2:Z$59,MATCH(LARGE('V_Tüm Teknoloji'!$AE$2:$AE$59,ROW()-3),'V_Tüm Teknoloji'!$AE$2:$AE$59,0))</f>
        <v>0</v>
      </c>
      <c r="AB16" s="8">
        <f>INDEX('V_Tüm Teknoloji'!AA$2:AA$59,MATCH(LARGE('V_Tüm Teknoloji'!$AE$2:$AE$59,ROW()-3),'V_Tüm Teknoloji'!$AE$2:$AE$59,0))</f>
        <v>0</v>
      </c>
      <c r="AC16" s="8">
        <f>INDEX('V_Tüm Teknoloji'!AB$2:AB$59,MATCH(LARGE('V_Tüm Teknoloji'!$AE$2:$AE$59,ROW()-3),'V_Tüm Teknoloji'!$AE$2:$AE$59,0))</f>
        <v>0</v>
      </c>
      <c r="AD16" s="8">
        <f>INDEX('V_Tüm Teknoloji'!AC$2:AC$59,MATCH(LARGE('V_Tüm Teknoloji'!$AE$2:$AE$59,ROW()-3),'V_Tüm Teknoloji'!$AE$2:$AE$59,0))</f>
        <v>1</v>
      </c>
    </row>
    <row r="17" spans="1:30" x14ac:dyDescent="0.2">
      <c r="A17">
        <v>14</v>
      </c>
      <c r="B17" s="5" t="str">
        <f>INDEX('V_Tüm Teknoloji'!A$2:A$59,MATCH(LARGE('V_Tüm Teknoloji'!$AE$2:$AE$59,ROW()-3),'V_Tüm Teknoloji'!$AE$2:$AE$59,0))</f>
        <v>DVT</v>
      </c>
      <c r="C17" s="5" t="str">
        <f>INDEX('V_Tüm Teknoloji'!B$2:B$59,MATCH(LARGE('V_Tüm Teknoloji'!$AE$2:$AE$59,ROW()-3),'V_Tüm Teknoloji'!$AE$2:$AE$59,0))</f>
        <v>Deniz Portföy Metaverse VE Dijital Yaşam Teknolojileri Değişken Fon</v>
      </c>
      <c r="D17" s="5" t="str">
        <f>INDEX('V_Tüm Teknoloji'!C$2:C$59,MATCH(LARGE('V_Tüm Teknoloji'!$AE$2:$AE$59,ROW()-3),'V_Tüm Teknoloji'!$AE$2:$AE$59,0))</f>
        <v>Deniz Portföy</v>
      </c>
      <c r="E17" s="8">
        <f>INDEX('V_Tüm Teknoloji'!D$2:D$59,MATCH(LARGE('V_Tüm Teknoloji'!$AE$2:$AE$59,ROW()-3),'V_Tüm Teknoloji'!$AE$2:$AE$59,0))</f>
        <v>0.02</v>
      </c>
      <c r="F17" s="9">
        <f>INDEX('V_Tüm Teknoloji'!E$2:E$59,MATCH(LARGE('V_Tüm Teknoloji'!$AE$2:$AE$59,ROW()-3),'V_Tüm Teknoloji'!$AE$2:$AE$59,0))</f>
        <v>-0.43520360017769161</v>
      </c>
      <c r="G17" s="9">
        <f>INDEX('V_Tüm Teknoloji'!F$2:F$59,MATCH(LARGE('V_Tüm Teknoloji'!$AE$2:$AE$59,ROW()-3),'V_Tüm Teknoloji'!$AE$2:$AE$59,0))</f>
        <v>-0.94778108473437817</v>
      </c>
      <c r="H17" s="9">
        <f>INDEX('V_Tüm Teknoloji'!G$2:G$59,MATCH(LARGE('V_Tüm Teknoloji'!$AE$2:$AE$59,ROW()-3),'V_Tüm Teknoloji'!$AE$2:$AE$59,0))</f>
        <v>3.2012058756081041</v>
      </c>
      <c r="I17" s="9">
        <f>INDEX('V_Tüm Teknoloji'!H$2:H$59,MATCH(LARGE('V_Tüm Teknoloji'!$AE$2:$AE$59,ROW()-3),'V_Tüm Teknoloji'!$AE$2:$AE$59,0))</f>
        <v>44.428087430217509</v>
      </c>
      <c r="J17" s="9">
        <f>INDEX('V_Tüm Teknoloji'!I$2:I$59,MATCH(LARGE('V_Tüm Teknoloji'!$AE$2:$AE$59,ROW()-3),'V_Tüm Teknoloji'!$AE$2:$AE$59,0))</f>
        <v>70.451434328538824</v>
      </c>
      <c r="K17" s="10">
        <f>INDEX('V_Tüm Teknoloji'!J$2:J$59,MATCH(LARGE('V_Tüm Teknoloji'!$AE$2:$AE$59,ROW()-3),'V_Tüm Teknoloji'!$AE$2:$AE$59,0))</f>
        <v>11535</v>
      </c>
      <c r="L17" s="10">
        <f>INDEX('V_Tüm Teknoloji'!K$2:K$59,MATCH(LARGE('V_Tüm Teknoloji'!$AE$2:$AE$59,ROW()-3),'V_Tüm Teknoloji'!$AE$2:$AE$59,0))</f>
        <v>11199</v>
      </c>
      <c r="M17" s="8">
        <f>INDEX('V_Tüm Teknoloji'!L$2:L$59,MATCH(LARGE('V_Tüm Teknoloji'!$AE$2:$AE$59,ROW()-3),'V_Tüm Teknoloji'!$AE$2:$AE$59,0))</f>
        <v>-2.9128738621586488E-2</v>
      </c>
      <c r="N17" s="11">
        <f>INDEX('V_Tüm Teknoloji'!M$2:M$59,MATCH(LARGE('V_Tüm Teknoloji'!$AE$2:$AE$59,ROW()-3),'V_Tüm Teknoloji'!$AE$2:$AE$59,0))</f>
        <v>879069031.23000002</v>
      </c>
      <c r="O17" s="11">
        <f>INDEX('V_Tüm Teknoloji'!N$2:N$59,MATCH(LARGE('V_Tüm Teknoloji'!$AE$2:$AE$59,ROW()-3),'V_Tüm Teknoloji'!$AE$2:$AE$59,0))</f>
        <v>877948172.90999997</v>
      </c>
      <c r="P17" s="8">
        <f>INDEX('V_Tüm Teknoloji'!O$2:O$59,MATCH(LARGE('V_Tüm Teknoloji'!$AE$2:$AE$59,ROW()-3),'V_Tüm Teknoloji'!$AE$2:$AE$59,0))</f>
        <v>-1.275051537683813E-3</v>
      </c>
      <c r="Q17" s="9">
        <f>INDEX('V_Tüm Teknoloji'!P$2:P$59,MATCH(LARGE('V_Tüm Teknoloji'!$AE$2:$AE$59,ROW()-3),'V_Tüm Teknoloji'!$AE$2:$AE$59,0))</f>
        <v>1.1555182698889599</v>
      </c>
      <c r="R17" s="5" t="str">
        <f>INDEX('V_Tüm Teknoloji'!Q$2:Q$59,MATCH(LARGE('V_Tüm Teknoloji'!$AE$2:$AE$59,ROW()-3),'V_Tüm Teknoloji'!$AE$2:$AE$59,0))</f>
        <v>Görüyor</v>
      </c>
      <c r="S17" s="8">
        <f>INDEX('V_Tüm Teknoloji'!R$2:R$59,MATCH(LARGE('V_Tüm Teknoloji'!$AE$2:$AE$59,ROW()-3),'V_Tüm Teknoloji'!$AE$2:$AE$59,0))</f>
        <v>0.47399999999999998</v>
      </c>
      <c r="T17" s="8">
        <f>INDEX('V_Tüm Teknoloji'!S$2:S$59,MATCH(LARGE('V_Tüm Teknoloji'!$AE$2:$AE$59,ROW()-3),'V_Tüm Teknoloji'!$AE$2:$AE$59,0))</f>
        <v>0.1313</v>
      </c>
      <c r="U17" s="8">
        <f>INDEX('V_Tüm Teknoloji'!T$2:T$59,MATCH(LARGE('V_Tüm Teknoloji'!$AE$2:$AE$59,ROW()-3),'V_Tüm Teknoloji'!$AE$2:$AE$59,0))</f>
        <v>8.9999999999999998E-4</v>
      </c>
      <c r="V17" s="8">
        <f>INDEX('V_Tüm Teknoloji'!U$2:U$59,MATCH(LARGE('V_Tüm Teknoloji'!$AE$2:$AE$59,ROW()-3),'V_Tüm Teknoloji'!$AE$2:$AE$59,0))</f>
        <v>8.0000000000000004E-4</v>
      </c>
      <c r="W17" s="8">
        <f>INDEX('V_Tüm Teknoloji'!V$2:V$59,MATCH(LARGE('V_Tüm Teknoloji'!$AE$2:$AE$59,ROW()-3),'V_Tüm Teknoloji'!$AE$2:$AE$59,0))</f>
        <v>0.1022</v>
      </c>
      <c r="X17" s="8">
        <f>INDEX('V_Tüm Teknoloji'!W$2:W$59,MATCH(LARGE('V_Tüm Teknoloji'!$AE$2:$AE$59,ROW()-3),'V_Tüm Teknoloji'!$AE$2:$AE$59,0))</f>
        <v>0.21360000000000001</v>
      </c>
      <c r="Y17" s="8">
        <f>INDEX('V_Tüm Teknoloji'!X$2:X$59,MATCH(LARGE('V_Tüm Teknoloji'!$AE$2:$AE$59,ROW()-3),'V_Tüm Teknoloji'!$AE$2:$AE$59,0))</f>
        <v>0</v>
      </c>
      <c r="Z17" s="8">
        <f>INDEX('V_Tüm Teknoloji'!Y$2:Y$59,MATCH(LARGE('V_Tüm Teknoloji'!$AE$2:$AE$59,ROW()-3),'V_Tüm Teknoloji'!$AE$2:$AE$59,0))</f>
        <v>2.9399999999999999E-2</v>
      </c>
      <c r="AA17" s="8">
        <f>INDEX('V_Tüm Teknoloji'!Z$2:Z$59,MATCH(LARGE('V_Tüm Teknoloji'!$AE$2:$AE$59,ROW()-3),'V_Tüm Teknoloji'!$AE$2:$AE$59,0))</f>
        <v>0</v>
      </c>
      <c r="AB17" s="8">
        <f>INDEX('V_Tüm Teknoloji'!AA$2:AA$59,MATCH(LARGE('V_Tüm Teknoloji'!$AE$2:$AE$59,ROW()-3),'V_Tüm Teknoloji'!$AE$2:$AE$59,0))</f>
        <v>0</v>
      </c>
      <c r="AC17" s="8">
        <f>INDEX('V_Tüm Teknoloji'!AB$2:AB$59,MATCH(LARGE('V_Tüm Teknoloji'!$AE$2:$AE$59,ROW()-3),'V_Tüm Teknoloji'!$AE$2:$AE$59,0))</f>
        <v>0</v>
      </c>
      <c r="AD17" s="8">
        <f>INDEX('V_Tüm Teknoloji'!AC$2:AC$59,MATCH(LARGE('V_Tüm Teknoloji'!$AE$2:$AE$59,ROW()-3),'V_Tüm Teknoloji'!$AE$2:$AE$59,0))</f>
        <v>0.95219999999999994</v>
      </c>
    </row>
    <row r="18" spans="1:30" x14ac:dyDescent="0.2">
      <c r="A18">
        <v>15</v>
      </c>
      <c r="B18" s="5" t="str">
        <f>INDEX('V_Tüm Teknoloji'!A$2:A$59,MATCH(LARGE('V_Tüm Teknoloji'!$AE$2:$AE$59,ROW()-3),'V_Tüm Teknoloji'!$AE$2:$AE$59,0))</f>
        <v>FBZ</v>
      </c>
      <c r="C18" s="5" t="str">
        <f>INDEX('V_Tüm Teknoloji'!B$2:B$59,MATCH(LARGE('V_Tüm Teknoloji'!$AE$2:$AE$59,ROW()-3),'V_Tüm Teknoloji'!$AE$2:$AE$59,0))</f>
        <v>Fiba Portföy Teknoloji Serbest Fon</v>
      </c>
      <c r="D18" s="5" t="str">
        <f>INDEX('V_Tüm Teknoloji'!C$2:C$59,MATCH(LARGE('V_Tüm Teknoloji'!$AE$2:$AE$59,ROW()-3),'V_Tüm Teknoloji'!$AE$2:$AE$59,0))</f>
        <v>Fiba Portföy</v>
      </c>
      <c r="E18" s="8">
        <f>INDEX('V_Tüm Teknoloji'!D$2:D$59,MATCH(LARGE('V_Tüm Teknoloji'!$AE$2:$AE$59,ROW()-3),'V_Tüm Teknoloji'!$AE$2:$AE$59,0))</f>
        <v>2.5499999999999998E-2</v>
      </c>
      <c r="F18" s="9">
        <f>INDEX('V_Tüm Teknoloji'!E$2:E$59,MATCH(LARGE('V_Tüm Teknoloji'!$AE$2:$AE$59,ROW()-3),'V_Tüm Teknoloji'!$AE$2:$AE$59,0))</f>
        <v>-0.48379547046297772</v>
      </c>
      <c r="G18" s="9">
        <f>INDEX('V_Tüm Teknoloji'!F$2:F$59,MATCH(LARGE('V_Tüm Teknoloji'!$AE$2:$AE$59,ROW()-3),'V_Tüm Teknoloji'!$AE$2:$AE$59,0))</f>
        <v>-0.73235115257376249</v>
      </c>
      <c r="H18" s="9">
        <f>INDEX('V_Tüm Teknoloji'!G$2:G$59,MATCH(LARGE('V_Tüm Teknoloji'!$AE$2:$AE$59,ROW()-3),'V_Tüm Teknoloji'!$AE$2:$AE$59,0))</f>
        <v>2.3720517016378122</v>
      </c>
      <c r="I18" s="9">
        <f>INDEX('V_Tüm Teknoloji'!H$2:H$59,MATCH(LARGE('V_Tüm Teknoloji'!$AE$2:$AE$59,ROW()-3),'V_Tüm Teknoloji'!$AE$2:$AE$59,0))</f>
        <v>22.80112297810939</v>
      </c>
      <c r="J18" s="9">
        <f>INDEX('V_Tüm Teknoloji'!I$2:I$59,MATCH(LARGE('V_Tüm Teknoloji'!$AE$2:$AE$59,ROW()-3),'V_Tüm Teknoloji'!$AE$2:$AE$59,0))</f>
        <v>51.425974343832401</v>
      </c>
      <c r="K18" s="10">
        <f>INDEX('V_Tüm Teknoloji'!J$2:J$59,MATCH(LARGE('V_Tüm Teknoloji'!$AE$2:$AE$59,ROW()-3),'V_Tüm Teknoloji'!$AE$2:$AE$59,0))</f>
        <v>448</v>
      </c>
      <c r="L18" s="10">
        <f>INDEX('V_Tüm Teknoloji'!K$2:K$59,MATCH(LARGE('V_Tüm Teknoloji'!$AE$2:$AE$59,ROW()-3),'V_Tüm Teknoloji'!$AE$2:$AE$59,0))</f>
        <v>401</v>
      </c>
      <c r="M18" s="8">
        <f>INDEX('V_Tüm Teknoloji'!L$2:L$59,MATCH(LARGE('V_Tüm Teknoloji'!$AE$2:$AE$59,ROW()-3),'V_Tüm Teknoloji'!$AE$2:$AE$59,0))</f>
        <v>-0.1049107142857143</v>
      </c>
      <c r="N18" s="11">
        <f>INDEX('V_Tüm Teknoloji'!M$2:M$59,MATCH(LARGE('V_Tüm Teknoloji'!$AE$2:$AE$59,ROW()-3),'V_Tüm Teknoloji'!$AE$2:$AE$59,0))</f>
        <v>400271028.85000002</v>
      </c>
      <c r="O18" s="11">
        <f>INDEX('V_Tüm Teknoloji'!N$2:N$59,MATCH(LARGE('V_Tüm Teknoloji'!$AE$2:$AE$59,ROW()-3),'V_Tüm Teknoloji'!$AE$2:$AE$59,0))</f>
        <v>265347290.43000001</v>
      </c>
      <c r="P18" s="8">
        <f>INDEX('V_Tüm Teknoloji'!O$2:O$59,MATCH(LARGE('V_Tüm Teknoloji'!$AE$2:$AE$59,ROW()-3),'V_Tüm Teknoloji'!$AE$2:$AE$59,0))</f>
        <v>-0.33708094939482158</v>
      </c>
      <c r="Q18" s="9">
        <f>INDEX('V_Tüm Teknoloji'!P$2:P$59,MATCH(LARGE('V_Tüm Teknoloji'!$AE$2:$AE$59,ROW()-3),'V_Tüm Teknoloji'!$AE$2:$AE$59,0))</f>
        <v>1.132426545965703</v>
      </c>
      <c r="R18" s="5" t="str">
        <f>INDEX('V_Tüm Teknoloji'!Q$2:Q$59,MATCH(LARGE('V_Tüm Teknoloji'!$AE$2:$AE$59,ROW()-3),'V_Tüm Teknoloji'!$AE$2:$AE$59,0))</f>
        <v>Görüyor</v>
      </c>
      <c r="S18" s="8">
        <f>INDEX('V_Tüm Teknoloji'!R$2:R$59,MATCH(LARGE('V_Tüm Teknoloji'!$AE$2:$AE$59,ROW()-3),'V_Tüm Teknoloji'!$AE$2:$AE$59,0))</f>
        <v>0.70900000000000007</v>
      </c>
      <c r="T18" s="8">
        <f>INDEX('V_Tüm Teknoloji'!S$2:S$59,MATCH(LARGE('V_Tüm Teknoloji'!$AE$2:$AE$59,ROW()-3),'V_Tüm Teknoloji'!$AE$2:$AE$59,0))</f>
        <v>0</v>
      </c>
      <c r="U18" s="8">
        <f>INDEX('V_Tüm Teknoloji'!T$2:T$59,MATCH(LARGE('V_Tüm Teknoloji'!$AE$2:$AE$59,ROW()-3),'V_Tüm Teknoloji'!$AE$2:$AE$59,0))</f>
        <v>1.24E-2</v>
      </c>
      <c r="V18" s="8">
        <f>INDEX('V_Tüm Teknoloji'!U$2:U$59,MATCH(LARGE('V_Tüm Teknoloji'!$AE$2:$AE$59,ROW()-3),'V_Tüm Teknoloji'!$AE$2:$AE$59,0))</f>
        <v>0</v>
      </c>
      <c r="W18" s="8">
        <f>INDEX('V_Tüm Teknoloji'!V$2:V$59,MATCH(LARGE('V_Tüm Teknoloji'!$AE$2:$AE$59,ROW()-3),'V_Tüm Teknoloji'!$AE$2:$AE$59,0))</f>
        <v>0</v>
      </c>
      <c r="X18" s="8">
        <f>INDEX('V_Tüm Teknoloji'!W$2:W$59,MATCH(LARGE('V_Tüm Teknoloji'!$AE$2:$AE$59,ROW()-3),'V_Tüm Teknoloji'!$AE$2:$AE$59,0))</f>
        <v>7.4999999999999997E-3</v>
      </c>
      <c r="Y18" s="8">
        <f>INDEX('V_Tüm Teknoloji'!X$2:X$59,MATCH(LARGE('V_Tüm Teknoloji'!$AE$2:$AE$59,ROW()-3),'V_Tüm Teknoloji'!$AE$2:$AE$59,0))</f>
        <v>5.1900000000000002E-2</v>
      </c>
      <c r="Z18" s="8">
        <f>INDEX('V_Tüm Teknoloji'!Y$2:Y$59,MATCH(LARGE('V_Tüm Teknoloji'!$AE$2:$AE$59,ROW()-3),'V_Tüm Teknoloji'!$AE$2:$AE$59,0))</f>
        <v>0.20949999999999999</v>
      </c>
      <c r="AA18" s="8">
        <f>INDEX('V_Tüm Teknoloji'!Z$2:Z$59,MATCH(LARGE('V_Tüm Teknoloji'!$AE$2:$AE$59,ROW()-3),'V_Tüm Teknoloji'!$AE$2:$AE$59,0))</f>
        <v>0</v>
      </c>
      <c r="AB18" s="8">
        <f>INDEX('V_Tüm Teknoloji'!AA$2:AA$59,MATCH(LARGE('V_Tüm Teknoloji'!$AE$2:$AE$59,ROW()-3),'V_Tüm Teknoloji'!$AE$2:$AE$59,0))</f>
        <v>0</v>
      </c>
      <c r="AC18" s="8">
        <f>INDEX('V_Tüm Teknoloji'!AB$2:AB$59,MATCH(LARGE('V_Tüm Teknoloji'!$AE$2:$AE$59,ROW()-3),'V_Tüm Teknoloji'!$AE$2:$AE$59,0))</f>
        <v>0</v>
      </c>
      <c r="AD18" s="8">
        <f>INDEX('V_Tüm Teknoloji'!AC$2:AC$59,MATCH(LARGE('V_Tüm Teknoloji'!$AE$2:$AE$59,ROW()-3),'V_Tüm Teknoloji'!$AE$2:$AE$59,0))</f>
        <v>0.99030000000000007</v>
      </c>
    </row>
    <row r="19" spans="1:30" x14ac:dyDescent="0.2">
      <c r="A19">
        <v>16</v>
      </c>
      <c r="B19" s="5" t="str">
        <f>INDEX('V_Tüm Teknoloji'!A$2:A$59,MATCH(LARGE('V_Tüm Teknoloji'!$AE$2:$AE$59,ROW()-3),'V_Tüm Teknoloji'!$AE$2:$AE$59,0))</f>
        <v>TFF</v>
      </c>
      <c r="C19" s="5" t="str">
        <f>INDEX('V_Tüm Teknoloji'!B$2:B$59,MATCH(LARGE('V_Tüm Teknoloji'!$AE$2:$AE$59,ROW()-3),'V_Tüm Teknoloji'!$AE$2:$AE$59,0))</f>
        <v>Teb Portföy Amerika Teknoloji Yabancı Byf Fon Sepeti Fonu</v>
      </c>
      <c r="D19" s="5" t="str">
        <f>INDEX('V_Tüm Teknoloji'!C$2:C$59,MATCH(LARGE('V_Tüm Teknoloji'!$AE$2:$AE$59,ROW()-3),'V_Tüm Teknoloji'!$AE$2:$AE$59,0))</f>
        <v>Teb Portföy</v>
      </c>
      <c r="E19" s="8">
        <f>INDEX('V_Tüm Teknoloji'!D$2:D$59,MATCH(LARGE('V_Tüm Teknoloji'!$AE$2:$AE$59,ROW()-3),'V_Tüm Teknoloji'!$AE$2:$AE$59,0))</f>
        <v>2.1000000000000001E-2</v>
      </c>
      <c r="F19" s="9">
        <f>INDEX('V_Tüm Teknoloji'!E$2:E$59,MATCH(LARGE('V_Tüm Teknoloji'!$AE$2:$AE$59,ROW()-3),'V_Tüm Teknoloji'!$AE$2:$AE$59,0))</f>
        <v>-0.59574506213061484</v>
      </c>
      <c r="G19" s="9">
        <f>INDEX('V_Tüm Teknoloji'!F$2:F$59,MATCH(LARGE('V_Tüm Teknoloji'!$AE$2:$AE$59,ROW()-3),'V_Tüm Teknoloji'!$AE$2:$AE$59,0))</f>
        <v>-0.33867768832693818</v>
      </c>
      <c r="H19" s="9">
        <f>INDEX('V_Tüm Teknoloji'!G$2:G$59,MATCH(LARGE('V_Tüm Teknoloji'!$AE$2:$AE$59,ROW()-3),'V_Tüm Teknoloji'!$AE$2:$AE$59,0))</f>
        <v>4.5734052110245393</v>
      </c>
      <c r="I19" s="9">
        <f>INDEX('V_Tüm Teknoloji'!H$2:H$59,MATCH(LARGE('V_Tüm Teknoloji'!$AE$2:$AE$59,ROW()-3),'V_Tüm Teknoloji'!$AE$2:$AE$59,0))</f>
        <v>31.599895174095138</v>
      </c>
      <c r="J19" s="9">
        <f>INDEX('V_Tüm Teknoloji'!I$2:I$59,MATCH(LARGE('V_Tüm Teknoloji'!$AE$2:$AE$59,ROW()-3),'V_Tüm Teknoloji'!$AE$2:$AE$59,0))</f>
        <v>52.438422170712109</v>
      </c>
      <c r="K19" s="10">
        <f>INDEX('V_Tüm Teknoloji'!J$2:J$59,MATCH(LARGE('V_Tüm Teknoloji'!$AE$2:$AE$59,ROW()-3),'V_Tüm Teknoloji'!$AE$2:$AE$59,0))</f>
        <v>9161</v>
      </c>
      <c r="L19" s="10">
        <f>INDEX('V_Tüm Teknoloji'!K$2:K$59,MATCH(LARGE('V_Tüm Teknoloji'!$AE$2:$AE$59,ROW()-3),'V_Tüm Teknoloji'!$AE$2:$AE$59,0))</f>
        <v>8935</v>
      </c>
      <c r="M19" s="8">
        <f>INDEX('V_Tüm Teknoloji'!L$2:L$59,MATCH(LARGE('V_Tüm Teknoloji'!$AE$2:$AE$59,ROW()-3),'V_Tüm Teknoloji'!$AE$2:$AE$59,0))</f>
        <v>-2.4669795873812909E-2</v>
      </c>
      <c r="N19" s="11">
        <f>INDEX('V_Tüm Teknoloji'!M$2:M$59,MATCH(LARGE('V_Tüm Teknoloji'!$AE$2:$AE$59,ROW()-3),'V_Tüm Teknoloji'!$AE$2:$AE$59,0))</f>
        <v>1310745574.8099999</v>
      </c>
      <c r="O19" s="11">
        <f>INDEX('V_Tüm Teknoloji'!N$2:N$59,MATCH(LARGE('V_Tüm Teknoloji'!$AE$2:$AE$59,ROW()-3),'V_Tüm Teknoloji'!$AE$2:$AE$59,0))</f>
        <v>1393846016.02</v>
      </c>
      <c r="P19" s="8">
        <f>INDEX('V_Tüm Teknoloji'!O$2:O$59,MATCH(LARGE('V_Tüm Teknoloji'!$AE$2:$AE$59,ROW()-3),'V_Tüm Teknoloji'!$AE$2:$AE$59,0))</f>
        <v>6.3399368120732325E-2</v>
      </c>
      <c r="Q19" s="9">
        <f>INDEX('V_Tüm Teknoloji'!P$2:P$59,MATCH(LARGE('V_Tüm Teknoloji'!$AE$2:$AE$59,ROW()-3),'V_Tüm Teknoloji'!$AE$2:$AE$59,0))</f>
        <v>1.683754895893564</v>
      </c>
      <c r="R19" s="5" t="str">
        <f>INDEX('V_Tüm Teknoloji'!Q$2:Q$59,MATCH(LARGE('V_Tüm Teknoloji'!$AE$2:$AE$59,ROW()-3),'V_Tüm Teknoloji'!$AE$2:$AE$59,0))</f>
        <v>Görüyor</v>
      </c>
      <c r="S19" s="8">
        <f>INDEX('V_Tüm Teknoloji'!R$2:R$59,MATCH(LARGE('V_Tüm Teknoloji'!$AE$2:$AE$59,ROW()-3),'V_Tüm Teknoloji'!$AE$2:$AE$59,0))</f>
        <v>0</v>
      </c>
      <c r="T19" s="8">
        <f>INDEX('V_Tüm Teknoloji'!S$2:S$59,MATCH(LARGE('V_Tüm Teknoloji'!$AE$2:$AE$59,ROW()-3),'V_Tüm Teknoloji'!$AE$2:$AE$59,0))</f>
        <v>0.9677</v>
      </c>
      <c r="U19" s="8">
        <f>INDEX('V_Tüm Teknoloji'!T$2:T$59,MATCH(LARGE('V_Tüm Teknoloji'!$AE$2:$AE$59,ROW()-3),'V_Tüm Teknoloji'!$AE$2:$AE$59,0))</f>
        <v>2.7199999999999998E-2</v>
      </c>
      <c r="V19" s="8">
        <f>INDEX('V_Tüm Teknoloji'!U$2:U$59,MATCH(LARGE('V_Tüm Teknoloji'!$AE$2:$AE$59,ROW()-3),'V_Tüm Teknoloji'!$AE$2:$AE$59,0))</f>
        <v>0</v>
      </c>
      <c r="W19" s="8">
        <f>INDEX('V_Tüm Teknoloji'!V$2:V$59,MATCH(LARGE('V_Tüm Teknoloji'!$AE$2:$AE$59,ROW()-3),'V_Tüm Teknoloji'!$AE$2:$AE$59,0))</f>
        <v>0</v>
      </c>
      <c r="X19" s="8">
        <f>INDEX('V_Tüm Teknoloji'!W$2:W$59,MATCH(LARGE('V_Tüm Teknoloji'!$AE$2:$AE$59,ROW()-3),'V_Tüm Teknoloji'!$AE$2:$AE$59,0))</f>
        <v>0</v>
      </c>
      <c r="Y19" s="8">
        <f>INDEX('V_Tüm Teknoloji'!X$2:X$59,MATCH(LARGE('V_Tüm Teknoloji'!$AE$2:$AE$59,ROW()-3),'V_Tüm Teknoloji'!$AE$2:$AE$59,0))</f>
        <v>5.1000000000000004E-3</v>
      </c>
      <c r="Z19" s="8">
        <f>INDEX('V_Tüm Teknoloji'!Y$2:Y$59,MATCH(LARGE('V_Tüm Teknoloji'!$AE$2:$AE$59,ROW()-3),'V_Tüm Teknoloji'!$AE$2:$AE$59,0))</f>
        <v>0</v>
      </c>
      <c r="AA19" s="8">
        <f>INDEX('V_Tüm Teknoloji'!Z$2:Z$59,MATCH(LARGE('V_Tüm Teknoloji'!$AE$2:$AE$59,ROW()-3),'V_Tüm Teknoloji'!$AE$2:$AE$59,0))</f>
        <v>0</v>
      </c>
      <c r="AB19" s="8">
        <f>INDEX('V_Tüm Teknoloji'!AA$2:AA$59,MATCH(LARGE('V_Tüm Teknoloji'!$AE$2:$AE$59,ROW()-3),'V_Tüm Teknoloji'!$AE$2:$AE$59,0))</f>
        <v>0</v>
      </c>
      <c r="AC19" s="8">
        <f>INDEX('V_Tüm Teknoloji'!AB$2:AB$59,MATCH(LARGE('V_Tüm Teknoloji'!$AE$2:$AE$59,ROW()-3),'V_Tüm Teknoloji'!$AE$2:$AE$59,0))</f>
        <v>0</v>
      </c>
      <c r="AD19" s="8">
        <f>INDEX('V_Tüm Teknoloji'!AC$2:AC$59,MATCH(LARGE('V_Tüm Teknoloji'!$AE$2:$AE$59,ROW()-3),'V_Tüm Teknoloji'!$AE$2:$AE$59,0))</f>
        <v>1</v>
      </c>
    </row>
    <row r="20" spans="1:30" x14ac:dyDescent="0.2">
      <c r="A20">
        <v>17</v>
      </c>
      <c r="B20" s="5" t="str">
        <f>INDEX('V_Tüm Teknoloji'!A$2:A$59,MATCH(LARGE('V_Tüm Teknoloji'!$AE$2:$AE$59,ROW()-3),'V_Tüm Teknoloji'!$AE$2:$AE$59,0))</f>
        <v>VCY</v>
      </c>
      <c r="C20" s="5" t="str">
        <f>INDEX('V_Tüm Teknoloji'!B$2:B$59,MATCH(LARGE('V_Tüm Teknoloji'!$AE$2:$AE$59,ROW()-3),'V_Tüm Teknoloji'!$AE$2:$AE$59,0))</f>
        <v>AK Portföy Elektrikli VE Otonom Araç Teknolojileri Değişken Fon</v>
      </c>
      <c r="D20" s="5" t="str">
        <f>INDEX('V_Tüm Teknoloji'!C$2:C$59,MATCH(LARGE('V_Tüm Teknoloji'!$AE$2:$AE$59,ROW()-3),'V_Tüm Teknoloji'!$AE$2:$AE$59,0))</f>
        <v>AK Portföy</v>
      </c>
      <c r="E20" s="8">
        <f>INDEX('V_Tüm Teknoloji'!D$2:D$59,MATCH(LARGE('V_Tüm Teknoloji'!$AE$2:$AE$59,ROW()-3),'V_Tüm Teknoloji'!$AE$2:$AE$59,0))</f>
        <v>2.9000000000000001E-2</v>
      </c>
      <c r="F20" s="9">
        <f>INDEX('V_Tüm Teknoloji'!E$2:E$59,MATCH(LARGE('V_Tüm Teknoloji'!$AE$2:$AE$59,ROW()-3),'V_Tüm Teknoloji'!$AE$2:$AE$59,0))</f>
        <v>-0.60249610490028527</v>
      </c>
      <c r="G20" s="9">
        <f>INDEX('V_Tüm Teknoloji'!F$2:F$59,MATCH(LARGE('V_Tüm Teknoloji'!$AE$2:$AE$59,ROW()-3),'V_Tüm Teknoloji'!$AE$2:$AE$59,0))</f>
        <v>2.489844782203043E-2</v>
      </c>
      <c r="H20" s="9">
        <f>INDEX('V_Tüm Teknoloji'!G$2:G$59,MATCH(LARGE('V_Tüm Teknoloji'!$AE$2:$AE$59,ROW()-3),'V_Tüm Teknoloji'!$AE$2:$AE$59,0))</f>
        <v>4.1113445709276553</v>
      </c>
      <c r="I20" s="9">
        <f>INDEX('V_Tüm Teknoloji'!H$2:H$59,MATCH(LARGE('V_Tüm Teknoloji'!$AE$2:$AE$59,ROW()-3),'V_Tüm Teknoloji'!$AE$2:$AE$59,0))</f>
        <v>22.10591577374954</v>
      </c>
      <c r="J20" s="9">
        <f>INDEX('V_Tüm Teknoloji'!I$2:I$59,MATCH(LARGE('V_Tüm Teknoloji'!$AE$2:$AE$59,ROW()-3),'V_Tüm Teknoloji'!$AE$2:$AE$59,0))</f>
        <v>56.988249661667624</v>
      </c>
      <c r="K20" s="10">
        <f>INDEX('V_Tüm Teknoloji'!J$2:J$59,MATCH(LARGE('V_Tüm Teknoloji'!$AE$2:$AE$59,ROW()-3),'V_Tüm Teknoloji'!$AE$2:$AE$59,0))</f>
        <v>12756</v>
      </c>
      <c r="L20" s="10">
        <f>INDEX('V_Tüm Teknoloji'!K$2:K$59,MATCH(LARGE('V_Tüm Teknoloji'!$AE$2:$AE$59,ROW()-3),'V_Tüm Teknoloji'!$AE$2:$AE$59,0))</f>
        <v>12358</v>
      </c>
      <c r="M20" s="8">
        <f>INDEX('V_Tüm Teknoloji'!L$2:L$59,MATCH(LARGE('V_Tüm Teknoloji'!$AE$2:$AE$59,ROW()-3),'V_Tüm Teknoloji'!$AE$2:$AE$59,0))</f>
        <v>-3.1201003449357171E-2</v>
      </c>
      <c r="N20" s="11">
        <f>INDEX('V_Tüm Teknoloji'!M$2:M$59,MATCH(LARGE('V_Tüm Teknoloji'!$AE$2:$AE$59,ROW()-3),'V_Tüm Teknoloji'!$AE$2:$AE$59,0))</f>
        <v>159819687.22999999</v>
      </c>
      <c r="O20" s="11">
        <f>INDEX('V_Tüm Teknoloji'!N$2:N$59,MATCH(LARGE('V_Tüm Teknoloji'!$AE$2:$AE$59,ROW()-3),'V_Tüm Teknoloji'!$AE$2:$AE$59,0))</f>
        <v>179240907.80000001</v>
      </c>
      <c r="P20" s="8">
        <f>INDEX('V_Tüm Teknoloji'!O$2:O$59,MATCH(LARGE('V_Tüm Teknoloji'!$AE$2:$AE$59,ROW()-3),'V_Tüm Teknoloji'!$AE$2:$AE$59,0))</f>
        <v>0.1215195756330727</v>
      </c>
      <c r="Q20" s="9">
        <f>INDEX('V_Tüm Teknoloji'!P$2:P$59,MATCH(LARGE('V_Tüm Teknoloji'!$AE$2:$AE$59,ROW()-3),'V_Tüm Teknoloji'!$AE$2:$AE$59,0))</f>
        <v>1.2441524835576001</v>
      </c>
      <c r="R20" s="5" t="str">
        <f>INDEX('V_Tüm Teknoloji'!Q$2:Q$59,MATCH(LARGE('V_Tüm Teknoloji'!$AE$2:$AE$59,ROW()-3),'V_Tüm Teknoloji'!$AE$2:$AE$59,0))</f>
        <v>Görüyor</v>
      </c>
      <c r="S20" s="8">
        <f>INDEX('V_Tüm Teknoloji'!R$2:R$59,MATCH(LARGE('V_Tüm Teknoloji'!$AE$2:$AE$59,ROW()-3),'V_Tüm Teknoloji'!$AE$2:$AE$59,0))</f>
        <v>0.66890000000000005</v>
      </c>
      <c r="T20" s="8">
        <f>INDEX('V_Tüm Teknoloji'!S$2:S$59,MATCH(LARGE('V_Tüm Teknoloji'!$AE$2:$AE$59,ROW()-3),'V_Tüm Teknoloji'!$AE$2:$AE$59,0))</f>
        <v>0</v>
      </c>
      <c r="U20" s="8">
        <f>INDEX('V_Tüm Teknoloji'!T$2:T$59,MATCH(LARGE('V_Tüm Teknoloji'!$AE$2:$AE$59,ROW()-3),'V_Tüm Teknoloji'!$AE$2:$AE$59,0))</f>
        <v>0</v>
      </c>
      <c r="V20" s="8">
        <f>INDEX('V_Tüm Teknoloji'!U$2:U$59,MATCH(LARGE('V_Tüm Teknoloji'!$AE$2:$AE$59,ROW()-3),'V_Tüm Teknoloji'!$AE$2:$AE$59,0))</f>
        <v>0</v>
      </c>
      <c r="W20" s="8">
        <f>INDEX('V_Tüm Teknoloji'!V$2:V$59,MATCH(LARGE('V_Tüm Teknoloji'!$AE$2:$AE$59,ROW()-3),'V_Tüm Teknoloji'!$AE$2:$AE$59,0))</f>
        <v>4.4600000000000001E-2</v>
      </c>
      <c r="X20" s="8">
        <f>INDEX('V_Tüm Teknoloji'!W$2:W$59,MATCH(LARGE('V_Tüm Teknoloji'!$AE$2:$AE$59,ROW()-3),'V_Tüm Teknoloji'!$AE$2:$AE$59,0))</f>
        <v>0.24229999999999999</v>
      </c>
      <c r="Y20" s="8">
        <f>INDEX('V_Tüm Teknoloji'!X$2:X$59,MATCH(LARGE('V_Tüm Teknoloji'!$AE$2:$AE$59,ROW()-3),'V_Tüm Teknoloji'!$AE$2:$AE$59,0))</f>
        <v>8.0000000000000004E-4</v>
      </c>
      <c r="Z20" s="8">
        <f>INDEX('V_Tüm Teknoloji'!Y$2:Y$59,MATCH(LARGE('V_Tüm Teknoloji'!$AE$2:$AE$59,ROW()-3),'V_Tüm Teknoloji'!$AE$2:$AE$59,0))</f>
        <v>4.3400000000000001E-2</v>
      </c>
      <c r="AA20" s="8">
        <f>INDEX('V_Tüm Teknoloji'!Z$2:Z$59,MATCH(LARGE('V_Tüm Teknoloji'!$AE$2:$AE$59,ROW()-3),'V_Tüm Teknoloji'!$AE$2:$AE$59,0))</f>
        <v>0</v>
      </c>
      <c r="AB20" s="8">
        <f>INDEX('V_Tüm Teknoloji'!AA$2:AA$59,MATCH(LARGE('V_Tüm Teknoloji'!$AE$2:$AE$59,ROW()-3),'V_Tüm Teknoloji'!$AE$2:$AE$59,0))</f>
        <v>0</v>
      </c>
      <c r="AC20" s="8">
        <f>INDEX('V_Tüm Teknoloji'!AB$2:AB$59,MATCH(LARGE('V_Tüm Teknoloji'!$AE$2:$AE$59,ROW()-3),'V_Tüm Teknoloji'!$AE$2:$AE$59,0))</f>
        <v>0</v>
      </c>
      <c r="AD20" s="8">
        <f>INDEX('V_Tüm Teknoloji'!AC$2:AC$59,MATCH(LARGE('V_Tüm Teknoloji'!$AE$2:$AE$59,ROW()-3),'V_Tüm Teknoloji'!$AE$2:$AE$59,0))</f>
        <v>1</v>
      </c>
    </row>
    <row r="21" spans="1:30" x14ac:dyDescent="0.2">
      <c r="A21">
        <v>18</v>
      </c>
      <c r="B21" s="5" t="str">
        <f>INDEX('V_Tüm Teknoloji'!A$2:A$59,MATCH(LARGE('V_Tüm Teknoloji'!$AE$2:$AE$59,ROW()-3),'V_Tüm Teknoloji'!$AE$2:$AE$59,0))</f>
        <v>FJB</v>
      </c>
      <c r="C21" s="5" t="str">
        <f>INDEX('V_Tüm Teknoloji'!B$2:B$59,MATCH(LARGE('V_Tüm Teknoloji'!$AE$2:$AE$59,ROW()-3),'V_Tüm Teknoloji'!$AE$2:$AE$59,0))</f>
        <v>Fiba Portföy Blok Zinciri Teknolojileri Serbest Fon</v>
      </c>
      <c r="D21" s="5" t="str">
        <f>INDEX('V_Tüm Teknoloji'!C$2:C$59,MATCH(LARGE('V_Tüm Teknoloji'!$AE$2:$AE$59,ROW()-3),'V_Tüm Teknoloji'!$AE$2:$AE$59,0))</f>
        <v>Fiba Portföy</v>
      </c>
      <c r="E21" s="8">
        <f>INDEX('V_Tüm Teknoloji'!D$2:D$59,MATCH(LARGE('V_Tüm Teknoloji'!$AE$2:$AE$59,ROW()-3),'V_Tüm Teknoloji'!$AE$2:$AE$59,0))</f>
        <v>2.92E-2</v>
      </c>
      <c r="F21" s="9">
        <f>INDEX('V_Tüm Teknoloji'!E$2:E$59,MATCH(LARGE('V_Tüm Teknoloji'!$AE$2:$AE$59,ROW()-3),'V_Tüm Teknoloji'!$AE$2:$AE$59,0))</f>
        <v>-0.61633308107457152</v>
      </c>
      <c r="G21" s="9">
        <f>INDEX('V_Tüm Teknoloji'!F$2:F$59,MATCH(LARGE('V_Tüm Teknoloji'!$AE$2:$AE$59,ROW()-3),'V_Tüm Teknoloji'!$AE$2:$AE$59,0))</f>
        <v>-0.95452776295154029</v>
      </c>
      <c r="H21" s="9">
        <f>INDEX('V_Tüm Teknoloji'!G$2:G$59,MATCH(LARGE('V_Tüm Teknoloji'!$AE$2:$AE$59,ROW()-3),'V_Tüm Teknoloji'!$AE$2:$AE$59,0))</f>
        <v>1.4430856773508529</v>
      </c>
      <c r="I21" s="9">
        <f>INDEX('V_Tüm Teknoloji'!H$2:H$59,MATCH(LARGE('V_Tüm Teknoloji'!$AE$2:$AE$59,ROW()-3),'V_Tüm Teknoloji'!$AE$2:$AE$59,0))</f>
        <v>21.236849533296699</v>
      </c>
      <c r="J21" s="9">
        <f>INDEX('V_Tüm Teknoloji'!I$2:I$59,MATCH(LARGE('V_Tüm Teknoloji'!$AE$2:$AE$59,ROW()-3),'V_Tüm Teknoloji'!$AE$2:$AE$59,0))</f>
        <v>44.510222797337519</v>
      </c>
      <c r="K21" s="10">
        <f>INDEX('V_Tüm Teknoloji'!J$2:J$59,MATCH(LARGE('V_Tüm Teknoloji'!$AE$2:$AE$59,ROW()-3),'V_Tüm Teknoloji'!$AE$2:$AE$59,0))</f>
        <v>873</v>
      </c>
      <c r="L21" s="10">
        <f>INDEX('V_Tüm Teknoloji'!K$2:K$59,MATCH(LARGE('V_Tüm Teknoloji'!$AE$2:$AE$59,ROW()-3),'V_Tüm Teknoloji'!$AE$2:$AE$59,0))</f>
        <v>809</v>
      </c>
      <c r="M21" s="8">
        <f>INDEX('V_Tüm Teknoloji'!L$2:L$59,MATCH(LARGE('V_Tüm Teknoloji'!$AE$2:$AE$59,ROW()-3),'V_Tüm Teknoloji'!$AE$2:$AE$59,0))</f>
        <v>-7.3310423825887705E-2</v>
      </c>
      <c r="N21" s="11">
        <f>INDEX('V_Tüm Teknoloji'!M$2:M$59,MATCH(LARGE('V_Tüm Teknoloji'!$AE$2:$AE$59,ROW()-3),'V_Tüm Teknoloji'!$AE$2:$AE$59,0))</f>
        <v>532468448.94</v>
      </c>
      <c r="O21" s="11">
        <f>INDEX('V_Tüm Teknoloji'!N$2:N$59,MATCH(LARGE('V_Tüm Teknoloji'!$AE$2:$AE$59,ROW()-3),'V_Tüm Teknoloji'!$AE$2:$AE$59,0))</f>
        <v>434126828.57999998</v>
      </c>
      <c r="P21" s="8">
        <f>INDEX('V_Tüm Teknoloji'!O$2:O$59,MATCH(LARGE('V_Tüm Teknoloji'!$AE$2:$AE$59,ROW()-3),'V_Tüm Teknoloji'!$AE$2:$AE$59,0))</f>
        <v>-0.18469004230348571</v>
      </c>
      <c r="Q21" s="9">
        <f>INDEX('V_Tüm Teknoloji'!P$2:P$59,MATCH(LARGE('V_Tüm Teknoloji'!$AE$2:$AE$59,ROW()-3),'V_Tüm Teknoloji'!$AE$2:$AE$59,0))</f>
        <v>1.355564458752428</v>
      </c>
      <c r="R21" s="5" t="str">
        <f>INDEX('V_Tüm Teknoloji'!Q$2:Q$59,MATCH(LARGE('V_Tüm Teknoloji'!$AE$2:$AE$59,ROW()-3),'V_Tüm Teknoloji'!$AE$2:$AE$59,0))</f>
        <v>Görüyor</v>
      </c>
      <c r="S21" s="8">
        <f>INDEX('V_Tüm Teknoloji'!R$2:R$59,MATCH(LARGE('V_Tüm Teknoloji'!$AE$2:$AE$59,ROW()-3),'V_Tüm Teknoloji'!$AE$2:$AE$59,0))</f>
        <v>0.73370000000000002</v>
      </c>
      <c r="T21" s="8">
        <f>INDEX('V_Tüm Teknoloji'!S$2:S$59,MATCH(LARGE('V_Tüm Teknoloji'!$AE$2:$AE$59,ROW()-3),'V_Tüm Teknoloji'!$AE$2:$AE$59,0))</f>
        <v>0</v>
      </c>
      <c r="U21" s="8">
        <f>INDEX('V_Tüm Teknoloji'!T$2:T$59,MATCH(LARGE('V_Tüm Teknoloji'!$AE$2:$AE$59,ROW()-3),'V_Tüm Teknoloji'!$AE$2:$AE$59,0))</f>
        <v>1.6E-2</v>
      </c>
      <c r="V21" s="8">
        <f>INDEX('V_Tüm Teknoloji'!U$2:U$59,MATCH(LARGE('V_Tüm Teknoloji'!$AE$2:$AE$59,ROW()-3),'V_Tüm Teknoloji'!$AE$2:$AE$59,0))</f>
        <v>0</v>
      </c>
      <c r="W21" s="8">
        <f>INDEX('V_Tüm Teknoloji'!V$2:V$59,MATCH(LARGE('V_Tüm Teknoloji'!$AE$2:$AE$59,ROW()-3),'V_Tüm Teknoloji'!$AE$2:$AE$59,0))</f>
        <v>2.5499999999999998E-2</v>
      </c>
      <c r="X21" s="8">
        <f>INDEX('V_Tüm Teknoloji'!W$2:W$59,MATCH(LARGE('V_Tüm Teknoloji'!$AE$2:$AE$59,ROW()-3),'V_Tüm Teknoloji'!$AE$2:$AE$59,0))</f>
        <v>0</v>
      </c>
      <c r="Y21" s="8">
        <f>INDEX('V_Tüm Teknoloji'!X$2:X$59,MATCH(LARGE('V_Tüm Teknoloji'!$AE$2:$AE$59,ROW()-3),'V_Tüm Teknoloji'!$AE$2:$AE$59,0))</f>
        <v>1.83E-2</v>
      </c>
      <c r="Z21" s="8">
        <f>INDEX('V_Tüm Teknoloji'!Y$2:Y$59,MATCH(LARGE('V_Tüm Teknoloji'!$AE$2:$AE$59,ROW()-3),'V_Tüm Teknoloji'!$AE$2:$AE$59,0))</f>
        <v>0.1983</v>
      </c>
      <c r="AA21" s="8">
        <f>INDEX('V_Tüm Teknoloji'!Z$2:Z$59,MATCH(LARGE('V_Tüm Teknoloji'!$AE$2:$AE$59,ROW()-3),'V_Tüm Teknoloji'!$AE$2:$AE$59,0))</f>
        <v>0</v>
      </c>
      <c r="AB21" s="8">
        <f>INDEX('V_Tüm Teknoloji'!AA$2:AA$59,MATCH(LARGE('V_Tüm Teknoloji'!$AE$2:$AE$59,ROW()-3),'V_Tüm Teknoloji'!$AE$2:$AE$59,0))</f>
        <v>0</v>
      </c>
      <c r="AC21" s="8">
        <f>INDEX('V_Tüm Teknoloji'!AB$2:AB$59,MATCH(LARGE('V_Tüm Teknoloji'!$AE$2:$AE$59,ROW()-3),'V_Tüm Teknoloji'!$AE$2:$AE$59,0))</f>
        <v>0</v>
      </c>
      <c r="AD21" s="8">
        <f>INDEX('V_Tüm Teknoloji'!AC$2:AC$59,MATCH(LARGE('V_Tüm Teknoloji'!$AE$2:$AE$59,ROW()-3),'V_Tüm Teknoloji'!$AE$2:$AE$59,0))</f>
        <v>0.99180000000000001</v>
      </c>
    </row>
    <row r="22" spans="1:30" x14ac:dyDescent="0.2">
      <c r="A22">
        <v>19</v>
      </c>
      <c r="B22" s="5" t="str">
        <f>INDEX('V_Tüm Teknoloji'!A$2:A$59,MATCH(LARGE('V_Tüm Teknoloji'!$AE$2:$AE$59,ROW()-3),'V_Tüm Teknoloji'!$AE$2:$AE$59,0))</f>
        <v>GPT</v>
      </c>
      <c r="C22" s="5" t="str">
        <f>INDEX('V_Tüm Teknoloji'!B$2:B$59,MATCH(LARGE('V_Tüm Teknoloji'!$AE$2:$AE$59,ROW()-3),'V_Tüm Teknoloji'!$AE$2:$AE$59,0))</f>
        <v>Aktif Portföy Robotik Teknolojileri Değişken Fon</v>
      </c>
      <c r="D22" s="5" t="str">
        <f>INDEX('V_Tüm Teknoloji'!C$2:C$59,MATCH(LARGE('V_Tüm Teknoloji'!$AE$2:$AE$59,ROW()-3),'V_Tüm Teknoloji'!$AE$2:$AE$59,0))</f>
        <v>Aktif Portföy</v>
      </c>
      <c r="E22" s="8">
        <f>INDEX('V_Tüm Teknoloji'!D$2:D$59,MATCH(LARGE('V_Tüm Teknoloji'!$AE$2:$AE$59,ROW()-3),'V_Tüm Teknoloji'!$AE$2:$AE$59,0))</f>
        <v>0.02</v>
      </c>
      <c r="F22" s="9">
        <f>INDEX('V_Tüm Teknoloji'!E$2:E$59,MATCH(LARGE('V_Tüm Teknoloji'!$AE$2:$AE$59,ROW()-3),'V_Tüm Teknoloji'!$AE$2:$AE$59,0))</f>
        <v>-0.63356664141996921</v>
      </c>
      <c r="G22" s="9">
        <f>INDEX('V_Tüm Teknoloji'!F$2:F$59,MATCH(LARGE('V_Tüm Teknoloji'!$AE$2:$AE$59,ROW()-3),'V_Tüm Teknoloji'!$AE$2:$AE$59,0))</f>
        <v>-1.458753354695896</v>
      </c>
      <c r="H22" s="9">
        <f>INDEX('V_Tüm Teknoloji'!G$2:G$59,MATCH(LARGE('V_Tüm Teknoloji'!$AE$2:$AE$59,ROW()-3),'V_Tüm Teknoloji'!$AE$2:$AE$59,0))</f>
        <v>1.5918572827708699</v>
      </c>
      <c r="I22" s="9">
        <f>INDEX('V_Tüm Teknoloji'!H$2:H$59,MATCH(LARGE('V_Tüm Teknoloji'!$AE$2:$AE$59,ROW()-3),'V_Tüm Teknoloji'!$AE$2:$AE$59,0))</f>
        <v>38.491343146214483</v>
      </c>
      <c r="J22" s="9">
        <f>INDEX('V_Tüm Teknoloji'!I$2:I$59,MATCH(LARGE('V_Tüm Teknoloji'!$AE$2:$AE$59,ROW()-3),'V_Tüm Teknoloji'!$AE$2:$AE$59,0))</f>
        <v>70.835716524147244</v>
      </c>
      <c r="K22" s="10">
        <f>INDEX('V_Tüm Teknoloji'!J$2:J$59,MATCH(LARGE('V_Tüm Teknoloji'!$AE$2:$AE$59,ROW()-3),'V_Tüm Teknoloji'!$AE$2:$AE$59,0))</f>
        <v>3384</v>
      </c>
      <c r="L22" s="10">
        <f>INDEX('V_Tüm Teknoloji'!K$2:K$59,MATCH(LARGE('V_Tüm Teknoloji'!$AE$2:$AE$59,ROW()-3),'V_Tüm Teknoloji'!$AE$2:$AE$59,0))</f>
        <v>3336</v>
      </c>
      <c r="M22" s="8">
        <f>INDEX('V_Tüm Teknoloji'!L$2:L$59,MATCH(LARGE('V_Tüm Teknoloji'!$AE$2:$AE$59,ROW()-3),'V_Tüm Teknoloji'!$AE$2:$AE$59,0))</f>
        <v>-1.418439716312059E-2</v>
      </c>
      <c r="N22" s="11">
        <f>INDEX('V_Tüm Teknoloji'!M$2:M$59,MATCH(LARGE('V_Tüm Teknoloji'!$AE$2:$AE$59,ROW()-3),'V_Tüm Teknoloji'!$AE$2:$AE$59,0))</f>
        <v>116498251.41</v>
      </c>
      <c r="O22" s="11">
        <f>INDEX('V_Tüm Teknoloji'!N$2:N$59,MATCH(LARGE('V_Tüm Teknoloji'!$AE$2:$AE$59,ROW()-3),'V_Tüm Teknoloji'!$AE$2:$AE$59,0))</f>
        <v>113376402.7</v>
      </c>
      <c r="P22" s="8">
        <f>INDEX('V_Tüm Teknoloji'!O$2:O$59,MATCH(LARGE('V_Tüm Teknoloji'!$AE$2:$AE$59,ROW()-3),'V_Tüm Teknoloji'!$AE$2:$AE$59,0))</f>
        <v>-2.679738684671806E-2</v>
      </c>
      <c r="Q22" s="9">
        <f>INDEX('V_Tüm Teknoloji'!P$2:P$59,MATCH(LARGE('V_Tüm Teknoloji'!$AE$2:$AE$59,ROW()-3),'V_Tüm Teknoloji'!$AE$2:$AE$59,0))</f>
        <v>1.3777615864404851</v>
      </c>
      <c r="R22" s="5" t="str">
        <f>INDEX('V_Tüm Teknoloji'!Q$2:Q$59,MATCH(LARGE('V_Tüm Teknoloji'!$AE$2:$AE$59,ROW()-3),'V_Tüm Teknoloji'!$AE$2:$AE$59,0))</f>
        <v>Görüyor</v>
      </c>
      <c r="S22" s="8">
        <f>INDEX('V_Tüm Teknoloji'!R$2:R$59,MATCH(LARGE('V_Tüm Teknoloji'!$AE$2:$AE$59,ROW()-3),'V_Tüm Teknoloji'!$AE$2:$AE$59,0))</f>
        <v>0.67749999999999999</v>
      </c>
      <c r="T22" s="8">
        <f>INDEX('V_Tüm Teknoloji'!S$2:S$59,MATCH(LARGE('V_Tüm Teknoloji'!$AE$2:$AE$59,ROW()-3),'V_Tüm Teknoloji'!$AE$2:$AE$59,0))</f>
        <v>0</v>
      </c>
      <c r="U22" s="8">
        <f>INDEX('V_Tüm Teknoloji'!T$2:T$59,MATCH(LARGE('V_Tüm Teknoloji'!$AE$2:$AE$59,ROW()-3),'V_Tüm Teknoloji'!$AE$2:$AE$59,0))</f>
        <v>0</v>
      </c>
      <c r="V22" s="8">
        <f>INDEX('V_Tüm Teknoloji'!U$2:U$59,MATCH(LARGE('V_Tüm Teknoloji'!$AE$2:$AE$59,ROW()-3),'V_Tüm Teknoloji'!$AE$2:$AE$59,0))</f>
        <v>0</v>
      </c>
      <c r="W22" s="8">
        <f>INDEX('V_Tüm Teknoloji'!V$2:V$59,MATCH(LARGE('V_Tüm Teknoloji'!$AE$2:$AE$59,ROW()-3),'V_Tüm Teknoloji'!$AE$2:$AE$59,0))</f>
        <v>0</v>
      </c>
      <c r="X22" s="8">
        <f>INDEX('V_Tüm Teknoloji'!W$2:W$59,MATCH(LARGE('V_Tüm Teknoloji'!$AE$2:$AE$59,ROW()-3),'V_Tüm Teknoloji'!$AE$2:$AE$59,0))</f>
        <v>0.31609999999999999</v>
      </c>
      <c r="Y22" s="8">
        <f>INDEX('V_Tüm Teknoloji'!X$2:X$59,MATCH(LARGE('V_Tüm Teknoloji'!$AE$2:$AE$59,ROW()-3),'V_Tüm Teknoloji'!$AE$2:$AE$59,0))</f>
        <v>0</v>
      </c>
      <c r="Z22" s="8">
        <f>INDEX('V_Tüm Teknoloji'!Y$2:Y$59,MATCH(LARGE('V_Tüm Teknoloji'!$AE$2:$AE$59,ROW()-3),'V_Tüm Teknoloji'!$AE$2:$AE$59,0))</f>
        <v>6.4000000000000003E-3</v>
      </c>
      <c r="AA22" s="8">
        <f>INDEX('V_Tüm Teknoloji'!Z$2:Z$59,MATCH(LARGE('V_Tüm Teknoloji'!$AE$2:$AE$59,ROW()-3),'V_Tüm Teknoloji'!$AE$2:$AE$59,0))</f>
        <v>0</v>
      </c>
      <c r="AB22" s="8">
        <f>INDEX('V_Tüm Teknoloji'!AA$2:AA$59,MATCH(LARGE('V_Tüm Teknoloji'!$AE$2:$AE$59,ROW()-3),'V_Tüm Teknoloji'!$AE$2:$AE$59,0))</f>
        <v>0</v>
      </c>
      <c r="AC22" s="8">
        <f>INDEX('V_Tüm Teknoloji'!AB$2:AB$59,MATCH(LARGE('V_Tüm Teknoloji'!$AE$2:$AE$59,ROW()-3),'V_Tüm Teknoloji'!$AE$2:$AE$59,0))</f>
        <v>0</v>
      </c>
      <c r="AD22" s="8">
        <f>INDEX('V_Tüm Teknoloji'!AC$2:AC$59,MATCH(LARGE('V_Tüm Teknoloji'!$AE$2:$AE$59,ROW()-3),'V_Tüm Teknoloji'!$AE$2:$AE$59,0))</f>
        <v>1</v>
      </c>
    </row>
    <row r="23" spans="1:30" x14ac:dyDescent="0.2">
      <c r="A23">
        <v>20</v>
      </c>
      <c r="B23" s="5" t="str">
        <f>INDEX('V_Tüm Teknoloji'!A$2:A$59,MATCH(LARGE('V_Tüm Teknoloji'!$AE$2:$AE$59,ROW()-3),'V_Tüm Teknoloji'!$AE$2:$AE$59,0))</f>
        <v>MET</v>
      </c>
      <c r="C23" s="5" t="str">
        <f>INDEX('V_Tüm Teknoloji'!B$2:B$59,MATCH(LARGE('V_Tüm Teknoloji'!$AE$2:$AE$59,ROW()-3),'V_Tüm Teknoloji'!$AE$2:$AE$59,0))</f>
        <v>Garanti Portföy Metaverse VE Yeni Teknolojiler Değişken Fon</v>
      </c>
      <c r="D23" s="5" t="str">
        <f>INDEX('V_Tüm Teknoloji'!C$2:C$59,MATCH(LARGE('V_Tüm Teknoloji'!$AE$2:$AE$59,ROW()-3),'V_Tüm Teknoloji'!$AE$2:$AE$59,0))</f>
        <v>Garanti Portföy</v>
      </c>
      <c r="E23" s="8">
        <f>INDEX('V_Tüm Teknoloji'!D$2:D$59,MATCH(LARGE('V_Tüm Teknoloji'!$AE$2:$AE$59,ROW()-3),'V_Tüm Teknoloji'!$AE$2:$AE$59,0))</f>
        <v>2.7E-2</v>
      </c>
      <c r="F23" s="9">
        <f>INDEX('V_Tüm Teknoloji'!E$2:E$59,MATCH(LARGE('V_Tüm Teknoloji'!$AE$2:$AE$59,ROW()-3),'V_Tüm Teknoloji'!$AE$2:$AE$59,0))</f>
        <v>-0.65709079681499638</v>
      </c>
      <c r="G23" s="9">
        <f>INDEX('V_Tüm Teknoloji'!F$2:F$59,MATCH(LARGE('V_Tüm Teknoloji'!$AE$2:$AE$59,ROW()-3),'V_Tüm Teknoloji'!$AE$2:$AE$59,0))</f>
        <v>0.30851729304617331</v>
      </c>
      <c r="H23" s="9">
        <f>INDEX('V_Tüm Teknoloji'!G$2:G$59,MATCH(LARGE('V_Tüm Teknoloji'!$AE$2:$AE$59,ROW()-3),'V_Tüm Teknoloji'!$AE$2:$AE$59,0))</f>
        <v>5.0515734145141433</v>
      </c>
      <c r="I23" s="9">
        <f>INDEX('V_Tüm Teknoloji'!H$2:H$59,MATCH(LARGE('V_Tüm Teknoloji'!$AE$2:$AE$59,ROW()-3),'V_Tüm Teknoloji'!$AE$2:$AE$59,0))</f>
        <v>25.738581526321731</v>
      </c>
      <c r="J23" s="9">
        <f>INDEX('V_Tüm Teknoloji'!I$2:I$59,MATCH(LARGE('V_Tüm Teknoloji'!$AE$2:$AE$59,ROW()-3),'V_Tüm Teknoloji'!$AE$2:$AE$59,0))</f>
        <v>51.415602035566863</v>
      </c>
      <c r="K23" s="10">
        <f>INDEX('V_Tüm Teknoloji'!J$2:J$59,MATCH(LARGE('V_Tüm Teknoloji'!$AE$2:$AE$59,ROW()-3),'V_Tüm Teknoloji'!$AE$2:$AE$59,0))</f>
        <v>7034</v>
      </c>
      <c r="L23" s="10">
        <f>INDEX('V_Tüm Teknoloji'!K$2:K$59,MATCH(LARGE('V_Tüm Teknoloji'!$AE$2:$AE$59,ROW()-3),'V_Tüm Teknoloji'!$AE$2:$AE$59,0))</f>
        <v>6893</v>
      </c>
      <c r="M23" s="8">
        <f>INDEX('V_Tüm Teknoloji'!L$2:L$59,MATCH(LARGE('V_Tüm Teknoloji'!$AE$2:$AE$59,ROW()-3),'V_Tüm Teknoloji'!$AE$2:$AE$59,0))</f>
        <v>-2.004549331816885E-2</v>
      </c>
      <c r="N23" s="11">
        <f>INDEX('V_Tüm Teknoloji'!M$2:M$59,MATCH(LARGE('V_Tüm Teknoloji'!$AE$2:$AE$59,ROW()-3),'V_Tüm Teknoloji'!$AE$2:$AE$59,0))</f>
        <v>745215619.57000005</v>
      </c>
      <c r="O23" s="11">
        <f>INDEX('V_Tüm Teknoloji'!N$2:N$59,MATCH(LARGE('V_Tüm Teknoloji'!$AE$2:$AE$59,ROW()-3),'V_Tüm Teknoloji'!$AE$2:$AE$59,0))</f>
        <v>762422657.88999999</v>
      </c>
      <c r="P23" s="8">
        <f>INDEX('V_Tüm Teknoloji'!O$2:O$59,MATCH(LARGE('V_Tüm Teknoloji'!$AE$2:$AE$59,ROW()-3),'V_Tüm Teknoloji'!$AE$2:$AE$59,0))</f>
        <v>2.3090012968231429E-2</v>
      </c>
      <c r="Q23" s="9">
        <f>INDEX('V_Tüm Teknoloji'!P$2:P$59,MATCH(LARGE('V_Tüm Teknoloji'!$AE$2:$AE$59,ROW()-3),'V_Tüm Teknoloji'!$AE$2:$AE$59,0))</f>
        <v>1.132107793821449</v>
      </c>
      <c r="R23" s="5" t="str">
        <f>INDEX('V_Tüm Teknoloji'!Q$2:Q$59,MATCH(LARGE('V_Tüm Teknoloji'!$AE$2:$AE$59,ROW()-3),'V_Tüm Teknoloji'!$AE$2:$AE$59,0))</f>
        <v>Görüyor</v>
      </c>
      <c r="S23" s="8">
        <f>INDEX('V_Tüm Teknoloji'!R$2:R$59,MATCH(LARGE('V_Tüm Teknoloji'!$AE$2:$AE$59,ROW()-3),'V_Tüm Teknoloji'!$AE$2:$AE$59,0))</f>
        <v>0.66700000000000004</v>
      </c>
      <c r="T23" s="8">
        <f>INDEX('V_Tüm Teknoloji'!S$2:S$59,MATCH(LARGE('V_Tüm Teknoloji'!$AE$2:$AE$59,ROW()-3),'V_Tüm Teknoloji'!$AE$2:$AE$59,0))</f>
        <v>0</v>
      </c>
      <c r="U23" s="8">
        <f>INDEX('V_Tüm Teknoloji'!T$2:T$59,MATCH(LARGE('V_Tüm Teknoloji'!$AE$2:$AE$59,ROW()-3),'V_Tüm Teknoloji'!$AE$2:$AE$59,0))</f>
        <v>0</v>
      </c>
      <c r="V23" s="8">
        <f>INDEX('V_Tüm Teknoloji'!U$2:U$59,MATCH(LARGE('V_Tüm Teknoloji'!$AE$2:$AE$59,ROW()-3),'V_Tüm Teknoloji'!$AE$2:$AE$59,0))</f>
        <v>7.8700000000000006E-2</v>
      </c>
      <c r="W23" s="8">
        <f>INDEX('V_Tüm Teknoloji'!V$2:V$59,MATCH(LARGE('V_Tüm Teknoloji'!$AE$2:$AE$59,ROW()-3),'V_Tüm Teknoloji'!$AE$2:$AE$59,0))</f>
        <v>0</v>
      </c>
      <c r="X23" s="8">
        <f>INDEX('V_Tüm Teknoloji'!W$2:W$59,MATCH(LARGE('V_Tüm Teknoloji'!$AE$2:$AE$59,ROW()-3),'V_Tüm Teknoloji'!$AE$2:$AE$59,0))</f>
        <v>0.2132</v>
      </c>
      <c r="Y23" s="8">
        <f>INDEX('V_Tüm Teknoloji'!X$2:X$59,MATCH(LARGE('V_Tüm Teknoloji'!$AE$2:$AE$59,ROW()-3),'V_Tüm Teknoloji'!$AE$2:$AE$59,0))</f>
        <v>2.1100000000000001E-2</v>
      </c>
      <c r="Z23" s="8">
        <f>INDEX('V_Tüm Teknoloji'!Y$2:Y$59,MATCH(LARGE('V_Tüm Teknoloji'!$AE$2:$AE$59,ROW()-3),'V_Tüm Teknoloji'!$AE$2:$AE$59,0))</f>
        <v>0</v>
      </c>
      <c r="AA23" s="8">
        <f>INDEX('V_Tüm Teknoloji'!Z$2:Z$59,MATCH(LARGE('V_Tüm Teknoloji'!$AE$2:$AE$59,ROW()-3),'V_Tüm Teknoloji'!$AE$2:$AE$59,0))</f>
        <v>0</v>
      </c>
      <c r="AB23" s="8">
        <f>INDEX('V_Tüm Teknoloji'!AA$2:AA$59,MATCH(LARGE('V_Tüm Teknoloji'!$AE$2:$AE$59,ROW()-3),'V_Tüm Teknoloji'!$AE$2:$AE$59,0))</f>
        <v>0</v>
      </c>
      <c r="AC23" s="8">
        <f>INDEX('V_Tüm Teknoloji'!AB$2:AB$59,MATCH(LARGE('V_Tüm Teknoloji'!$AE$2:$AE$59,ROW()-3),'V_Tüm Teknoloji'!$AE$2:$AE$59,0))</f>
        <v>0</v>
      </c>
      <c r="AD23" s="8">
        <f>INDEX('V_Tüm Teknoloji'!AC$2:AC$59,MATCH(LARGE('V_Tüm Teknoloji'!$AE$2:$AE$59,ROW()-3),'V_Tüm Teknoloji'!$AE$2:$AE$59,0))</f>
        <v>0.98000000000000009</v>
      </c>
    </row>
    <row r="24" spans="1:30" x14ac:dyDescent="0.2">
      <c r="A24">
        <v>21</v>
      </c>
      <c r="B24" s="5" t="str">
        <f>INDEX('V_Tüm Teknoloji'!A$2:A$59,MATCH(LARGE('V_Tüm Teknoloji'!$AE$2:$AE$59,ROW()-3),'V_Tüm Teknoloji'!$AE$2:$AE$59,0))</f>
        <v>ITP</v>
      </c>
      <c r="C24" s="5" t="str">
        <f>INDEX('V_Tüm Teknoloji'!B$2:B$59,MATCH(LARGE('V_Tüm Teknoloji'!$AE$2:$AE$59,ROW()-3),'V_Tüm Teknoloji'!$AE$2:$AE$59,0))</f>
        <v>İŞ Portföy Teknoloji Karma Fon</v>
      </c>
      <c r="D24" s="5" t="str">
        <f>INDEX('V_Tüm Teknoloji'!C$2:C$59,MATCH(LARGE('V_Tüm Teknoloji'!$AE$2:$AE$59,ROW()-3),'V_Tüm Teknoloji'!$AE$2:$AE$59,0))</f>
        <v>İŞ Portföy</v>
      </c>
      <c r="E24" s="8">
        <f>INDEX('V_Tüm Teknoloji'!D$2:D$59,MATCH(LARGE('V_Tüm Teknoloji'!$AE$2:$AE$59,ROW()-3),'V_Tüm Teknoloji'!$AE$2:$AE$59,0))</f>
        <v>2.75E-2</v>
      </c>
      <c r="F24" s="9">
        <f>INDEX('V_Tüm Teknoloji'!E$2:E$59,MATCH(LARGE('V_Tüm Teknoloji'!$AE$2:$AE$59,ROW()-3),'V_Tüm Teknoloji'!$AE$2:$AE$59,0))</f>
        <v>-0.68868045458834182</v>
      </c>
      <c r="G24" s="9">
        <f>INDEX('V_Tüm Teknoloji'!F$2:F$59,MATCH(LARGE('V_Tüm Teknoloji'!$AE$2:$AE$59,ROW()-3),'V_Tüm Teknoloji'!$AE$2:$AE$59,0))</f>
        <v>-0.77769752870608944</v>
      </c>
      <c r="H24" s="9">
        <f>INDEX('V_Tüm Teknoloji'!G$2:G$59,MATCH(LARGE('V_Tüm Teknoloji'!$AE$2:$AE$59,ROW()-3),'V_Tüm Teknoloji'!$AE$2:$AE$59,0))</f>
        <v>3.4796225192001979</v>
      </c>
      <c r="I24" s="9">
        <f>INDEX('V_Tüm Teknoloji'!H$2:H$59,MATCH(LARGE('V_Tüm Teknoloji'!$AE$2:$AE$59,ROW()-3),'V_Tüm Teknoloji'!$AE$2:$AE$59,0))</f>
        <v>28.799948214892339</v>
      </c>
      <c r="J24" s="9">
        <f>INDEX('V_Tüm Teknoloji'!I$2:I$59,MATCH(LARGE('V_Tüm Teknoloji'!$AE$2:$AE$59,ROW()-3),'V_Tüm Teknoloji'!$AE$2:$AE$59,0))</f>
        <v>53.854241900810472</v>
      </c>
      <c r="K24" s="10">
        <f>INDEX('V_Tüm Teknoloji'!J$2:J$59,MATCH(LARGE('V_Tüm Teknoloji'!$AE$2:$AE$59,ROW()-3),'V_Tüm Teknoloji'!$AE$2:$AE$59,0))</f>
        <v>11637</v>
      </c>
      <c r="L24" s="10">
        <f>INDEX('V_Tüm Teknoloji'!K$2:K$59,MATCH(LARGE('V_Tüm Teknoloji'!$AE$2:$AE$59,ROW()-3),'V_Tüm Teknoloji'!$AE$2:$AE$59,0))</f>
        <v>11507</v>
      </c>
      <c r="M24" s="8">
        <f>INDEX('V_Tüm Teknoloji'!L$2:L$59,MATCH(LARGE('V_Tüm Teknoloji'!$AE$2:$AE$59,ROW()-3),'V_Tüm Teknoloji'!$AE$2:$AE$59,0))</f>
        <v>-1.1171264071496051E-2</v>
      </c>
      <c r="N24" s="11">
        <f>INDEX('V_Tüm Teknoloji'!M$2:M$59,MATCH(LARGE('V_Tüm Teknoloji'!$AE$2:$AE$59,ROW()-3),'V_Tüm Teknoloji'!$AE$2:$AE$59,0))</f>
        <v>1008664906.73</v>
      </c>
      <c r="O24" s="11">
        <f>INDEX('V_Tüm Teknoloji'!N$2:N$59,MATCH(LARGE('V_Tüm Teknoloji'!$AE$2:$AE$59,ROW()-3),'V_Tüm Teknoloji'!$AE$2:$AE$59,0))</f>
        <v>1028324854.14</v>
      </c>
      <c r="P24" s="8">
        <f>INDEX('V_Tüm Teknoloji'!O$2:O$59,MATCH(LARGE('V_Tüm Teknoloji'!$AE$2:$AE$59,ROW()-3),'V_Tüm Teknoloji'!$AE$2:$AE$59,0))</f>
        <v>1.9491059199963301E-2</v>
      </c>
      <c r="Q24" s="9">
        <f>INDEX('V_Tüm Teknoloji'!P$2:P$59,MATCH(LARGE('V_Tüm Teknoloji'!$AE$2:$AE$59,ROW()-3),'V_Tüm Teknoloji'!$AE$2:$AE$59,0))</f>
        <v>1.009664422203131</v>
      </c>
      <c r="R24" s="5" t="str">
        <f>INDEX('V_Tüm Teknoloji'!Q$2:Q$59,MATCH(LARGE('V_Tüm Teknoloji'!$AE$2:$AE$59,ROW()-3),'V_Tüm Teknoloji'!$AE$2:$AE$59,0))</f>
        <v>Görüyor</v>
      </c>
      <c r="S24" s="8">
        <f>INDEX('V_Tüm Teknoloji'!R$2:R$59,MATCH(LARGE('V_Tüm Teknoloji'!$AE$2:$AE$59,ROW()-3),'V_Tüm Teknoloji'!$AE$2:$AE$59,0))</f>
        <v>0.68359999999999999</v>
      </c>
      <c r="T24" s="8">
        <f>INDEX('V_Tüm Teknoloji'!S$2:S$59,MATCH(LARGE('V_Tüm Teknoloji'!$AE$2:$AE$59,ROW()-3),'V_Tüm Teknoloji'!$AE$2:$AE$59,0))</f>
        <v>0</v>
      </c>
      <c r="U24" s="8">
        <f>INDEX('V_Tüm Teknoloji'!T$2:T$59,MATCH(LARGE('V_Tüm Teknoloji'!$AE$2:$AE$59,ROW()-3),'V_Tüm Teknoloji'!$AE$2:$AE$59,0))</f>
        <v>0</v>
      </c>
      <c r="V24" s="8">
        <f>INDEX('V_Tüm Teknoloji'!U$2:U$59,MATCH(LARGE('V_Tüm Teknoloji'!$AE$2:$AE$59,ROW()-3),'V_Tüm Teknoloji'!$AE$2:$AE$59,0))</f>
        <v>2.2000000000000001E-3</v>
      </c>
      <c r="W24" s="8">
        <f>INDEX('V_Tüm Teknoloji'!V$2:V$59,MATCH(LARGE('V_Tüm Teknoloji'!$AE$2:$AE$59,ROW()-3),'V_Tüm Teknoloji'!$AE$2:$AE$59,0))</f>
        <v>2.5100000000000001E-2</v>
      </c>
      <c r="X24" s="8">
        <f>INDEX('V_Tüm Teknoloji'!W$2:W$59,MATCH(LARGE('V_Tüm Teknoloji'!$AE$2:$AE$59,ROW()-3),'V_Tüm Teknoloji'!$AE$2:$AE$59,0))</f>
        <v>7.2099999999999997E-2</v>
      </c>
      <c r="Y24" s="8">
        <f>INDEX('V_Tüm Teknoloji'!X$2:X$59,MATCH(LARGE('V_Tüm Teknoloji'!$AE$2:$AE$59,ROW()-3),'V_Tüm Teknoloji'!$AE$2:$AE$59,0))</f>
        <v>0</v>
      </c>
      <c r="Z24" s="8">
        <f>INDEX('V_Tüm Teknoloji'!Y$2:Y$59,MATCH(LARGE('V_Tüm Teknoloji'!$AE$2:$AE$59,ROW()-3),'V_Tüm Teknoloji'!$AE$2:$AE$59,0))</f>
        <v>3.5000000000000001E-3</v>
      </c>
      <c r="AA24" s="8">
        <f>INDEX('V_Tüm Teknoloji'!Z$2:Z$59,MATCH(LARGE('V_Tüm Teknoloji'!$AE$2:$AE$59,ROW()-3),'V_Tüm Teknoloji'!$AE$2:$AE$59,0))</f>
        <v>2.3E-2</v>
      </c>
      <c r="AB24" s="8">
        <f>INDEX('V_Tüm Teknoloji'!AA$2:AA$59,MATCH(LARGE('V_Tüm Teknoloji'!$AE$2:$AE$59,ROW()-3),'V_Tüm Teknoloji'!$AE$2:$AE$59,0))</f>
        <v>0.17560000000000001</v>
      </c>
      <c r="AC24" s="8">
        <f>INDEX('V_Tüm Teknoloji'!AB$2:AB$59,MATCH(LARGE('V_Tüm Teknoloji'!$AE$2:$AE$59,ROW()-3),'V_Tüm Teknoloji'!$AE$2:$AE$59,0))</f>
        <v>0</v>
      </c>
      <c r="AD24" s="8">
        <f>INDEX('V_Tüm Teknoloji'!AC$2:AC$59,MATCH(LARGE('V_Tüm Teknoloji'!$AE$2:$AE$59,ROW()-3),'V_Tüm Teknoloji'!$AE$2:$AE$59,0))</f>
        <v>0.98509999999999998</v>
      </c>
    </row>
    <row r="25" spans="1:30" x14ac:dyDescent="0.2">
      <c r="A25">
        <v>22</v>
      </c>
      <c r="B25" s="5" t="str">
        <f>INDEX('V_Tüm Teknoloji'!A$2:A$59,MATCH(LARGE('V_Tüm Teknoloji'!$AE$2:$AE$59,ROW()-3),'V_Tüm Teknoloji'!$AE$2:$AE$59,0))</f>
        <v>DYN</v>
      </c>
      <c r="C25" s="5" t="str">
        <f>INDEX('V_Tüm Teknoloji'!B$2:B$59,MATCH(LARGE('V_Tüm Teknoloji'!$AE$2:$AE$59,ROW()-3),'V_Tüm Teknoloji'!$AE$2:$AE$59,0))</f>
        <v>Deniz Portföy Elektrikli VE Otonom Araç Teknolojileri Değişken Fon</v>
      </c>
      <c r="D25" s="5" t="str">
        <f>INDEX('V_Tüm Teknoloji'!C$2:C$59,MATCH(LARGE('V_Tüm Teknoloji'!$AE$2:$AE$59,ROW()-3),'V_Tüm Teknoloji'!$AE$2:$AE$59,0))</f>
        <v>Deniz Portföy</v>
      </c>
      <c r="E25" s="8">
        <f>INDEX('V_Tüm Teknoloji'!D$2:D$59,MATCH(LARGE('V_Tüm Teknoloji'!$AE$2:$AE$59,ROW()-3),'V_Tüm Teknoloji'!$AE$2:$AE$59,0))</f>
        <v>2.5000000000000001E-2</v>
      </c>
      <c r="F25" s="9">
        <f>INDEX('V_Tüm Teknoloji'!E$2:E$59,MATCH(LARGE('V_Tüm Teknoloji'!$AE$2:$AE$59,ROW()-3),'V_Tüm Teknoloji'!$AE$2:$AE$59,0))</f>
        <v>-0.71291730994440528</v>
      </c>
      <c r="G25" s="9">
        <f>INDEX('V_Tüm Teknoloji'!F$2:F$59,MATCH(LARGE('V_Tüm Teknoloji'!$AE$2:$AE$59,ROW()-3),'V_Tüm Teknoloji'!$AE$2:$AE$59,0))</f>
        <v>-1.774532768198922</v>
      </c>
      <c r="H25" s="9">
        <f>INDEX('V_Tüm Teknoloji'!G$2:G$59,MATCH(LARGE('V_Tüm Teknoloji'!$AE$2:$AE$59,ROW()-3),'V_Tüm Teknoloji'!$AE$2:$AE$59,0))</f>
        <v>-1.197913625020752</v>
      </c>
      <c r="I25" s="9">
        <f>INDEX('V_Tüm Teknoloji'!H$2:H$59,MATCH(LARGE('V_Tüm Teknoloji'!$AE$2:$AE$59,ROW()-3),'V_Tüm Teknoloji'!$AE$2:$AE$59,0))</f>
        <v>24.688594638908889</v>
      </c>
      <c r="J25" s="9">
        <f>INDEX('V_Tüm Teknoloji'!I$2:I$59,MATCH(LARGE('V_Tüm Teknoloji'!$AE$2:$AE$59,ROW()-3),'V_Tüm Teknoloji'!$AE$2:$AE$59,0))</f>
        <v>51.90025761816355</v>
      </c>
      <c r="K25" s="10">
        <f>INDEX('V_Tüm Teknoloji'!J$2:J$59,MATCH(LARGE('V_Tüm Teknoloji'!$AE$2:$AE$59,ROW()-3),'V_Tüm Teknoloji'!$AE$2:$AE$59,0))</f>
        <v>1753</v>
      </c>
      <c r="L25" s="10">
        <f>INDEX('V_Tüm Teknoloji'!K$2:K$59,MATCH(LARGE('V_Tüm Teknoloji'!$AE$2:$AE$59,ROW()-3),'V_Tüm Teknoloji'!$AE$2:$AE$59,0))</f>
        <v>1678</v>
      </c>
      <c r="M25" s="8">
        <f>INDEX('V_Tüm Teknoloji'!L$2:L$59,MATCH(LARGE('V_Tüm Teknoloji'!$AE$2:$AE$59,ROW()-3),'V_Tüm Teknoloji'!$AE$2:$AE$59,0))</f>
        <v>-4.2783799201369099E-2</v>
      </c>
      <c r="N25" s="11">
        <f>INDEX('V_Tüm Teknoloji'!M$2:M$59,MATCH(LARGE('V_Tüm Teknoloji'!$AE$2:$AE$59,ROW()-3),'V_Tüm Teknoloji'!$AE$2:$AE$59,0))</f>
        <v>74170699.129999995</v>
      </c>
      <c r="O25" s="11">
        <f>INDEX('V_Tüm Teknoloji'!N$2:N$59,MATCH(LARGE('V_Tüm Teknoloji'!$AE$2:$AE$59,ROW()-3),'V_Tüm Teknoloji'!$AE$2:$AE$59,0))</f>
        <v>63998574.399999999</v>
      </c>
      <c r="P25" s="8">
        <f>INDEX('V_Tüm Teknoloji'!O$2:O$59,MATCH(LARGE('V_Tüm Teknoloji'!$AE$2:$AE$59,ROW()-3),'V_Tüm Teknoloji'!$AE$2:$AE$59,0))</f>
        <v>-0.1371447869484306</v>
      </c>
      <c r="Q25" s="9">
        <f>INDEX('V_Tüm Teknoloji'!P$2:P$59,MATCH(LARGE('V_Tüm Teknoloji'!$AE$2:$AE$59,ROW()-3),'V_Tüm Teknoloji'!$AE$2:$AE$59,0))</f>
        <v>1.0888485018198499</v>
      </c>
      <c r="R25" s="5" t="str">
        <f>INDEX('V_Tüm Teknoloji'!Q$2:Q$59,MATCH(LARGE('V_Tüm Teknoloji'!$AE$2:$AE$59,ROW()-3),'V_Tüm Teknoloji'!$AE$2:$AE$59,0))</f>
        <v>Görüyor</v>
      </c>
      <c r="S25" s="8">
        <f>INDEX('V_Tüm Teknoloji'!R$2:R$59,MATCH(LARGE('V_Tüm Teknoloji'!$AE$2:$AE$59,ROW()-3),'V_Tüm Teknoloji'!$AE$2:$AE$59,0))</f>
        <v>0.46600000000000003</v>
      </c>
      <c r="T25" s="8">
        <f>INDEX('V_Tüm Teknoloji'!S$2:S$59,MATCH(LARGE('V_Tüm Teknoloji'!$AE$2:$AE$59,ROW()-3),'V_Tüm Teknoloji'!$AE$2:$AE$59,0))</f>
        <v>0.1489</v>
      </c>
      <c r="U25" s="8">
        <f>INDEX('V_Tüm Teknoloji'!T$2:T$59,MATCH(LARGE('V_Tüm Teknoloji'!$AE$2:$AE$59,ROW()-3),'V_Tüm Teknoloji'!$AE$2:$AE$59,0))</f>
        <v>1.04E-2</v>
      </c>
      <c r="V25" s="8">
        <f>INDEX('V_Tüm Teknoloji'!U$2:U$59,MATCH(LARGE('V_Tüm Teknoloji'!$AE$2:$AE$59,ROW()-3),'V_Tüm Teknoloji'!$AE$2:$AE$59,0))</f>
        <v>0</v>
      </c>
      <c r="W25" s="8">
        <f>INDEX('V_Tüm Teknoloji'!V$2:V$59,MATCH(LARGE('V_Tüm Teknoloji'!$AE$2:$AE$59,ROW()-3),'V_Tüm Teknoloji'!$AE$2:$AE$59,0))</f>
        <v>0.10920000000000001</v>
      </c>
      <c r="X25" s="8">
        <f>INDEX('V_Tüm Teknoloji'!W$2:W$59,MATCH(LARGE('V_Tüm Teknoloji'!$AE$2:$AE$59,ROW()-3),'V_Tüm Teknoloji'!$AE$2:$AE$59,0))</f>
        <v>0.24329999999999999</v>
      </c>
      <c r="Y25" s="8">
        <f>INDEX('V_Tüm Teknoloji'!X$2:X$59,MATCH(LARGE('V_Tüm Teknoloji'!$AE$2:$AE$59,ROW()-3),'V_Tüm Teknoloji'!$AE$2:$AE$59,0))</f>
        <v>0</v>
      </c>
      <c r="Z25" s="8">
        <f>INDEX('V_Tüm Teknoloji'!Y$2:Y$59,MATCH(LARGE('V_Tüm Teknoloji'!$AE$2:$AE$59,ROW()-3),'V_Tüm Teknoloji'!$AE$2:$AE$59,0))</f>
        <v>0</v>
      </c>
      <c r="AA25" s="8">
        <f>INDEX('V_Tüm Teknoloji'!Z$2:Z$59,MATCH(LARGE('V_Tüm Teknoloji'!$AE$2:$AE$59,ROW()-3),'V_Tüm Teknoloji'!$AE$2:$AE$59,0))</f>
        <v>0</v>
      </c>
      <c r="AB25" s="8">
        <f>INDEX('V_Tüm Teknoloji'!AA$2:AA$59,MATCH(LARGE('V_Tüm Teknoloji'!$AE$2:$AE$59,ROW()-3),'V_Tüm Teknoloji'!$AE$2:$AE$59,0))</f>
        <v>0</v>
      </c>
      <c r="AC25" s="8">
        <f>INDEX('V_Tüm Teknoloji'!AB$2:AB$59,MATCH(LARGE('V_Tüm Teknoloji'!$AE$2:$AE$59,ROW()-3),'V_Tüm Teknoloji'!$AE$2:$AE$59,0))</f>
        <v>0</v>
      </c>
      <c r="AD25" s="8">
        <f>INDEX('V_Tüm Teknoloji'!AC$2:AC$59,MATCH(LARGE('V_Tüm Teknoloji'!$AE$2:$AE$59,ROW()-3),'V_Tüm Teknoloji'!$AE$2:$AE$59,0))</f>
        <v>0.9778</v>
      </c>
    </row>
    <row r="26" spans="1:30" x14ac:dyDescent="0.2">
      <c r="A26">
        <v>23</v>
      </c>
      <c r="B26" s="5" t="str">
        <f>INDEX('V_Tüm Teknoloji'!A$2:A$59,MATCH(LARGE('V_Tüm Teknoloji'!$AE$2:$AE$59,ROW()-3),'V_Tüm Teknoloji'!$AE$2:$AE$59,0))</f>
        <v>CPU</v>
      </c>
      <c r="C26" s="5" t="str">
        <f>INDEX('V_Tüm Teknoloji'!B$2:B$59,MATCH(LARGE('V_Tüm Teknoloji'!$AE$2:$AE$59,ROW()-3),'V_Tüm Teknoloji'!$AE$2:$AE$59,0))</f>
        <v>Aktif Portföy Teknoloji Katılım Fonu</v>
      </c>
      <c r="D26" s="5" t="str">
        <f>INDEX('V_Tüm Teknoloji'!C$2:C$59,MATCH(LARGE('V_Tüm Teknoloji'!$AE$2:$AE$59,ROW()-3),'V_Tüm Teknoloji'!$AE$2:$AE$59,0))</f>
        <v>Aktif Portföy</v>
      </c>
      <c r="E26" s="8">
        <f>INDEX('V_Tüm Teknoloji'!D$2:D$59,MATCH(LARGE('V_Tüm Teknoloji'!$AE$2:$AE$59,ROW()-3),'V_Tüm Teknoloji'!$AE$2:$AE$59,0))</f>
        <v>0.02</v>
      </c>
      <c r="F26" s="9">
        <f>INDEX('V_Tüm Teknoloji'!E$2:E$59,MATCH(LARGE('V_Tüm Teknoloji'!$AE$2:$AE$59,ROW()-3),'V_Tüm Teknoloji'!$AE$2:$AE$59,0))</f>
        <v>-0.74077680985425998</v>
      </c>
      <c r="G26" s="9">
        <f>INDEX('V_Tüm Teknoloji'!F$2:F$59,MATCH(LARGE('V_Tüm Teknoloji'!$AE$2:$AE$59,ROW()-3),'V_Tüm Teknoloji'!$AE$2:$AE$59,0))</f>
        <v>-1.329588292365014</v>
      </c>
      <c r="H26" s="9">
        <f>INDEX('V_Tüm Teknoloji'!G$2:G$59,MATCH(LARGE('V_Tüm Teknoloji'!$AE$2:$AE$59,ROW()-3),'V_Tüm Teknoloji'!$AE$2:$AE$59,0))</f>
        <v>2.8120243185119742</v>
      </c>
      <c r="I26" s="9">
        <f>INDEX('V_Tüm Teknoloji'!H$2:H$59,MATCH(LARGE('V_Tüm Teknoloji'!$AE$2:$AE$59,ROW()-3),'V_Tüm Teknoloji'!$AE$2:$AE$59,0))</f>
        <v>52.062356385912373</v>
      </c>
      <c r="J26" s="9">
        <f>INDEX('V_Tüm Teknoloji'!I$2:I$59,MATCH(LARGE('V_Tüm Teknoloji'!$AE$2:$AE$59,ROW()-3),'V_Tüm Teknoloji'!$AE$2:$AE$59,0))</f>
        <v>93.218508566018102</v>
      </c>
      <c r="K26" s="10">
        <f>INDEX('V_Tüm Teknoloji'!J$2:J$59,MATCH(LARGE('V_Tüm Teknoloji'!$AE$2:$AE$59,ROW()-3),'V_Tüm Teknoloji'!$AE$2:$AE$59,0))</f>
        <v>16679</v>
      </c>
      <c r="L26" s="10">
        <f>INDEX('V_Tüm Teknoloji'!K$2:K$59,MATCH(LARGE('V_Tüm Teknoloji'!$AE$2:$AE$59,ROW()-3),'V_Tüm Teknoloji'!$AE$2:$AE$59,0))</f>
        <v>17009</v>
      </c>
      <c r="M26" s="8">
        <f>INDEX('V_Tüm Teknoloji'!L$2:L$59,MATCH(LARGE('V_Tüm Teknoloji'!$AE$2:$AE$59,ROW()-3),'V_Tüm Teknoloji'!$AE$2:$AE$59,0))</f>
        <v>1.978535883446253E-2</v>
      </c>
      <c r="N26" s="11">
        <f>INDEX('V_Tüm Teknoloji'!M$2:M$59,MATCH(LARGE('V_Tüm Teknoloji'!$AE$2:$AE$59,ROW()-3),'V_Tüm Teknoloji'!$AE$2:$AE$59,0))</f>
        <v>1559130393.3399999</v>
      </c>
      <c r="O26" s="11">
        <f>INDEX('V_Tüm Teknoloji'!N$2:N$59,MATCH(LARGE('V_Tüm Teknoloji'!$AE$2:$AE$59,ROW()-3),'V_Tüm Teknoloji'!$AE$2:$AE$59,0))</f>
        <v>1540416602.1099999</v>
      </c>
      <c r="P26" s="8">
        <f>INDEX('V_Tüm Teknoloji'!O$2:O$59,MATCH(LARGE('V_Tüm Teknoloji'!$AE$2:$AE$59,ROW()-3),'V_Tüm Teknoloji'!$AE$2:$AE$59,0))</f>
        <v>-1.2002710812346501E-2</v>
      </c>
      <c r="Q26" s="9">
        <f>INDEX('V_Tüm Teknoloji'!P$2:P$59,MATCH(LARGE('V_Tüm Teknoloji'!$AE$2:$AE$59,ROW()-3),'V_Tüm Teknoloji'!$AE$2:$AE$59,0))</f>
        <v>1.5201074389303131</v>
      </c>
      <c r="R26" s="5" t="str">
        <f>INDEX('V_Tüm Teknoloji'!Q$2:Q$59,MATCH(LARGE('V_Tüm Teknoloji'!$AE$2:$AE$59,ROW()-3),'V_Tüm Teknoloji'!$AE$2:$AE$59,0))</f>
        <v>Görüyor</v>
      </c>
      <c r="S26" s="8">
        <f>INDEX('V_Tüm Teknoloji'!R$2:R$59,MATCH(LARGE('V_Tüm Teknoloji'!$AE$2:$AE$59,ROW()-3),'V_Tüm Teknoloji'!$AE$2:$AE$59,0))</f>
        <v>0.66670000000000007</v>
      </c>
      <c r="T26" s="8">
        <f>INDEX('V_Tüm Teknoloji'!S$2:S$59,MATCH(LARGE('V_Tüm Teknoloji'!$AE$2:$AE$59,ROW()-3),'V_Tüm Teknoloji'!$AE$2:$AE$59,0))</f>
        <v>0</v>
      </c>
      <c r="U26" s="8">
        <f>INDEX('V_Tüm Teknoloji'!T$2:T$59,MATCH(LARGE('V_Tüm Teknoloji'!$AE$2:$AE$59,ROW()-3),'V_Tüm Teknoloji'!$AE$2:$AE$59,0))</f>
        <v>0</v>
      </c>
      <c r="V26" s="8">
        <f>INDEX('V_Tüm Teknoloji'!U$2:U$59,MATCH(LARGE('V_Tüm Teknoloji'!$AE$2:$AE$59,ROW()-3),'V_Tüm Teknoloji'!$AE$2:$AE$59,0))</f>
        <v>0</v>
      </c>
      <c r="W26" s="8">
        <f>INDEX('V_Tüm Teknoloji'!V$2:V$59,MATCH(LARGE('V_Tüm Teknoloji'!$AE$2:$AE$59,ROW()-3),'V_Tüm Teknoloji'!$AE$2:$AE$59,0))</f>
        <v>0</v>
      </c>
      <c r="X26" s="8">
        <f>INDEX('V_Tüm Teknoloji'!W$2:W$59,MATCH(LARGE('V_Tüm Teknoloji'!$AE$2:$AE$59,ROW()-3),'V_Tüm Teknoloji'!$AE$2:$AE$59,0))</f>
        <v>0.25390000000000001</v>
      </c>
      <c r="Y26" s="8">
        <f>INDEX('V_Tüm Teknoloji'!X$2:X$59,MATCH(LARGE('V_Tüm Teknoloji'!$AE$2:$AE$59,ROW()-3),'V_Tüm Teknoloji'!$AE$2:$AE$59,0))</f>
        <v>0</v>
      </c>
      <c r="Z26" s="8">
        <f>INDEX('V_Tüm Teknoloji'!Y$2:Y$59,MATCH(LARGE('V_Tüm Teknoloji'!$AE$2:$AE$59,ROW()-3),'V_Tüm Teknoloji'!$AE$2:$AE$59,0))</f>
        <v>7.9399999999999998E-2</v>
      </c>
      <c r="AA26" s="8">
        <f>INDEX('V_Tüm Teknoloji'!Z$2:Z$59,MATCH(LARGE('V_Tüm Teknoloji'!$AE$2:$AE$59,ROW()-3),'V_Tüm Teknoloji'!$AE$2:$AE$59,0))</f>
        <v>0</v>
      </c>
      <c r="AB26" s="8">
        <f>INDEX('V_Tüm Teknoloji'!AA$2:AA$59,MATCH(LARGE('V_Tüm Teknoloji'!$AE$2:$AE$59,ROW()-3),'V_Tüm Teknoloji'!$AE$2:$AE$59,0))</f>
        <v>0</v>
      </c>
      <c r="AC26" s="8">
        <f>INDEX('V_Tüm Teknoloji'!AB$2:AB$59,MATCH(LARGE('V_Tüm Teknoloji'!$AE$2:$AE$59,ROW()-3),'V_Tüm Teknoloji'!$AE$2:$AE$59,0))</f>
        <v>0</v>
      </c>
      <c r="AD26" s="8">
        <f>INDEX('V_Tüm Teknoloji'!AC$2:AC$59,MATCH(LARGE('V_Tüm Teknoloji'!$AE$2:$AE$59,ROW()-3),'V_Tüm Teknoloji'!$AE$2:$AE$59,0))</f>
        <v>1</v>
      </c>
    </row>
    <row r="27" spans="1:30" x14ac:dyDescent="0.2">
      <c r="A27">
        <v>24</v>
      </c>
      <c r="B27" s="5" t="str">
        <f>INDEX('V_Tüm Teknoloji'!A$2:A$59,MATCH(LARGE('V_Tüm Teknoloji'!$AE$2:$AE$59,ROW()-3),'V_Tüm Teknoloji'!$AE$2:$AE$59,0))</f>
        <v>IUH</v>
      </c>
      <c r="C27" s="5" t="str">
        <f>INDEX('V_Tüm Teknoloji'!B$2:B$59,MATCH(LARGE('V_Tüm Teknoloji'!$AE$2:$AE$59,ROW()-3),'V_Tüm Teknoloji'!$AE$2:$AE$59,0))</f>
        <v>Inveo Portföy Dönüştürücü Teknolojiler Fon Sepeti Fonu</v>
      </c>
      <c r="D27" s="5" t="str">
        <f>INDEX('V_Tüm Teknoloji'!C$2:C$59,MATCH(LARGE('V_Tüm Teknoloji'!$AE$2:$AE$59,ROW()-3),'V_Tüm Teknoloji'!$AE$2:$AE$59,0))</f>
        <v>Inveo Portföy</v>
      </c>
      <c r="E27" s="8">
        <f>INDEX('V_Tüm Teknoloji'!D$2:D$59,MATCH(LARGE('V_Tüm Teknoloji'!$AE$2:$AE$59,ROW()-3),'V_Tüm Teknoloji'!$AE$2:$AE$59,0))</f>
        <v>0.02</v>
      </c>
      <c r="F27" s="9">
        <f>INDEX('V_Tüm Teknoloji'!E$2:E$59,MATCH(LARGE('V_Tüm Teknoloji'!$AE$2:$AE$59,ROW()-3),'V_Tüm Teknoloji'!$AE$2:$AE$59,0))</f>
        <v>-0.74951329030162883</v>
      </c>
      <c r="G27" s="9">
        <f>INDEX('V_Tüm Teknoloji'!F$2:F$59,MATCH(LARGE('V_Tüm Teknoloji'!$AE$2:$AE$59,ROW()-3),'V_Tüm Teknoloji'!$AE$2:$AE$59,0))</f>
        <v>-1.912982729311441</v>
      </c>
      <c r="H27" s="9">
        <f>INDEX('V_Tüm Teknoloji'!G$2:G$59,MATCH(LARGE('V_Tüm Teknoloji'!$AE$2:$AE$59,ROW()-3),'V_Tüm Teknoloji'!$AE$2:$AE$59,0))</f>
        <v>1.9276638491574789</v>
      </c>
      <c r="I27" s="9">
        <f>INDEX('V_Tüm Teknoloji'!H$2:H$59,MATCH(LARGE('V_Tüm Teknoloji'!$AE$2:$AE$59,ROW()-3),'V_Tüm Teknoloji'!$AE$2:$AE$59,0))</f>
        <v>36.413273256042856</v>
      </c>
      <c r="J27" s="9">
        <f>INDEX('V_Tüm Teknoloji'!I$2:I$59,MATCH(LARGE('V_Tüm Teknoloji'!$AE$2:$AE$59,ROW()-3),'V_Tüm Teknoloji'!$AE$2:$AE$59,0))</f>
        <v>62.190214141727608</v>
      </c>
      <c r="K27" s="10">
        <f>INDEX('V_Tüm Teknoloji'!J$2:J$59,MATCH(LARGE('V_Tüm Teknoloji'!$AE$2:$AE$59,ROW()-3),'V_Tüm Teknoloji'!$AE$2:$AE$59,0))</f>
        <v>789</v>
      </c>
      <c r="L27" s="10">
        <f>INDEX('V_Tüm Teknoloji'!K$2:K$59,MATCH(LARGE('V_Tüm Teknoloji'!$AE$2:$AE$59,ROW()-3),'V_Tüm Teknoloji'!$AE$2:$AE$59,0))</f>
        <v>757</v>
      </c>
      <c r="M27" s="8">
        <f>INDEX('V_Tüm Teknoloji'!L$2:L$59,MATCH(LARGE('V_Tüm Teknoloji'!$AE$2:$AE$59,ROW()-3),'V_Tüm Teknoloji'!$AE$2:$AE$59,0))</f>
        <v>-4.0557667934093773E-2</v>
      </c>
      <c r="N27" s="11">
        <f>INDEX('V_Tüm Teknoloji'!M$2:M$59,MATCH(LARGE('V_Tüm Teknoloji'!$AE$2:$AE$59,ROW()-3),'V_Tüm Teknoloji'!$AE$2:$AE$59,0))</f>
        <v>16976463.719999999</v>
      </c>
      <c r="O27" s="11">
        <f>INDEX('V_Tüm Teknoloji'!N$2:N$59,MATCH(LARGE('V_Tüm Teknoloji'!$AE$2:$AE$59,ROW()-3),'V_Tüm Teknoloji'!$AE$2:$AE$59,0))</f>
        <v>14483916.67</v>
      </c>
      <c r="P27" s="8">
        <f>INDEX('V_Tüm Teknoloji'!O$2:O$59,MATCH(LARGE('V_Tüm Teknoloji'!$AE$2:$AE$59,ROW()-3),'V_Tüm Teknoloji'!$AE$2:$AE$59,0))</f>
        <v>-0.14682369020489969</v>
      </c>
      <c r="Q27" s="9">
        <f>INDEX('V_Tüm Teknoloji'!P$2:P$59,MATCH(LARGE('V_Tüm Teknoloji'!$AE$2:$AE$59,ROW()-3),'V_Tüm Teknoloji'!$AE$2:$AE$59,0))</f>
        <v>1.0458220854183859</v>
      </c>
      <c r="R27" s="5" t="str">
        <f>INDEX('V_Tüm Teknoloji'!Q$2:Q$59,MATCH(LARGE('V_Tüm Teknoloji'!$AE$2:$AE$59,ROW()-3),'V_Tüm Teknoloji'!$AE$2:$AE$59,0))</f>
        <v>Görüyor</v>
      </c>
      <c r="S27" s="8">
        <f>INDEX('V_Tüm Teknoloji'!R$2:R$59,MATCH(LARGE('V_Tüm Teknoloji'!$AE$2:$AE$59,ROW()-3),'V_Tüm Teknoloji'!$AE$2:$AE$59,0))</f>
        <v>0</v>
      </c>
      <c r="T27" s="8">
        <f>INDEX('V_Tüm Teknoloji'!S$2:S$59,MATCH(LARGE('V_Tüm Teknoloji'!$AE$2:$AE$59,ROW()-3),'V_Tüm Teknoloji'!$AE$2:$AE$59,0))</f>
        <v>0</v>
      </c>
      <c r="U27" s="8">
        <f>INDEX('V_Tüm Teknoloji'!T$2:T$59,MATCH(LARGE('V_Tüm Teknoloji'!$AE$2:$AE$59,ROW()-3),'V_Tüm Teknoloji'!$AE$2:$AE$59,0))</f>
        <v>0</v>
      </c>
      <c r="V27" s="8">
        <f>INDEX('V_Tüm Teknoloji'!U$2:U$59,MATCH(LARGE('V_Tüm Teknoloji'!$AE$2:$AE$59,ROW()-3),'V_Tüm Teknoloji'!$AE$2:$AE$59,0))</f>
        <v>0</v>
      </c>
      <c r="W27" s="8">
        <f>INDEX('V_Tüm Teknoloji'!V$2:V$59,MATCH(LARGE('V_Tüm Teknoloji'!$AE$2:$AE$59,ROW()-3),'V_Tüm Teknoloji'!$AE$2:$AE$59,0))</f>
        <v>0</v>
      </c>
      <c r="X27" s="8">
        <f>INDEX('V_Tüm Teknoloji'!W$2:W$59,MATCH(LARGE('V_Tüm Teknoloji'!$AE$2:$AE$59,ROW()-3),'V_Tüm Teknoloji'!$AE$2:$AE$59,0))</f>
        <v>0</v>
      </c>
      <c r="Y27" s="8">
        <f>INDEX('V_Tüm Teknoloji'!X$2:X$59,MATCH(LARGE('V_Tüm Teknoloji'!$AE$2:$AE$59,ROW()-3),'V_Tüm Teknoloji'!$AE$2:$AE$59,0))</f>
        <v>0</v>
      </c>
      <c r="Z27" s="8">
        <f>INDEX('V_Tüm Teknoloji'!Y$2:Y$59,MATCH(LARGE('V_Tüm Teknoloji'!$AE$2:$AE$59,ROW()-3),'V_Tüm Teknoloji'!$AE$2:$AE$59,0))</f>
        <v>1</v>
      </c>
      <c r="AA27" s="8">
        <f>INDEX('V_Tüm Teknoloji'!Z$2:Z$59,MATCH(LARGE('V_Tüm Teknoloji'!$AE$2:$AE$59,ROW()-3),'V_Tüm Teknoloji'!$AE$2:$AE$59,0))</f>
        <v>0</v>
      </c>
      <c r="AB27" s="8">
        <f>INDEX('V_Tüm Teknoloji'!AA$2:AA$59,MATCH(LARGE('V_Tüm Teknoloji'!$AE$2:$AE$59,ROW()-3),'V_Tüm Teknoloji'!$AE$2:$AE$59,0))</f>
        <v>0</v>
      </c>
      <c r="AC27" s="8">
        <f>INDEX('V_Tüm Teknoloji'!AB$2:AB$59,MATCH(LARGE('V_Tüm Teknoloji'!$AE$2:$AE$59,ROW()-3),'V_Tüm Teknoloji'!$AE$2:$AE$59,0))</f>
        <v>0</v>
      </c>
      <c r="AD27" s="8">
        <f>INDEX('V_Tüm Teknoloji'!AC$2:AC$59,MATCH(LARGE('V_Tüm Teknoloji'!$AE$2:$AE$59,ROW()-3),'V_Tüm Teknoloji'!$AE$2:$AE$59,0))</f>
        <v>1</v>
      </c>
    </row>
    <row r="28" spans="1:30" x14ac:dyDescent="0.2">
      <c r="A28">
        <v>25</v>
      </c>
      <c r="B28" s="5" t="str">
        <f>INDEX('V_Tüm Teknoloji'!A$2:A$59,MATCH(LARGE('V_Tüm Teknoloji'!$AE$2:$AE$59,ROW()-3),'V_Tüm Teknoloji'!$AE$2:$AE$59,0))</f>
        <v>OJT</v>
      </c>
      <c r="C28" s="5" t="str">
        <f>INDEX('V_Tüm Teknoloji'!B$2:B$59,MATCH(LARGE('V_Tüm Teknoloji'!$AE$2:$AE$59,ROW()-3),'V_Tüm Teknoloji'!$AE$2:$AE$59,0))</f>
        <v>Qnb Portföy Teknoloji Fon Sepeti Fonu</v>
      </c>
      <c r="D28" s="5" t="str">
        <f>INDEX('V_Tüm Teknoloji'!C$2:C$59,MATCH(LARGE('V_Tüm Teknoloji'!$AE$2:$AE$59,ROW()-3),'V_Tüm Teknoloji'!$AE$2:$AE$59,0))</f>
        <v>Qnb Portföy</v>
      </c>
      <c r="E28" s="8">
        <f>INDEX('V_Tüm Teknoloji'!D$2:D$59,MATCH(LARGE('V_Tüm Teknoloji'!$AE$2:$AE$59,ROW()-3),'V_Tüm Teknoloji'!$AE$2:$AE$59,0))</f>
        <v>2.9499999999999998E-2</v>
      </c>
      <c r="F28" s="9">
        <f>INDEX('V_Tüm Teknoloji'!E$2:E$59,MATCH(LARGE('V_Tüm Teknoloji'!$AE$2:$AE$59,ROW()-3),'V_Tüm Teknoloji'!$AE$2:$AE$59,0))</f>
        <v>-0.88800895958152104</v>
      </c>
      <c r="G28" s="9">
        <f>INDEX('V_Tüm Teknoloji'!F$2:F$59,MATCH(LARGE('V_Tüm Teknoloji'!$AE$2:$AE$59,ROW()-3),'V_Tüm Teknoloji'!$AE$2:$AE$59,0))</f>
        <v>-1.6755451394906311</v>
      </c>
      <c r="H28" s="9">
        <f>INDEX('V_Tüm Teknoloji'!G$2:G$59,MATCH(LARGE('V_Tüm Teknoloji'!$AE$2:$AE$59,ROW()-3),'V_Tüm Teknoloji'!$AE$2:$AE$59,0))</f>
        <v>2.255902678648614</v>
      </c>
      <c r="I28" s="9">
        <f>INDEX('V_Tüm Teknoloji'!H$2:H$59,MATCH(LARGE('V_Tüm Teknoloji'!$AE$2:$AE$59,ROW()-3),'V_Tüm Teknoloji'!$AE$2:$AE$59,0))</f>
        <v>35.760462709152293</v>
      </c>
      <c r="J28" s="9">
        <f>INDEX('V_Tüm Teknoloji'!I$2:I$59,MATCH(LARGE('V_Tüm Teknoloji'!$AE$2:$AE$59,ROW()-3),'V_Tüm Teknoloji'!$AE$2:$AE$59,0))</f>
        <v>62.742062345521568</v>
      </c>
      <c r="K28" s="10">
        <f>INDEX('V_Tüm Teknoloji'!J$2:J$59,MATCH(LARGE('V_Tüm Teknoloji'!$AE$2:$AE$59,ROW()-3),'V_Tüm Teknoloji'!$AE$2:$AE$59,0))</f>
        <v>11670</v>
      </c>
      <c r="L28" s="10">
        <f>INDEX('V_Tüm Teknoloji'!K$2:K$59,MATCH(LARGE('V_Tüm Teknoloji'!$AE$2:$AE$59,ROW()-3),'V_Tüm Teknoloji'!$AE$2:$AE$59,0))</f>
        <v>11430</v>
      </c>
      <c r="M28" s="8">
        <f>INDEX('V_Tüm Teknoloji'!L$2:L$59,MATCH(LARGE('V_Tüm Teknoloji'!$AE$2:$AE$59,ROW()-3),'V_Tüm Teknoloji'!$AE$2:$AE$59,0))</f>
        <v>-2.0565552699228769E-2</v>
      </c>
      <c r="N28" s="11">
        <f>INDEX('V_Tüm Teknoloji'!M$2:M$59,MATCH(LARGE('V_Tüm Teknoloji'!$AE$2:$AE$59,ROW()-3),'V_Tüm Teknoloji'!$AE$2:$AE$59,0))</f>
        <v>4509727809.6599998</v>
      </c>
      <c r="O28" s="11">
        <f>INDEX('V_Tüm Teknoloji'!N$2:N$59,MATCH(LARGE('V_Tüm Teknoloji'!$AE$2:$AE$59,ROW()-3),'V_Tüm Teknoloji'!$AE$2:$AE$59,0))</f>
        <v>4692042996.6599998</v>
      </c>
      <c r="P28" s="8">
        <f>INDEX('V_Tüm Teknoloji'!O$2:O$59,MATCH(LARGE('V_Tüm Teknoloji'!$AE$2:$AE$59,ROW()-3),'V_Tüm Teknoloji'!$AE$2:$AE$59,0))</f>
        <v>4.0427093318021079E-2</v>
      </c>
      <c r="Q28" s="9">
        <f>INDEX('V_Tüm Teknoloji'!P$2:P$59,MATCH(LARGE('V_Tüm Teknoloji'!$AE$2:$AE$59,ROW()-3),'V_Tüm Teknoloji'!$AE$2:$AE$59,0))</f>
        <v>1.538275203829423</v>
      </c>
      <c r="R28" s="5" t="str">
        <f>INDEX('V_Tüm Teknoloji'!Q$2:Q$59,MATCH(LARGE('V_Tüm Teknoloji'!$AE$2:$AE$59,ROW()-3),'V_Tüm Teknoloji'!$AE$2:$AE$59,0))</f>
        <v>Görüyor</v>
      </c>
      <c r="S28" s="8">
        <f>INDEX('V_Tüm Teknoloji'!R$2:R$59,MATCH(LARGE('V_Tüm Teknoloji'!$AE$2:$AE$59,ROW()-3),'V_Tüm Teknoloji'!$AE$2:$AE$59,0))</f>
        <v>0.69669999999999999</v>
      </c>
      <c r="T28" s="8">
        <f>INDEX('V_Tüm Teknoloji'!S$2:S$59,MATCH(LARGE('V_Tüm Teknoloji'!$AE$2:$AE$59,ROW()-3),'V_Tüm Teknoloji'!$AE$2:$AE$59,0))</f>
        <v>0.10100000000000001</v>
      </c>
      <c r="U28" s="8">
        <f>INDEX('V_Tüm Teknoloji'!T$2:T$59,MATCH(LARGE('V_Tüm Teknoloji'!$AE$2:$AE$59,ROW()-3),'V_Tüm Teknoloji'!$AE$2:$AE$59,0))</f>
        <v>0</v>
      </c>
      <c r="V28" s="8">
        <f>INDEX('V_Tüm Teknoloji'!U$2:U$59,MATCH(LARGE('V_Tüm Teknoloji'!$AE$2:$AE$59,ROW()-3),'V_Tüm Teknoloji'!$AE$2:$AE$59,0))</f>
        <v>0</v>
      </c>
      <c r="W28" s="8">
        <f>INDEX('V_Tüm Teknoloji'!V$2:V$59,MATCH(LARGE('V_Tüm Teknoloji'!$AE$2:$AE$59,ROW()-3),'V_Tüm Teknoloji'!$AE$2:$AE$59,0))</f>
        <v>2.1899999999999999E-2</v>
      </c>
      <c r="X28" s="8">
        <f>INDEX('V_Tüm Teknoloji'!W$2:W$59,MATCH(LARGE('V_Tüm Teknoloji'!$AE$2:$AE$59,ROW()-3),'V_Tüm Teknoloji'!$AE$2:$AE$59,0))</f>
        <v>0.1249</v>
      </c>
      <c r="Y28" s="8">
        <f>INDEX('V_Tüm Teknoloji'!X$2:X$59,MATCH(LARGE('V_Tüm Teknoloji'!$AE$2:$AE$59,ROW()-3),'V_Tüm Teknoloji'!$AE$2:$AE$59,0))</f>
        <v>1.23E-2</v>
      </c>
      <c r="Z28" s="8">
        <f>INDEX('V_Tüm Teknoloji'!Y$2:Y$59,MATCH(LARGE('V_Tüm Teknoloji'!$AE$2:$AE$59,ROW()-3),'V_Tüm Teknoloji'!$AE$2:$AE$59,0))</f>
        <v>4.3200000000000002E-2</v>
      </c>
      <c r="AA28" s="8">
        <f>INDEX('V_Tüm Teknoloji'!Z$2:Z$59,MATCH(LARGE('V_Tüm Teknoloji'!$AE$2:$AE$59,ROW()-3),'V_Tüm Teknoloji'!$AE$2:$AE$59,0))</f>
        <v>0</v>
      </c>
      <c r="AB28" s="8">
        <f>INDEX('V_Tüm Teknoloji'!AA$2:AA$59,MATCH(LARGE('V_Tüm Teknoloji'!$AE$2:$AE$59,ROW()-3),'V_Tüm Teknoloji'!$AE$2:$AE$59,0))</f>
        <v>0</v>
      </c>
      <c r="AC28" s="8">
        <f>INDEX('V_Tüm Teknoloji'!AB$2:AB$59,MATCH(LARGE('V_Tüm Teknoloji'!$AE$2:$AE$59,ROW()-3),'V_Tüm Teknoloji'!$AE$2:$AE$59,0))</f>
        <v>0</v>
      </c>
      <c r="AD28" s="8">
        <f>INDEX('V_Tüm Teknoloji'!AC$2:AC$59,MATCH(LARGE('V_Tüm Teknoloji'!$AE$2:$AE$59,ROW()-3),'V_Tüm Teknoloji'!$AE$2:$AE$59,0))</f>
        <v>1</v>
      </c>
    </row>
    <row r="29" spans="1:30" x14ac:dyDescent="0.2">
      <c r="A29">
        <v>26</v>
      </c>
      <c r="B29" s="5" t="str">
        <f>INDEX('V_Tüm Teknoloji'!A$2:A$59,MATCH(LARGE('V_Tüm Teknoloji'!$AE$2:$AE$59,ROW()-3),'V_Tüm Teknoloji'!$AE$2:$AE$59,0))</f>
        <v>ZFB</v>
      </c>
      <c r="C29" s="5" t="str">
        <f>INDEX('V_Tüm Teknoloji'!B$2:B$59,MATCH(LARGE('V_Tüm Teknoloji'!$AE$2:$AE$59,ROW()-3),'V_Tüm Teknoloji'!$AE$2:$AE$59,0))</f>
        <v>AK Portföy Fintek VE Blokzinciri Teknolojileri Değişken Fon</v>
      </c>
      <c r="D29" s="5" t="str">
        <f>INDEX('V_Tüm Teknoloji'!C$2:C$59,MATCH(LARGE('V_Tüm Teknoloji'!$AE$2:$AE$59,ROW()-3),'V_Tüm Teknoloji'!$AE$2:$AE$59,0))</f>
        <v>AK Portföy</v>
      </c>
      <c r="E29" s="8">
        <f>INDEX('V_Tüm Teknoloji'!D$2:D$59,MATCH(LARGE('V_Tüm Teknoloji'!$AE$2:$AE$59,ROW()-3),'V_Tüm Teknoloji'!$AE$2:$AE$59,0))</f>
        <v>2.9000000000000001E-2</v>
      </c>
      <c r="F29" s="9">
        <f>INDEX('V_Tüm Teknoloji'!E$2:E$59,MATCH(LARGE('V_Tüm Teknoloji'!$AE$2:$AE$59,ROW()-3),'V_Tüm Teknoloji'!$AE$2:$AE$59,0))</f>
        <v>-0.94552319058174294</v>
      </c>
      <c r="G29" s="9">
        <f>INDEX('V_Tüm Teknoloji'!F$2:F$59,MATCH(LARGE('V_Tüm Teknoloji'!$AE$2:$AE$59,ROW()-3),'V_Tüm Teknoloji'!$AE$2:$AE$59,0))</f>
        <v>-0.70310749895426961</v>
      </c>
      <c r="H29" s="9">
        <f>INDEX('V_Tüm Teknoloji'!G$2:G$59,MATCH(LARGE('V_Tüm Teknoloji'!$AE$2:$AE$59,ROW()-3),'V_Tüm Teknoloji'!$AE$2:$AE$59,0))</f>
        <v>1.3307307610775481</v>
      </c>
      <c r="I29" s="9">
        <f>INDEX('V_Tüm Teknoloji'!H$2:H$59,MATCH(LARGE('V_Tüm Teknoloji'!$AE$2:$AE$59,ROW()-3),'V_Tüm Teknoloji'!$AE$2:$AE$59,0))</f>
        <v>26.748428799507209</v>
      </c>
      <c r="J29" s="9">
        <f>INDEX('V_Tüm Teknoloji'!I$2:I$59,MATCH(LARGE('V_Tüm Teknoloji'!$AE$2:$AE$59,ROW()-3),'V_Tüm Teknoloji'!$AE$2:$AE$59,0))</f>
        <v>54.295003362072308</v>
      </c>
      <c r="K29" s="10">
        <f>INDEX('V_Tüm Teknoloji'!J$2:J$59,MATCH(LARGE('V_Tüm Teknoloji'!$AE$2:$AE$59,ROW()-3),'V_Tüm Teknoloji'!$AE$2:$AE$59,0))</f>
        <v>16331</v>
      </c>
      <c r="L29" s="10">
        <f>INDEX('V_Tüm Teknoloji'!K$2:K$59,MATCH(LARGE('V_Tüm Teknoloji'!$AE$2:$AE$59,ROW()-3),'V_Tüm Teknoloji'!$AE$2:$AE$59,0))</f>
        <v>15710</v>
      </c>
      <c r="M29" s="8">
        <f>INDEX('V_Tüm Teknoloji'!L$2:L$59,MATCH(LARGE('V_Tüm Teknoloji'!$AE$2:$AE$59,ROW()-3),'V_Tüm Teknoloji'!$AE$2:$AE$59,0))</f>
        <v>-3.8025840426183288E-2</v>
      </c>
      <c r="N29" s="11">
        <f>INDEX('V_Tüm Teknoloji'!M$2:M$59,MATCH(LARGE('V_Tüm Teknoloji'!$AE$2:$AE$59,ROW()-3),'V_Tüm Teknoloji'!$AE$2:$AE$59,0))</f>
        <v>870243161.61000001</v>
      </c>
      <c r="O29" s="11">
        <f>INDEX('V_Tüm Teknoloji'!N$2:N$59,MATCH(LARGE('V_Tüm Teknoloji'!$AE$2:$AE$59,ROW()-3),'V_Tüm Teknoloji'!$AE$2:$AE$59,0))</f>
        <v>1050744952.35</v>
      </c>
      <c r="P29" s="8">
        <f>INDEX('V_Tüm Teknoloji'!O$2:O$59,MATCH(LARGE('V_Tüm Teknoloji'!$AE$2:$AE$59,ROW()-3),'V_Tüm Teknoloji'!$AE$2:$AE$59,0))</f>
        <v>0.20741535090728111</v>
      </c>
      <c r="Q29" s="9">
        <f>INDEX('V_Tüm Teknoloji'!P$2:P$59,MATCH(LARGE('V_Tüm Teknoloji'!$AE$2:$AE$59,ROW()-3),'V_Tüm Teknoloji'!$AE$2:$AE$59,0))</f>
        <v>1.3342788491111079</v>
      </c>
      <c r="R29" s="5" t="str">
        <f>INDEX('V_Tüm Teknoloji'!Q$2:Q$59,MATCH(LARGE('V_Tüm Teknoloji'!$AE$2:$AE$59,ROW()-3),'V_Tüm Teknoloji'!$AE$2:$AE$59,0))</f>
        <v>Görüyor</v>
      </c>
      <c r="S29" s="8">
        <f>INDEX('V_Tüm Teknoloji'!R$2:R$59,MATCH(LARGE('V_Tüm Teknoloji'!$AE$2:$AE$59,ROW()-3),'V_Tüm Teknoloji'!$AE$2:$AE$59,0))</f>
        <v>0.65310000000000001</v>
      </c>
      <c r="T29" s="8">
        <f>INDEX('V_Tüm Teknoloji'!S$2:S$59,MATCH(LARGE('V_Tüm Teknoloji'!$AE$2:$AE$59,ROW()-3),'V_Tüm Teknoloji'!$AE$2:$AE$59,0))</f>
        <v>0</v>
      </c>
      <c r="U29" s="8">
        <f>INDEX('V_Tüm Teknoloji'!T$2:T$59,MATCH(LARGE('V_Tüm Teknoloji'!$AE$2:$AE$59,ROW()-3),'V_Tüm Teknoloji'!$AE$2:$AE$59,0))</f>
        <v>0</v>
      </c>
      <c r="V29" s="8">
        <f>INDEX('V_Tüm Teknoloji'!U$2:U$59,MATCH(LARGE('V_Tüm Teknoloji'!$AE$2:$AE$59,ROW()-3),'V_Tüm Teknoloji'!$AE$2:$AE$59,0))</f>
        <v>0</v>
      </c>
      <c r="W29" s="8">
        <f>INDEX('V_Tüm Teknoloji'!V$2:V$59,MATCH(LARGE('V_Tüm Teknoloji'!$AE$2:$AE$59,ROW()-3),'V_Tüm Teknoloji'!$AE$2:$AE$59,0))</f>
        <v>4.5900000000000003E-2</v>
      </c>
      <c r="X29" s="8">
        <f>INDEX('V_Tüm Teknoloji'!W$2:W$59,MATCH(LARGE('V_Tüm Teknoloji'!$AE$2:$AE$59,ROW()-3),'V_Tüm Teknoloji'!$AE$2:$AE$59,0))</f>
        <v>0.20230000000000001</v>
      </c>
      <c r="Y29" s="8">
        <f>INDEX('V_Tüm Teknoloji'!X$2:X$59,MATCH(LARGE('V_Tüm Teknoloji'!$AE$2:$AE$59,ROW()-3),'V_Tüm Teknoloji'!$AE$2:$AE$59,0))</f>
        <v>1.4E-3</v>
      </c>
      <c r="Z29" s="8">
        <f>INDEX('V_Tüm Teknoloji'!Y$2:Y$59,MATCH(LARGE('V_Tüm Teknoloji'!$AE$2:$AE$59,ROW()-3),'V_Tüm Teknoloji'!$AE$2:$AE$59,0))</f>
        <v>9.7299999999999998E-2</v>
      </c>
      <c r="AA29" s="8">
        <f>INDEX('V_Tüm Teknoloji'!Z$2:Z$59,MATCH(LARGE('V_Tüm Teknoloji'!$AE$2:$AE$59,ROW()-3),'V_Tüm Teknoloji'!$AE$2:$AE$59,0))</f>
        <v>0</v>
      </c>
      <c r="AB29" s="8">
        <f>INDEX('V_Tüm Teknoloji'!AA$2:AA$59,MATCH(LARGE('V_Tüm Teknoloji'!$AE$2:$AE$59,ROW()-3),'V_Tüm Teknoloji'!$AE$2:$AE$59,0))</f>
        <v>0</v>
      </c>
      <c r="AC29" s="8">
        <f>INDEX('V_Tüm Teknoloji'!AB$2:AB$59,MATCH(LARGE('V_Tüm Teknoloji'!$AE$2:$AE$59,ROW()-3),'V_Tüm Teknoloji'!$AE$2:$AE$59,0))</f>
        <v>0</v>
      </c>
      <c r="AD29" s="8">
        <f>INDEX('V_Tüm Teknoloji'!AC$2:AC$59,MATCH(LARGE('V_Tüm Teknoloji'!$AE$2:$AE$59,ROW()-3),'V_Tüm Teknoloji'!$AE$2:$AE$59,0))</f>
        <v>1</v>
      </c>
    </row>
    <row r="30" spans="1:30" x14ac:dyDescent="0.2">
      <c r="A30">
        <v>27</v>
      </c>
      <c r="B30" s="5" t="str">
        <f>INDEX('V_Tüm Teknoloji'!A$2:A$59,MATCH(LARGE('V_Tüm Teknoloji'!$AE$2:$AE$59,ROW()-3),'V_Tüm Teknoloji'!$AE$2:$AE$59,0))</f>
        <v>HOA</v>
      </c>
      <c r="C30" s="5" t="str">
        <f>INDEX('V_Tüm Teknoloji'!B$2:B$59,MATCH(LARGE('V_Tüm Teknoloji'!$AE$2:$AE$59,ROW()-3),'V_Tüm Teknoloji'!$AE$2:$AE$59,0))</f>
        <v>Hsbc Portföy Teknoloji Değişken Fon</v>
      </c>
      <c r="D30" s="5" t="str">
        <f>INDEX('V_Tüm Teknoloji'!C$2:C$59,MATCH(LARGE('V_Tüm Teknoloji'!$AE$2:$AE$59,ROW()-3),'V_Tüm Teknoloji'!$AE$2:$AE$59,0))</f>
        <v>Hsbc Portföy</v>
      </c>
      <c r="E30" s="8">
        <f>INDEX('V_Tüm Teknoloji'!D$2:D$59,MATCH(LARGE('V_Tüm Teknoloji'!$AE$2:$AE$59,ROW()-3),'V_Tüm Teknoloji'!$AE$2:$AE$59,0))</f>
        <v>1.7520000000000001E-2</v>
      </c>
      <c r="F30" s="9">
        <f>INDEX('V_Tüm Teknoloji'!E$2:E$59,MATCH(LARGE('V_Tüm Teknoloji'!$AE$2:$AE$59,ROW()-3),'V_Tüm Teknoloji'!$AE$2:$AE$59,0))</f>
        <v>-0.95774104058857779</v>
      </c>
      <c r="G30" s="9">
        <f>INDEX('V_Tüm Teknoloji'!F$2:F$59,MATCH(LARGE('V_Tüm Teknoloji'!$AE$2:$AE$59,ROW()-3),'V_Tüm Teknoloji'!$AE$2:$AE$59,0))</f>
        <v>-0.70896024773636768</v>
      </c>
      <c r="H30" s="9">
        <f>INDEX('V_Tüm Teknoloji'!G$2:G$59,MATCH(LARGE('V_Tüm Teknoloji'!$AE$2:$AE$59,ROW()-3),'V_Tüm Teknoloji'!$AE$2:$AE$59,0))</f>
        <v>1.2541619469330409</v>
      </c>
      <c r="I30" s="9">
        <f>INDEX('V_Tüm Teknoloji'!H$2:H$59,MATCH(LARGE('V_Tüm Teknoloji'!$AE$2:$AE$59,ROW()-3),'V_Tüm Teknoloji'!$AE$2:$AE$59,0))</f>
        <v>24.728858350951381</v>
      </c>
      <c r="J30" s="9">
        <f>INDEX('V_Tüm Teknoloji'!I$2:I$59,MATCH(LARGE('V_Tüm Teknoloji'!$AE$2:$AE$59,ROW()-3),'V_Tüm Teknoloji'!$AE$2:$AE$59,0))</f>
        <v>50.828965869870913</v>
      </c>
      <c r="K30" s="10">
        <f>INDEX('V_Tüm Teknoloji'!J$2:J$59,MATCH(LARGE('V_Tüm Teknoloji'!$AE$2:$AE$59,ROW()-3),'V_Tüm Teknoloji'!$AE$2:$AE$59,0))</f>
        <v>3473</v>
      </c>
      <c r="L30" s="10">
        <f>INDEX('V_Tüm Teknoloji'!K$2:K$59,MATCH(LARGE('V_Tüm Teknoloji'!$AE$2:$AE$59,ROW()-3),'V_Tüm Teknoloji'!$AE$2:$AE$59,0))</f>
        <v>3454</v>
      </c>
      <c r="M30" s="8">
        <f>INDEX('V_Tüm Teknoloji'!L$2:L$59,MATCH(LARGE('V_Tüm Teknoloji'!$AE$2:$AE$59,ROW()-3),'V_Tüm Teknoloji'!$AE$2:$AE$59,0))</f>
        <v>-5.4707745465015778E-3</v>
      </c>
      <c r="N30" s="11">
        <f>INDEX('V_Tüm Teknoloji'!M$2:M$59,MATCH(LARGE('V_Tüm Teknoloji'!$AE$2:$AE$59,ROW()-3),'V_Tüm Teknoloji'!$AE$2:$AE$59,0))</f>
        <v>2089082826.8</v>
      </c>
      <c r="O30" s="11">
        <f>INDEX('V_Tüm Teknoloji'!N$2:N$59,MATCH(LARGE('V_Tüm Teknoloji'!$AE$2:$AE$59,ROW()-3),'V_Tüm Teknoloji'!$AE$2:$AE$59,0))</f>
        <v>2089492654.5799999</v>
      </c>
      <c r="P30" s="8">
        <f>INDEX('V_Tüm Teknoloji'!O$2:O$59,MATCH(LARGE('V_Tüm Teknoloji'!$AE$2:$AE$59,ROW()-3),'V_Tüm Teknoloji'!$AE$2:$AE$59,0))</f>
        <v>1.961759365125548E-4</v>
      </c>
      <c r="Q30" s="9">
        <f>INDEX('V_Tüm Teknoloji'!P$2:P$59,MATCH(LARGE('V_Tüm Teknoloji'!$AE$2:$AE$59,ROW()-3),'V_Tüm Teknoloji'!$AE$2:$AE$59,0))</f>
        <v>1.4861087257430241</v>
      </c>
      <c r="R30" s="5" t="str">
        <f>INDEX('V_Tüm Teknoloji'!Q$2:Q$59,MATCH(LARGE('V_Tüm Teknoloji'!$AE$2:$AE$59,ROW()-3),'V_Tüm Teknoloji'!$AE$2:$AE$59,0))</f>
        <v>Görüyor</v>
      </c>
      <c r="S30" s="8">
        <f>INDEX('V_Tüm Teknoloji'!R$2:R$59,MATCH(LARGE('V_Tüm Teknoloji'!$AE$2:$AE$59,ROW()-3),'V_Tüm Teknoloji'!$AE$2:$AE$59,0))</f>
        <v>0.62270000000000003</v>
      </c>
      <c r="T30" s="8">
        <f>INDEX('V_Tüm Teknoloji'!S$2:S$59,MATCH(LARGE('V_Tüm Teknoloji'!$AE$2:$AE$59,ROW()-3),'V_Tüm Teknoloji'!$AE$2:$AE$59,0))</f>
        <v>7.2999999999999995E-2</v>
      </c>
      <c r="U30" s="8">
        <f>INDEX('V_Tüm Teknoloji'!T$2:T$59,MATCH(LARGE('V_Tüm Teknoloji'!$AE$2:$AE$59,ROW()-3),'V_Tüm Teknoloji'!$AE$2:$AE$59,0))</f>
        <v>0</v>
      </c>
      <c r="V30" s="8">
        <f>INDEX('V_Tüm Teknoloji'!U$2:U$59,MATCH(LARGE('V_Tüm Teknoloji'!$AE$2:$AE$59,ROW()-3),'V_Tüm Teknoloji'!$AE$2:$AE$59,0))</f>
        <v>2.0299999999999999E-2</v>
      </c>
      <c r="W30" s="8">
        <f>INDEX('V_Tüm Teknoloji'!V$2:V$59,MATCH(LARGE('V_Tüm Teknoloji'!$AE$2:$AE$59,ROW()-3),'V_Tüm Teknoloji'!$AE$2:$AE$59,0))</f>
        <v>0</v>
      </c>
      <c r="X30" s="8">
        <f>INDEX('V_Tüm Teknoloji'!W$2:W$59,MATCH(LARGE('V_Tüm Teknoloji'!$AE$2:$AE$59,ROW()-3),'V_Tüm Teknoloji'!$AE$2:$AE$59,0))</f>
        <v>0.12709999999999999</v>
      </c>
      <c r="Y30" s="8">
        <f>INDEX('V_Tüm Teknoloji'!X$2:X$59,MATCH(LARGE('V_Tüm Teknoloji'!$AE$2:$AE$59,ROW()-3),'V_Tüm Teknoloji'!$AE$2:$AE$59,0))</f>
        <v>1.84E-2</v>
      </c>
      <c r="Z30" s="8">
        <f>INDEX('V_Tüm Teknoloji'!Y$2:Y$59,MATCH(LARGE('V_Tüm Teknoloji'!$AE$2:$AE$59,ROW()-3),'V_Tüm Teknoloji'!$AE$2:$AE$59,0))</f>
        <v>5.0799999999999998E-2</v>
      </c>
      <c r="AA30" s="8">
        <f>INDEX('V_Tüm Teknoloji'!Z$2:Z$59,MATCH(LARGE('V_Tüm Teknoloji'!$AE$2:$AE$59,ROW()-3),'V_Tüm Teknoloji'!$AE$2:$AE$59,0))</f>
        <v>5.1900000000000002E-2</v>
      </c>
      <c r="AB30" s="8">
        <f>INDEX('V_Tüm Teknoloji'!AA$2:AA$59,MATCH(LARGE('V_Tüm Teknoloji'!$AE$2:$AE$59,ROW()-3),'V_Tüm Teknoloji'!$AE$2:$AE$59,0))</f>
        <v>2.3E-2</v>
      </c>
      <c r="AC30" s="8">
        <f>INDEX('V_Tüm Teknoloji'!AB$2:AB$59,MATCH(LARGE('V_Tüm Teknoloji'!$AE$2:$AE$59,ROW()-3),'V_Tüm Teknoloji'!$AE$2:$AE$59,0))</f>
        <v>2.7000000000000001E-3</v>
      </c>
      <c r="AD30" s="8">
        <f>INDEX('V_Tüm Teknoloji'!AC$2:AC$59,MATCH(LARGE('V_Tüm Teknoloji'!$AE$2:$AE$59,ROW()-3),'V_Tüm Teknoloji'!$AE$2:$AE$59,0))</f>
        <v>0.9899</v>
      </c>
    </row>
    <row r="31" spans="1:30" x14ac:dyDescent="0.2">
      <c r="A31">
        <v>28</v>
      </c>
      <c r="B31" s="5" t="str">
        <f>INDEX('V_Tüm Teknoloji'!A$2:A$59,MATCH(LARGE('V_Tüm Teknoloji'!$AE$2:$AE$59,ROW()-3),'V_Tüm Teknoloji'!$AE$2:$AE$59,0))</f>
        <v>MTX</v>
      </c>
      <c r="C31" s="5" t="str">
        <f>INDEX('V_Tüm Teknoloji'!B$2:B$59,MATCH(LARGE('V_Tüm Teknoloji'!$AE$2:$AE$59,ROW()-3),'V_Tüm Teknoloji'!$AE$2:$AE$59,0))</f>
        <v>Teb Portföy Üçüncü Değişken Fon</v>
      </c>
      <c r="D31" s="5" t="str">
        <f>INDEX('V_Tüm Teknoloji'!C$2:C$59,MATCH(LARGE('V_Tüm Teknoloji'!$AE$2:$AE$59,ROW()-3),'V_Tüm Teknoloji'!$AE$2:$AE$59,0))</f>
        <v>Teb Portföy</v>
      </c>
      <c r="E31" s="8">
        <f>INDEX('V_Tüm Teknoloji'!D$2:D$59,MATCH(LARGE('V_Tüm Teknoloji'!$AE$2:$AE$59,ROW()-3),'V_Tüm Teknoloji'!$AE$2:$AE$59,0))</f>
        <v>2.75E-2</v>
      </c>
      <c r="F31" s="9">
        <f>INDEX('V_Tüm Teknoloji'!E$2:E$59,MATCH(LARGE('V_Tüm Teknoloji'!$AE$2:$AE$59,ROW()-3),'V_Tüm Teknoloji'!$AE$2:$AE$59,0))</f>
        <v>-0.97199273177345225</v>
      </c>
      <c r="G31" s="9">
        <f>INDEX('V_Tüm Teknoloji'!F$2:F$59,MATCH(LARGE('V_Tüm Teknoloji'!$AE$2:$AE$59,ROW()-3),'V_Tüm Teknoloji'!$AE$2:$AE$59,0))</f>
        <v>-1.6544826872705749</v>
      </c>
      <c r="H31" s="9">
        <f>INDEX('V_Tüm Teknoloji'!G$2:G$59,MATCH(LARGE('V_Tüm Teknoloji'!$AE$2:$AE$59,ROW()-3),'V_Tüm Teknoloji'!$AE$2:$AE$59,0))</f>
        <v>1.1445731877478991</v>
      </c>
      <c r="I31" s="9">
        <f>INDEX('V_Tüm Teknoloji'!H$2:H$59,MATCH(LARGE('V_Tüm Teknoloji'!$AE$2:$AE$59,ROW()-3),'V_Tüm Teknoloji'!$AE$2:$AE$59,0))</f>
        <v>15.635370264769531</v>
      </c>
      <c r="J31" s="9">
        <f>INDEX('V_Tüm Teknoloji'!I$2:I$59,MATCH(LARGE('V_Tüm Teknoloji'!$AE$2:$AE$59,ROW()-3),'V_Tüm Teknoloji'!$AE$2:$AE$59,0))</f>
        <v>40.567517638834502</v>
      </c>
      <c r="K31" s="10">
        <f>INDEX('V_Tüm Teknoloji'!J$2:J$59,MATCH(LARGE('V_Tüm Teknoloji'!$AE$2:$AE$59,ROW()-3),'V_Tüm Teknoloji'!$AE$2:$AE$59,0))</f>
        <v>2305</v>
      </c>
      <c r="L31" s="10">
        <f>INDEX('V_Tüm Teknoloji'!K$2:K$59,MATCH(LARGE('V_Tüm Teknoloji'!$AE$2:$AE$59,ROW()-3),'V_Tüm Teknoloji'!$AE$2:$AE$59,0))</f>
        <v>2196</v>
      </c>
      <c r="M31" s="8">
        <f>INDEX('V_Tüm Teknoloji'!L$2:L$59,MATCH(LARGE('V_Tüm Teknoloji'!$AE$2:$AE$59,ROW()-3),'V_Tüm Teknoloji'!$AE$2:$AE$59,0))</f>
        <v>-4.7288503253796077E-2</v>
      </c>
      <c r="N31" s="11">
        <f>INDEX('V_Tüm Teknoloji'!M$2:M$59,MATCH(LARGE('V_Tüm Teknoloji'!$AE$2:$AE$59,ROW()-3),'V_Tüm Teknoloji'!$AE$2:$AE$59,0))</f>
        <v>113541289.62</v>
      </c>
      <c r="O31" s="11">
        <f>INDEX('V_Tüm Teknoloji'!N$2:N$59,MATCH(LARGE('V_Tüm Teknoloji'!$AE$2:$AE$59,ROW()-3),'V_Tüm Teknoloji'!$AE$2:$AE$59,0))</f>
        <v>89285862.900000006</v>
      </c>
      <c r="P31" s="8">
        <f>INDEX('V_Tüm Teknoloji'!O$2:O$59,MATCH(LARGE('V_Tüm Teknoloji'!$AE$2:$AE$59,ROW()-3),'V_Tüm Teknoloji'!$AE$2:$AE$59,0))</f>
        <v>-0.21362648602264481</v>
      </c>
      <c r="Q31" s="9">
        <f>INDEX('V_Tüm Teknoloji'!P$2:P$59,MATCH(LARGE('V_Tüm Teknoloji'!$AE$2:$AE$59,ROW()-3),'V_Tüm Teknoloji'!$AE$2:$AE$59,0))</f>
        <v>1.5407652508355809</v>
      </c>
      <c r="R31" s="5" t="str">
        <f>INDEX('V_Tüm Teknoloji'!Q$2:Q$59,MATCH(LARGE('V_Tüm Teknoloji'!$AE$2:$AE$59,ROW()-3),'V_Tüm Teknoloji'!$AE$2:$AE$59,0))</f>
        <v>Görüyor</v>
      </c>
      <c r="S31" s="8">
        <f>INDEX('V_Tüm Teknoloji'!R$2:R$59,MATCH(LARGE('V_Tüm Teknoloji'!$AE$2:$AE$59,ROW()-3),'V_Tüm Teknoloji'!$AE$2:$AE$59,0))</f>
        <v>0.62170000000000003</v>
      </c>
      <c r="T31" s="8">
        <f>INDEX('V_Tüm Teknoloji'!S$2:S$59,MATCH(LARGE('V_Tüm Teknoloji'!$AE$2:$AE$59,ROW()-3),'V_Tüm Teknoloji'!$AE$2:$AE$59,0))</f>
        <v>6.3E-2</v>
      </c>
      <c r="U31" s="8">
        <f>INDEX('V_Tüm Teknoloji'!T$2:T$59,MATCH(LARGE('V_Tüm Teknoloji'!$AE$2:$AE$59,ROW()-3),'V_Tüm Teknoloji'!$AE$2:$AE$59,0))</f>
        <v>2.2800000000000001E-2</v>
      </c>
      <c r="V31" s="8">
        <f>INDEX('V_Tüm Teknoloji'!U$2:U$59,MATCH(LARGE('V_Tüm Teknoloji'!$AE$2:$AE$59,ROW()-3),'V_Tüm Teknoloji'!$AE$2:$AE$59,0))</f>
        <v>0</v>
      </c>
      <c r="W31" s="8">
        <f>INDEX('V_Tüm Teknoloji'!V$2:V$59,MATCH(LARGE('V_Tüm Teknoloji'!$AE$2:$AE$59,ROW()-3),'V_Tüm Teknoloji'!$AE$2:$AE$59,0))</f>
        <v>0</v>
      </c>
      <c r="X31" s="8">
        <f>INDEX('V_Tüm Teknoloji'!W$2:W$59,MATCH(LARGE('V_Tüm Teknoloji'!$AE$2:$AE$59,ROW()-3),'V_Tüm Teknoloji'!$AE$2:$AE$59,0))</f>
        <v>0.24360000000000001</v>
      </c>
      <c r="Y31" s="8">
        <f>INDEX('V_Tüm Teknoloji'!X$2:X$59,MATCH(LARGE('V_Tüm Teknoloji'!$AE$2:$AE$59,ROW()-3),'V_Tüm Teknoloji'!$AE$2:$AE$59,0))</f>
        <v>0</v>
      </c>
      <c r="Z31" s="8">
        <f>INDEX('V_Tüm Teknoloji'!Y$2:Y$59,MATCH(LARGE('V_Tüm Teknoloji'!$AE$2:$AE$59,ROW()-3),'V_Tüm Teknoloji'!$AE$2:$AE$59,0))</f>
        <v>4.8899999999999999E-2</v>
      </c>
      <c r="AA31" s="8">
        <f>INDEX('V_Tüm Teknoloji'!Z$2:Z$59,MATCH(LARGE('V_Tüm Teknoloji'!$AE$2:$AE$59,ROW()-3),'V_Tüm Teknoloji'!$AE$2:$AE$59,0))</f>
        <v>0</v>
      </c>
      <c r="AB31" s="8">
        <f>INDEX('V_Tüm Teknoloji'!AA$2:AA$59,MATCH(LARGE('V_Tüm Teknoloji'!$AE$2:$AE$59,ROW()-3),'V_Tüm Teknoloji'!$AE$2:$AE$59,0))</f>
        <v>0</v>
      </c>
      <c r="AC31" s="8">
        <f>INDEX('V_Tüm Teknoloji'!AB$2:AB$59,MATCH(LARGE('V_Tüm Teknoloji'!$AE$2:$AE$59,ROW()-3),'V_Tüm Teknoloji'!$AE$2:$AE$59,0))</f>
        <v>0</v>
      </c>
      <c r="AD31" s="8">
        <f>INDEX('V_Tüm Teknoloji'!AC$2:AC$59,MATCH(LARGE('V_Tüm Teknoloji'!$AE$2:$AE$59,ROW()-3),'V_Tüm Teknoloji'!$AE$2:$AE$59,0))</f>
        <v>1</v>
      </c>
    </row>
    <row r="32" spans="1:30" x14ac:dyDescent="0.2">
      <c r="A32">
        <v>29</v>
      </c>
      <c r="B32" s="5" t="str">
        <f>INDEX('V_Tüm Teknoloji'!A$2:A$59,MATCH(LARGE('V_Tüm Teknoloji'!$AE$2:$AE$59,ROW()-3),'V_Tüm Teknoloji'!$AE$2:$AE$59,0))</f>
        <v>YZC</v>
      </c>
      <c r="C32" s="5" t="str">
        <f>INDEX('V_Tüm Teknoloji'!B$2:B$59,MATCH(LARGE('V_Tüm Teknoloji'!$AE$2:$AE$59,ROW()-3),'V_Tüm Teknoloji'!$AE$2:$AE$59,0))</f>
        <v>Yapı Kredi Portföy Fintech VE Blockchain Teknolojileri Değişken Fon</v>
      </c>
      <c r="D32" s="5" t="str">
        <f>INDEX('V_Tüm Teknoloji'!C$2:C$59,MATCH(LARGE('V_Tüm Teknoloji'!$AE$2:$AE$59,ROW()-3),'V_Tüm Teknoloji'!$AE$2:$AE$59,0))</f>
        <v>Yapı Kredi Portföy</v>
      </c>
      <c r="E32" s="8">
        <f>INDEX('V_Tüm Teknoloji'!D$2:D$59,MATCH(LARGE('V_Tüm Teknoloji'!$AE$2:$AE$59,ROW()-3),'V_Tüm Teknoloji'!$AE$2:$AE$59,0))</f>
        <v>0.03</v>
      </c>
      <c r="F32" s="9">
        <f>INDEX('V_Tüm Teknoloji'!E$2:E$59,MATCH(LARGE('V_Tüm Teknoloji'!$AE$2:$AE$59,ROW()-3),'V_Tüm Teknoloji'!$AE$2:$AE$59,0))</f>
        <v>-1.00784986365553</v>
      </c>
      <c r="G32" s="9">
        <f>INDEX('V_Tüm Teknoloji'!F$2:F$59,MATCH(LARGE('V_Tüm Teknoloji'!$AE$2:$AE$59,ROW()-3),'V_Tüm Teknoloji'!$AE$2:$AE$59,0))</f>
        <v>-2.1433750345779101</v>
      </c>
      <c r="H32" s="9">
        <f>INDEX('V_Tüm Teknoloji'!G$2:G$59,MATCH(LARGE('V_Tüm Teknoloji'!$AE$2:$AE$59,ROW()-3),'V_Tüm Teknoloji'!$AE$2:$AE$59,0))</f>
        <v>1.665197834088628</v>
      </c>
      <c r="I32" s="9">
        <f>INDEX('V_Tüm Teknoloji'!H$2:H$59,MATCH(LARGE('V_Tüm Teknoloji'!$AE$2:$AE$59,ROW()-3),'V_Tüm Teknoloji'!$AE$2:$AE$59,0))</f>
        <v>34.580906440226819</v>
      </c>
      <c r="J32" s="9">
        <f>INDEX('V_Tüm Teknoloji'!I$2:I$59,MATCH(LARGE('V_Tüm Teknoloji'!$AE$2:$AE$59,ROW()-3),'V_Tüm Teknoloji'!$AE$2:$AE$59,0))</f>
        <v>52.688070529625762</v>
      </c>
      <c r="K32" s="10">
        <f>INDEX('V_Tüm Teknoloji'!J$2:J$59,MATCH(LARGE('V_Tüm Teknoloji'!$AE$2:$AE$59,ROW()-3),'V_Tüm Teknoloji'!$AE$2:$AE$59,0))</f>
        <v>13182</v>
      </c>
      <c r="L32" s="10">
        <f>INDEX('V_Tüm Teknoloji'!K$2:K$59,MATCH(LARGE('V_Tüm Teknoloji'!$AE$2:$AE$59,ROW()-3),'V_Tüm Teknoloji'!$AE$2:$AE$59,0))</f>
        <v>12801</v>
      </c>
      <c r="M32" s="8">
        <f>INDEX('V_Tüm Teknoloji'!L$2:L$59,MATCH(LARGE('V_Tüm Teknoloji'!$AE$2:$AE$59,ROW()-3),'V_Tüm Teknoloji'!$AE$2:$AE$59,0))</f>
        <v>-2.8903049613108741E-2</v>
      </c>
      <c r="N32" s="11">
        <f>INDEX('V_Tüm Teknoloji'!M$2:M$59,MATCH(LARGE('V_Tüm Teknoloji'!$AE$2:$AE$59,ROW()-3),'V_Tüm Teknoloji'!$AE$2:$AE$59,0))</f>
        <v>640225489.95000005</v>
      </c>
      <c r="O32" s="11">
        <f>INDEX('V_Tüm Teknoloji'!N$2:N$59,MATCH(LARGE('V_Tüm Teknoloji'!$AE$2:$AE$59,ROW()-3),'V_Tüm Teknoloji'!$AE$2:$AE$59,0))</f>
        <v>617270032.19000006</v>
      </c>
      <c r="P32" s="8">
        <f>INDEX('V_Tüm Teknoloji'!O$2:O$59,MATCH(LARGE('V_Tüm Teknoloji'!$AE$2:$AE$59,ROW()-3),'V_Tüm Teknoloji'!$AE$2:$AE$59,0))</f>
        <v>-3.5855269932774443E-2</v>
      </c>
      <c r="Q32" s="9">
        <f>INDEX('V_Tüm Teknoloji'!P$2:P$59,MATCH(LARGE('V_Tüm Teknoloji'!$AE$2:$AE$59,ROW()-3),'V_Tüm Teknoloji'!$AE$2:$AE$59,0))</f>
        <v>1.2973031307862131</v>
      </c>
      <c r="R32" s="5" t="str">
        <f>INDEX('V_Tüm Teknoloji'!Q$2:Q$59,MATCH(LARGE('V_Tüm Teknoloji'!$AE$2:$AE$59,ROW()-3),'V_Tüm Teknoloji'!$AE$2:$AE$59,0))</f>
        <v>Görüyor</v>
      </c>
      <c r="S32" s="8">
        <f>INDEX('V_Tüm Teknoloji'!R$2:R$59,MATCH(LARGE('V_Tüm Teknoloji'!$AE$2:$AE$59,ROW()-3),'V_Tüm Teknoloji'!$AE$2:$AE$59,0))</f>
        <v>0.63900000000000001</v>
      </c>
      <c r="T32" s="8">
        <f>INDEX('V_Tüm Teknoloji'!S$2:S$59,MATCH(LARGE('V_Tüm Teknoloji'!$AE$2:$AE$59,ROW()-3),'V_Tüm Teknoloji'!$AE$2:$AE$59,0))</f>
        <v>0</v>
      </c>
      <c r="U32" s="8">
        <f>INDEX('V_Tüm Teknoloji'!T$2:T$59,MATCH(LARGE('V_Tüm Teknoloji'!$AE$2:$AE$59,ROW()-3),'V_Tüm Teknoloji'!$AE$2:$AE$59,0))</f>
        <v>0</v>
      </c>
      <c r="V32" s="8">
        <f>INDEX('V_Tüm Teknoloji'!U$2:U$59,MATCH(LARGE('V_Tüm Teknoloji'!$AE$2:$AE$59,ROW()-3),'V_Tüm Teknoloji'!$AE$2:$AE$59,0))</f>
        <v>2.9999999999999997E-4</v>
      </c>
      <c r="W32" s="8">
        <f>INDEX('V_Tüm Teknoloji'!V$2:V$59,MATCH(LARGE('V_Tüm Teknoloji'!$AE$2:$AE$59,ROW()-3),'V_Tüm Teknoloji'!$AE$2:$AE$59,0))</f>
        <v>6.4000000000000003E-3</v>
      </c>
      <c r="X32" s="8">
        <f>INDEX('V_Tüm Teknoloji'!W$2:W$59,MATCH(LARGE('V_Tüm Teknoloji'!$AE$2:$AE$59,ROW()-3),'V_Tüm Teknoloji'!$AE$2:$AE$59,0))</f>
        <v>0.1991</v>
      </c>
      <c r="Y32" s="8">
        <f>INDEX('V_Tüm Teknoloji'!X$2:X$59,MATCH(LARGE('V_Tüm Teknoloji'!$AE$2:$AE$59,ROW()-3),'V_Tüm Teknoloji'!$AE$2:$AE$59,0))</f>
        <v>0</v>
      </c>
      <c r="Z32" s="8">
        <f>INDEX('V_Tüm Teknoloji'!Y$2:Y$59,MATCH(LARGE('V_Tüm Teknoloji'!$AE$2:$AE$59,ROW()-3),'V_Tüm Teknoloji'!$AE$2:$AE$59,0))</f>
        <v>0.1424</v>
      </c>
      <c r="AA32" s="8">
        <f>INDEX('V_Tüm Teknoloji'!Z$2:Z$59,MATCH(LARGE('V_Tüm Teknoloji'!$AE$2:$AE$59,ROW()-3),'V_Tüm Teknoloji'!$AE$2:$AE$59,0))</f>
        <v>0</v>
      </c>
      <c r="AB32" s="8">
        <f>INDEX('V_Tüm Teknoloji'!AA$2:AA$59,MATCH(LARGE('V_Tüm Teknoloji'!$AE$2:$AE$59,ROW()-3),'V_Tüm Teknoloji'!$AE$2:$AE$59,0))</f>
        <v>0</v>
      </c>
      <c r="AC32" s="8">
        <f>INDEX('V_Tüm Teknoloji'!AB$2:AB$59,MATCH(LARGE('V_Tüm Teknoloji'!$AE$2:$AE$59,ROW()-3),'V_Tüm Teknoloji'!$AE$2:$AE$59,0))</f>
        <v>0</v>
      </c>
      <c r="AD32" s="8">
        <f>INDEX('V_Tüm Teknoloji'!AC$2:AC$59,MATCH(LARGE('V_Tüm Teknoloji'!$AE$2:$AE$59,ROW()-3),'V_Tüm Teknoloji'!$AE$2:$AE$59,0))</f>
        <v>0.98719999999999997</v>
      </c>
    </row>
    <row r="33" spans="1:30" x14ac:dyDescent="0.2">
      <c r="A33">
        <v>30</v>
      </c>
      <c r="B33" s="5" t="str">
        <f>INDEX('V_Tüm Teknoloji'!A$2:A$59,MATCH(LARGE('V_Tüm Teknoloji'!$AE$2:$AE$59,ROW()-3),'V_Tüm Teknoloji'!$AE$2:$AE$59,0))</f>
        <v>RTD</v>
      </c>
      <c r="C33" s="5" t="str">
        <f>INDEX('V_Tüm Teknoloji'!B$2:B$59,MATCH(LARGE('V_Tüm Teknoloji'!$AE$2:$AE$59,ROW()-3),'V_Tüm Teknoloji'!$AE$2:$AE$59,0))</f>
        <v>Re-pıe Portföy Teknoloji Değişken Fon</v>
      </c>
      <c r="D33" s="5" t="str">
        <f>INDEX('V_Tüm Teknoloji'!C$2:C$59,MATCH(LARGE('V_Tüm Teknoloji'!$AE$2:$AE$59,ROW()-3),'V_Tüm Teknoloji'!$AE$2:$AE$59,0))</f>
        <v>Re-pıe Portföy</v>
      </c>
      <c r="E33" s="8">
        <f>INDEX('V_Tüm Teknoloji'!D$2:D$59,MATCH(LARGE('V_Tüm Teknoloji'!$AE$2:$AE$59,ROW()-3),'V_Tüm Teknoloji'!$AE$2:$AE$59,0))</f>
        <v>2.5000000000000001E-2</v>
      </c>
      <c r="F33" s="9">
        <f>INDEX('V_Tüm Teknoloji'!E$2:E$59,MATCH(LARGE('V_Tüm Teknoloji'!$AE$2:$AE$59,ROW()-3),'V_Tüm Teknoloji'!$AE$2:$AE$59,0))</f>
        <v>-1.0085414858344131</v>
      </c>
      <c r="G33" s="9">
        <f>INDEX('V_Tüm Teknoloji'!F$2:F$59,MATCH(LARGE('V_Tüm Teknoloji'!$AE$2:$AE$59,ROW()-3),'V_Tüm Teknoloji'!$AE$2:$AE$59,0))</f>
        <v>-3.8455197547289881</v>
      </c>
      <c r="H33" s="9">
        <f>INDEX('V_Tüm Teknoloji'!G$2:G$59,MATCH(LARGE('V_Tüm Teknoloji'!$AE$2:$AE$59,ROW()-3),'V_Tüm Teknoloji'!$AE$2:$AE$59,0))</f>
        <v>-2.035013255154983E-2</v>
      </c>
      <c r="I33" s="9">
        <f>INDEX('V_Tüm Teknoloji'!H$2:H$59,MATCH(LARGE('V_Tüm Teknoloji'!$AE$2:$AE$59,ROW()-3),'V_Tüm Teknoloji'!$AE$2:$AE$59,0))</f>
        <v>42.106635528600279</v>
      </c>
      <c r="J33" s="9">
        <f>INDEX('V_Tüm Teknoloji'!I$2:I$59,MATCH(LARGE('V_Tüm Teknoloji'!$AE$2:$AE$59,ROW()-3),'V_Tüm Teknoloji'!$AE$2:$AE$59,0))</f>
        <v>65.383342992669697</v>
      </c>
      <c r="K33" s="10">
        <f>INDEX('V_Tüm Teknoloji'!J$2:J$59,MATCH(LARGE('V_Tüm Teknoloji'!$AE$2:$AE$59,ROW()-3),'V_Tüm Teknoloji'!$AE$2:$AE$59,0))</f>
        <v>462</v>
      </c>
      <c r="L33" s="10">
        <f>INDEX('V_Tüm Teknoloji'!K$2:K$59,MATCH(LARGE('V_Tüm Teknoloji'!$AE$2:$AE$59,ROW()-3),'V_Tüm Teknoloji'!$AE$2:$AE$59,0))</f>
        <v>425</v>
      </c>
      <c r="M33" s="8">
        <f>INDEX('V_Tüm Teknoloji'!L$2:L$59,MATCH(LARGE('V_Tüm Teknoloji'!$AE$2:$AE$59,ROW()-3),'V_Tüm Teknoloji'!$AE$2:$AE$59,0))</f>
        <v>-8.0086580086580095E-2</v>
      </c>
      <c r="N33" s="11">
        <f>INDEX('V_Tüm Teknoloji'!M$2:M$59,MATCH(LARGE('V_Tüm Teknoloji'!$AE$2:$AE$59,ROW()-3),'V_Tüm Teknoloji'!$AE$2:$AE$59,0))</f>
        <v>29465172.489999998</v>
      </c>
      <c r="O33" s="11">
        <f>INDEX('V_Tüm Teknoloji'!N$2:N$59,MATCH(LARGE('V_Tüm Teknoloji'!$AE$2:$AE$59,ROW()-3),'V_Tüm Teknoloji'!$AE$2:$AE$59,0))</f>
        <v>29276239.449999999</v>
      </c>
      <c r="P33" s="8">
        <f>INDEX('V_Tüm Teknoloji'!O$2:O$59,MATCH(LARGE('V_Tüm Teknoloji'!$AE$2:$AE$59,ROW()-3),'V_Tüm Teknoloji'!$AE$2:$AE$59,0))</f>
        <v>-6.4120798907293386E-3</v>
      </c>
      <c r="Q33" s="9">
        <f>INDEX('V_Tüm Teknoloji'!P$2:P$59,MATCH(LARGE('V_Tüm Teknoloji'!$AE$2:$AE$59,ROW()-3),'V_Tüm Teknoloji'!$AE$2:$AE$59,0))</f>
        <v>2.0739370577512641</v>
      </c>
      <c r="R33" s="5" t="str">
        <f>INDEX('V_Tüm Teknoloji'!Q$2:Q$59,MATCH(LARGE('V_Tüm Teknoloji'!$AE$2:$AE$59,ROW()-3),'V_Tüm Teknoloji'!$AE$2:$AE$59,0))</f>
        <v>Görüyor</v>
      </c>
      <c r="S33" s="8">
        <f>INDEX('V_Tüm Teknoloji'!R$2:R$59,MATCH(LARGE('V_Tüm Teknoloji'!$AE$2:$AE$59,ROW()-3),'V_Tüm Teknoloji'!$AE$2:$AE$59,0))</f>
        <v>0.63039999999999996</v>
      </c>
      <c r="T33" s="8">
        <f>INDEX('V_Tüm Teknoloji'!S$2:S$59,MATCH(LARGE('V_Tüm Teknoloji'!$AE$2:$AE$59,ROW()-3),'V_Tüm Teknoloji'!$AE$2:$AE$59,0))</f>
        <v>0</v>
      </c>
      <c r="U33" s="8">
        <f>INDEX('V_Tüm Teknoloji'!T$2:T$59,MATCH(LARGE('V_Tüm Teknoloji'!$AE$2:$AE$59,ROW()-3),'V_Tüm Teknoloji'!$AE$2:$AE$59,0))</f>
        <v>0</v>
      </c>
      <c r="V33" s="8">
        <f>INDEX('V_Tüm Teknoloji'!U$2:U$59,MATCH(LARGE('V_Tüm Teknoloji'!$AE$2:$AE$59,ROW()-3),'V_Tüm Teknoloji'!$AE$2:$AE$59,0))</f>
        <v>0</v>
      </c>
      <c r="W33" s="8">
        <f>INDEX('V_Tüm Teknoloji'!V$2:V$59,MATCH(LARGE('V_Tüm Teknoloji'!$AE$2:$AE$59,ROW()-3),'V_Tüm Teknoloji'!$AE$2:$AE$59,0))</f>
        <v>0</v>
      </c>
      <c r="X33" s="8">
        <f>INDEX('V_Tüm Teknoloji'!W$2:W$59,MATCH(LARGE('V_Tüm Teknoloji'!$AE$2:$AE$59,ROW()-3),'V_Tüm Teknoloji'!$AE$2:$AE$59,0))</f>
        <v>0.32840000000000003</v>
      </c>
      <c r="Y33" s="8">
        <f>INDEX('V_Tüm Teknoloji'!X$2:X$59,MATCH(LARGE('V_Tüm Teknoloji'!$AE$2:$AE$59,ROW()-3),'V_Tüm Teknoloji'!$AE$2:$AE$59,0))</f>
        <v>0</v>
      </c>
      <c r="Z33" s="8">
        <f>INDEX('V_Tüm Teknoloji'!Y$2:Y$59,MATCH(LARGE('V_Tüm Teknoloji'!$AE$2:$AE$59,ROW()-3),'V_Tüm Teknoloji'!$AE$2:$AE$59,0))</f>
        <v>4.1200000000000001E-2</v>
      </c>
      <c r="AA33" s="8">
        <f>INDEX('V_Tüm Teknoloji'!Z$2:Z$59,MATCH(LARGE('V_Tüm Teknoloji'!$AE$2:$AE$59,ROW()-3),'V_Tüm Teknoloji'!$AE$2:$AE$59,0))</f>
        <v>0</v>
      </c>
      <c r="AB33" s="8">
        <f>INDEX('V_Tüm Teknoloji'!AA$2:AA$59,MATCH(LARGE('V_Tüm Teknoloji'!$AE$2:$AE$59,ROW()-3),'V_Tüm Teknoloji'!$AE$2:$AE$59,0))</f>
        <v>0</v>
      </c>
      <c r="AC33" s="8">
        <f>INDEX('V_Tüm Teknoloji'!AB$2:AB$59,MATCH(LARGE('V_Tüm Teknoloji'!$AE$2:$AE$59,ROW()-3),'V_Tüm Teknoloji'!$AE$2:$AE$59,0))</f>
        <v>0</v>
      </c>
      <c r="AD33" s="8">
        <f>INDEX('V_Tüm Teknoloji'!AC$2:AC$59,MATCH(LARGE('V_Tüm Teknoloji'!$AE$2:$AE$59,ROW()-3),'V_Tüm Teknoloji'!$AE$2:$AE$59,0))</f>
        <v>1</v>
      </c>
    </row>
    <row r="34" spans="1:30" x14ac:dyDescent="0.2">
      <c r="A34">
        <v>31</v>
      </c>
      <c r="B34" s="5" t="str">
        <f>INDEX('V_Tüm Teknoloji'!A$2:A$59,MATCH(LARGE('V_Tüm Teknoloji'!$AE$2:$AE$59,ROW()-3),'V_Tüm Teknoloji'!$AE$2:$AE$59,0))</f>
        <v>DHJ</v>
      </c>
      <c r="C34" s="5" t="str">
        <f>INDEX('V_Tüm Teknoloji'!B$2:B$59,MATCH(LARGE('V_Tüm Teknoloji'!$AE$2:$AE$59,ROW()-3),'V_Tüm Teknoloji'!$AE$2:$AE$59,0))</f>
        <v>Deniz Portföy Teknoloji Şirketleri Hisse Senedi Fonu (Hisse Senedi Yoğun Fon)</v>
      </c>
      <c r="D34" s="5" t="str">
        <f>INDEX('V_Tüm Teknoloji'!C$2:C$59,MATCH(LARGE('V_Tüm Teknoloji'!$AE$2:$AE$59,ROW()-3),'V_Tüm Teknoloji'!$AE$2:$AE$59,0))</f>
        <v>Deniz Portföy</v>
      </c>
      <c r="E34" s="8">
        <f>INDEX('V_Tüm Teknoloji'!D$2:D$59,MATCH(LARGE('V_Tüm Teknoloji'!$AE$2:$AE$59,ROW()-3),'V_Tüm Teknoloji'!$AE$2:$AE$59,0))</f>
        <v>2.75E-2</v>
      </c>
      <c r="F34" s="9">
        <f>INDEX('V_Tüm Teknoloji'!E$2:E$59,MATCH(LARGE('V_Tüm Teknoloji'!$AE$2:$AE$59,ROW()-3),'V_Tüm Teknoloji'!$AE$2:$AE$59,0))</f>
        <v>-1.012405029439734</v>
      </c>
      <c r="G34" s="9">
        <f>INDEX('V_Tüm Teknoloji'!F$2:F$59,MATCH(LARGE('V_Tüm Teknoloji'!$AE$2:$AE$59,ROW()-3),'V_Tüm Teknoloji'!$AE$2:$AE$59,0))</f>
        <v>-5.3110285974783844</v>
      </c>
      <c r="H34" s="9">
        <f>INDEX('V_Tüm Teknoloji'!G$2:G$59,MATCH(LARGE('V_Tüm Teknoloji'!$AE$2:$AE$59,ROW()-3),'V_Tüm Teknoloji'!$AE$2:$AE$59,0))</f>
        <v>-6.1915109564933957</v>
      </c>
      <c r="I34" s="9">
        <f>INDEX('V_Tüm Teknoloji'!H$2:H$59,MATCH(LARGE('V_Tüm Teknoloji'!$AE$2:$AE$59,ROW()-3),'V_Tüm Teknoloji'!$AE$2:$AE$59,0))</f>
        <v>25.15458748464059</v>
      </c>
      <c r="J34" s="9">
        <f>INDEX('V_Tüm Teknoloji'!I$2:I$59,MATCH(LARGE('V_Tüm Teknoloji'!$AE$2:$AE$59,ROW()-3),'V_Tüm Teknoloji'!$AE$2:$AE$59,0))</f>
        <v>42.00331133631623</v>
      </c>
      <c r="K34" s="10">
        <f>INDEX('V_Tüm Teknoloji'!J$2:J$59,MATCH(LARGE('V_Tüm Teknoloji'!$AE$2:$AE$59,ROW()-3),'V_Tüm Teknoloji'!$AE$2:$AE$59,0))</f>
        <v>3202</v>
      </c>
      <c r="L34" s="10">
        <f>INDEX('V_Tüm Teknoloji'!K$2:K$59,MATCH(LARGE('V_Tüm Teknoloji'!$AE$2:$AE$59,ROW()-3),'V_Tüm Teknoloji'!$AE$2:$AE$59,0))</f>
        <v>3057</v>
      </c>
      <c r="M34" s="8">
        <f>INDEX('V_Tüm Teknoloji'!L$2:L$59,MATCH(LARGE('V_Tüm Teknoloji'!$AE$2:$AE$59,ROW()-3),'V_Tüm Teknoloji'!$AE$2:$AE$59,0))</f>
        <v>-4.5284197376639579E-2</v>
      </c>
      <c r="N34" s="11">
        <f>INDEX('V_Tüm Teknoloji'!M$2:M$59,MATCH(LARGE('V_Tüm Teknoloji'!$AE$2:$AE$59,ROW()-3),'V_Tüm Teknoloji'!$AE$2:$AE$59,0))</f>
        <v>251231606.66999999</v>
      </c>
      <c r="O34" s="11">
        <f>INDEX('V_Tüm Teknoloji'!N$2:N$59,MATCH(LARGE('V_Tüm Teknoloji'!$AE$2:$AE$59,ROW()-3),'V_Tüm Teknoloji'!$AE$2:$AE$59,0))</f>
        <v>220578710.91</v>
      </c>
      <c r="P34" s="8">
        <f>INDEX('V_Tüm Teknoloji'!O$2:O$59,MATCH(LARGE('V_Tüm Teknoloji'!$AE$2:$AE$59,ROW()-3),'V_Tüm Teknoloji'!$AE$2:$AE$59,0))</f>
        <v>-0.1220105072219813</v>
      </c>
      <c r="Q34" s="9">
        <f>INDEX('V_Tüm Teknoloji'!P$2:P$59,MATCH(LARGE('V_Tüm Teknoloji'!$AE$2:$AE$59,ROW()-3),'V_Tüm Teknoloji'!$AE$2:$AE$59,0))</f>
        <v>1.4067757713402309</v>
      </c>
      <c r="R34" s="5" t="str">
        <f>INDEX('V_Tüm Teknoloji'!Q$2:Q$59,MATCH(LARGE('V_Tüm Teknoloji'!$AE$2:$AE$59,ROW()-3),'V_Tüm Teknoloji'!$AE$2:$AE$59,0))</f>
        <v>Görüyor</v>
      </c>
      <c r="S34" s="8">
        <f>INDEX('V_Tüm Teknoloji'!R$2:R$59,MATCH(LARGE('V_Tüm Teknoloji'!$AE$2:$AE$59,ROW()-3),'V_Tüm Teknoloji'!$AE$2:$AE$59,0))</f>
        <v>0</v>
      </c>
      <c r="T34" s="8">
        <f>INDEX('V_Tüm Teknoloji'!S$2:S$59,MATCH(LARGE('V_Tüm Teknoloji'!$AE$2:$AE$59,ROW()-3),'V_Tüm Teknoloji'!$AE$2:$AE$59,0))</f>
        <v>0</v>
      </c>
      <c r="U34" s="8">
        <f>INDEX('V_Tüm Teknoloji'!T$2:T$59,MATCH(LARGE('V_Tüm Teknoloji'!$AE$2:$AE$59,ROW()-3),'V_Tüm Teknoloji'!$AE$2:$AE$59,0))</f>
        <v>4.3E-3</v>
      </c>
      <c r="V34" s="8">
        <f>INDEX('V_Tüm Teknoloji'!U$2:U$59,MATCH(LARGE('V_Tüm Teknoloji'!$AE$2:$AE$59,ROW()-3),'V_Tüm Teknoloji'!$AE$2:$AE$59,0))</f>
        <v>0</v>
      </c>
      <c r="W34" s="8">
        <f>INDEX('V_Tüm Teknoloji'!V$2:V$59,MATCH(LARGE('V_Tüm Teknoloji'!$AE$2:$AE$59,ROW()-3),'V_Tüm Teknoloji'!$AE$2:$AE$59,0))</f>
        <v>1.35E-2</v>
      </c>
      <c r="X34" s="8">
        <f>INDEX('V_Tüm Teknoloji'!W$2:W$59,MATCH(LARGE('V_Tüm Teknoloji'!$AE$2:$AE$59,ROW()-3),'V_Tüm Teknoloji'!$AE$2:$AE$59,0))</f>
        <v>0.94930000000000003</v>
      </c>
      <c r="Y34" s="8">
        <f>INDEX('V_Tüm Teknoloji'!X$2:X$59,MATCH(LARGE('V_Tüm Teknoloji'!$AE$2:$AE$59,ROW()-3),'V_Tüm Teknoloji'!$AE$2:$AE$59,0))</f>
        <v>0</v>
      </c>
      <c r="Z34" s="8">
        <f>INDEX('V_Tüm Teknoloji'!Y$2:Y$59,MATCH(LARGE('V_Tüm Teknoloji'!$AE$2:$AE$59,ROW()-3),'V_Tüm Teknoloji'!$AE$2:$AE$59,0))</f>
        <v>0</v>
      </c>
      <c r="AA34" s="8">
        <f>INDEX('V_Tüm Teknoloji'!Z$2:Z$59,MATCH(LARGE('V_Tüm Teknoloji'!$AE$2:$AE$59,ROW()-3),'V_Tüm Teknoloji'!$AE$2:$AE$59,0))</f>
        <v>0</v>
      </c>
      <c r="AB34" s="8">
        <f>INDEX('V_Tüm Teknoloji'!AA$2:AA$59,MATCH(LARGE('V_Tüm Teknoloji'!$AE$2:$AE$59,ROW()-3),'V_Tüm Teknoloji'!$AE$2:$AE$59,0))</f>
        <v>0</v>
      </c>
      <c r="AC34" s="8">
        <f>INDEX('V_Tüm Teknoloji'!AB$2:AB$59,MATCH(LARGE('V_Tüm Teknoloji'!$AE$2:$AE$59,ROW()-3),'V_Tüm Teknoloji'!$AE$2:$AE$59,0))</f>
        <v>0</v>
      </c>
      <c r="AD34" s="8">
        <f>INDEX('V_Tüm Teknoloji'!AC$2:AC$59,MATCH(LARGE('V_Tüm Teknoloji'!$AE$2:$AE$59,ROW()-3),'V_Tüm Teknoloji'!$AE$2:$AE$59,0))</f>
        <v>0.96710000000000007</v>
      </c>
    </row>
    <row r="35" spans="1:30" x14ac:dyDescent="0.2">
      <c r="A35">
        <v>32</v>
      </c>
      <c r="B35" s="5" t="str">
        <f>INDEX('V_Tüm Teknoloji'!A$2:A$59,MATCH(LARGE('V_Tüm Teknoloji'!$AE$2:$AE$59,ROW()-3),'V_Tüm Teknoloji'!$AE$2:$AE$59,0))</f>
        <v>AFT</v>
      </c>
      <c r="C35" s="5" t="str">
        <f>INDEX('V_Tüm Teknoloji'!B$2:B$59,MATCH(LARGE('V_Tüm Teknoloji'!$AE$2:$AE$59,ROW()-3),'V_Tüm Teknoloji'!$AE$2:$AE$59,0))</f>
        <v>AK Portföy Yeni Teknolojiler Yabancı Hisse Senedi Fonu</v>
      </c>
      <c r="D35" s="5" t="str">
        <f>INDEX('V_Tüm Teknoloji'!C$2:C$59,MATCH(LARGE('V_Tüm Teknoloji'!$AE$2:$AE$59,ROW()-3),'V_Tüm Teknoloji'!$AE$2:$AE$59,0))</f>
        <v>AK Portföy</v>
      </c>
      <c r="E35" s="8">
        <f>INDEX('V_Tüm Teknoloji'!D$2:D$59,MATCH(LARGE('V_Tüm Teknoloji'!$AE$2:$AE$59,ROW()-3),'V_Tüm Teknoloji'!$AE$2:$AE$59,0))</f>
        <v>2.9000000000000001E-2</v>
      </c>
      <c r="F35" s="9">
        <f>INDEX('V_Tüm Teknoloji'!E$2:E$59,MATCH(LARGE('V_Tüm Teknoloji'!$AE$2:$AE$59,ROW()-3),'V_Tüm Teknoloji'!$AE$2:$AE$59,0))</f>
        <v>-1.075967506795283</v>
      </c>
      <c r="G35" s="9">
        <f>INDEX('V_Tüm Teknoloji'!F$2:F$59,MATCH(LARGE('V_Tüm Teknoloji'!$AE$2:$AE$59,ROW()-3),'V_Tüm Teknoloji'!$AE$2:$AE$59,0))</f>
        <v>-7.6190754894656099E-2</v>
      </c>
      <c r="H35" s="9">
        <f>INDEX('V_Tüm Teknoloji'!G$2:G$59,MATCH(LARGE('V_Tüm Teknoloji'!$AE$2:$AE$59,ROW()-3),'V_Tüm Teknoloji'!$AE$2:$AE$59,0))</f>
        <v>0.93728687228278318</v>
      </c>
      <c r="I35" s="9">
        <f>INDEX('V_Tüm Teknoloji'!H$2:H$59,MATCH(LARGE('V_Tüm Teknoloji'!$AE$2:$AE$59,ROW()-3),'V_Tüm Teknoloji'!$AE$2:$AE$59,0))</f>
        <v>11.21787340370339</v>
      </c>
      <c r="J35" s="9">
        <f>INDEX('V_Tüm Teknoloji'!I$2:I$59,MATCH(LARGE('V_Tüm Teknoloji'!$AE$2:$AE$59,ROW()-3),'V_Tüm Teknoloji'!$AE$2:$AE$59,0))</f>
        <v>50.707841984385091</v>
      </c>
      <c r="K35" s="10">
        <f>INDEX('V_Tüm Teknoloji'!J$2:J$59,MATCH(LARGE('V_Tüm Teknoloji'!$AE$2:$AE$59,ROW()-3),'V_Tüm Teknoloji'!$AE$2:$AE$59,0))</f>
        <v>144479</v>
      </c>
      <c r="L35" s="10">
        <f>INDEX('V_Tüm Teknoloji'!K$2:K$59,MATCH(LARGE('V_Tüm Teknoloji'!$AE$2:$AE$59,ROW()-3),'V_Tüm Teknoloji'!$AE$2:$AE$59,0))</f>
        <v>140082</v>
      </c>
      <c r="M35" s="8">
        <f>INDEX('V_Tüm Teknoloji'!L$2:L$59,MATCH(LARGE('V_Tüm Teknoloji'!$AE$2:$AE$59,ROW()-3),'V_Tüm Teknoloji'!$AE$2:$AE$59,0))</f>
        <v>-3.043348860388018E-2</v>
      </c>
      <c r="N35" s="11">
        <f>INDEX('V_Tüm Teknoloji'!M$2:M$59,MATCH(LARGE('V_Tüm Teknoloji'!$AE$2:$AE$59,ROW()-3),'V_Tüm Teknoloji'!$AE$2:$AE$59,0))</f>
        <v>20304518996.060001</v>
      </c>
      <c r="O35" s="11">
        <f>INDEX('V_Tüm Teknoloji'!N$2:N$59,MATCH(LARGE('V_Tüm Teknoloji'!$AE$2:$AE$59,ROW()-3),'V_Tüm Teknoloji'!$AE$2:$AE$59,0))</f>
        <v>19494386223.950001</v>
      </c>
      <c r="P35" s="8">
        <f>INDEX('V_Tüm Teknoloji'!O$2:O$59,MATCH(LARGE('V_Tüm Teknoloji'!$AE$2:$AE$59,ROW()-3),'V_Tüm Teknoloji'!$AE$2:$AE$59,0))</f>
        <v>-3.989913635812814E-2</v>
      </c>
      <c r="Q35" s="9">
        <f>INDEX('V_Tüm Teknoloji'!P$2:P$59,MATCH(LARGE('V_Tüm Teknoloji'!$AE$2:$AE$59,ROW()-3),'V_Tüm Teknoloji'!$AE$2:$AE$59,0))</f>
        <v>1.51778534300295</v>
      </c>
      <c r="R35" s="5" t="str">
        <f>INDEX('V_Tüm Teknoloji'!Q$2:Q$59,MATCH(LARGE('V_Tüm Teknoloji'!$AE$2:$AE$59,ROW()-3),'V_Tüm Teknoloji'!$AE$2:$AE$59,0))</f>
        <v>Görüyor</v>
      </c>
      <c r="S35" s="8">
        <f>INDEX('V_Tüm Teknoloji'!R$2:R$59,MATCH(LARGE('V_Tüm Teknoloji'!$AE$2:$AE$59,ROW()-3),'V_Tüm Teknoloji'!$AE$2:$AE$59,0))</f>
        <v>0.9536</v>
      </c>
      <c r="T35" s="8">
        <f>INDEX('V_Tüm Teknoloji'!S$2:S$59,MATCH(LARGE('V_Tüm Teknoloji'!$AE$2:$AE$59,ROW()-3),'V_Tüm Teknoloji'!$AE$2:$AE$59,0))</f>
        <v>0</v>
      </c>
      <c r="U35" s="8">
        <f>INDEX('V_Tüm Teknoloji'!T$2:T$59,MATCH(LARGE('V_Tüm Teknoloji'!$AE$2:$AE$59,ROW()-3),'V_Tüm Teknoloji'!$AE$2:$AE$59,0))</f>
        <v>1E-4</v>
      </c>
      <c r="V35" s="8">
        <f>INDEX('V_Tüm Teknoloji'!U$2:U$59,MATCH(LARGE('V_Tüm Teknoloji'!$AE$2:$AE$59,ROW()-3),'V_Tüm Teknoloji'!$AE$2:$AE$59,0))</f>
        <v>0</v>
      </c>
      <c r="W35" s="8">
        <f>INDEX('V_Tüm Teknoloji'!V$2:V$59,MATCH(LARGE('V_Tüm Teknoloji'!$AE$2:$AE$59,ROW()-3),'V_Tüm Teknoloji'!$AE$2:$AE$59,0))</f>
        <v>4.0500000000000001E-2</v>
      </c>
      <c r="X35" s="8">
        <f>INDEX('V_Tüm Teknoloji'!W$2:W$59,MATCH(LARGE('V_Tüm Teknoloji'!$AE$2:$AE$59,ROW()-3),'V_Tüm Teknoloji'!$AE$2:$AE$59,0))</f>
        <v>0</v>
      </c>
      <c r="Y35" s="8">
        <f>INDEX('V_Tüm Teknoloji'!X$2:X$59,MATCH(LARGE('V_Tüm Teknoloji'!$AE$2:$AE$59,ROW()-3),'V_Tüm Teknoloji'!$AE$2:$AE$59,0))</f>
        <v>0</v>
      </c>
      <c r="Z35" s="8">
        <f>INDEX('V_Tüm Teknoloji'!Y$2:Y$59,MATCH(LARGE('V_Tüm Teknoloji'!$AE$2:$AE$59,ROW()-3),'V_Tüm Teknoloji'!$AE$2:$AE$59,0))</f>
        <v>5.7999999999999996E-3</v>
      </c>
      <c r="AA35" s="8">
        <f>INDEX('V_Tüm Teknoloji'!Z$2:Z$59,MATCH(LARGE('V_Tüm Teknoloji'!$AE$2:$AE$59,ROW()-3),'V_Tüm Teknoloji'!$AE$2:$AE$59,0))</f>
        <v>0</v>
      </c>
      <c r="AB35" s="8">
        <f>INDEX('V_Tüm Teknoloji'!AA$2:AA$59,MATCH(LARGE('V_Tüm Teknoloji'!$AE$2:$AE$59,ROW()-3),'V_Tüm Teknoloji'!$AE$2:$AE$59,0))</f>
        <v>0</v>
      </c>
      <c r="AC35" s="8">
        <f>INDEX('V_Tüm Teknoloji'!AB$2:AB$59,MATCH(LARGE('V_Tüm Teknoloji'!$AE$2:$AE$59,ROW()-3),'V_Tüm Teknoloji'!$AE$2:$AE$59,0))</f>
        <v>0</v>
      </c>
      <c r="AD35" s="8">
        <f>INDEX('V_Tüm Teknoloji'!AC$2:AC$59,MATCH(LARGE('V_Tüm Teknoloji'!$AE$2:$AE$59,ROW()-3),'V_Tüm Teknoloji'!$AE$2:$AE$59,0))</f>
        <v>1</v>
      </c>
    </row>
    <row r="36" spans="1:30" x14ac:dyDescent="0.2">
      <c r="A36">
        <v>33</v>
      </c>
      <c r="B36" s="5" t="str">
        <f>INDEX('V_Tüm Teknoloji'!A$2:A$59,MATCH(LARGE('V_Tüm Teknoloji'!$AE$2:$AE$59,ROW()-3),'V_Tüm Teknoloji'!$AE$2:$AE$59,0))</f>
        <v>BCK</v>
      </c>
      <c r="C36" s="5" t="str">
        <f>INDEX('V_Tüm Teknoloji'!B$2:B$59,MATCH(LARGE('V_Tüm Teknoloji'!$AE$2:$AE$59,ROW()-3),'V_Tüm Teknoloji'!$AE$2:$AE$59,0))</f>
        <v>Deniz Portföy Blockchain VE Fıntech Teknolojileri Değişken Fon</v>
      </c>
      <c r="D36" s="5" t="str">
        <f>INDEX('V_Tüm Teknoloji'!C$2:C$59,MATCH(LARGE('V_Tüm Teknoloji'!$AE$2:$AE$59,ROW()-3),'V_Tüm Teknoloji'!$AE$2:$AE$59,0))</f>
        <v>Deniz Portföy</v>
      </c>
      <c r="E36" s="8">
        <f>INDEX('V_Tüm Teknoloji'!D$2:D$59,MATCH(LARGE('V_Tüm Teknoloji'!$AE$2:$AE$59,ROW()-3),'V_Tüm Teknoloji'!$AE$2:$AE$59,0))</f>
        <v>2.5000000000000001E-2</v>
      </c>
      <c r="F36" s="9">
        <f>INDEX('V_Tüm Teknoloji'!E$2:E$59,MATCH(LARGE('V_Tüm Teknoloji'!$AE$2:$AE$59,ROW()-3),'V_Tüm Teknoloji'!$AE$2:$AE$59,0))</f>
        <v>-1.101960197160001</v>
      </c>
      <c r="G36" s="9">
        <f>INDEX('V_Tüm Teknoloji'!F$2:F$59,MATCH(LARGE('V_Tüm Teknoloji'!$AE$2:$AE$59,ROW()-3),'V_Tüm Teknoloji'!$AE$2:$AE$59,0))</f>
        <v>-2.1813378028430419</v>
      </c>
      <c r="H36" s="9">
        <f>INDEX('V_Tüm Teknoloji'!G$2:G$59,MATCH(LARGE('V_Tüm Teknoloji'!$AE$2:$AE$59,ROW()-3),'V_Tüm Teknoloji'!$AE$2:$AE$59,0))</f>
        <v>1.1640266915230459</v>
      </c>
      <c r="I36" s="9">
        <f>INDEX('V_Tüm Teknoloji'!H$2:H$59,MATCH(LARGE('V_Tüm Teknoloji'!$AE$2:$AE$59,ROW()-3),'V_Tüm Teknoloji'!$AE$2:$AE$59,0))</f>
        <v>30.29541591933085</v>
      </c>
      <c r="J36" s="9">
        <f>INDEX('V_Tüm Teknoloji'!I$2:I$59,MATCH(LARGE('V_Tüm Teknoloji'!$AE$2:$AE$59,ROW()-3),'V_Tüm Teknoloji'!$AE$2:$AE$59,0))</f>
        <v>50.376050374241167</v>
      </c>
      <c r="K36" s="10">
        <f>INDEX('V_Tüm Teknoloji'!J$2:J$59,MATCH(LARGE('V_Tüm Teknoloji'!$AE$2:$AE$59,ROW()-3),'V_Tüm Teknoloji'!$AE$2:$AE$59,0))</f>
        <v>2598</v>
      </c>
      <c r="L36" s="10">
        <f>INDEX('V_Tüm Teknoloji'!K$2:K$59,MATCH(LARGE('V_Tüm Teknoloji'!$AE$2:$AE$59,ROW()-3),'V_Tüm Teknoloji'!$AE$2:$AE$59,0))</f>
        <v>2450</v>
      </c>
      <c r="M36" s="8">
        <f>INDEX('V_Tüm Teknoloji'!L$2:L$59,MATCH(LARGE('V_Tüm Teknoloji'!$AE$2:$AE$59,ROW()-3),'V_Tüm Teknoloji'!$AE$2:$AE$59,0))</f>
        <v>-5.6966897613548888E-2</v>
      </c>
      <c r="N36" s="11">
        <f>INDEX('V_Tüm Teknoloji'!M$2:M$59,MATCH(LARGE('V_Tüm Teknoloji'!$AE$2:$AE$59,ROW()-3),'V_Tüm Teknoloji'!$AE$2:$AE$59,0))</f>
        <v>157161858.25</v>
      </c>
      <c r="O36" s="11">
        <f>INDEX('V_Tüm Teknoloji'!N$2:N$59,MATCH(LARGE('V_Tüm Teknoloji'!$AE$2:$AE$59,ROW()-3),'V_Tüm Teknoloji'!$AE$2:$AE$59,0))</f>
        <v>138685398.41999999</v>
      </c>
      <c r="P36" s="8">
        <f>INDEX('V_Tüm Teknoloji'!O$2:O$59,MATCH(LARGE('V_Tüm Teknoloji'!$AE$2:$AE$59,ROW()-3),'V_Tüm Teknoloji'!$AE$2:$AE$59,0))</f>
        <v>-0.1175632563507184</v>
      </c>
      <c r="Q36" s="9">
        <f>INDEX('V_Tüm Teknoloji'!P$2:P$59,MATCH(LARGE('V_Tüm Teknoloji'!$AE$2:$AE$59,ROW()-3),'V_Tüm Teknoloji'!$AE$2:$AE$59,0))</f>
        <v>1.2477485780945461</v>
      </c>
      <c r="R36" s="5" t="str">
        <f>INDEX('V_Tüm Teknoloji'!Q$2:Q$59,MATCH(LARGE('V_Tüm Teknoloji'!$AE$2:$AE$59,ROW()-3),'V_Tüm Teknoloji'!$AE$2:$AE$59,0))</f>
        <v>Görüyor</v>
      </c>
      <c r="S36" s="8">
        <f>INDEX('V_Tüm Teknoloji'!R$2:R$59,MATCH(LARGE('V_Tüm Teknoloji'!$AE$2:$AE$59,ROW()-3),'V_Tüm Teknoloji'!$AE$2:$AE$59,0))</f>
        <v>0.43569999999999998</v>
      </c>
      <c r="T36" s="8">
        <f>INDEX('V_Tüm Teknoloji'!S$2:S$59,MATCH(LARGE('V_Tüm Teknoloji'!$AE$2:$AE$59,ROW()-3),'V_Tüm Teknoloji'!$AE$2:$AE$59,0))</f>
        <v>0.18099999999999999</v>
      </c>
      <c r="U36" s="8">
        <f>INDEX('V_Tüm Teknoloji'!T$2:T$59,MATCH(LARGE('V_Tüm Teknoloji'!$AE$2:$AE$59,ROW()-3),'V_Tüm Teknoloji'!$AE$2:$AE$59,0))</f>
        <v>5.7999999999999996E-3</v>
      </c>
      <c r="V36" s="8">
        <f>INDEX('V_Tüm Teknoloji'!U$2:U$59,MATCH(LARGE('V_Tüm Teknoloji'!$AE$2:$AE$59,ROW()-3),'V_Tüm Teknoloji'!$AE$2:$AE$59,0))</f>
        <v>0</v>
      </c>
      <c r="W36" s="8">
        <f>INDEX('V_Tüm Teknoloji'!V$2:V$59,MATCH(LARGE('V_Tüm Teknoloji'!$AE$2:$AE$59,ROW()-3),'V_Tüm Teknoloji'!$AE$2:$AE$59,0))</f>
        <v>7.0999999999999994E-2</v>
      </c>
      <c r="X36" s="8">
        <f>INDEX('V_Tüm Teknoloji'!W$2:W$59,MATCH(LARGE('V_Tüm Teknoloji'!$AE$2:$AE$59,ROW()-3),'V_Tüm Teknoloji'!$AE$2:$AE$59,0))</f>
        <v>0.28199999999999997</v>
      </c>
      <c r="Y36" s="8">
        <f>INDEX('V_Tüm Teknoloji'!X$2:X$59,MATCH(LARGE('V_Tüm Teknoloji'!$AE$2:$AE$59,ROW()-3),'V_Tüm Teknoloji'!$AE$2:$AE$59,0))</f>
        <v>0</v>
      </c>
      <c r="Z36" s="8">
        <f>INDEX('V_Tüm Teknoloji'!Y$2:Y$59,MATCH(LARGE('V_Tüm Teknoloji'!$AE$2:$AE$59,ROW()-3),'V_Tüm Teknoloji'!$AE$2:$AE$59,0))</f>
        <v>0</v>
      </c>
      <c r="AA36" s="8">
        <f>INDEX('V_Tüm Teknoloji'!Z$2:Z$59,MATCH(LARGE('V_Tüm Teknoloji'!$AE$2:$AE$59,ROW()-3),'V_Tüm Teknoloji'!$AE$2:$AE$59,0))</f>
        <v>0</v>
      </c>
      <c r="AB36" s="8">
        <f>INDEX('V_Tüm Teknoloji'!AA$2:AA$59,MATCH(LARGE('V_Tüm Teknoloji'!$AE$2:$AE$59,ROW()-3),'V_Tüm Teknoloji'!$AE$2:$AE$59,0))</f>
        <v>0</v>
      </c>
      <c r="AC36" s="8">
        <f>INDEX('V_Tüm Teknoloji'!AB$2:AB$59,MATCH(LARGE('V_Tüm Teknoloji'!$AE$2:$AE$59,ROW()-3),'V_Tüm Teknoloji'!$AE$2:$AE$59,0))</f>
        <v>0</v>
      </c>
      <c r="AD36" s="8">
        <f>INDEX('V_Tüm Teknoloji'!AC$2:AC$59,MATCH(LARGE('V_Tüm Teknoloji'!$AE$2:$AE$59,ROW()-3),'V_Tüm Teknoloji'!$AE$2:$AE$59,0))</f>
        <v>0.97549999999999992</v>
      </c>
    </row>
    <row r="37" spans="1:30" x14ac:dyDescent="0.2">
      <c r="A37">
        <v>34</v>
      </c>
      <c r="B37" s="5" t="str">
        <f>INDEX('V_Tüm Teknoloji'!A$2:A$59,MATCH(LARGE('V_Tüm Teknoloji'!$AE$2:$AE$59,ROW()-3),'V_Tüm Teknoloji'!$AE$2:$AE$59,0))</f>
        <v>JET</v>
      </c>
      <c r="C37" s="5" t="str">
        <f>INDEX('V_Tüm Teknoloji'!B$2:B$59,MATCH(LARGE('V_Tüm Teknoloji'!$AE$2:$AE$59,ROW()-3),'V_Tüm Teknoloji'!$AE$2:$AE$59,0))</f>
        <v>Ata Portföy Havacılık VE Savunma Teknolojileri Değişken Fon</v>
      </c>
      <c r="D37" s="5" t="str">
        <f>INDEX('V_Tüm Teknoloji'!C$2:C$59,MATCH(LARGE('V_Tüm Teknoloji'!$AE$2:$AE$59,ROW()-3),'V_Tüm Teknoloji'!$AE$2:$AE$59,0))</f>
        <v>Ata Portföy</v>
      </c>
      <c r="E37" s="8">
        <f>INDEX('V_Tüm Teknoloji'!D$2:D$59,MATCH(LARGE('V_Tüm Teknoloji'!$AE$2:$AE$59,ROW()-3),'V_Tüm Teknoloji'!$AE$2:$AE$59,0))</f>
        <v>2.5000000000000001E-2</v>
      </c>
      <c r="F37" s="9">
        <f>INDEX('V_Tüm Teknoloji'!E$2:E$59,MATCH(LARGE('V_Tüm Teknoloji'!$AE$2:$AE$59,ROW()-3),'V_Tüm Teknoloji'!$AE$2:$AE$59,0))</f>
        <v>-1.1273337925507549</v>
      </c>
      <c r="G37" s="9">
        <f>INDEX('V_Tüm Teknoloji'!F$2:F$59,MATCH(LARGE('V_Tüm Teknoloji'!$AE$2:$AE$59,ROW()-3),'V_Tüm Teknoloji'!$AE$2:$AE$59,0))</f>
        <v>-6.4149280660613526</v>
      </c>
      <c r="H37" s="9">
        <f>INDEX('V_Tüm Teknoloji'!G$2:G$59,MATCH(LARGE('V_Tüm Teknoloji'!$AE$2:$AE$59,ROW()-3),'V_Tüm Teknoloji'!$AE$2:$AE$59,0))</f>
        <v>0.11971712839367039</v>
      </c>
      <c r="I37" s="9">
        <f>INDEX('V_Tüm Teknoloji'!H$2:H$59,MATCH(LARGE('V_Tüm Teknoloji'!$AE$2:$AE$59,ROW()-3),'V_Tüm Teknoloji'!$AE$2:$AE$59,0))</f>
        <v>13.24034355787729</v>
      </c>
      <c r="J37" s="9">
        <f>INDEX('V_Tüm Teknoloji'!I$2:I$59,MATCH(LARGE('V_Tüm Teknoloji'!$AE$2:$AE$59,ROW()-3),'V_Tüm Teknoloji'!$AE$2:$AE$59,0))</f>
        <v>25.99864943869088</v>
      </c>
      <c r="K37" s="10">
        <f>INDEX('V_Tüm Teknoloji'!J$2:J$59,MATCH(LARGE('V_Tüm Teknoloji'!$AE$2:$AE$59,ROW()-3),'V_Tüm Teknoloji'!$AE$2:$AE$59,0))</f>
        <v>18574</v>
      </c>
      <c r="L37" s="10">
        <f>INDEX('V_Tüm Teknoloji'!K$2:K$59,MATCH(LARGE('V_Tüm Teknoloji'!$AE$2:$AE$59,ROW()-3),'V_Tüm Teknoloji'!$AE$2:$AE$59,0))</f>
        <v>17825</v>
      </c>
      <c r="M37" s="8">
        <f>INDEX('V_Tüm Teknoloji'!L$2:L$59,MATCH(LARGE('V_Tüm Teknoloji'!$AE$2:$AE$59,ROW()-3),'V_Tüm Teknoloji'!$AE$2:$AE$59,0))</f>
        <v>-4.0325185743512397E-2</v>
      </c>
      <c r="N37" s="11">
        <f>INDEX('V_Tüm Teknoloji'!M$2:M$59,MATCH(LARGE('V_Tüm Teknoloji'!$AE$2:$AE$59,ROW()-3),'V_Tüm Teknoloji'!$AE$2:$AE$59,0))</f>
        <v>580177673.65999997</v>
      </c>
      <c r="O37" s="11">
        <f>INDEX('V_Tüm Teknoloji'!N$2:N$59,MATCH(LARGE('V_Tüm Teknoloji'!$AE$2:$AE$59,ROW()-3),'V_Tüm Teknoloji'!$AE$2:$AE$59,0))</f>
        <v>530383893.91000003</v>
      </c>
      <c r="P37" s="8">
        <f>INDEX('V_Tüm Teknoloji'!O$2:O$59,MATCH(LARGE('V_Tüm Teknoloji'!$AE$2:$AE$59,ROW()-3),'V_Tüm Teknoloji'!$AE$2:$AE$59,0))</f>
        <v>-8.5825053273560603E-2</v>
      </c>
      <c r="Q37" s="9">
        <f>INDEX('V_Tüm Teknoloji'!P$2:P$59,MATCH(LARGE('V_Tüm Teknoloji'!$AE$2:$AE$59,ROW()-3),'V_Tüm Teknoloji'!$AE$2:$AE$59,0))</f>
        <v>1.415051262909587</v>
      </c>
      <c r="R37" s="5" t="str">
        <f>INDEX('V_Tüm Teknoloji'!Q$2:Q$59,MATCH(LARGE('V_Tüm Teknoloji'!$AE$2:$AE$59,ROW()-3),'V_Tüm Teknoloji'!$AE$2:$AE$59,0))</f>
        <v>Görüyor</v>
      </c>
      <c r="S37" s="8">
        <f>INDEX('V_Tüm Teknoloji'!R$2:R$59,MATCH(LARGE('V_Tüm Teknoloji'!$AE$2:$AE$59,ROW()-3),'V_Tüm Teknoloji'!$AE$2:$AE$59,0))</f>
        <v>0.6984999999999999</v>
      </c>
      <c r="T37" s="8">
        <f>INDEX('V_Tüm Teknoloji'!S$2:S$59,MATCH(LARGE('V_Tüm Teknoloji'!$AE$2:$AE$59,ROW()-3),'V_Tüm Teknoloji'!$AE$2:$AE$59,0))</f>
        <v>0</v>
      </c>
      <c r="U37" s="8">
        <f>INDEX('V_Tüm Teknoloji'!T$2:T$59,MATCH(LARGE('V_Tüm Teknoloji'!$AE$2:$AE$59,ROW()-3),'V_Tüm Teknoloji'!$AE$2:$AE$59,0))</f>
        <v>0</v>
      </c>
      <c r="V37" s="8">
        <f>INDEX('V_Tüm Teknoloji'!U$2:U$59,MATCH(LARGE('V_Tüm Teknoloji'!$AE$2:$AE$59,ROW()-3),'V_Tüm Teknoloji'!$AE$2:$AE$59,0))</f>
        <v>1.3599999999999999E-2</v>
      </c>
      <c r="W37" s="8">
        <f>INDEX('V_Tüm Teknoloji'!V$2:V$59,MATCH(LARGE('V_Tüm Teknoloji'!$AE$2:$AE$59,ROW()-3),'V_Tüm Teknoloji'!$AE$2:$AE$59,0))</f>
        <v>0</v>
      </c>
      <c r="X37" s="8">
        <f>INDEX('V_Tüm Teknoloji'!W$2:W$59,MATCH(LARGE('V_Tüm Teknoloji'!$AE$2:$AE$59,ROW()-3),'V_Tüm Teknoloji'!$AE$2:$AE$59,0))</f>
        <v>0.2288</v>
      </c>
      <c r="Y37" s="8">
        <f>INDEX('V_Tüm Teknoloji'!X$2:X$59,MATCH(LARGE('V_Tüm Teknoloji'!$AE$2:$AE$59,ROW()-3),'V_Tüm Teknoloji'!$AE$2:$AE$59,0))</f>
        <v>0</v>
      </c>
      <c r="Z37" s="8">
        <f>INDEX('V_Tüm Teknoloji'!Y$2:Y$59,MATCH(LARGE('V_Tüm Teknoloji'!$AE$2:$AE$59,ROW()-3),'V_Tüm Teknoloji'!$AE$2:$AE$59,0))</f>
        <v>5.91E-2</v>
      </c>
      <c r="AA37" s="8">
        <f>INDEX('V_Tüm Teknoloji'!Z$2:Z$59,MATCH(LARGE('V_Tüm Teknoloji'!$AE$2:$AE$59,ROW()-3),'V_Tüm Teknoloji'!$AE$2:$AE$59,0))</f>
        <v>0</v>
      </c>
      <c r="AB37" s="8">
        <f>INDEX('V_Tüm Teknoloji'!AA$2:AA$59,MATCH(LARGE('V_Tüm Teknoloji'!$AE$2:$AE$59,ROW()-3),'V_Tüm Teknoloji'!$AE$2:$AE$59,0))</f>
        <v>0</v>
      </c>
      <c r="AC37" s="8">
        <f>INDEX('V_Tüm Teknoloji'!AB$2:AB$59,MATCH(LARGE('V_Tüm Teknoloji'!$AE$2:$AE$59,ROW()-3),'V_Tüm Teknoloji'!$AE$2:$AE$59,0))</f>
        <v>0</v>
      </c>
      <c r="AD37" s="8">
        <f>INDEX('V_Tüm Teknoloji'!AC$2:AC$59,MATCH(LARGE('V_Tüm Teknoloji'!$AE$2:$AE$59,ROW()-3),'V_Tüm Teknoloji'!$AE$2:$AE$59,0))</f>
        <v>0.99999999999999989</v>
      </c>
    </row>
    <row r="38" spans="1:30" x14ac:dyDescent="0.2">
      <c r="A38">
        <v>35</v>
      </c>
      <c r="B38" s="5" t="str">
        <f>INDEX('V_Tüm Teknoloji'!A$2:A$59,MATCH(LARGE('V_Tüm Teknoloji'!$AE$2:$AE$59,ROW()-3),'V_Tüm Teknoloji'!$AE$2:$AE$59,0))</f>
        <v>IJP</v>
      </c>
      <c r="C38" s="5" t="str">
        <f>INDEX('V_Tüm Teknoloji'!B$2:B$59,MATCH(LARGE('V_Tüm Teknoloji'!$AE$2:$AE$59,ROW()-3),'V_Tüm Teknoloji'!$AE$2:$AE$59,0))</f>
        <v>İŞ Portföy Blockchain Teknolojileri Karma Fon</v>
      </c>
      <c r="D38" s="5" t="str">
        <f>INDEX('V_Tüm Teknoloji'!C$2:C$59,MATCH(LARGE('V_Tüm Teknoloji'!$AE$2:$AE$59,ROW()-3),'V_Tüm Teknoloji'!$AE$2:$AE$59,0))</f>
        <v>İŞ Portföy</v>
      </c>
      <c r="E38" s="8">
        <f>INDEX('V_Tüm Teknoloji'!D$2:D$59,MATCH(LARGE('V_Tüm Teknoloji'!$AE$2:$AE$59,ROW()-3),'V_Tüm Teknoloji'!$AE$2:$AE$59,0))</f>
        <v>2.75E-2</v>
      </c>
      <c r="F38" s="9">
        <f>INDEX('V_Tüm Teknoloji'!E$2:E$59,MATCH(LARGE('V_Tüm Teknoloji'!$AE$2:$AE$59,ROW()-3),'V_Tüm Teknoloji'!$AE$2:$AE$59,0))</f>
        <v>-1.2176547576869809</v>
      </c>
      <c r="G38" s="9">
        <f>INDEX('V_Tüm Teknoloji'!F$2:F$59,MATCH(LARGE('V_Tüm Teknoloji'!$AE$2:$AE$59,ROW()-3),'V_Tüm Teknoloji'!$AE$2:$AE$59,0))</f>
        <v>-0.9472966028996832</v>
      </c>
      <c r="H38" s="9">
        <f>INDEX('V_Tüm Teknoloji'!G$2:G$59,MATCH(LARGE('V_Tüm Teknoloji'!$AE$2:$AE$59,ROW()-3),'V_Tüm Teknoloji'!$AE$2:$AE$59,0))</f>
        <v>2.8773496048729141</v>
      </c>
      <c r="I38" s="9">
        <f>INDEX('V_Tüm Teknoloji'!H$2:H$59,MATCH(LARGE('V_Tüm Teknoloji'!$AE$2:$AE$59,ROW()-3),'V_Tüm Teknoloji'!$AE$2:$AE$59,0))</f>
        <v>27.62306973488775</v>
      </c>
      <c r="J38" s="9">
        <f>INDEX('V_Tüm Teknoloji'!I$2:I$59,MATCH(LARGE('V_Tüm Teknoloji'!$AE$2:$AE$59,ROW()-3),'V_Tüm Teknoloji'!$AE$2:$AE$59,0))</f>
        <v>51.282254219753831</v>
      </c>
      <c r="K38" s="10">
        <f>INDEX('V_Tüm Teknoloji'!J$2:J$59,MATCH(LARGE('V_Tüm Teknoloji'!$AE$2:$AE$59,ROW()-3),'V_Tüm Teknoloji'!$AE$2:$AE$59,0))</f>
        <v>13485</v>
      </c>
      <c r="L38" s="10">
        <f>INDEX('V_Tüm Teknoloji'!K$2:K$59,MATCH(LARGE('V_Tüm Teknoloji'!$AE$2:$AE$59,ROW()-3),'V_Tüm Teknoloji'!$AE$2:$AE$59,0))</f>
        <v>13191</v>
      </c>
      <c r="M38" s="8">
        <f>INDEX('V_Tüm Teknoloji'!L$2:L$59,MATCH(LARGE('V_Tüm Teknoloji'!$AE$2:$AE$59,ROW()-3),'V_Tüm Teknoloji'!$AE$2:$AE$59,0))</f>
        <v>-2.180200222469408E-2</v>
      </c>
      <c r="N38" s="11">
        <f>INDEX('V_Tüm Teknoloji'!M$2:M$59,MATCH(LARGE('V_Tüm Teknoloji'!$AE$2:$AE$59,ROW()-3),'V_Tüm Teknoloji'!$AE$2:$AE$59,0))</f>
        <v>634219138.67999995</v>
      </c>
      <c r="O38" s="11">
        <f>INDEX('V_Tüm Teknoloji'!N$2:N$59,MATCH(LARGE('V_Tüm Teknoloji'!$AE$2:$AE$59,ROW()-3),'V_Tüm Teknoloji'!$AE$2:$AE$59,0))</f>
        <v>643978704.64999998</v>
      </c>
      <c r="P38" s="8">
        <f>INDEX('V_Tüm Teknoloji'!O$2:O$59,MATCH(LARGE('V_Tüm Teknoloji'!$AE$2:$AE$59,ROW()-3),'V_Tüm Teknoloji'!$AE$2:$AE$59,0))</f>
        <v>1.5388318287449691E-2</v>
      </c>
      <c r="Q38" s="9">
        <f>INDEX('V_Tüm Teknoloji'!P$2:P$59,MATCH(LARGE('V_Tüm Teknoloji'!$AE$2:$AE$59,ROW()-3),'V_Tüm Teknoloji'!$AE$2:$AE$59,0))</f>
        <v>1.176562474227679</v>
      </c>
      <c r="R38" s="5" t="str">
        <f>INDEX('V_Tüm Teknoloji'!Q$2:Q$59,MATCH(LARGE('V_Tüm Teknoloji'!$AE$2:$AE$59,ROW()-3),'V_Tüm Teknoloji'!$AE$2:$AE$59,0))</f>
        <v>Görüyor</v>
      </c>
      <c r="S38" s="8">
        <f>INDEX('V_Tüm Teknoloji'!R$2:R$59,MATCH(LARGE('V_Tüm Teknoloji'!$AE$2:$AE$59,ROW()-3),'V_Tüm Teknoloji'!$AE$2:$AE$59,0))</f>
        <v>0.64400000000000002</v>
      </c>
      <c r="T38" s="8">
        <f>INDEX('V_Tüm Teknoloji'!S$2:S$59,MATCH(LARGE('V_Tüm Teknoloji'!$AE$2:$AE$59,ROW()-3),'V_Tüm Teknoloji'!$AE$2:$AE$59,0))</f>
        <v>2.06E-2</v>
      </c>
      <c r="U38" s="8">
        <f>INDEX('V_Tüm Teknoloji'!T$2:T$59,MATCH(LARGE('V_Tüm Teknoloji'!$AE$2:$AE$59,ROW()-3),'V_Tüm Teknoloji'!$AE$2:$AE$59,0))</f>
        <v>0</v>
      </c>
      <c r="V38" s="8">
        <f>INDEX('V_Tüm Teknoloji'!U$2:U$59,MATCH(LARGE('V_Tüm Teknoloji'!$AE$2:$AE$59,ROW()-3),'V_Tüm Teknoloji'!$AE$2:$AE$59,0))</f>
        <v>5.0000000000000001E-4</v>
      </c>
      <c r="W38" s="8">
        <f>INDEX('V_Tüm Teknoloji'!V$2:V$59,MATCH(LARGE('V_Tüm Teknoloji'!$AE$2:$AE$59,ROW()-3),'V_Tüm Teknoloji'!$AE$2:$AE$59,0))</f>
        <v>1.1599999999999999E-2</v>
      </c>
      <c r="X38" s="8">
        <f>INDEX('V_Tüm Teknoloji'!W$2:W$59,MATCH(LARGE('V_Tüm Teknoloji'!$AE$2:$AE$59,ROW()-3),'V_Tüm Teknoloji'!$AE$2:$AE$59,0))</f>
        <v>9.7200000000000009E-2</v>
      </c>
      <c r="Y38" s="8">
        <f>INDEX('V_Tüm Teknoloji'!X$2:X$59,MATCH(LARGE('V_Tüm Teknoloji'!$AE$2:$AE$59,ROW()-3),'V_Tüm Teknoloji'!$AE$2:$AE$59,0))</f>
        <v>0</v>
      </c>
      <c r="Z38" s="8">
        <f>INDEX('V_Tüm Teknoloji'!Y$2:Y$59,MATCH(LARGE('V_Tüm Teknoloji'!$AE$2:$AE$59,ROW()-3),'V_Tüm Teknoloji'!$AE$2:$AE$59,0))</f>
        <v>3.3999999999999998E-3</v>
      </c>
      <c r="AA38" s="8">
        <f>INDEX('V_Tüm Teknoloji'!Z$2:Z$59,MATCH(LARGE('V_Tüm Teknoloji'!$AE$2:$AE$59,ROW()-3),'V_Tüm Teknoloji'!$AE$2:$AE$59,0))</f>
        <v>9.9000000000000005E-2</v>
      </c>
      <c r="AB38" s="8">
        <f>INDEX('V_Tüm Teknoloji'!AA$2:AA$59,MATCH(LARGE('V_Tüm Teknoloji'!$AE$2:$AE$59,ROW()-3),'V_Tüm Teknoloji'!$AE$2:$AE$59,0))</f>
        <v>0.1042</v>
      </c>
      <c r="AC38" s="8">
        <f>INDEX('V_Tüm Teknoloji'!AB$2:AB$59,MATCH(LARGE('V_Tüm Teknoloji'!$AE$2:$AE$59,ROW()-3),'V_Tüm Teknoloji'!$AE$2:$AE$59,0))</f>
        <v>0</v>
      </c>
      <c r="AD38" s="8">
        <f>INDEX('V_Tüm Teknoloji'!AC$2:AC$59,MATCH(LARGE('V_Tüm Teknoloji'!$AE$2:$AE$59,ROW()-3),'V_Tüm Teknoloji'!$AE$2:$AE$59,0))</f>
        <v>0.98050000000000004</v>
      </c>
    </row>
    <row r="39" spans="1:30" x14ac:dyDescent="0.2">
      <c r="A39">
        <v>36</v>
      </c>
      <c r="B39" s="5" t="str">
        <f>INDEX('V_Tüm Teknoloji'!A$2:A$59,MATCH(LARGE('V_Tüm Teknoloji'!$AE$2:$AE$59,ROW()-3),'V_Tüm Teknoloji'!$AE$2:$AE$59,0))</f>
        <v>IRT</v>
      </c>
      <c r="C39" s="5" t="str">
        <f>INDEX('V_Tüm Teknoloji'!B$2:B$59,MATCH(LARGE('V_Tüm Teknoloji'!$AE$2:$AE$59,ROW()-3),'V_Tüm Teknoloji'!$AE$2:$AE$59,0))</f>
        <v>Inveo Portföy Teknoloji Değişken Fon</v>
      </c>
      <c r="D39" s="5" t="str">
        <f>INDEX('V_Tüm Teknoloji'!C$2:C$59,MATCH(LARGE('V_Tüm Teknoloji'!$AE$2:$AE$59,ROW()-3),'V_Tüm Teknoloji'!$AE$2:$AE$59,0))</f>
        <v>Inveo Portföy</v>
      </c>
      <c r="E39" s="8">
        <f>INDEX('V_Tüm Teknoloji'!D$2:D$59,MATCH(LARGE('V_Tüm Teknoloji'!$AE$2:$AE$59,ROW()-3),'V_Tüm Teknoloji'!$AE$2:$AE$59,0))</f>
        <v>1.95E-2</v>
      </c>
      <c r="F39" s="9">
        <f>INDEX('V_Tüm Teknoloji'!E$2:E$59,MATCH(LARGE('V_Tüm Teknoloji'!$AE$2:$AE$59,ROW()-3),'V_Tüm Teknoloji'!$AE$2:$AE$59,0))</f>
        <v>-1.224622091050565</v>
      </c>
      <c r="G39" s="9">
        <f>INDEX('V_Tüm Teknoloji'!F$2:F$59,MATCH(LARGE('V_Tüm Teknoloji'!$AE$2:$AE$59,ROW()-3),'V_Tüm Teknoloji'!$AE$2:$AE$59,0))</f>
        <v>-3.514964394329712</v>
      </c>
      <c r="H39" s="9">
        <f>INDEX('V_Tüm Teknoloji'!G$2:G$59,MATCH(LARGE('V_Tüm Teknoloji'!$AE$2:$AE$59,ROW()-3),'V_Tüm Teknoloji'!$AE$2:$AE$59,0))</f>
        <v>0.1272410216425435</v>
      </c>
      <c r="I39" s="9">
        <f>INDEX('V_Tüm Teknoloji'!H$2:H$59,MATCH(LARGE('V_Tüm Teknoloji'!$AE$2:$AE$59,ROW()-3),'V_Tüm Teknoloji'!$AE$2:$AE$59,0))</f>
        <v>39.763953871789553</v>
      </c>
      <c r="J39" s="9">
        <f>INDEX('V_Tüm Teknoloji'!I$2:I$59,MATCH(LARGE('V_Tüm Teknoloji'!$AE$2:$AE$59,ROW()-3),'V_Tüm Teknoloji'!$AE$2:$AE$59,0))</f>
        <v>77.968606735090134</v>
      </c>
      <c r="K39" s="10">
        <f>INDEX('V_Tüm Teknoloji'!J$2:J$59,MATCH(LARGE('V_Tüm Teknoloji'!$AE$2:$AE$59,ROW()-3),'V_Tüm Teknoloji'!$AE$2:$AE$59,0))</f>
        <v>1569</v>
      </c>
      <c r="L39" s="10">
        <f>INDEX('V_Tüm Teknoloji'!K$2:K$59,MATCH(LARGE('V_Tüm Teknoloji'!$AE$2:$AE$59,ROW()-3),'V_Tüm Teknoloji'!$AE$2:$AE$59,0))</f>
        <v>1572</v>
      </c>
      <c r="M39" s="8">
        <f>INDEX('V_Tüm Teknoloji'!L$2:L$59,MATCH(LARGE('V_Tüm Teknoloji'!$AE$2:$AE$59,ROW()-3),'V_Tüm Teknoloji'!$AE$2:$AE$59,0))</f>
        <v>1.912045889101321E-3</v>
      </c>
      <c r="N39" s="11">
        <f>INDEX('V_Tüm Teknoloji'!M$2:M$59,MATCH(LARGE('V_Tüm Teknoloji'!$AE$2:$AE$59,ROW()-3),'V_Tüm Teknoloji'!$AE$2:$AE$59,0))</f>
        <v>128801666.88</v>
      </c>
      <c r="O39" s="11">
        <f>INDEX('V_Tüm Teknoloji'!N$2:N$59,MATCH(LARGE('V_Tüm Teknoloji'!$AE$2:$AE$59,ROW()-3),'V_Tüm Teknoloji'!$AE$2:$AE$59,0))</f>
        <v>129665010.48</v>
      </c>
      <c r="P39" s="8">
        <f>INDEX('V_Tüm Teknoloji'!O$2:O$59,MATCH(LARGE('V_Tüm Teknoloji'!$AE$2:$AE$59,ROW()-3),'V_Tüm Teknoloji'!$AE$2:$AE$59,0))</f>
        <v>6.7028915146289947E-3</v>
      </c>
      <c r="Q39" s="9">
        <f>INDEX('V_Tüm Teknoloji'!P$2:P$59,MATCH(LARGE('V_Tüm Teknoloji'!$AE$2:$AE$59,ROW()-3),'V_Tüm Teknoloji'!$AE$2:$AE$59,0))</f>
        <v>1.6435815996508509</v>
      </c>
      <c r="R39" s="5" t="str">
        <f>INDEX('V_Tüm Teknoloji'!Q$2:Q$59,MATCH(LARGE('V_Tüm Teknoloji'!$AE$2:$AE$59,ROW()-3),'V_Tüm Teknoloji'!$AE$2:$AE$59,0))</f>
        <v>Görüyor</v>
      </c>
      <c r="S39" s="8">
        <f>INDEX('V_Tüm Teknoloji'!R$2:R$59,MATCH(LARGE('V_Tüm Teknoloji'!$AE$2:$AE$59,ROW()-3),'V_Tüm Teknoloji'!$AE$2:$AE$59,0))</f>
        <v>0.56399999999999995</v>
      </c>
      <c r="T39" s="8">
        <f>INDEX('V_Tüm Teknoloji'!S$2:S$59,MATCH(LARGE('V_Tüm Teknoloji'!$AE$2:$AE$59,ROW()-3),'V_Tüm Teknoloji'!$AE$2:$AE$59,0))</f>
        <v>0.1618</v>
      </c>
      <c r="U39" s="8">
        <f>INDEX('V_Tüm Teknoloji'!T$2:T$59,MATCH(LARGE('V_Tüm Teknoloji'!$AE$2:$AE$59,ROW()-3),'V_Tüm Teknoloji'!$AE$2:$AE$59,0))</f>
        <v>0</v>
      </c>
      <c r="V39" s="8">
        <f>INDEX('V_Tüm Teknoloji'!U$2:U$59,MATCH(LARGE('V_Tüm Teknoloji'!$AE$2:$AE$59,ROW()-3),'V_Tüm Teknoloji'!$AE$2:$AE$59,0))</f>
        <v>0</v>
      </c>
      <c r="W39" s="8">
        <f>INDEX('V_Tüm Teknoloji'!V$2:V$59,MATCH(LARGE('V_Tüm Teknoloji'!$AE$2:$AE$59,ROW()-3),'V_Tüm Teknoloji'!$AE$2:$AE$59,0))</f>
        <v>0</v>
      </c>
      <c r="X39" s="8">
        <f>INDEX('V_Tüm Teknoloji'!W$2:W$59,MATCH(LARGE('V_Tüm Teknoloji'!$AE$2:$AE$59,ROW()-3),'V_Tüm Teknoloji'!$AE$2:$AE$59,0))</f>
        <v>0.25259999999999999</v>
      </c>
      <c r="Y39" s="8">
        <f>INDEX('V_Tüm Teknoloji'!X$2:X$59,MATCH(LARGE('V_Tüm Teknoloji'!$AE$2:$AE$59,ROW()-3),'V_Tüm Teknoloji'!$AE$2:$AE$59,0))</f>
        <v>0</v>
      </c>
      <c r="Z39" s="8">
        <f>INDEX('V_Tüm Teknoloji'!Y$2:Y$59,MATCH(LARGE('V_Tüm Teknoloji'!$AE$2:$AE$59,ROW()-3),'V_Tüm Teknoloji'!$AE$2:$AE$59,0))</f>
        <v>2.1600000000000001E-2</v>
      </c>
      <c r="AA39" s="8">
        <f>INDEX('V_Tüm Teknoloji'!Z$2:Z$59,MATCH(LARGE('V_Tüm Teknoloji'!$AE$2:$AE$59,ROW()-3),'V_Tüm Teknoloji'!$AE$2:$AE$59,0))</f>
        <v>0</v>
      </c>
      <c r="AB39" s="8">
        <f>INDEX('V_Tüm Teknoloji'!AA$2:AA$59,MATCH(LARGE('V_Tüm Teknoloji'!$AE$2:$AE$59,ROW()-3),'V_Tüm Teknoloji'!$AE$2:$AE$59,0))</f>
        <v>0</v>
      </c>
      <c r="AC39" s="8">
        <f>INDEX('V_Tüm Teknoloji'!AB$2:AB$59,MATCH(LARGE('V_Tüm Teknoloji'!$AE$2:$AE$59,ROW()-3),'V_Tüm Teknoloji'!$AE$2:$AE$59,0))</f>
        <v>0</v>
      </c>
      <c r="AD39" s="8">
        <f>INDEX('V_Tüm Teknoloji'!AC$2:AC$59,MATCH(LARGE('V_Tüm Teknoloji'!$AE$2:$AE$59,ROW()-3),'V_Tüm Teknoloji'!$AE$2:$AE$59,0))</f>
        <v>0.99999999999999989</v>
      </c>
    </row>
    <row r="40" spans="1:30" x14ac:dyDescent="0.2">
      <c r="A40">
        <v>37</v>
      </c>
      <c r="B40" s="5" t="str">
        <f>INDEX('V_Tüm Teknoloji'!A$2:A$59,MATCH(LARGE('V_Tüm Teknoloji'!$AE$2:$AE$59,ROW()-3),'V_Tüm Teknoloji'!$AE$2:$AE$59,0))</f>
        <v>FLY</v>
      </c>
      <c r="C40" s="5" t="str">
        <f>INDEX('V_Tüm Teknoloji'!B$2:B$59,MATCH(LARGE('V_Tüm Teknoloji'!$AE$2:$AE$59,ROW()-3),'V_Tüm Teknoloji'!$AE$2:$AE$59,0))</f>
        <v>Aktif Portföy Havacılık VE Savunma Teknolojileri Değişken Fon</v>
      </c>
      <c r="D40" s="5" t="str">
        <f>INDEX('V_Tüm Teknoloji'!C$2:C$59,MATCH(LARGE('V_Tüm Teknoloji'!$AE$2:$AE$59,ROW()-3),'V_Tüm Teknoloji'!$AE$2:$AE$59,0))</f>
        <v>Aktif Portföy</v>
      </c>
      <c r="E40" s="8">
        <f>INDEX('V_Tüm Teknoloji'!D$2:D$59,MATCH(LARGE('V_Tüm Teknoloji'!$AE$2:$AE$59,ROW()-3),'V_Tüm Teknoloji'!$AE$2:$AE$59,0))</f>
        <v>0.02</v>
      </c>
      <c r="F40" s="9">
        <f>INDEX('V_Tüm Teknoloji'!E$2:E$59,MATCH(LARGE('V_Tüm Teknoloji'!$AE$2:$AE$59,ROW()-3),'V_Tüm Teknoloji'!$AE$2:$AE$59,0))</f>
        <v>-1.234708009420715</v>
      </c>
      <c r="G40" s="9">
        <f>INDEX('V_Tüm Teknoloji'!F$2:F$59,MATCH(LARGE('V_Tüm Teknoloji'!$AE$2:$AE$59,ROW()-3),'V_Tüm Teknoloji'!$AE$2:$AE$59,0))</f>
        <v>-6.9175744354751494</v>
      </c>
      <c r="H40" s="9">
        <f>INDEX('V_Tüm Teknoloji'!G$2:G$59,MATCH(LARGE('V_Tüm Teknoloji'!$AE$2:$AE$59,ROW()-3),'V_Tüm Teknoloji'!$AE$2:$AE$59,0))</f>
        <v>-2.8701749307966762</v>
      </c>
      <c r="I40" s="9">
        <f>INDEX('V_Tüm Teknoloji'!H$2:H$59,MATCH(LARGE('V_Tüm Teknoloji'!$AE$2:$AE$59,ROW()-3),'V_Tüm Teknoloji'!$AE$2:$AE$59,0))</f>
        <v>9.013686090568406</v>
      </c>
      <c r="J40" s="9">
        <f>INDEX('V_Tüm Teknoloji'!I$2:I$59,MATCH(LARGE('V_Tüm Teknoloji'!$AE$2:$AE$59,ROW()-3),'V_Tüm Teknoloji'!$AE$2:$AE$59,0))</f>
        <v>14.951643174088931</v>
      </c>
      <c r="K40" s="10">
        <f>INDEX('V_Tüm Teknoloji'!J$2:J$59,MATCH(LARGE('V_Tüm Teknoloji'!$AE$2:$AE$59,ROW()-3),'V_Tüm Teknoloji'!$AE$2:$AE$59,0))</f>
        <v>1466</v>
      </c>
      <c r="L40" s="10">
        <f>INDEX('V_Tüm Teknoloji'!K$2:K$59,MATCH(LARGE('V_Tüm Teknoloji'!$AE$2:$AE$59,ROW()-3),'V_Tüm Teknoloji'!$AE$2:$AE$59,0))</f>
        <v>1998</v>
      </c>
      <c r="M40" s="8">
        <f>INDEX('V_Tüm Teknoloji'!L$2:L$59,MATCH(LARGE('V_Tüm Teknoloji'!$AE$2:$AE$59,ROW()-3),'V_Tüm Teknoloji'!$AE$2:$AE$59,0))</f>
        <v>0.36289222373806268</v>
      </c>
      <c r="N40" s="11">
        <f>INDEX('V_Tüm Teknoloji'!M$2:M$59,MATCH(LARGE('V_Tüm Teknoloji'!$AE$2:$AE$59,ROW()-3),'V_Tüm Teknoloji'!$AE$2:$AE$59,0))</f>
        <v>96592803.909999996</v>
      </c>
      <c r="O40" s="11">
        <f>INDEX('V_Tüm Teknoloji'!N$2:N$59,MATCH(LARGE('V_Tüm Teknoloji'!$AE$2:$AE$59,ROW()-3),'V_Tüm Teknoloji'!$AE$2:$AE$59,0))</f>
        <v>99130570.489999995</v>
      </c>
      <c r="P40" s="8">
        <f>INDEX('V_Tüm Teknoloji'!O$2:O$59,MATCH(LARGE('V_Tüm Teknoloji'!$AE$2:$AE$59,ROW()-3),'V_Tüm Teknoloji'!$AE$2:$AE$59,0))</f>
        <v>2.6272832729491439E-2</v>
      </c>
      <c r="Q40" s="9">
        <f>INDEX('V_Tüm Teknoloji'!P$2:P$59,MATCH(LARGE('V_Tüm Teknoloji'!$AE$2:$AE$59,ROW()-3),'V_Tüm Teknoloji'!$AE$2:$AE$59,0))</f>
        <v>1.4827456519604381</v>
      </c>
      <c r="R40" s="5" t="str">
        <f>INDEX('V_Tüm Teknoloji'!Q$2:Q$59,MATCH(LARGE('V_Tüm Teknoloji'!$AE$2:$AE$59,ROW()-3),'V_Tüm Teknoloji'!$AE$2:$AE$59,0))</f>
        <v>Görüyor</v>
      </c>
      <c r="S40" s="8">
        <f>INDEX('V_Tüm Teknoloji'!R$2:R$59,MATCH(LARGE('V_Tüm Teknoloji'!$AE$2:$AE$59,ROW()-3),'V_Tüm Teknoloji'!$AE$2:$AE$59,0))</f>
        <v>0.60439999999999994</v>
      </c>
      <c r="T40" s="8">
        <f>INDEX('V_Tüm Teknoloji'!S$2:S$59,MATCH(LARGE('V_Tüm Teknoloji'!$AE$2:$AE$59,ROW()-3),'V_Tüm Teknoloji'!$AE$2:$AE$59,0))</f>
        <v>0</v>
      </c>
      <c r="U40" s="8">
        <f>INDEX('V_Tüm Teknoloji'!T$2:T$59,MATCH(LARGE('V_Tüm Teknoloji'!$AE$2:$AE$59,ROW()-3),'V_Tüm Teknoloji'!$AE$2:$AE$59,0))</f>
        <v>0</v>
      </c>
      <c r="V40" s="8">
        <f>INDEX('V_Tüm Teknoloji'!U$2:U$59,MATCH(LARGE('V_Tüm Teknoloji'!$AE$2:$AE$59,ROW()-3),'V_Tüm Teknoloji'!$AE$2:$AE$59,0))</f>
        <v>0</v>
      </c>
      <c r="W40" s="8">
        <f>INDEX('V_Tüm Teknoloji'!V$2:V$59,MATCH(LARGE('V_Tüm Teknoloji'!$AE$2:$AE$59,ROW()-3),'V_Tüm Teknoloji'!$AE$2:$AE$59,0))</f>
        <v>0</v>
      </c>
      <c r="X40" s="8">
        <f>INDEX('V_Tüm Teknoloji'!W$2:W$59,MATCH(LARGE('V_Tüm Teknoloji'!$AE$2:$AE$59,ROW()-3),'V_Tüm Teknoloji'!$AE$2:$AE$59,0))</f>
        <v>0.31940000000000002</v>
      </c>
      <c r="Y40" s="8">
        <f>INDEX('V_Tüm Teknoloji'!X$2:X$59,MATCH(LARGE('V_Tüm Teknoloji'!$AE$2:$AE$59,ROW()-3),'V_Tüm Teknoloji'!$AE$2:$AE$59,0))</f>
        <v>0</v>
      </c>
      <c r="Z40" s="8">
        <f>INDEX('V_Tüm Teknoloji'!Y$2:Y$59,MATCH(LARGE('V_Tüm Teknoloji'!$AE$2:$AE$59,ROW()-3),'V_Tüm Teknoloji'!$AE$2:$AE$59,0))</f>
        <v>7.6200000000000004E-2</v>
      </c>
      <c r="AA40" s="8">
        <f>INDEX('V_Tüm Teknoloji'!Z$2:Z$59,MATCH(LARGE('V_Tüm Teknoloji'!$AE$2:$AE$59,ROW()-3),'V_Tüm Teknoloji'!$AE$2:$AE$59,0))</f>
        <v>0</v>
      </c>
      <c r="AB40" s="8">
        <f>INDEX('V_Tüm Teknoloji'!AA$2:AA$59,MATCH(LARGE('V_Tüm Teknoloji'!$AE$2:$AE$59,ROW()-3),'V_Tüm Teknoloji'!$AE$2:$AE$59,0))</f>
        <v>0</v>
      </c>
      <c r="AC40" s="8">
        <f>INDEX('V_Tüm Teknoloji'!AB$2:AB$59,MATCH(LARGE('V_Tüm Teknoloji'!$AE$2:$AE$59,ROW()-3),'V_Tüm Teknoloji'!$AE$2:$AE$59,0))</f>
        <v>0</v>
      </c>
      <c r="AD40" s="8">
        <f>INDEX('V_Tüm Teknoloji'!AC$2:AC$59,MATCH(LARGE('V_Tüm Teknoloji'!$AE$2:$AE$59,ROW()-3),'V_Tüm Teknoloji'!$AE$2:$AE$59,0))</f>
        <v>1</v>
      </c>
    </row>
    <row r="41" spans="1:30" x14ac:dyDescent="0.2">
      <c r="A41">
        <v>38</v>
      </c>
      <c r="B41" s="5" t="str">
        <f>INDEX('V_Tüm Teknoloji'!A$2:A$59,MATCH(LARGE('V_Tüm Teknoloji'!$AE$2:$AE$59,ROW()-3),'V_Tüm Teknoloji'!$AE$2:$AE$59,0))</f>
        <v>YJK</v>
      </c>
      <c r="C41" s="5" t="str">
        <f>INDEX('V_Tüm Teknoloji'!B$2:B$59,MATCH(LARGE('V_Tüm Teknoloji'!$AE$2:$AE$59,ROW()-3),'V_Tüm Teknoloji'!$AE$2:$AE$59,0))</f>
        <v>Yapı Kredi Portföy Robotik VE Yarı İletken Teknolojileri Fon Sepeti Fonu</v>
      </c>
      <c r="D41" s="5" t="str">
        <f>INDEX('V_Tüm Teknoloji'!C$2:C$59,MATCH(LARGE('V_Tüm Teknoloji'!$AE$2:$AE$59,ROW()-3),'V_Tüm Teknoloji'!$AE$2:$AE$59,0))</f>
        <v>Yapı Kredi Portföy</v>
      </c>
      <c r="E41" s="8">
        <f>INDEX('V_Tüm Teknoloji'!D$2:D$59,MATCH(LARGE('V_Tüm Teknoloji'!$AE$2:$AE$59,ROW()-3),'V_Tüm Teknoloji'!$AE$2:$AE$59,0))</f>
        <v>2.5000000000000001E-2</v>
      </c>
      <c r="F41" s="9">
        <f>INDEX('V_Tüm Teknoloji'!E$2:E$59,MATCH(LARGE('V_Tüm Teknoloji'!$AE$2:$AE$59,ROW()-3),'V_Tüm Teknoloji'!$AE$2:$AE$59,0))</f>
        <v>-1.2350278620450019</v>
      </c>
      <c r="G41" s="9">
        <f>INDEX('V_Tüm Teknoloji'!F$2:F$59,MATCH(LARGE('V_Tüm Teknoloji'!$AE$2:$AE$59,ROW()-3),'V_Tüm Teknoloji'!$AE$2:$AE$59,0))</f>
        <v>-2.857718284070021</v>
      </c>
      <c r="H41" s="9">
        <f>INDEX('V_Tüm Teknoloji'!G$2:G$59,MATCH(LARGE('V_Tüm Teknoloji'!$AE$2:$AE$59,ROW()-3),'V_Tüm Teknoloji'!$AE$2:$AE$59,0))</f>
        <v>1.4457310219916359</v>
      </c>
      <c r="I41" s="9">
        <f>INDEX('V_Tüm Teknoloji'!H$2:H$59,MATCH(LARGE('V_Tüm Teknoloji'!$AE$2:$AE$59,ROW()-3),'V_Tüm Teknoloji'!$AE$2:$AE$59,0))</f>
        <v>44.360271817079052</v>
      </c>
      <c r="J41" s="9">
        <f>INDEX('V_Tüm Teknoloji'!I$2:I$59,MATCH(LARGE('V_Tüm Teknoloji'!$AE$2:$AE$59,ROW()-3),'V_Tüm Teknoloji'!$AE$2:$AE$59,0))</f>
        <v>77.990949740598154</v>
      </c>
      <c r="K41" s="10">
        <f>INDEX('V_Tüm Teknoloji'!J$2:J$59,MATCH(LARGE('V_Tüm Teknoloji'!$AE$2:$AE$59,ROW()-3),'V_Tüm Teknoloji'!$AE$2:$AE$59,0))</f>
        <v>13573</v>
      </c>
      <c r="L41" s="10">
        <f>INDEX('V_Tüm Teknoloji'!K$2:K$59,MATCH(LARGE('V_Tüm Teknoloji'!$AE$2:$AE$59,ROW()-3),'V_Tüm Teknoloji'!$AE$2:$AE$59,0))</f>
        <v>14321</v>
      </c>
      <c r="M41" s="8">
        <f>INDEX('V_Tüm Teknoloji'!L$2:L$59,MATCH(LARGE('V_Tüm Teknoloji'!$AE$2:$AE$59,ROW()-3),'V_Tüm Teknoloji'!$AE$2:$AE$59,0))</f>
        <v>5.5109408384292242E-2</v>
      </c>
      <c r="N41" s="11">
        <f>INDEX('V_Tüm Teknoloji'!M$2:M$59,MATCH(LARGE('V_Tüm Teknoloji'!$AE$2:$AE$59,ROW()-3),'V_Tüm Teknoloji'!$AE$2:$AE$59,0))</f>
        <v>1046976452.15</v>
      </c>
      <c r="O41" s="11">
        <f>INDEX('V_Tüm Teknoloji'!N$2:N$59,MATCH(LARGE('V_Tüm Teknoloji'!$AE$2:$AE$59,ROW()-3),'V_Tüm Teknoloji'!$AE$2:$AE$59,0))</f>
        <v>1087617766.25</v>
      </c>
      <c r="P41" s="8">
        <f>INDEX('V_Tüm Teknoloji'!O$2:O$59,MATCH(LARGE('V_Tüm Teknoloji'!$AE$2:$AE$59,ROW()-3),'V_Tüm Teknoloji'!$AE$2:$AE$59,0))</f>
        <v>3.8817791953717602E-2</v>
      </c>
      <c r="Q41" s="9">
        <f>INDEX('V_Tüm Teknoloji'!P$2:P$59,MATCH(LARGE('V_Tüm Teknoloji'!$AE$2:$AE$59,ROW()-3),'V_Tüm Teknoloji'!$AE$2:$AE$59,0))</f>
        <v>1.7695426324961649</v>
      </c>
      <c r="R41" s="5" t="str">
        <f>INDEX('V_Tüm Teknoloji'!Q$2:Q$59,MATCH(LARGE('V_Tüm Teknoloji'!$AE$2:$AE$59,ROW()-3),'V_Tüm Teknoloji'!$AE$2:$AE$59,0))</f>
        <v>Görüyor</v>
      </c>
      <c r="S41" s="8">
        <f>INDEX('V_Tüm Teknoloji'!R$2:R$59,MATCH(LARGE('V_Tüm Teknoloji'!$AE$2:$AE$59,ROW()-3),'V_Tüm Teknoloji'!$AE$2:$AE$59,0))</f>
        <v>0</v>
      </c>
      <c r="T41" s="8">
        <f>INDEX('V_Tüm Teknoloji'!S$2:S$59,MATCH(LARGE('V_Tüm Teknoloji'!$AE$2:$AE$59,ROW()-3),'V_Tüm Teknoloji'!$AE$2:$AE$59,0))</f>
        <v>0.6663</v>
      </c>
      <c r="U41" s="8">
        <f>INDEX('V_Tüm Teknoloji'!T$2:T$59,MATCH(LARGE('V_Tüm Teknoloji'!$AE$2:$AE$59,ROW()-3),'V_Tüm Teknoloji'!$AE$2:$AE$59,0))</f>
        <v>0</v>
      </c>
      <c r="V41" s="8">
        <f>INDEX('V_Tüm Teknoloji'!U$2:U$59,MATCH(LARGE('V_Tüm Teknoloji'!$AE$2:$AE$59,ROW()-3),'V_Tüm Teknoloji'!$AE$2:$AE$59,0))</f>
        <v>8.9999999999999998E-4</v>
      </c>
      <c r="W41" s="8">
        <f>INDEX('V_Tüm Teknoloji'!V$2:V$59,MATCH(LARGE('V_Tüm Teknoloji'!$AE$2:$AE$59,ROW()-3),'V_Tüm Teknoloji'!$AE$2:$AE$59,0))</f>
        <v>9.1999999999999998E-3</v>
      </c>
      <c r="X41" s="8">
        <f>INDEX('V_Tüm Teknoloji'!W$2:W$59,MATCH(LARGE('V_Tüm Teknoloji'!$AE$2:$AE$59,ROW()-3),'V_Tüm Teknoloji'!$AE$2:$AE$59,0))</f>
        <v>0</v>
      </c>
      <c r="Y41" s="8">
        <f>INDEX('V_Tüm Teknoloji'!X$2:X$59,MATCH(LARGE('V_Tüm Teknoloji'!$AE$2:$AE$59,ROW()-3),'V_Tüm Teknoloji'!$AE$2:$AE$59,0))</f>
        <v>0</v>
      </c>
      <c r="Z41" s="8">
        <f>INDEX('V_Tüm Teknoloji'!Y$2:Y$59,MATCH(LARGE('V_Tüm Teknoloji'!$AE$2:$AE$59,ROW()-3),'V_Tüm Teknoloji'!$AE$2:$AE$59,0))</f>
        <v>0.3236</v>
      </c>
      <c r="AA41" s="8">
        <f>INDEX('V_Tüm Teknoloji'!Z$2:Z$59,MATCH(LARGE('V_Tüm Teknoloji'!$AE$2:$AE$59,ROW()-3),'V_Tüm Teknoloji'!$AE$2:$AE$59,0))</f>
        <v>0</v>
      </c>
      <c r="AB41" s="8">
        <f>INDEX('V_Tüm Teknoloji'!AA$2:AA$59,MATCH(LARGE('V_Tüm Teknoloji'!$AE$2:$AE$59,ROW()-3),'V_Tüm Teknoloji'!$AE$2:$AE$59,0))</f>
        <v>0</v>
      </c>
      <c r="AC41" s="8">
        <f>INDEX('V_Tüm Teknoloji'!AB$2:AB$59,MATCH(LARGE('V_Tüm Teknoloji'!$AE$2:$AE$59,ROW()-3),'V_Tüm Teknoloji'!$AE$2:$AE$59,0))</f>
        <v>0</v>
      </c>
      <c r="AD41" s="8">
        <f>INDEX('V_Tüm Teknoloji'!AC$2:AC$59,MATCH(LARGE('V_Tüm Teknoloji'!$AE$2:$AE$59,ROW()-3),'V_Tüm Teknoloji'!$AE$2:$AE$59,0))</f>
        <v>1</v>
      </c>
    </row>
    <row r="42" spans="1:30" x14ac:dyDescent="0.2">
      <c r="A42">
        <v>39</v>
      </c>
      <c r="B42" s="5" t="str">
        <f>INDEX('V_Tüm Teknoloji'!A$2:A$59,MATCH(LARGE('V_Tüm Teknoloji'!$AE$2:$AE$59,ROW()-3),'V_Tüm Teknoloji'!$AE$2:$AE$59,0))</f>
        <v>RTG</v>
      </c>
      <c r="C42" s="5" t="str">
        <f>INDEX('V_Tüm Teknoloji'!B$2:B$59,MATCH(LARGE('V_Tüm Teknoloji'!$AE$2:$AE$59,ROW()-3),'V_Tüm Teknoloji'!$AE$2:$AE$59,0))</f>
        <v>Ata Portföy Robotik Teknolojileri Değişken Fon</v>
      </c>
      <c r="D42" s="5" t="str">
        <f>INDEX('V_Tüm Teknoloji'!C$2:C$59,MATCH(LARGE('V_Tüm Teknoloji'!$AE$2:$AE$59,ROW()-3),'V_Tüm Teknoloji'!$AE$2:$AE$59,0))</f>
        <v>Ata Portföy</v>
      </c>
      <c r="E42" s="8">
        <f>INDEX('V_Tüm Teknoloji'!D$2:D$59,MATCH(LARGE('V_Tüm Teknoloji'!$AE$2:$AE$59,ROW()-3),'V_Tüm Teknoloji'!$AE$2:$AE$59,0))</f>
        <v>2.5000000000000001E-2</v>
      </c>
      <c r="F42" s="9">
        <f>INDEX('V_Tüm Teknoloji'!E$2:E$59,MATCH(LARGE('V_Tüm Teknoloji'!$AE$2:$AE$59,ROW()-3),'V_Tüm Teknoloji'!$AE$2:$AE$59,0))</f>
        <v>-1.2468262651208371</v>
      </c>
      <c r="G42" s="9">
        <f>INDEX('V_Tüm Teknoloji'!F$2:F$59,MATCH(LARGE('V_Tüm Teknoloji'!$AE$2:$AE$59,ROW()-3),'V_Tüm Teknoloji'!$AE$2:$AE$59,0))</f>
        <v>-3.7341488614624612</v>
      </c>
      <c r="H42" s="9">
        <f>INDEX('V_Tüm Teknoloji'!G$2:G$59,MATCH(LARGE('V_Tüm Teknoloji'!$AE$2:$AE$59,ROW()-3),'V_Tüm Teknoloji'!$AE$2:$AE$59,0))</f>
        <v>0.51118374662535437</v>
      </c>
      <c r="I42" s="9">
        <f>INDEX('V_Tüm Teknoloji'!H$2:H$59,MATCH(LARGE('V_Tüm Teknoloji'!$AE$2:$AE$59,ROW()-3),'V_Tüm Teknoloji'!$AE$2:$AE$59,0))</f>
        <v>39.769040757613922</v>
      </c>
      <c r="J42" s="9">
        <f>INDEX('V_Tüm Teknoloji'!I$2:I$59,MATCH(LARGE('V_Tüm Teknoloji'!$AE$2:$AE$59,ROW()-3),'V_Tüm Teknoloji'!$AE$2:$AE$59,0))</f>
        <v>70.558770372674488</v>
      </c>
      <c r="K42" s="10">
        <f>INDEX('V_Tüm Teknoloji'!J$2:J$59,MATCH(LARGE('V_Tüm Teknoloji'!$AE$2:$AE$59,ROW()-3),'V_Tüm Teknoloji'!$AE$2:$AE$59,0))</f>
        <v>5413</v>
      </c>
      <c r="L42" s="10">
        <f>INDEX('V_Tüm Teknoloji'!K$2:K$59,MATCH(LARGE('V_Tüm Teknoloji'!$AE$2:$AE$59,ROW()-3),'V_Tüm Teknoloji'!$AE$2:$AE$59,0))</f>
        <v>5253</v>
      </c>
      <c r="M42" s="8">
        <f>INDEX('V_Tüm Teknoloji'!L$2:L$59,MATCH(LARGE('V_Tüm Teknoloji'!$AE$2:$AE$59,ROW()-3),'V_Tüm Teknoloji'!$AE$2:$AE$59,0))</f>
        <v>-2.9558470349159479E-2</v>
      </c>
      <c r="N42" s="11">
        <f>INDEX('V_Tüm Teknoloji'!M$2:M$59,MATCH(LARGE('V_Tüm Teknoloji'!$AE$2:$AE$59,ROW()-3),'V_Tüm Teknoloji'!$AE$2:$AE$59,0))</f>
        <v>280376122.50999999</v>
      </c>
      <c r="O42" s="11">
        <f>INDEX('V_Tüm Teknoloji'!N$2:N$59,MATCH(LARGE('V_Tüm Teknoloji'!$AE$2:$AE$59,ROW()-3),'V_Tüm Teknoloji'!$AE$2:$AE$59,0))</f>
        <v>273683715.80000001</v>
      </c>
      <c r="P42" s="8">
        <f>INDEX('V_Tüm Teknoloji'!O$2:O$59,MATCH(LARGE('V_Tüm Teknoloji'!$AE$2:$AE$59,ROW()-3),'V_Tüm Teknoloji'!$AE$2:$AE$59,0))</f>
        <v>-2.3869388912607151E-2</v>
      </c>
      <c r="Q42" s="9">
        <f>INDEX('V_Tüm Teknoloji'!P$2:P$59,MATCH(LARGE('V_Tüm Teknoloji'!$AE$2:$AE$59,ROW()-3),'V_Tüm Teknoloji'!$AE$2:$AE$59,0))</f>
        <v>2.0779673622265622</v>
      </c>
      <c r="R42" s="5" t="str">
        <f>INDEX('V_Tüm Teknoloji'!Q$2:Q$59,MATCH(LARGE('V_Tüm Teknoloji'!$AE$2:$AE$59,ROW()-3),'V_Tüm Teknoloji'!$AE$2:$AE$59,0))</f>
        <v>Görüyor</v>
      </c>
      <c r="S42" s="8">
        <f>INDEX('V_Tüm Teknoloji'!R$2:R$59,MATCH(LARGE('V_Tüm Teknoloji'!$AE$2:$AE$59,ROW()-3),'V_Tüm Teknoloji'!$AE$2:$AE$59,0))</f>
        <v>0.64549999999999996</v>
      </c>
      <c r="T42" s="8">
        <f>INDEX('V_Tüm Teknoloji'!S$2:S$59,MATCH(LARGE('V_Tüm Teknoloji'!$AE$2:$AE$59,ROW()-3),'V_Tüm Teknoloji'!$AE$2:$AE$59,0))</f>
        <v>0</v>
      </c>
      <c r="U42" s="8">
        <f>INDEX('V_Tüm Teknoloji'!T$2:T$59,MATCH(LARGE('V_Tüm Teknoloji'!$AE$2:$AE$59,ROW()-3),'V_Tüm Teknoloji'!$AE$2:$AE$59,0))</f>
        <v>0</v>
      </c>
      <c r="V42" s="8">
        <f>INDEX('V_Tüm Teknoloji'!U$2:U$59,MATCH(LARGE('V_Tüm Teknoloji'!$AE$2:$AE$59,ROW()-3),'V_Tüm Teknoloji'!$AE$2:$AE$59,0))</f>
        <v>1.26E-2</v>
      </c>
      <c r="W42" s="8">
        <f>INDEX('V_Tüm Teknoloji'!V$2:V$59,MATCH(LARGE('V_Tüm Teknoloji'!$AE$2:$AE$59,ROW()-3),'V_Tüm Teknoloji'!$AE$2:$AE$59,0))</f>
        <v>0</v>
      </c>
      <c r="X42" s="8">
        <f>INDEX('V_Tüm Teknoloji'!W$2:W$59,MATCH(LARGE('V_Tüm Teknoloji'!$AE$2:$AE$59,ROW()-3),'V_Tüm Teknoloji'!$AE$2:$AE$59,0))</f>
        <v>0.22559999999999999</v>
      </c>
      <c r="Y42" s="8">
        <f>INDEX('V_Tüm Teknoloji'!X$2:X$59,MATCH(LARGE('V_Tüm Teknoloji'!$AE$2:$AE$59,ROW()-3),'V_Tüm Teknoloji'!$AE$2:$AE$59,0))</f>
        <v>0</v>
      </c>
      <c r="Z42" s="8">
        <f>INDEX('V_Tüm Teknoloji'!Y$2:Y$59,MATCH(LARGE('V_Tüm Teknoloji'!$AE$2:$AE$59,ROW()-3),'V_Tüm Teknoloji'!$AE$2:$AE$59,0))</f>
        <v>0.1163</v>
      </c>
      <c r="AA42" s="8">
        <f>INDEX('V_Tüm Teknoloji'!Z$2:Z$59,MATCH(LARGE('V_Tüm Teknoloji'!$AE$2:$AE$59,ROW()-3),'V_Tüm Teknoloji'!$AE$2:$AE$59,0))</f>
        <v>0</v>
      </c>
      <c r="AB42" s="8">
        <f>INDEX('V_Tüm Teknoloji'!AA$2:AA$59,MATCH(LARGE('V_Tüm Teknoloji'!$AE$2:$AE$59,ROW()-3),'V_Tüm Teknoloji'!$AE$2:$AE$59,0))</f>
        <v>0</v>
      </c>
      <c r="AC42" s="8">
        <f>INDEX('V_Tüm Teknoloji'!AB$2:AB$59,MATCH(LARGE('V_Tüm Teknoloji'!$AE$2:$AE$59,ROW()-3),'V_Tüm Teknoloji'!$AE$2:$AE$59,0))</f>
        <v>0</v>
      </c>
      <c r="AD42" s="8">
        <f>INDEX('V_Tüm Teknoloji'!AC$2:AC$59,MATCH(LARGE('V_Tüm Teknoloji'!$AE$2:$AE$59,ROW()-3),'V_Tüm Teknoloji'!$AE$2:$AE$59,0))</f>
        <v>1</v>
      </c>
    </row>
    <row r="43" spans="1:30" x14ac:dyDescent="0.2">
      <c r="A43">
        <v>40</v>
      </c>
      <c r="B43" s="5" t="str">
        <f>INDEX('V_Tüm Teknoloji'!A$2:A$59,MATCH(LARGE('V_Tüm Teknoloji'!$AE$2:$AE$59,ROW()-3),'V_Tüm Teknoloji'!$AE$2:$AE$59,0))</f>
        <v>MTD</v>
      </c>
      <c r="C43" s="5" t="str">
        <f>INDEX('V_Tüm Teknoloji'!B$2:B$59,MATCH(LARGE('V_Tüm Teknoloji'!$AE$2:$AE$59,ROW()-3),'V_Tüm Teknoloji'!$AE$2:$AE$59,0))</f>
        <v>BV Portföy Malzeme Teknolojileri Değişken Fon</v>
      </c>
      <c r="D43" s="5" t="str">
        <f>INDEX('V_Tüm Teknoloji'!C$2:C$59,MATCH(LARGE('V_Tüm Teknoloji'!$AE$2:$AE$59,ROW()-3),'V_Tüm Teknoloji'!$AE$2:$AE$59,0))</f>
        <v>BV Portföy</v>
      </c>
      <c r="E43" s="8">
        <f>INDEX('V_Tüm Teknoloji'!D$2:D$59,MATCH(LARGE('V_Tüm Teknoloji'!$AE$2:$AE$59,ROW()-3),'V_Tüm Teknoloji'!$AE$2:$AE$59,0))</f>
        <v>2.5000000000000001E-2</v>
      </c>
      <c r="F43" s="9">
        <f>INDEX('V_Tüm Teknoloji'!E$2:E$59,MATCH(LARGE('V_Tüm Teknoloji'!$AE$2:$AE$59,ROW()-3),'V_Tüm Teknoloji'!$AE$2:$AE$59,0))</f>
        <v>-1.293333669355667</v>
      </c>
      <c r="G43" s="9">
        <f>INDEX('V_Tüm Teknoloji'!F$2:F$59,MATCH(LARGE('V_Tüm Teknoloji'!$AE$2:$AE$59,ROW()-3),'V_Tüm Teknoloji'!$AE$2:$AE$59,0))</f>
        <v>-2.2919585498399009</v>
      </c>
      <c r="H43" s="9">
        <f>INDEX('V_Tüm Teknoloji'!G$2:G$59,MATCH(LARGE('V_Tüm Teknoloji'!$AE$2:$AE$59,ROW()-3),'V_Tüm Teknoloji'!$AE$2:$AE$59,0))</f>
        <v>-0.44147359030202171</v>
      </c>
      <c r="I43" s="9">
        <f>INDEX('V_Tüm Teknoloji'!H$2:H$59,MATCH(LARGE('V_Tüm Teknoloji'!$AE$2:$AE$59,ROW()-3),'V_Tüm Teknoloji'!$AE$2:$AE$59,0))</f>
        <v>13.644217395455231</v>
      </c>
      <c r="J43" s="9" t="str">
        <f>INDEX('V_Tüm Teknoloji'!I$2:I$59,MATCH(LARGE('V_Tüm Teknoloji'!$AE$2:$AE$59,ROW()-3),'V_Tüm Teknoloji'!$AE$2:$AE$59,0))</f>
        <v>-</v>
      </c>
      <c r="K43" s="10">
        <f>INDEX('V_Tüm Teknoloji'!J$2:J$59,MATCH(LARGE('V_Tüm Teknoloji'!$AE$2:$AE$59,ROW()-3),'V_Tüm Teknoloji'!$AE$2:$AE$59,0))</f>
        <v>1937</v>
      </c>
      <c r="L43" s="10">
        <f>INDEX('V_Tüm Teknoloji'!K$2:K$59,MATCH(LARGE('V_Tüm Teknoloji'!$AE$2:$AE$59,ROW()-3),'V_Tüm Teknoloji'!$AE$2:$AE$59,0))</f>
        <v>1627</v>
      </c>
      <c r="M43" s="8">
        <f>INDEX('V_Tüm Teknoloji'!L$2:L$59,MATCH(LARGE('V_Tüm Teknoloji'!$AE$2:$AE$59,ROW()-3),'V_Tüm Teknoloji'!$AE$2:$AE$59,0))</f>
        <v>-0.1600413009808983</v>
      </c>
      <c r="N43" s="11">
        <f>INDEX('V_Tüm Teknoloji'!M$2:M$59,MATCH(LARGE('V_Tüm Teknoloji'!$AE$2:$AE$59,ROW()-3),'V_Tüm Teknoloji'!$AE$2:$AE$59,0))</f>
        <v>164782912.25999999</v>
      </c>
      <c r="O43" s="11">
        <f>INDEX('V_Tüm Teknoloji'!N$2:N$59,MATCH(LARGE('V_Tüm Teknoloji'!$AE$2:$AE$59,ROW()-3),'V_Tüm Teknoloji'!$AE$2:$AE$59,0))</f>
        <v>150052992.40000001</v>
      </c>
      <c r="P43" s="8">
        <f>INDEX('V_Tüm Teknoloji'!O$2:O$59,MATCH(LARGE('V_Tüm Teknoloji'!$AE$2:$AE$59,ROW()-3),'V_Tüm Teknoloji'!$AE$2:$AE$59,0))</f>
        <v>-8.9389850306557439E-2</v>
      </c>
      <c r="Q43" s="9">
        <f>INDEX('V_Tüm Teknoloji'!P$2:P$59,MATCH(LARGE('V_Tüm Teknoloji'!$AE$2:$AE$59,ROW()-3),'V_Tüm Teknoloji'!$AE$2:$AE$59,0))</f>
        <v>1.6157244050006581</v>
      </c>
      <c r="R43" s="5" t="str">
        <f>INDEX('V_Tüm Teknoloji'!Q$2:Q$59,MATCH(LARGE('V_Tüm Teknoloji'!$AE$2:$AE$59,ROW()-3),'V_Tüm Teknoloji'!$AE$2:$AE$59,0))</f>
        <v>Görüyor</v>
      </c>
      <c r="S43" s="8">
        <f>INDEX('V_Tüm Teknoloji'!R$2:R$59,MATCH(LARGE('V_Tüm Teknoloji'!$AE$2:$AE$59,ROW()-3),'V_Tüm Teknoloji'!$AE$2:$AE$59,0))</f>
        <v>0.68110000000000004</v>
      </c>
      <c r="T43" s="8">
        <f>INDEX('V_Tüm Teknoloji'!S$2:S$59,MATCH(LARGE('V_Tüm Teknoloji'!$AE$2:$AE$59,ROW()-3),'V_Tüm Teknoloji'!$AE$2:$AE$59,0))</f>
        <v>0</v>
      </c>
      <c r="U43" s="8">
        <f>INDEX('V_Tüm Teknoloji'!T$2:T$59,MATCH(LARGE('V_Tüm Teknoloji'!$AE$2:$AE$59,ROW()-3),'V_Tüm Teknoloji'!$AE$2:$AE$59,0))</f>
        <v>0</v>
      </c>
      <c r="V43" s="8">
        <f>INDEX('V_Tüm Teknoloji'!U$2:U$59,MATCH(LARGE('V_Tüm Teknoloji'!$AE$2:$AE$59,ROW()-3),'V_Tüm Teknoloji'!$AE$2:$AE$59,0))</f>
        <v>1E-4</v>
      </c>
      <c r="W43" s="8">
        <f>INDEX('V_Tüm Teknoloji'!V$2:V$59,MATCH(LARGE('V_Tüm Teknoloji'!$AE$2:$AE$59,ROW()-3),'V_Tüm Teknoloji'!$AE$2:$AE$59,0))</f>
        <v>0</v>
      </c>
      <c r="X43" s="8">
        <f>INDEX('V_Tüm Teknoloji'!W$2:W$59,MATCH(LARGE('V_Tüm Teknoloji'!$AE$2:$AE$59,ROW()-3),'V_Tüm Teknoloji'!$AE$2:$AE$59,0))</f>
        <v>0.30159999999999998</v>
      </c>
      <c r="Y43" s="8">
        <f>INDEX('V_Tüm Teknoloji'!X$2:X$59,MATCH(LARGE('V_Tüm Teknoloji'!$AE$2:$AE$59,ROW()-3),'V_Tüm Teknoloji'!$AE$2:$AE$59,0))</f>
        <v>0</v>
      </c>
      <c r="Z43" s="8">
        <f>INDEX('V_Tüm Teknoloji'!Y$2:Y$59,MATCH(LARGE('V_Tüm Teknoloji'!$AE$2:$AE$59,ROW()-3),'V_Tüm Teknoloji'!$AE$2:$AE$59,0))</f>
        <v>1.72E-2</v>
      </c>
      <c r="AA43" s="8">
        <f>INDEX('V_Tüm Teknoloji'!Z$2:Z$59,MATCH(LARGE('V_Tüm Teknoloji'!$AE$2:$AE$59,ROW()-3),'V_Tüm Teknoloji'!$AE$2:$AE$59,0))</f>
        <v>0</v>
      </c>
      <c r="AB43" s="8">
        <f>INDEX('V_Tüm Teknoloji'!AA$2:AA$59,MATCH(LARGE('V_Tüm Teknoloji'!$AE$2:$AE$59,ROW()-3),'V_Tüm Teknoloji'!$AE$2:$AE$59,0))</f>
        <v>0</v>
      </c>
      <c r="AC43" s="8">
        <f>INDEX('V_Tüm Teknoloji'!AB$2:AB$59,MATCH(LARGE('V_Tüm Teknoloji'!$AE$2:$AE$59,ROW()-3),'V_Tüm Teknoloji'!$AE$2:$AE$59,0))</f>
        <v>0</v>
      </c>
      <c r="AD43" s="8">
        <f>INDEX('V_Tüm Teknoloji'!AC$2:AC$59,MATCH(LARGE('V_Tüm Teknoloji'!$AE$2:$AE$59,ROW()-3),'V_Tüm Teknoloji'!$AE$2:$AE$59,0))</f>
        <v>1</v>
      </c>
    </row>
    <row r="44" spans="1:30" x14ac:dyDescent="0.2">
      <c r="A44">
        <v>41</v>
      </c>
      <c r="B44" s="5" t="str">
        <f>INDEX('V_Tüm Teknoloji'!A$2:A$59,MATCH(LARGE('V_Tüm Teknoloji'!$AE$2:$AE$59,ROW()-3),'V_Tüm Teknoloji'!$AE$2:$AE$59,0))</f>
        <v>TEJ</v>
      </c>
      <c r="C44" s="5" t="str">
        <f>INDEX('V_Tüm Teknoloji'!B$2:B$59,MATCH(LARGE('V_Tüm Teknoloji'!$AE$2:$AE$59,ROW()-3),'V_Tüm Teknoloji'!$AE$2:$AE$59,0))</f>
        <v>Azimut Portföy Teknoloji Fon Sepeti Fonu</v>
      </c>
      <c r="D44" s="5" t="str">
        <f>INDEX('V_Tüm Teknoloji'!C$2:C$59,MATCH(LARGE('V_Tüm Teknoloji'!$AE$2:$AE$59,ROW()-3),'V_Tüm Teknoloji'!$AE$2:$AE$59,0))</f>
        <v>Azimut Portföy</v>
      </c>
      <c r="E44" s="8">
        <f>INDEX('V_Tüm Teknoloji'!D$2:D$59,MATCH(LARGE('V_Tüm Teknoloji'!$AE$2:$AE$59,ROW()-3),'V_Tüm Teknoloji'!$AE$2:$AE$59,0))</f>
        <v>2.835E-2</v>
      </c>
      <c r="F44" s="9">
        <f>INDEX('V_Tüm Teknoloji'!E$2:E$59,MATCH(LARGE('V_Tüm Teknoloji'!$AE$2:$AE$59,ROW()-3),'V_Tüm Teknoloji'!$AE$2:$AE$59,0))</f>
        <v>-1.309237439191324</v>
      </c>
      <c r="G44" s="9">
        <f>INDEX('V_Tüm Teknoloji'!F$2:F$59,MATCH(LARGE('V_Tüm Teknoloji'!$AE$2:$AE$59,ROW()-3),'V_Tüm Teknoloji'!$AE$2:$AE$59,0))</f>
        <v>-1.2509731564670279</v>
      </c>
      <c r="H44" s="9">
        <f>INDEX('V_Tüm Teknoloji'!G$2:G$59,MATCH(LARGE('V_Tüm Teknoloji'!$AE$2:$AE$59,ROW()-3),'V_Tüm Teknoloji'!$AE$2:$AE$59,0))</f>
        <v>1.7598291603842851</v>
      </c>
      <c r="I44" s="9">
        <f>INDEX('V_Tüm Teknoloji'!H$2:H$59,MATCH(LARGE('V_Tüm Teknoloji'!$AE$2:$AE$59,ROW()-3),'V_Tüm Teknoloji'!$AE$2:$AE$59,0))</f>
        <v>39.838952772882052</v>
      </c>
      <c r="J44" s="9">
        <f>INDEX('V_Tüm Teknoloji'!I$2:I$59,MATCH(LARGE('V_Tüm Teknoloji'!$AE$2:$AE$59,ROW()-3),'V_Tüm Teknoloji'!$AE$2:$AE$59,0))</f>
        <v>69.691808780110037</v>
      </c>
      <c r="K44" s="10">
        <f>INDEX('V_Tüm Teknoloji'!J$2:J$59,MATCH(LARGE('V_Tüm Teknoloji'!$AE$2:$AE$59,ROW()-3),'V_Tüm Teknoloji'!$AE$2:$AE$59,0))</f>
        <v>1342</v>
      </c>
      <c r="L44" s="10">
        <f>INDEX('V_Tüm Teknoloji'!K$2:K$59,MATCH(LARGE('V_Tüm Teknoloji'!$AE$2:$AE$59,ROW()-3),'V_Tüm Teknoloji'!$AE$2:$AE$59,0))</f>
        <v>1331</v>
      </c>
      <c r="M44" s="8">
        <f>INDEX('V_Tüm Teknoloji'!L$2:L$59,MATCH(LARGE('V_Tüm Teknoloji'!$AE$2:$AE$59,ROW()-3),'V_Tüm Teknoloji'!$AE$2:$AE$59,0))</f>
        <v>-8.1967213114754189E-3</v>
      </c>
      <c r="N44" s="11">
        <f>INDEX('V_Tüm Teknoloji'!M$2:M$59,MATCH(LARGE('V_Tüm Teknoloji'!$AE$2:$AE$59,ROW()-3),'V_Tüm Teknoloji'!$AE$2:$AE$59,0))</f>
        <v>637062699.86000001</v>
      </c>
      <c r="O44" s="11">
        <f>INDEX('V_Tüm Teknoloji'!N$2:N$59,MATCH(LARGE('V_Tüm Teknoloji'!$AE$2:$AE$59,ROW()-3),'V_Tüm Teknoloji'!$AE$2:$AE$59,0))</f>
        <v>684187575.24000001</v>
      </c>
      <c r="P44" s="8">
        <f>INDEX('V_Tüm Teknoloji'!O$2:O$59,MATCH(LARGE('V_Tüm Teknoloji'!$AE$2:$AE$59,ROW()-3),'V_Tüm Teknoloji'!$AE$2:$AE$59,0))</f>
        <v>7.3972115131455851E-2</v>
      </c>
      <c r="Q44" s="9">
        <f>INDEX('V_Tüm Teknoloji'!P$2:P$59,MATCH(LARGE('V_Tüm Teknoloji'!$AE$2:$AE$59,ROW()-3),'V_Tüm Teknoloji'!$AE$2:$AE$59,0))</f>
        <v>1.5601430573102</v>
      </c>
      <c r="R44" s="5" t="str">
        <f>INDEX('V_Tüm Teknoloji'!Q$2:Q$59,MATCH(LARGE('V_Tüm Teknoloji'!$AE$2:$AE$59,ROW()-3),'V_Tüm Teknoloji'!$AE$2:$AE$59,0))</f>
        <v>Görüyor</v>
      </c>
      <c r="S44" s="8">
        <f>INDEX('V_Tüm Teknoloji'!R$2:R$59,MATCH(LARGE('V_Tüm Teknoloji'!$AE$2:$AE$59,ROW()-3),'V_Tüm Teknoloji'!$AE$2:$AE$59,0))</f>
        <v>0</v>
      </c>
      <c r="T44" s="8">
        <f>INDEX('V_Tüm Teknoloji'!S$2:S$59,MATCH(LARGE('V_Tüm Teknoloji'!$AE$2:$AE$59,ROW()-3),'V_Tüm Teknoloji'!$AE$2:$AE$59,0))</f>
        <v>0.7611</v>
      </c>
      <c r="U44" s="8">
        <f>INDEX('V_Tüm Teknoloji'!T$2:T$59,MATCH(LARGE('V_Tüm Teknoloji'!$AE$2:$AE$59,ROW()-3),'V_Tüm Teknoloji'!$AE$2:$AE$59,0))</f>
        <v>0</v>
      </c>
      <c r="V44" s="8">
        <f>INDEX('V_Tüm Teknoloji'!U$2:U$59,MATCH(LARGE('V_Tüm Teknoloji'!$AE$2:$AE$59,ROW()-3),'V_Tüm Teknoloji'!$AE$2:$AE$59,0))</f>
        <v>0</v>
      </c>
      <c r="W44" s="8">
        <f>INDEX('V_Tüm Teknoloji'!V$2:V$59,MATCH(LARGE('V_Tüm Teknoloji'!$AE$2:$AE$59,ROW()-3),'V_Tüm Teknoloji'!$AE$2:$AE$59,0))</f>
        <v>0</v>
      </c>
      <c r="X44" s="8">
        <f>INDEX('V_Tüm Teknoloji'!W$2:W$59,MATCH(LARGE('V_Tüm Teknoloji'!$AE$2:$AE$59,ROW()-3),'V_Tüm Teknoloji'!$AE$2:$AE$59,0))</f>
        <v>6.7699999999999996E-2</v>
      </c>
      <c r="Y44" s="8">
        <f>INDEX('V_Tüm Teknoloji'!X$2:X$59,MATCH(LARGE('V_Tüm Teknoloji'!$AE$2:$AE$59,ROW()-3),'V_Tüm Teknoloji'!$AE$2:$AE$59,0))</f>
        <v>0</v>
      </c>
      <c r="Z44" s="8">
        <f>INDEX('V_Tüm Teknoloji'!Y$2:Y$59,MATCH(LARGE('V_Tüm Teknoloji'!$AE$2:$AE$59,ROW()-3),'V_Tüm Teknoloji'!$AE$2:$AE$59,0))</f>
        <v>0.17119999999999999</v>
      </c>
      <c r="AA44" s="8">
        <f>INDEX('V_Tüm Teknoloji'!Z$2:Z$59,MATCH(LARGE('V_Tüm Teknoloji'!$AE$2:$AE$59,ROW()-3),'V_Tüm Teknoloji'!$AE$2:$AE$59,0))</f>
        <v>0</v>
      </c>
      <c r="AB44" s="8">
        <f>INDEX('V_Tüm Teknoloji'!AA$2:AA$59,MATCH(LARGE('V_Tüm Teknoloji'!$AE$2:$AE$59,ROW()-3),'V_Tüm Teknoloji'!$AE$2:$AE$59,0))</f>
        <v>0</v>
      </c>
      <c r="AC44" s="8">
        <f>INDEX('V_Tüm Teknoloji'!AB$2:AB$59,MATCH(LARGE('V_Tüm Teknoloji'!$AE$2:$AE$59,ROW()-3),'V_Tüm Teknoloji'!$AE$2:$AE$59,0))</f>
        <v>0</v>
      </c>
      <c r="AD44" s="8">
        <f>INDEX('V_Tüm Teknoloji'!AC$2:AC$59,MATCH(LARGE('V_Tüm Teknoloji'!$AE$2:$AE$59,ROW()-3),'V_Tüm Teknoloji'!$AE$2:$AE$59,0))</f>
        <v>1</v>
      </c>
    </row>
    <row r="45" spans="1:30" x14ac:dyDescent="0.2">
      <c r="A45">
        <v>42</v>
      </c>
      <c r="B45" s="5" t="str">
        <f>INDEX('V_Tüm Teknoloji'!A$2:A$59,MATCH(LARGE('V_Tüm Teknoloji'!$AE$2:$AE$59,ROW()-3),'V_Tüm Teknoloji'!$AE$2:$AE$59,0))</f>
        <v>BTE</v>
      </c>
      <c r="C45" s="5" t="str">
        <f>INDEX('V_Tüm Teknoloji'!B$2:B$59,MATCH(LARGE('V_Tüm Teknoloji'!$AE$2:$AE$59,ROW()-3),'V_Tüm Teknoloji'!$AE$2:$AE$59,0))</f>
        <v>BV Portföy Oyun VE Teknoloji Değişken Fon</v>
      </c>
      <c r="D45" s="5" t="str">
        <f>INDEX('V_Tüm Teknoloji'!C$2:C$59,MATCH(LARGE('V_Tüm Teknoloji'!$AE$2:$AE$59,ROW()-3),'V_Tüm Teknoloji'!$AE$2:$AE$59,0))</f>
        <v>BV Portföy</v>
      </c>
      <c r="E45" s="8">
        <f>INDEX('V_Tüm Teknoloji'!D$2:D$59,MATCH(LARGE('V_Tüm Teknoloji'!$AE$2:$AE$59,ROW()-3),'V_Tüm Teknoloji'!$AE$2:$AE$59,0))</f>
        <v>2.5000000000000001E-2</v>
      </c>
      <c r="F45" s="9">
        <f>INDEX('V_Tüm Teknoloji'!E$2:E$59,MATCH(LARGE('V_Tüm Teknoloji'!$AE$2:$AE$59,ROW()-3),'V_Tüm Teknoloji'!$AE$2:$AE$59,0))</f>
        <v>-1.319062123900905</v>
      </c>
      <c r="G45" s="9">
        <f>INDEX('V_Tüm Teknoloji'!F$2:F$59,MATCH(LARGE('V_Tüm Teknoloji'!$AE$2:$AE$59,ROW()-3),'V_Tüm Teknoloji'!$AE$2:$AE$59,0))</f>
        <v>-1.5730915195010911</v>
      </c>
      <c r="H45" s="9">
        <f>INDEX('V_Tüm Teknoloji'!G$2:G$59,MATCH(LARGE('V_Tüm Teknoloji'!$AE$2:$AE$59,ROW()-3),'V_Tüm Teknoloji'!$AE$2:$AE$59,0))</f>
        <v>6.8883092092261622</v>
      </c>
      <c r="I45" s="9">
        <f>INDEX('V_Tüm Teknoloji'!H$2:H$59,MATCH(LARGE('V_Tüm Teknoloji'!$AE$2:$AE$59,ROW()-3),'V_Tüm Teknoloji'!$AE$2:$AE$59,0))</f>
        <v>24.140386142430241</v>
      </c>
      <c r="J45" s="9">
        <f>INDEX('V_Tüm Teknoloji'!I$2:I$59,MATCH(LARGE('V_Tüm Teknoloji'!$AE$2:$AE$59,ROW()-3),'V_Tüm Teknoloji'!$AE$2:$AE$59,0))</f>
        <v>50.216863343400703</v>
      </c>
      <c r="K45" s="10">
        <f>INDEX('V_Tüm Teknoloji'!J$2:J$59,MATCH(LARGE('V_Tüm Teknoloji'!$AE$2:$AE$59,ROW()-3),'V_Tüm Teknoloji'!$AE$2:$AE$59,0))</f>
        <v>995</v>
      </c>
      <c r="L45" s="10">
        <f>INDEX('V_Tüm Teknoloji'!K$2:K$59,MATCH(LARGE('V_Tüm Teknoloji'!$AE$2:$AE$59,ROW()-3),'V_Tüm Teknoloji'!$AE$2:$AE$59,0))</f>
        <v>977</v>
      </c>
      <c r="M45" s="8">
        <f>INDEX('V_Tüm Teknoloji'!L$2:L$59,MATCH(LARGE('V_Tüm Teknoloji'!$AE$2:$AE$59,ROW()-3),'V_Tüm Teknoloji'!$AE$2:$AE$59,0))</f>
        <v>-1.809045226130657E-2</v>
      </c>
      <c r="N45" s="11">
        <f>INDEX('V_Tüm Teknoloji'!M$2:M$59,MATCH(LARGE('V_Tüm Teknoloji'!$AE$2:$AE$59,ROW()-3),'V_Tüm Teknoloji'!$AE$2:$AE$59,0))</f>
        <v>234496220.94999999</v>
      </c>
      <c r="O45" s="11">
        <f>INDEX('V_Tüm Teknoloji'!N$2:N$59,MATCH(LARGE('V_Tüm Teknoloji'!$AE$2:$AE$59,ROW()-3),'V_Tüm Teknoloji'!$AE$2:$AE$59,0))</f>
        <v>255813593.34999999</v>
      </c>
      <c r="P45" s="8">
        <f>INDEX('V_Tüm Teknoloji'!O$2:O$59,MATCH(LARGE('V_Tüm Teknoloji'!$AE$2:$AE$59,ROW()-3),'V_Tüm Teknoloji'!$AE$2:$AE$59,0))</f>
        <v>9.0907104232376357E-2</v>
      </c>
      <c r="Q45" s="9">
        <f>INDEX('V_Tüm Teknoloji'!P$2:P$59,MATCH(LARGE('V_Tüm Teknoloji'!$AE$2:$AE$59,ROW()-3),'V_Tüm Teknoloji'!$AE$2:$AE$59,0))</f>
        <v>1.248415614176849</v>
      </c>
      <c r="R45" s="5" t="str">
        <f>INDEX('V_Tüm Teknoloji'!Q$2:Q$59,MATCH(LARGE('V_Tüm Teknoloji'!$AE$2:$AE$59,ROW()-3),'V_Tüm Teknoloji'!$AE$2:$AE$59,0))</f>
        <v>Görüyor</v>
      </c>
      <c r="S45" s="8">
        <f>INDEX('V_Tüm Teknoloji'!R$2:R$59,MATCH(LARGE('V_Tüm Teknoloji'!$AE$2:$AE$59,ROW()-3),'V_Tüm Teknoloji'!$AE$2:$AE$59,0))</f>
        <v>0.69930000000000003</v>
      </c>
      <c r="T45" s="8">
        <f>INDEX('V_Tüm Teknoloji'!S$2:S$59,MATCH(LARGE('V_Tüm Teknoloji'!$AE$2:$AE$59,ROW()-3),'V_Tüm Teknoloji'!$AE$2:$AE$59,0))</f>
        <v>0</v>
      </c>
      <c r="U45" s="8">
        <f>INDEX('V_Tüm Teknoloji'!T$2:T$59,MATCH(LARGE('V_Tüm Teknoloji'!$AE$2:$AE$59,ROW()-3),'V_Tüm Teknoloji'!$AE$2:$AE$59,0))</f>
        <v>0</v>
      </c>
      <c r="V45" s="8">
        <f>INDEX('V_Tüm Teknoloji'!U$2:U$59,MATCH(LARGE('V_Tüm Teknoloji'!$AE$2:$AE$59,ROW()-3),'V_Tüm Teknoloji'!$AE$2:$AE$59,0))</f>
        <v>0</v>
      </c>
      <c r="W45" s="8">
        <f>INDEX('V_Tüm Teknoloji'!V$2:V$59,MATCH(LARGE('V_Tüm Teknoloji'!$AE$2:$AE$59,ROW()-3),'V_Tüm Teknoloji'!$AE$2:$AE$59,0))</f>
        <v>0</v>
      </c>
      <c r="X45" s="8">
        <f>INDEX('V_Tüm Teknoloji'!W$2:W$59,MATCH(LARGE('V_Tüm Teknoloji'!$AE$2:$AE$59,ROW()-3),'V_Tüm Teknoloji'!$AE$2:$AE$59,0))</f>
        <v>0.13569999999999999</v>
      </c>
      <c r="Y45" s="8">
        <f>INDEX('V_Tüm Teknoloji'!X$2:X$59,MATCH(LARGE('V_Tüm Teknoloji'!$AE$2:$AE$59,ROW()-3),'V_Tüm Teknoloji'!$AE$2:$AE$59,0))</f>
        <v>0</v>
      </c>
      <c r="Z45" s="8">
        <f>INDEX('V_Tüm Teknoloji'!Y$2:Y$59,MATCH(LARGE('V_Tüm Teknoloji'!$AE$2:$AE$59,ROW()-3),'V_Tüm Teknoloji'!$AE$2:$AE$59,0))</f>
        <v>0.1222</v>
      </c>
      <c r="AA45" s="8">
        <f>INDEX('V_Tüm Teknoloji'!Z$2:Z$59,MATCH(LARGE('V_Tüm Teknoloji'!$AE$2:$AE$59,ROW()-3),'V_Tüm Teknoloji'!$AE$2:$AE$59,0))</f>
        <v>0</v>
      </c>
      <c r="AB45" s="8">
        <f>INDEX('V_Tüm Teknoloji'!AA$2:AA$59,MATCH(LARGE('V_Tüm Teknoloji'!$AE$2:$AE$59,ROW()-3),'V_Tüm Teknoloji'!$AE$2:$AE$59,0))</f>
        <v>0</v>
      </c>
      <c r="AC45" s="8">
        <f>INDEX('V_Tüm Teknoloji'!AB$2:AB$59,MATCH(LARGE('V_Tüm Teknoloji'!$AE$2:$AE$59,ROW()-3),'V_Tüm Teknoloji'!$AE$2:$AE$59,0))</f>
        <v>0</v>
      </c>
      <c r="AD45" s="8">
        <f>INDEX('V_Tüm Teknoloji'!AC$2:AC$59,MATCH(LARGE('V_Tüm Teknoloji'!$AE$2:$AE$59,ROW()-3),'V_Tüm Teknoloji'!$AE$2:$AE$59,0))</f>
        <v>0.95720000000000005</v>
      </c>
    </row>
    <row r="46" spans="1:30" x14ac:dyDescent="0.2">
      <c r="A46">
        <v>43</v>
      </c>
      <c r="B46" s="5" t="str">
        <f>INDEX('V_Tüm Teknoloji'!A$2:A$59,MATCH(LARGE('V_Tüm Teknoloji'!$AE$2:$AE$59,ROW()-3),'V_Tüm Teknoloji'!$AE$2:$AE$59,0))</f>
        <v>PIL</v>
      </c>
      <c r="C46" s="5" t="str">
        <f>INDEX('V_Tüm Teknoloji'!B$2:B$59,MATCH(LARGE('V_Tüm Teknoloji'!$AE$2:$AE$59,ROW()-3),'V_Tüm Teknoloji'!$AE$2:$AE$59,0))</f>
        <v>Rota Portföy Pil Teknolojileri VE Enerji Fon Sepeti Fonu</v>
      </c>
      <c r="D46" s="5" t="str">
        <f>INDEX('V_Tüm Teknoloji'!C$2:C$59,MATCH(LARGE('V_Tüm Teknoloji'!$AE$2:$AE$59,ROW()-3),'V_Tüm Teknoloji'!$AE$2:$AE$59,0))</f>
        <v>Rota Portföy</v>
      </c>
      <c r="E46" s="8">
        <f>INDEX('V_Tüm Teknoloji'!D$2:D$59,MATCH(LARGE('V_Tüm Teknoloji'!$AE$2:$AE$59,ROW()-3),'V_Tüm Teknoloji'!$AE$2:$AE$59,0))</f>
        <v>2.5000000000000001E-2</v>
      </c>
      <c r="F46" s="9">
        <f>INDEX('V_Tüm Teknoloji'!E$2:E$59,MATCH(LARGE('V_Tüm Teknoloji'!$AE$2:$AE$59,ROW()-3),'V_Tüm Teknoloji'!$AE$2:$AE$59,0))</f>
        <v>-1.322002354147678</v>
      </c>
      <c r="G46" s="9">
        <f>INDEX('V_Tüm Teknoloji'!F$2:F$59,MATCH(LARGE('V_Tüm Teknoloji'!$AE$2:$AE$59,ROW()-3),'V_Tüm Teknoloji'!$AE$2:$AE$59,0))</f>
        <v>-4.862385321100926</v>
      </c>
      <c r="H46" s="9">
        <f>INDEX('V_Tüm Teknoloji'!G$2:G$59,MATCH(LARGE('V_Tüm Teknoloji'!$AE$2:$AE$59,ROW()-3),'V_Tüm Teknoloji'!$AE$2:$AE$59,0))</f>
        <v>-4.4216569702048458</v>
      </c>
      <c r="I46" s="9">
        <f>INDEX('V_Tüm Teknoloji'!H$2:H$59,MATCH(LARGE('V_Tüm Teknoloji'!$AE$2:$AE$59,ROW()-3),'V_Tüm Teknoloji'!$AE$2:$AE$59,0))</f>
        <v>21.150649196731731</v>
      </c>
      <c r="J46" s="9">
        <f>INDEX('V_Tüm Teknoloji'!I$2:I$59,MATCH(LARGE('V_Tüm Teknoloji'!$AE$2:$AE$59,ROW()-3),'V_Tüm Teknoloji'!$AE$2:$AE$59,0))</f>
        <v>81.588833469031073</v>
      </c>
      <c r="K46" s="10">
        <f>INDEX('V_Tüm Teknoloji'!J$2:J$59,MATCH(LARGE('V_Tüm Teknoloji'!$AE$2:$AE$59,ROW()-3),'V_Tüm Teknoloji'!$AE$2:$AE$59,0))</f>
        <v>9112</v>
      </c>
      <c r="L46" s="10">
        <f>INDEX('V_Tüm Teknoloji'!K$2:K$59,MATCH(LARGE('V_Tüm Teknoloji'!$AE$2:$AE$59,ROW()-3),'V_Tüm Teknoloji'!$AE$2:$AE$59,0))</f>
        <v>8244</v>
      </c>
      <c r="M46" s="8">
        <f>INDEX('V_Tüm Teknoloji'!L$2:L$59,MATCH(LARGE('V_Tüm Teknoloji'!$AE$2:$AE$59,ROW()-3),'V_Tüm Teknoloji'!$AE$2:$AE$59,0))</f>
        <v>-9.5258999122036836E-2</v>
      </c>
      <c r="N46" s="11">
        <f>INDEX('V_Tüm Teknoloji'!M$2:M$59,MATCH(LARGE('V_Tüm Teknoloji'!$AE$2:$AE$59,ROW()-3),'V_Tüm Teknoloji'!$AE$2:$AE$59,0))</f>
        <v>667533527.54999995</v>
      </c>
      <c r="O46" s="11">
        <f>INDEX('V_Tüm Teknoloji'!N$2:N$59,MATCH(LARGE('V_Tüm Teknoloji'!$AE$2:$AE$59,ROW()-3),'V_Tüm Teknoloji'!$AE$2:$AE$59,0))</f>
        <v>567297170.37</v>
      </c>
      <c r="P46" s="8">
        <f>INDEX('V_Tüm Teknoloji'!O$2:O$59,MATCH(LARGE('V_Tüm Teknoloji'!$AE$2:$AE$59,ROW()-3),'V_Tüm Teknoloji'!$AE$2:$AE$59,0))</f>
        <v>-0.15015928495440559</v>
      </c>
      <c r="Q46" s="9">
        <f>INDEX('V_Tüm Teknoloji'!P$2:P$59,MATCH(LARGE('V_Tüm Teknoloji'!$AE$2:$AE$59,ROW()-3),'V_Tüm Teknoloji'!$AE$2:$AE$59,0))</f>
        <v>1.6039786088002821</v>
      </c>
      <c r="R46" s="5" t="str">
        <f>INDEX('V_Tüm Teknoloji'!Q$2:Q$59,MATCH(LARGE('V_Tüm Teknoloji'!$AE$2:$AE$59,ROW()-3),'V_Tüm Teknoloji'!$AE$2:$AE$59,0))</f>
        <v>Görüyor</v>
      </c>
      <c r="S46" s="8">
        <f>INDEX('V_Tüm Teknoloji'!R$2:R$59,MATCH(LARGE('V_Tüm Teknoloji'!$AE$2:$AE$59,ROW()-3),'V_Tüm Teknoloji'!$AE$2:$AE$59,0))</f>
        <v>0.62549999999999994</v>
      </c>
      <c r="T46" s="8">
        <f>INDEX('V_Tüm Teknoloji'!S$2:S$59,MATCH(LARGE('V_Tüm Teknoloji'!$AE$2:$AE$59,ROW()-3),'V_Tüm Teknoloji'!$AE$2:$AE$59,0))</f>
        <v>0</v>
      </c>
      <c r="U46" s="8">
        <f>INDEX('V_Tüm Teknoloji'!T$2:T$59,MATCH(LARGE('V_Tüm Teknoloji'!$AE$2:$AE$59,ROW()-3),'V_Tüm Teknoloji'!$AE$2:$AE$59,0))</f>
        <v>0</v>
      </c>
      <c r="V46" s="8">
        <f>INDEX('V_Tüm Teknoloji'!U$2:U$59,MATCH(LARGE('V_Tüm Teknoloji'!$AE$2:$AE$59,ROW()-3),'V_Tüm Teknoloji'!$AE$2:$AE$59,0))</f>
        <v>1.84E-2</v>
      </c>
      <c r="W46" s="8">
        <f>INDEX('V_Tüm Teknoloji'!V$2:V$59,MATCH(LARGE('V_Tüm Teknoloji'!$AE$2:$AE$59,ROW()-3),'V_Tüm Teknoloji'!$AE$2:$AE$59,0))</f>
        <v>0</v>
      </c>
      <c r="X46" s="8">
        <f>INDEX('V_Tüm Teknoloji'!W$2:W$59,MATCH(LARGE('V_Tüm Teknoloji'!$AE$2:$AE$59,ROW()-3),'V_Tüm Teknoloji'!$AE$2:$AE$59,0))</f>
        <v>0</v>
      </c>
      <c r="Y46" s="8">
        <f>INDEX('V_Tüm Teknoloji'!X$2:X$59,MATCH(LARGE('V_Tüm Teknoloji'!$AE$2:$AE$59,ROW()-3),'V_Tüm Teknoloji'!$AE$2:$AE$59,0))</f>
        <v>0</v>
      </c>
      <c r="Z46" s="8">
        <f>INDEX('V_Tüm Teknoloji'!Y$2:Y$59,MATCH(LARGE('V_Tüm Teknoloji'!$AE$2:$AE$59,ROW()-3),'V_Tüm Teknoloji'!$AE$2:$AE$59,0))</f>
        <v>0.19059999999999999</v>
      </c>
      <c r="AA46" s="8">
        <f>INDEX('V_Tüm Teknoloji'!Z$2:Z$59,MATCH(LARGE('V_Tüm Teknoloji'!$AE$2:$AE$59,ROW()-3),'V_Tüm Teknoloji'!$AE$2:$AE$59,0))</f>
        <v>0</v>
      </c>
      <c r="AB46" s="8">
        <f>INDEX('V_Tüm Teknoloji'!AA$2:AA$59,MATCH(LARGE('V_Tüm Teknoloji'!$AE$2:$AE$59,ROW()-3),'V_Tüm Teknoloji'!$AE$2:$AE$59,0))</f>
        <v>0</v>
      </c>
      <c r="AC46" s="8">
        <f>INDEX('V_Tüm Teknoloji'!AB$2:AB$59,MATCH(LARGE('V_Tüm Teknoloji'!$AE$2:$AE$59,ROW()-3),'V_Tüm Teknoloji'!$AE$2:$AE$59,0))</f>
        <v>0</v>
      </c>
      <c r="AD46" s="8">
        <f>INDEX('V_Tüm Teknoloji'!AC$2:AC$59,MATCH(LARGE('V_Tüm Teknoloji'!$AE$2:$AE$59,ROW()-3),'V_Tüm Teknoloji'!$AE$2:$AE$59,0))</f>
        <v>0.83449999999999991</v>
      </c>
    </row>
    <row r="47" spans="1:30" x14ac:dyDescent="0.2">
      <c r="A47">
        <v>44</v>
      </c>
      <c r="B47" s="5" t="str">
        <f>INDEX('V_Tüm Teknoloji'!A$2:A$59,MATCH(LARGE('V_Tüm Teknoloji'!$AE$2:$AE$59,ROW()-3),'V_Tüm Teknoloji'!$AE$2:$AE$59,0))</f>
        <v>IRO</v>
      </c>
      <c r="C47" s="5" t="str">
        <f>INDEX('V_Tüm Teknoloji'!B$2:B$59,MATCH(LARGE('V_Tüm Teknoloji'!$AE$2:$AE$59,ROW()-3),'V_Tüm Teknoloji'!$AE$2:$AE$59,0))</f>
        <v>İstanbul Portföy Robotik Teknolojileri Serbest Fon</v>
      </c>
      <c r="D47" s="5" t="str">
        <f>INDEX('V_Tüm Teknoloji'!C$2:C$59,MATCH(LARGE('V_Tüm Teknoloji'!$AE$2:$AE$59,ROW()-3),'V_Tüm Teknoloji'!$AE$2:$AE$59,0))</f>
        <v>İstanbul Portföy</v>
      </c>
      <c r="E47" s="8">
        <f>INDEX('V_Tüm Teknoloji'!D$2:D$59,MATCH(LARGE('V_Tüm Teknoloji'!$AE$2:$AE$59,ROW()-3),'V_Tüm Teknoloji'!$AE$2:$AE$59,0))</f>
        <v>3.1503150000000001E-2</v>
      </c>
      <c r="F47" s="9">
        <f>INDEX('V_Tüm Teknoloji'!E$2:E$59,MATCH(LARGE('V_Tüm Teknoloji'!$AE$2:$AE$59,ROW()-3),'V_Tüm Teknoloji'!$AE$2:$AE$59,0))</f>
        <v>-1.3364876041356499</v>
      </c>
      <c r="G47" s="9">
        <f>INDEX('V_Tüm Teknoloji'!F$2:F$59,MATCH(LARGE('V_Tüm Teknoloji'!$AE$2:$AE$59,ROW()-3),'V_Tüm Teknoloji'!$AE$2:$AE$59,0))</f>
        <v>-4.8487033412831</v>
      </c>
      <c r="H47" s="9">
        <f>INDEX('V_Tüm Teknoloji'!G$2:G$59,MATCH(LARGE('V_Tüm Teknoloji'!$AE$2:$AE$59,ROW()-3),'V_Tüm Teknoloji'!$AE$2:$AE$59,0))</f>
        <v>15.241175692850989</v>
      </c>
      <c r="I47" s="9">
        <f>INDEX('V_Tüm Teknoloji'!H$2:H$59,MATCH(LARGE('V_Tüm Teknoloji'!$AE$2:$AE$59,ROW()-3),'V_Tüm Teknoloji'!$AE$2:$AE$59,0))</f>
        <v>27.476704187260541</v>
      </c>
      <c r="J47" s="9">
        <f>INDEX('V_Tüm Teknoloji'!I$2:I$59,MATCH(LARGE('V_Tüm Teknoloji'!$AE$2:$AE$59,ROW()-3),'V_Tüm Teknoloji'!$AE$2:$AE$59,0))</f>
        <v>46.102379288389869</v>
      </c>
      <c r="K47" s="10">
        <f>INDEX('V_Tüm Teknoloji'!J$2:J$59,MATCH(LARGE('V_Tüm Teknoloji'!$AE$2:$AE$59,ROW()-3),'V_Tüm Teknoloji'!$AE$2:$AE$59,0))</f>
        <v>46</v>
      </c>
      <c r="L47" s="10">
        <f>INDEX('V_Tüm Teknoloji'!K$2:K$59,MATCH(LARGE('V_Tüm Teknoloji'!$AE$2:$AE$59,ROW()-3),'V_Tüm Teknoloji'!$AE$2:$AE$59,0))</f>
        <v>106</v>
      </c>
      <c r="M47" s="8">
        <f>INDEX('V_Tüm Teknoloji'!L$2:L$59,MATCH(LARGE('V_Tüm Teknoloji'!$AE$2:$AE$59,ROW()-3),'V_Tüm Teknoloji'!$AE$2:$AE$59,0))</f>
        <v>1.304347826086957</v>
      </c>
      <c r="N47" s="11">
        <f>INDEX('V_Tüm Teknoloji'!M$2:M$59,MATCH(LARGE('V_Tüm Teknoloji'!$AE$2:$AE$59,ROW()-3),'V_Tüm Teknoloji'!$AE$2:$AE$59,0))</f>
        <v>21692507.350000001</v>
      </c>
      <c r="O47" s="11">
        <f>INDEX('V_Tüm Teknoloji'!N$2:N$59,MATCH(LARGE('V_Tüm Teknoloji'!$AE$2:$AE$59,ROW()-3),'V_Tüm Teknoloji'!$AE$2:$AE$59,0))</f>
        <v>31837426.25</v>
      </c>
      <c r="P47" s="8">
        <f>INDEX('V_Tüm Teknoloji'!O$2:O$59,MATCH(LARGE('V_Tüm Teknoloji'!$AE$2:$AE$59,ROW()-3),'V_Tüm Teknoloji'!$AE$2:$AE$59,0))</f>
        <v>0.46766926184768559</v>
      </c>
      <c r="Q47" s="9">
        <f>INDEX('V_Tüm Teknoloji'!P$2:P$59,MATCH(LARGE('V_Tüm Teknoloji'!$AE$2:$AE$59,ROW()-3),'V_Tüm Teknoloji'!$AE$2:$AE$59,0))</f>
        <v>3.6159289384655811</v>
      </c>
      <c r="R47" s="5" t="str">
        <f>INDEX('V_Tüm Teknoloji'!Q$2:Q$59,MATCH(LARGE('V_Tüm Teknoloji'!$AE$2:$AE$59,ROW()-3),'V_Tüm Teknoloji'!$AE$2:$AE$59,0))</f>
        <v>Görüyor</v>
      </c>
      <c r="S47" s="8">
        <f>INDEX('V_Tüm Teknoloji'!R$2:R$59,MATCH(LARGE('V_Tüm Teknoloji'!$AE$2:$AE$59,ROW()-3),'V_Tüm Teknoloji'!$AE$2:$AE$59,0))</f>
        <v>0.64359999999999995</v>
      </c>
      <c r="T47" s="8">
        <f>INDEX('V_Tüm Teknoloji'!S$2:S$59,MATCH(LARGE('V_Tüm Teknoloji'!$AE$2:$AE$59,ROW()-3),'V_Tüm Teknoloji'!$AE$2:$AE$59,0))</f>
        <v>3.3700000000000001E-2</v>
      </c>
      <c r="U47" s="8">
        <f>INDEX('V_Tüm Teknoloji'!T$2:T$59,MATCH(LARGE('V_Tüm Teknoloji'!$AE$2:$AE$59,ROW()-3),'V_Tüm Teknoloji'!$AE$2:$AE$59,0))</f>
        <v>0</v>
      </c>
      <c r="V47" s="8">
        <f>INDEX('V_Tüm Teknoloji'!U$2:U$59,MATCH(LARGE('V_Tüm Teknoloji'!$AE$2:$AE$59,ROW()-3),'V_Tüm Teknoloji'!$AE$2:$AE$59,0))</f>
        <v>0</v>
      </c>
      <c r="W47" s="8">
        <f>INDEX('V_Tüm Teknoloji'!V$2:V$59,MATCH(LARGE('V_Tüm Teknoloji'!$AE$2:$AE$59,ROW()-3),'V_Tüm Teknoloji'!$AE$2:$AE$59,0))</f>
        <v>0</v>
      </c>
      <c r="X47" s="8">
        <f>INDEX('V_Tüm Teknoloji'!W$2:W$59,MATCH(LARGE('V_Tüm Teknoloji'!$AE$2:$AE$59,ROW()-3),'V_Tüm Teknoloji'!$AE$2:$AE$59,0))</f>
        <v>0.15939999999999999</v>
      </c>
      <c r="Y47" s="8">
        <f>INDEX('V_Tüm Teknoloji'!X$2:X$59,MATCH(LARGE('V_Tüm Teknoloji'!$AE$2:$AE$59,ROW()-3),'V_Tüm Teknoloji'!$AE$2:$AE$59,0))</f>
        <v>0</v>
      </c>
      <c r="Z47" s="8">
        <f>INDEX('V_Tüm Teknoloji'!Y$2:Y$59,MATCH(LARGE('V_Tüm Teknoloji'!$AE$2:$AE$59,ROW()-3),'V_Tüm Teknoloji'!$AE$2:$AE$59,0))</f>
        <v>0.1633</v>
      </c>
      <c r="AA47" s="8">
        <f>INDEX('V_Tüm Teknoloji'!Z$2:Z$59,MATCH(LARGE('V_Tüm Teknoloji'!$AE$2:$AE$59,ROW()-3),'V_Tüm Teknoloji'!$AE$2:$AE$59,0))</f>
        <v>0</v>
      </c>
      <c r="AB47" s="8">
        <f>INDEX('V_Tüm Teknoloji'!AA$2:AA$59,MATCH(LARGE('V_Tüm Teknoloji'!$AE$2:$AE$59,ROW()-3),'V_Tüm Teknoloji'!$AE$2:$AE$59,0))</f>
        <v>0</v>
      </c>
      <c r="AC47" s="8">
        <f>INDEX('V_Tüm Teknoloji'!AB$2:AB$59,MATCH(LARGE('V_Tüm Teknoloji'!$AE$2:$AE$59,ROW()-3),'V_Tüm Teknoloji'!$AE$2:$AE$59,0))</f>
        <v>0</v>
      </c>
      <c r="AD47" s="8">
        <f>INDEX('V_Tüm Teknoloji'!AC$2:AC$59,MATCH(LARGE('V_Tüm Teknoloji'!$AE$2:$AE$59,ROW()-3),'V_Tüm Teknoloji'!$AE$2:$AE$59,0))</f>
        <v>0.99999999999999989</v>
      </c>
    </row>
    <row r="48" spans="1:30" x14ac:dyDescent="0.2">
      <c r="A48">
        <v>45</v>
      </c>
      <c r="B48" s="5" t="str">
        <f>INDEX('V_Tüm Teknoloji'!A$2:A$59,MATCH(LARGE('V_Tüm Teknoloji'!$AE$2:$AE$59,ROW()-3),'V_Tüm Teknoloji'!$AE$2:$AE$59,0))</f>
        <v>CPT</v>
      </c>
      <c r="C48" s="5" t="str">
        <f>INDEX('V_Tüm Teknoloji'!B$2:B$59,MATCH(LARGE('V_Tüm Teknoloji'!$AE$2:$AE$59,ROW()-3),'V_Tüm Teknoloji'!$AE$2:$AE$59,0))</f>
        <v>Rota Portföy Çip Teknolojileri Değişken Fon</v>
      </c>
      <c r="D48" s="5" t="str">
        <f>INDEX('V_Tüm Teknoloji'!C$2:C$59,MATCH(LARGE('V_Tüm Teknoloji'!$AE$2:$AE$59,ROW()-3),'V_Tüm Teknoloji'!$AE$2:$AE$59,0))</f>
        <v>Rota Portföy</v>
      </c>
      <c r="E48" s="8">
        <f>INDEX('V_Tüm Teknoloji'!D$2:D$59,MATCH(LARGE('V_Tüm Teknoloji'!$AE$2:$AE$59,ROW()-3),'V_Tüm Teknoloji'!$AE$2:$AE$59,0))</f>
        <v>2.5000000000000001E-2</v>
      </c>
      <c r="F48" s="9">
        <f>INDEX('V_Tüm Teknoloji'!E$2:E$59,MATCH(LARGE('V_Tüm Teknoloji'!$AE$2:$AE$59,ROW()-3),'V_Tüm Teknoloji'!$AE$2:$AE$59,0))</f>
        <v>-1.4322415176560741</v>
      </c>
      <c r="G48" s="9">
        <f>INDEX('V_Tüm Teknoloji'!F$2:F$59,MATCH(LARGE('V_Tüm Teknoloji'!$AE$2:$AE$59,ROW()-3),'V_Tüm Teknoloji'!$AE$2:$AE$59,0))</f>
        <v>-3.098216811780985</v>
      </c>
      <c r="H48" s="9">
        <f>INDEX('V_Tüm Teknoloji'!G$2:G$59,MATCH(LARGE('V_Tüm Teknoloji'!$AE$2:$AE$59,ROW()-3),'V_Tüm Teknoloji'!$AE$2:$AE$59,0))</f>
        <v>1.157134481782252</v>
      </c>
      <c r="I48" s="9">
        <f>INDEX('V_Tüm Teknoloji'!H$2:H$59,MATCH(LARGE('V_Tüm Teknoloji'!$AE$2:$AE$59,ROW()-3),'V_Tüm Teknoloji'!$AE$2:$AE$59,0))</f>
        <v>70.309633222946147</v>
      </c>
      <c r="J48" s="9">
        <f>INDEX('V_Tüm Teknoloji'!I$2:I$59,MATCH(LARGE('V_Tüm Teknoloji'!$AE$2:$AE$59,ROW()-3),'V_Tüm Teknoloji'!$AE$2:$AE$59,0))</f>
        <v>127.8236223822984</v>
      </c>
      <c r="K48" s="10">
        <f>INDEX('V_Tüm Teknoloji'!J$2:J$59,MATCH(LARGE('V_Tüm Teknoloji'!$AE$2:$AE$59,ROW()-3),'V_Tüm Teknoloji'!$AE$2:$AE$59,0))</f>
        <v>14686</v>
      </c>
      <c r="L48" s="10">
        <f>INDEX('V_Tüm Teknoloji'!K$2:K$59,MATCH(LARGE('V_Tüm Teknoloji'!$AE$2:$AE$59,ROW()-3),'V_Tüm Teknoloji'!$AE$2:$AE$59,0))</f>
        <v>15644</v>
      </c>
      <c r="M48" s="8">
        <f>INDEX('V_Tüm Teknoloji'!L$2:L$59,MATCH(LARGE('V_Tüm Teknoloji'!$AE$2:$AE$59,ROW()-3),'V_Tüm Teknoloji'!$AE$2:$AE$59,0))</f>
        <v>6.5232193926188176E-2</v>
      </c>
      <c r="N48" s="11">
        <f>INDEX('V_Tüm Teknoloji'!M$2:M$59,MATCH(LARGE('V_Tüm Teknoloji'!$AE$2:$AE$59,ROW()-3),'V_Tüm Teknoloji'!$AE$2:$AE$59,0))</f>
        <v>1322355898.6099999</v>
      </c>
      <c r="O48" s="11">
        <f>INDEX('V_Tüm Teknoloji'!N$2:N$59,MATCH(LARGE('V_Tüm Teknoloji'!$AE$2:$AE$59,ROW()-3),'V_Tüm Teknoloji'!$AE$2:$AE$59,0))</f>
        <v>1324534641.5699999</v>
      </c>
      <c r="P48" s="8">
        <f>INDEX('V_Tüm Teknoloji'!O$2:O$59,MATCH(LARGE('V_Tüm Teknoloji'!$AE$2:$AE$59,ROW()-3),'V_Tüm Teknoloji'!$AE$2:$AE$59,0))</f>
        <v>1.6476222190184851E-3</v>
      </c>
      <c r="Q48" s="9">
        <f>INDEX('V_Tüm Teknoloji'!P$2:P$59,MATCH(LARGE('V_Tüm Teknoloji'!$AE$2:$AE$59,ROW()-3),'V_Tüm Teknoloji'!$AE$2:$AE$59,0))</f>
        <v>2.5479547558443052</v>
      </c>
      <c r="R48" s="5" t="str">
        <f>INDEX('V_Tüm Teknoloji'!Q$2:Q$59,MATCH(LARGE('V_Tüm Teknoloji'!$AE$2:$AE$59,ROW()-3),'V_Tüm Teknoloji'!$AE$2:$AE$59,0))</f>
        <v>Görüyor</v>
      </c>
      <c r="S48" s="8">
        <f>INDEX('V_Tüm Teknoloji'!R$2:R$59,MATCH(LARGE('V_Tüm Teknoloji'!$AE$2:$AE$59,ROW()-3),'V_Tüm Teknoloji'!$AE$2:$AE$59,0))</f>
        <v>0.65280000000000005</v>
      </c>
      <c r="T48" s="8">
        <f>INDEX('V_Tüm Teknoloji'!S$2:S$59,MATCH(LARGE('V_Tüm Teknoloji'!$AE$2:$AE$59,ROW()-3),'V_Tüm Teknoloji'!$AE$2:$AE$59,0))</f>
        <v>0</v>
      </c>
      <c r="U48" s="8">
        <f>INDEX('V_Tüm Teknoloji'!T$2:T$59,MATCH(LARGE('V_Tüm Teknoloji'!$AE$2:$AE$59,ROW()-3),'V_Tüm Teknoloji'!$AE$2:$AE$59,0))</f>
        <v>0</v>
      </c>
      <c r="V48" s="8">
        <f>INDEX('V_Tüm Teknoloji'!U$2:U$59,MATCH(LARGE('V_Tüm Teknoloji'!$AE$2:$AE$59,ROW()-3),'V_Tüm Teknoloji'!$AE$2:$AE$59,0))</f>
        <v>7.1000000000000004E-3</v>
      </c>
      <c r="W48" s="8">
        <f>INDEX('V_Tüm Teknoloji'!V$2:V$59,MATCH(LARGE('V_Tüm Teknoloji'!$AE$2:$AE$59,ROW()-3),'V_Tüm Teknoloji'!$AE$2:$AE$59,0))</f>
        <v>0</v>
      </c>
      <c r="X48" s="8">
        <f>INDEX('V_Tüm Teknoloji'!W$2:W$59,MATCH(LARGE('V_Tüm Teknoloji'!$AE$2:$AE$59,ROW()-3),'V_Tüm Teknoloji'!$AE$2:$AE$59,0))</f>
        <v>0.21920000000000001</v>
      </c>
      <c r="Y48" s="8">
        <f>INDEX('V_Tüm Teknoloji'!X$2:X$59,MATCH(LARGE('V_Tüm Teknoloji'!$AE$2:$AE$59,ROW()-3),'V_Tüm Teknoloji'!$AE$2:$AE$59,0))</f>
        <v>0</v>
      </c>
      <c r="Z48" s="8">
        <f>INDEX('V_Tüm Teknoloji'!Y$2:Y$59,MATCH(LARGE('V_Tüm Teknoloji'!$AE$2:$AE$59,ROW()-3),'V_Tüm Teknoloji'!$AE$2:$AE$59,0))</f>
        <v>1.29E-2</v>
      </c>
      <c r="AA48" s="8">
        <f>INDEX('V_Tüm Teknoloji'!Z$2:Z$59,MATCH(LARGE('V_Tüm Teknoloji'!$AE$2:$AE$59,ROW()-3),'V_Tüm Teknoloji'!$AE$2:$AE$59,0))</f>
        <v>0</v>
      </c>
      <c r="AB48" s="8">
        <f>INDEX('V_Tüm Teknoloji'!AA$2:AA$59,MATCH(LARGE('V_Tüm Teknoloji'!$AE$2:$AE$59,ROW()-3),'V_Tüm Teknoloji'!$AE$2:$AE$59,0))</f>
        <v>0</v>
      </c>
      <c r="AC48" s="8">
        <f>INDEX('V_Tüm Teknoloji'!AB$2:AB$59,MATCH(LARGE('V_Tüm Teknoloji'!$AE$2:$AE$59,ROW()-3),'V_Tüm Teknoloji'!$AE$2:$AE$59,0))</f>
        <v>0</v>
      </c>
      <c r="AD48" s="8">
        <f>INDEX('V_Tüm Teknoloji'!AC$2:AC$59,MATCH(LARGE('V_Tüm Teknoloji'!$AE$2:$AE$59,ROW()-3),'V_Tüm Teknoloji'!$AE$2:$AE$59,0))</f>
        <v>0.89200000000000002</v>
      </c>
    </row>
    <row r="49" spans="1:30" x14ac:dyDescent="0.2">
      <c r="A49">
        <v>46</v>
      </c>
      <c r="B49" s="5" t="str">
        <f>INDEX('V_Tüm Teknoloji'!A$2:A$59,MATCH(LARGE('V_Tüm Teknoloji'!$AE$2:$AE$59,ROW()-3),'V_Tüm Teknoloji'!$AE$2:$AE$59,0))</f>
        <v>RUT</v>
      </c>
      <c r="C49" s="5" t="str">
        <f>INDEX('V_Tüm Teknoloji'!B$2:B$59,MATCH(LARGE('V_Tüm Teknoloji'!$AE$2:$AE$59,ROW()-3),'V_Tüm Teknoloji'!$AE$2:$AE$59,0))</f>
        <v>BV Portföy Robotik VE Uzay Teknolojileri Değişken Fon</v>
      </c>
      <c r="D49" s="5" t="str">
        <f>INDEX('V_Tüm Teknoloji'!C$2:C$59,MATCH(LARGE('V_Tüm Teknoloji'!$AE$2:$AE$59,ROW()-3),'V_Tüm Teknoloji'!$AE$2:$AE$59,0))</f>
        <v>BV Portföy</v>
      </c>
      <c r="E49" s="8">
        <f>INDEX('V_Tüm Teknoloji'!D$2:D$59,MATCH(LARGE('V_Tüm Teknoloji'!$AE$2:$AE$59,ROW()-3),'V_Tüm Teknoloji'!$AE$2:$AE$59,0))</f>
        <v>2.5000000000000001E-2</v>
      </c>
      <c r="F49" s="9">
        <f>INDEX('V_Tüm Teknoloji'!E$2:E$59,MATCH(LARGE('V_Tüm Teknoloji'!$AE$2:$AE$59,ROW()-3),'V_Tüm Teknoloji'!$AE$2:$AE$59,0))</f>
        <v>-1.605020865883156</v>
      </c>
      <c r="G49" s="9">
        <f>INDEX('V_Tüm Teknoloji'!F$2:F$59,MATCH(LARGE('V_Tüm Teknoloji'!$AE$2:$AE$59,ROW()-3),'V_Tüm Teknoloji'!$AE$2:$AE$59,0))</f>
        <v>-4.1637098908224761</v>
      </c>
      <c r="H49" s="9">
        <f>INDEX('V_Tüm Teknoloji'!G$2:G$59,MATCH(LARGE('V_Tüm Teknoloji'!$AE$2:$AE$59,ROW()-3),'V_Tüm Teknoloji'!$AE$2:$AE$59,0))</f>
        <v>0.88841112856237192</v>
      </c>
      <c r="I49" s="9">
        <f>INDEX('V_Tüm Teknoloji'!H$2:H$59,MATCH(LARGE('V_Tüm Teknoloji'!$AE$2:$AE$59,ROW()-3),'V_Tüm Teknoloji'!$AE$2:$AE$59,0))</f>
        <v>28.063850742385661</v>
      </c>
      <c r="J49" s="9">
        <f>INDEX('V_Tüm Teknoloji'!I$2:I$59,MATCH(LARGE('V_Tüm Teknoloji'!$AE$2:$AE$59,ROW()-3),'V_Tüm Teknoloji'!$AE$2:$AE$59,0))</f>
        <v>52.842059772538889</v>
      </c>
      <c r="K49" s="10">
        <f>INDEX('V_Tüm Teknoloji'!J$2:J$59,MATCH(LARGE('V_Tüm Teknoloji'!$AE$2:$AE$59,ROW()-3),'V_Tüm Teknoloji'!$AE$2:$AE$59,0))</f>
        <v>4770</v>
      </c>
      <c r="L49" s="10">
        <f>INDEX('V_Tüm Teknoloji'!K$2:K$59,MATCH(LARGE('V_Tüm Teknoloji'!$AE$2:$AE$59,ROW()-3),'V_Tüm Teknoloji'!$AE$2:$AE$59,0))</f>
        <v>4842</v>
      </c>
      <c r="M49" s="8">
        <f>INDEX('V_Tüm Teknoloji'!L$2:L$59,MATCH(LARGE('V_Tüm Teknoloji'!$AE$2:$AE$59,ROW()-3),'V_Tüm Teknoloji'!$AE$2:$AE$59,0))</f>
        <v>1.509433962264151E-2</v>
      </c>
      <c r="N49" s="11">
        <f>INDEX('V_Tüm Teknoloji'!M$2:M$59,MATCH(LARGE('V_Tüm Teknoloji'!$AE$2:$AE$59,ROW()-3),'V_Tüm Teknoloji'!$AE$2:$AE$59,0))</f>
        <v>148562038.16999999</v>
      </c>
      <c r="O49" s="11">
        <f>INDEX('V_Tüm Teknoloji'!N$2:N$59,MATCH(LARGE('V_Tüm Teknoloji'!$AE$2:$AE$59,ROW()-3),'V_Tüm Teknoloji'!$AE$2:$AE$59,0))</f>
        <v>170615984.19999999</v>
      </c>
      <c r="P49" s="8">
        <f>INDEX('V_Tüm Teknoloji'!O$2:O$59,MATCH(LARGE('V_Tüm Teknoloji'!$AE$2:$AE$59,ROW()-3),'V_Tüm Teknoloji'!$AE$2:$AE$59,0))</f>
        <v>0.14844940404468329</v>
      </c>
      <c r="Q49" s="9">
        <f>INDEX('V_Tüm Teknoloji'!P$2:P$59,MATCH(LARGE('V_Tüm Teknoloji'!$AE$2:$AE$59,ROW()-3),'V_Tüm Teknoloji'!$AE$2:$AE$59,0))</f>
        <v>1.3397770178127011</v>
      </c>
      <c r="R49" s="5" t="str">
        <f>INDEX('V_Tüm Teknoloji'!Q$2:Q$59,MATCH(LARGE('V_Tüm Teknoloji'!$AE$2:$AE$59,ROW()-3),'V_Tüm Teknoloji'!$AE$2:$AE$59,0))</f>
        <v>Görüyor</v>
      </c>
      <c r="S49" s="8">
        <f>INDEX('V_Tüm Teknoloji'!R$2:R$59,MATCH(LARGE('V_Tüm Teknoloji'!$AE$2:$AE$59,ROW()-3),'V_Tüm Teknoloji'!$AE$2:$AE$59,0))</f>
        <v>0.64489999999999992</v>
      </c>
      <c r="T49" s="8">
        <f>INDEX('V_Tüm Teknoloji'!S$2:S$59,MATCH(LARGE('V_Tüm Teknoloji'!$AE$2:$AE$59,ROW()-3),'V_Tüm Teknoloji'!$AE$2:$AE$59,0))</f>
        <v>0</v>
      </c>
      <c r="U49" s="8">
        <f>INDEX('V_Tüm Teknoloji'!T$2:T$59,MATCH(LARGE('V_Tüm Teknoloji'!$AE$2:$AE$59,ROW()-3),'V_Tüm Teknoloji'!$AE$2:$AE$59,0))</f>
        <v>0</v>
      </c>
      <c r="V49" s="8">
        <f>INDEX('V_Tüm Teknoloji'!U$2:U$59,MATCH(LARGE('V_Tüm Teknoloji'!$AE$2:$AE$59,ROW()-3),'V_Tüm Teknoloji'!$AE$2:$AE$59,0))</f>
        <v>2.3800000000000002E-2</v>
      </c>
      <c r="W49" s="8">
        <f>INDEX('V_Tüm Teknoloji'!V$2:V$59,MATCH(LARGE('V_Tüm Teknoloji'!$AE$2:$AE$59,ROW()-3),'V_Tüm Teknoloji'!$AE$2:$AE$59,0))</f>
        <v>0</v>
      </c>
      <c r="X49" s="8">
        <f>INDEX('V_Tüm Teknoloji'!W$2:W$59,MATCH(LARGE('V_Tüm Teknoloji'!$AE$2:$AE$59,ROW()-3),'V_Tüm Teknoloji'!$AE$2:$AE$59,0))</f>
        <v>0.1479</v>
      </c>
      <c r="Y49" s="8">
        <f>INDEX('V_Tüm Teknoloji'!X$2:X$59,MATCH(LARGE('V_Tüm Teknoloji'!$AE$2:$AE$59,ROW()-3),'V_Tüm Teknoloji'!$AE$2:$AE$59,0))</f>
        <v>0</v>
      </c>
      <c r="Z49" s="8">
        <f>INDEX('V_Tüm Teknoloji'!Y$2:Y$59,MATCH(LARGE('V_Tüm Teknoloji'!$AE$2:$AE$59,ROW()-3),'V_Tüm Teknoloji'!$AE$2:$AE$59,0))</f>
        <v>0.14460000000000001</v>
      </c>
      <c r="AA49" s="8">
        <f>INDEX('V_Tüm Teknoloji'!Z$2:Z$59,MATCH(LARGE('V_Tüm Teknoloji'!$AE$2:$AE$59,ROW()-3),'V_Tüm Teknoloji'!$AE$2:$AE$59,0))</f>
        <v>0</v>
      </c>
      <c r="AB49" s="8">
        <f>INDEX('V_Tüm Teknoloji'!AA$2:AA$59,MATCH(LARGE('V_Tüm Teknoloji'!$AE$2:$AE$59,ROW()-3),'V_Tüm Teknoloji'!$AE$2:$AE$59,0))</f>
        <v>0</v>
      </c>
      <c r="AC49" s="8">
        <f>INDEX('V_Tüm Teknoloji'!AB$2:AB$59,MATCH(LARGE('V_Tüm Teknoloji'!$AE$2:$AE$59,ROW()-3),'V_Tüm Teknoloji'!$AE$2:$AE$59,0))</f>
        <v>0</v>
      </c>
      <c r="AD49" s="8">
        <f>INDEX('V_Tüm Teknoloji'!AC$2:AC$59,MATCH(LARGE('V_Tüm Teknoloji'!$AE$2:$AE$59,ROW()-3),'V_Tüm Teknoloji'!$AE$2:$AE$59,0))</f>
        <v>0.96119999999999994</v>
      </c>
    </row>
    <row r="50" spans="1:30" x14ac:dyDescent="0.2">
      <c r="A50">
        <v>47</v>
      </c>
      <c r="B50" s="5" t="str">
        <f>INDEX('V_Tüm Teknoloji'!A$2:A$59,MATCH(LARGE('V_Tüm Teknoloji'!$AE$2:$AE$59,ROW()-3),'V_Tüm Teknoloji'!$AE$2:$AE$59,0))</f>
        <v>YIT</v>
      </c>
      <c r="C50" s="5" t="str">
        <f>INDEX('V_Tüm Teknoloji'!B$2:B$59,MATCH(LARGE('V_Tüm Teknoloji'!$AE$2:$AE$59,ROW()-3),'V_Tüm Teknoloji'!$AE$2:$AE$59,0))</f>
        <v>Garanti Portföy Yarı İletken Teknolojileri Değişken Fon</v>
      </c>
      <c r="D50" s="5" t="str">
        <f>INDEX('V_Tüm Teknoloji'!C$2:C$59,MATCH(LARGE('V_Tüm Teknoloji'!$AE$2:$AE$59,ROW()-3),'V_Tüm Teknoloji'!$AE$2:$AE$59,0))</f>
        <v>Garanti Portföy</v>
      </c>
      <c r="E50" s="8">
        <f>INDEX('V_Tüm Teknoloji'!D$2:D$59,MATCH(LARGE('V_Tüm Teknoloji'!$AE$2:$AE$59,ROW()-3),'V_Tüm Teknoloji'!$AE$2:$AE$59,0))</f>
        <v>2.7E-2</v>
      </c>
      <c r="F50" s="9">
        <f>INDEX('V_Tüm Teknoloji'!E$2:E$59,MATCH(LARGE('V_Tüm Teknoloji'!$AE$2:$AE$59,ROW()-3),'V_Tüm Teknoloji'!$AE$2:$AE$59,0))</f>
        <v>-1.6489973108363201</v>
      </c>
      <c r="G50" s="9">
        <f>INDEX('V_Tüm Teknoloji'!F$2:F$59,MATCH(LARGE('V_Tüm Teknoloji'!$AE$2:$AE$59,ROW()-3),'V_Tüm Teknoloji'!$AE$2:$AE$59,0))</f>
        <v>-4.5726596960574684</v>
      </c>
      <c r="H50" s="9">
        <f>INDEX('V_Tüm Teknoloji'!G$2:G$59,MATCH(LARGE('V_Tüm Teknoloji'!$AE$2:$AE$59,ROW()-3),'V_Tüm Teknoloji'!$AE$2:$AE$59,0))</f>
        <v>-0.2371296002383283</v>
      </c>
      <c r="I50" s="9">
        <f>INDEX('V_Tüm Teknoloji'!H$2:H$59,MATCH(LARGE('V_Tüm Teknoloji'!$AE$2:$AE$59,ROW()-3),'V_Tüm Teknoloji'!$AE$2:$AE$59,0))</f>
        <v>71.41406216513883</v>
      </c>
      <c r="J50" s="9">
        <f>INDEX('V_Tüm Teknoloji'!I$2:I$59,MATCH(LARGE('V_Tüm Teknoloji'!$AE$2:$AE$59,ROW()-3),'V_Tüm Teknoloji'!$AE$2:$AE$59,0))</f>
        <v>120.4681586447081</v>
      </c>
      <c r="K50" s="10">
        <f>INDEX('V_Tüm Teknoloji'!J$2:J$59,MATCH(LARGE('V_Tüm Teknoloji'!$AE$2:$AE$59,ROW()-3),'V_Tüm Teknoloji'!$AE$2:$AE$59,0))</f>
        <v>17325</v>
      </c>
      <c r="L50" s="10">
        <f>INDEX('V_Tüm Teknoloji'!K$2:K$59,MATCH(LARGE('V_Tüm Teknoloji'!$AE$2:$AE$59,ROW()-3),'V_Tüm Teknoloji'!$AE$2:$AE$59,0))</f>
        <v>19156</v>
      </c>
      <c r="M50" s="8">
        <f>INDEX('V_Tüm Teknoloji'!L$2:L$59,MATCH(LARGE('V_Tüm Teknoloji'!$AE$2:$AE$59,ROW()-3),'V_Tüm Teknoloji'!$AE$2:$AE$59,0))</f>
        <v>0.1056854256854256</v>
      </c>
      <c r="N50" s="11">
        <f>INDEX('V_Tüm Teknoloji'!M$2:M$59,MATCH(LARGE('V_Tüm Teknoloji'!$AE$2:$AE$59,ROW()-3),'V_Tüm Teknoloji'!$AE$2:$AE$59,0))</f>
        <v>2757169024.7199998</v>
      </c>
      <c r="O50" s="11">
        <f>INDEX('V_Tüm Teknoloji'!N$2:N$59,MATCH(LARGE('V_Tüm Teknoloji'!$AE$2:$AE$59,ROW()-3),'V_Tüm Teknoloji'!$AE$2:$AE$59,0))</f>
        <v>3018476264.5700002</v>
      </c>
      <c r="P50" s="8">
        <f>INDEX('V_Tüm Teknoloji'!O$2:O$59,MATCH(LARGE('V_Tüm Teknoloji'!$AE$2:$AE$59,ROW()-3),'V_Tüm Teknoloji'!$AE$2:$AE$59,0))</f>
        <v>9.4773747096094985E-2</v>
      </c>
      <c r="Q50" s="9">
        <f>INDEX('V_Tüm Teknoloji'!P$2:P$59,MATCH(LARGE('V_Tüm Teknoloji'!$AE$2:$AE$59,ROW()-3),'V_Tüm Teknoloji'!$AE$2:$AE$59,0))</f>
        <v>2.7948373732619922</v>
      </c>
      <c r="R50" s="5" t="str">
        <f>INDEX('V_Tüm Teknoloji'!Q$2:Q$59,MATCH(LARGE('V_Tüm Teknoloji'!$AE$2:$AE$59,ROW()-3),'V_Tüm Teknoloji'!$AE$2:$AE$59,0))</f>
        <v>Görüyor</v>
      </c>
      <c r="S50" s="8">
        <f>INDEX('V_Tüm Teknoloji'!R$2:R$59,MATCH(LARGE('V_Tüm Teknoloji'!$AE$2:$AE$59,ROW()-3),'V_Tüm Teknoloji'!$AE$2:$AE$59,0))</f>
        <v>0.63629999999999998</v>
      </c>
      <c r="T50" s="8">
        <f>INDEX('V_Tüm Teknoloji'!S$2:S$59,MATCH(LARGE('V_Tüm Teknoloji'!$AE$2:$AE$59,ROW()-3),'V_Tüm Teknoloji'!$AE$2:$AE$59,0))</f>
        <v>0</v>
      </c>
      <c r="U50" s="8">
        <f>INDEX('V_Tüm Teknoloji'!T$2:T$59,MATCH(LARGE('V_Tüm Teknoloji'!$AE$2:$AE$59,ROW()-3),'V_Tüm Teknoloji'!$AE$2:$AE$59,0))</f>
        <v>0</v>
      </c>
      <c r="V50" s="8">
        <f>INDEX('V_Tüm Teknoloji'!U$2:U$59,MATCH(LARGE('V_Tüm Teknoloji'!$AE$2:$AE$59,ROW()-3),'V_Tüm Teknoloji'!$AE$2:$AE$59,0))</f>
        <v>5.4399999999999997E-2</v>
      </c>
      <c r="W50" s="8">
        <f>INDEX('V_Tüm Teknoloji'!V$2:V$59,MATCH(LARGE('V_Tüm Teknoloji'!$AE$2:$AE$59,ROW()-3),'V_Tüm Teknoloji'!$AE$2:$AE$59,0))</f>
        <v>3.2800000000000003E-2</v>
      </c>
      <c r="X50" s="8">
        <f>INDEX('V_Tüm Teknoloji'!W$2:W$59,MATCH(LARGE('V_Tüm Teknoloji'!$AE$2:$AE$59,ROW()-3),'V_Tüm Teknoloji'!$AE$2:$AE$59,0))</f>
        <v>0.22270000000000001</v>
      </c>
      <c r="Y50" s="8">
        <f>INDEX('V_Tüm Teknoloji'!X$2:X$59,MATCH(LARGE('V_Tüm Teknoloji'!$AE$2:$AE$59,ROW()-3),'V_Tüm Teknoloji'!$AE$2:$AE$59,0))</f>
        <v>8.0000000000000002E-3</v>
      </c>
      <c r="Z50" s="8">
        <f>INDEX('V_Tüm Teknoloji'!Y$2:Y$59,MATCH(LARGE('V_Tüm Teknoloji'!$AE$2:$AE$59,ROW()-3),'V_Tüm Teknoloji'!$AE$2:$AE$59,0))</f>
        <v>0</v>
      </c>
      <c r="AA50" s="8">
        <f>INDEX('V_Tüm Teknoloji'!Z$2:Z$59,MATCH(LARGE('V_Tüm Teknoloji'!$AE$2:$AE$59,ROW()-3),'V_Tüm Teknoloji'!$AE$2:$AE$59,0))</f>
        <v>0</v>
      </c>
      <c r="AB50" s="8">
        <f>INDEX('V_Tüm Teknoloji'!AA$2:AA$59,MATCH(LARGE('V_Tüm Teknoloji'!$AE$2:$AE$59,ROW()-3),'V_Tüm Teknoloji'!$AE$2:$AE$59,0))</f>
        <v>0</v>
      </c>
      <c r="AC50" s="8">
        <f>INDEX('V_Tüm Teknoloji'!AB$2:AB$59,MATCH(LARGE('V_Tüm Teknoloji'!$AE$2:$AE$59,ROW()-3),'V_Tüm Teknoloji'!$AE$2:$AE$59,0))</f>
        <v>0</v>
      </c>
      <c r="AD50" s="8">
        <f>INDEX('V_Tüm Teknoloji'!AC$2:AC$59,MATCH(LARGE('V_Tüm Teknoloji'!$AE$2:$AE$59,ROW()-3),'V_Tüm Teknoloji'!$AE$2:$AE$59,0))</f>
        <v>0.95419999999999994</v>
      </c>
    </row>
    <row r="51" spans="1:30" x14ac:dyDescent="0.2">
      <c r="A51">
        <v>48</v>
      </c>
      <c r="B51" s="5" t="str">
        <f>INDEX('V_Tüm Teknoloji'!A$2:A$59,MATCH(LARGE('V_Tüm Teknoloji'!$AE$2:$AE$59,ROW()-3),'V_Tüm Teknoloji'!$AE$2:$AE$59,0))</f>
        <v>BVV</v>
      </c>
      <c r="C51" s="5" t="str">
        <f>INDEX('V_Tüm Teknoloji'!B$2:B$59,MATCH(LARGE('V_Tüm Teknoloji'!$AE$2:$AE$59,ROW()-3),'V_Tüm Teknoloji'!$AE$2:$AE$59,0))</f>
        <v>BV Portföy Teknoloji Değişken Fon</v>
      </c>
      <c r="D51" s="5" t="str">
        <f>INDEX('V_Tüm Teknoloji'!C$2:C$59,MATCH(LARGE('V_Tüm Teknoloji'!$AE$2:$AE$59,ROW()-3),'V_Tüm Teknoloji'!$AE$2:$AE$59,0))</f>
        <v>BV Portföy</v>
      </c>
      <c r="E51" s="8">
        <f>INDEX('V_Tüm Teknoloji'!D$2:D$59,MATCH(LARGE('V_Tüm Teknoloji'!$AE$2:$AE$59,ROW()-3),'V_Tüm Teknoloji'!$AE$2:$AE$59,0))</f>
        <v>2.5000000000000001E-2</v>
      </c>
      <c r="F51" s="9">
        <f>INDEX('V_Tüm Teknoloji'!E$2:E$59,MATCH(LARGE('V_Tüm Teknoloji'!$AE$2:$AE$59,ROW()-3),'V_Tüm Teknoloji'!$AE$2:$AE$59,0))</f>
        <v>-1.7823745342913531</v>
      </c>
      <c r="G51" s="9">
        <f>INDEX('V_Tüm Teknoloji'!F$2:F$59,MATCH(LARGE('V_Tüm Teknoloji'!$AE$2:$AE$59,ROW()-3),'V_Tüm Teknoloji'!$AE$2:$AE$59,0))</f>
        <v>-2.8714488558126638</v>
      </c>
      <c r="H51" s="9">
        <f>INDEX('V_Tüm Teknoloji'!G$2:G$59,MATCH(LARGE('V_Tüm Teknoloji'!$AE$2:$AE$59,ROW()-3),'V_Tüm Teknoloji'!$AE$2:$AE$59,0))</f>
        <v>2.533403662587741</v>
      </c>
      <c r="I51" s="9">
        <f>INDEX('V_Tüm Teknoloji'!H$2:H$59,MATCH(LARGE('V_Tüm Teknoloji'!$AE$2:$AE$59,ROW()-3),'V_Tüm Teknoloji'!$AE$2:$AE$59,0))</f>
        <v>49.821867453003009</v>
      </c>
      <c r="J51" s="9">
        <f>INDEX('V_Tüm Teknoloji'!I$2:I$59,MATCH(LARGE('V_Tüm Teknoloji'!$AE$2:$AE$59,ROW()-3),'V_Tüm Teknoloji'!$AE$2:$AE$59,0))</f>
        <v>86.302255263518603</v>
      </c>
      <c r="K51" s="10">
        <f>INDEX('V_Tüm Teknoloji'!J$2:J$59,MATCH(LARGE('V_Tüm Teknoloji'!$AE$2:$AE$59,ROW()-3),'V_Tüm Teknoloji'!$AE$2:$AE$59,0))</f>
        <v>1106</v>
      </c>
      <c r="L51" s="10">
        <f>INDEX('V_Tüm Teknoloji'!K$2:K$59,MATCH(LARGE('V_Tüm Teknoloji'!$AE$2:$AE$59,ROW()-3),'V_Tüm Teknoloji'!$AE$2:$AE$59,0))</f>
        <v>1063</v>
      </c>
      <c r="M51" s="8">
        <f>INDEX('V_Tüm Teknoloji'!L$2:L$59,MATCH(LARGE('V_Tüm Teknoloji'!$AE$2:$AE$59,ROW()-3),'V_Tüm Teknoloji'!$AE$2:$AE$59,0))</f>
        <v>-3.8878842676311032E-2</v>
      </c>
      <c r="N51" s="11">
        <f>INDEX('V_Tüm Teknoloji'!M$2:M$59,MATCH(LARGE('V_Tüm Teknoloji'!$AE$2:$AE$59,ROW()-3),'V_Tüm Teknoloji'!$AE$2:$AE$59,0))</f>
        <v>174659317.24000001</v>
      </c>
      <c r="O51" s="11">
        <f>INDEX('V_Tüm Teknoloji'!N$2:N$59,MATCH(LARGE('V_Tüm Teknoloji'!$AE$2:$AE$59,ROW()-3),'V_Tüm Teknoloji'!$AE$2:$AE$59,0))</f>
        <v>171171069.58000001</v>
      </c>
      <c r="P51" s="8">
        <f>INDEX('V_Tüm Teknoloji'!O$2:O$59,MATCH(LARGE('V_Tüm Teknoloji'!$AE$2:$AE$59,ROW()-3),'V_Tüm Teknoloji'!$AE$2:$AE$59,0))</f>
        <v>-1.9971723897252991E-2</v>
      </c>
      <c r="Q51" s="9">
        <f>INDEX('V_Tüm Teknoloji'!P$2:P$59,MATCH(LARGE('V_Tüm Teknoloji'!$AE$2:$AE$59,ROW()-3),'V_Tüm Teknoloji'!$AE$2:$AE$59,0))</f>
        <v>1.821770437346486</v>
      </c>
      <c r="R51" s="5" t="str">
        <f>INDEX('V_Tüm Teknoloji'!Q$2:Q$59,MATCH(LARGE('V_Tüm Teknoloji'!$AE$2:$AE$59,ROW()-3),'V_Tüm Teknoloji'!$AE$2:$AE$59,0))</f>
        <v>Görüyor</v>
      </c>
      <c r="S51" s="8">
        <f>INDEX('V_Tüm Teknoloji'!R$2:R$59,MATCH(LARGE('V_Tüm Teknoloji'!$AE$2:$AE$59,ROW()-3),'V_Tüm Teknoloji'!$AE$2:$AE$59,0))</f>
        <v>0.71279999999999999</v>
      </c>
      <c r="T51" s="8">
        <f>INDEX('V_Tüm Teknoloji'!S$2:S$59,MATCH(LARGE('V_Tüm Teknoloji'!$AE$2:$AE$59,ROW()-3),'V_Tüm Teknoloji'!$AE$2:$AE$59,0))</f>
        <v>0</v>
      </c>
      <c r="U51" s="8">
        <f>INDEX('V_Tüm Teknoloji'!T$2:T$59,MATCH(LARGE('V_Tüm Teknoloji'!$AE$2:$AE$59,ROW()-3),'V_Tüm Teknoloji'!$AE$2:$AE$59,0))</f>
        <v>0</v>
      </c>
      <c r="V51" s="8">
        <f>INDEX('V_Tüm Teknoloji'!U$2:U$59,MATCH(LARGE('V_Tüm Teknoloji'!$AE$2:$AE$59,ROW()-3),'V_Tüm Teknoloji'!$AE$2:$AE$59,0))</f>
        <v>0</v>
      </c>
      <c r="W51" s="8">
        <f>INDEX('V_Tüm Teknoloji'!V$2:V$59,MATCH(LARGE('V_Tüm Teknoloji'!$AE$2:$AE$59,ROW()-3),'V_Tüm Teknoloji'!$AE$2:$AE$59,0))</f>
        <v>0</v>
      </c>
      <c r="X51" s="8">
        <f>INDEX('V_Tüm Teknoloji'!W$2:W$59,MATCH(LARGE('V_Tüm Teknoloji'!$AE$2:$AE$59,ROW()-3),'V_Tüm Teknoloji'!$AE$2:$AE$59,0))</f>
        <v>0.14660000000000001</v>
      </c>
      <c r="Y51" s="8">
        <f>INDEX('V_Tüm Teknoloji'!X$2:X$59,MATCH(LARGE('V_Tüm Teknoloji'!$AE$2:$AE$59,ROW()-3),'V_Tüm Teknoloji'!$AE$2:$AE$59,0))</f>
        <v>0</v>
      </c>
      <c r="Z51" s="8">
        <f>INDEX('V_Tüm Teknoloji'!Y$2:Y$59,MATCH(LARGE('V_Tüm Teknoloji'!$AE$2:$AE$59,ROW()-3),'V_Tüm Teknoloji'!$AE$2:$AE$59,0))</f>
        <v>9.6099999999999991E-2</v>
      </c>
      <c r="AA51" s="8">
        <f>INDEX('V_Tüm Teknoloji'!Z$2:Z$59,MATCH(LARGE('V_Tüm Teknoloji'!$AE$2:$AE$59,ROW()-3),'V_Tüm Teknoloji'!$AE$2:$AE$59,0))</f>
        <v>0</v>
      </c>
      <c r="AB51" s="8">
        <f>INDEX('V_Tüm Teknoloji'!AA$2:AA$59,MATCH(LARGE('V_Tüm Teknoloji'!$AE$2:$AE$59,ROW()-3),'V_Tüm Teknoloji'!$AE$2:$AE$59,0))</f>
        <v>0</v>
      </c>
      <c r="AC51" s="8">
        <f>INDEX('V_Tüm Teknoloji'!AB$2:AB$59,MATCH(LARGE('V_Tüm Teknoloji'!$AE$2:$AE$59,ROW()-3),'V_Tüm Teknoloji'!$AE$2:$AE$59,0))</f>
        <v>0</v>
      </c>
      <c r="AD51" s="8">
        <f>INDEX('V_Tüm Teknoloji'!AC$2:AC$59,MATCH(LARGE('V_Tüm Teknoloji'!$AE$2:$AE$59,ROW()-3),'V_Tüm Teknoloji'!$AE$2:$AE$59,0))</f>
        <v>0.95550000000000002</v>
      </c>
    </row>
    <row r="52" spans="1:30" x14ac:dyDescent="0.2">
      <c r="A52">
        <v>49</v>
      </c>
      <c r="B52" s="5" t="str">
        <f>INDEX('V_Tüm Teknoloji'!A$2:A$59,MATCH(LARGE('V_Tüm Teknoloji'!$AE$2:$AE$59,ROW()-3),'V_Tüm Teknoloji'!$AE$2:$AE$59,0))</f>
        <v>GBV</v>
      </c>
      <c r="C52" s="5" t="str">
        <f>INDEX('V_Tüm Teknoloji'!B$2:B$59,MATCH(LARGE('V_Tüm Teknoloji'!$AE$2:$AE$59,ROW()-3),'V_Tüm Teknoloji'!$AE$2:$AE$59,0))</f>
        <v>Garanti Portföy Blockchain Teknolojileri Değişken Fon</v>
      </c>
      <c r="D52" s="5" t="str">
        <f>INDEX('V_Tüm Teknoloji'!C$2:C$59,MATCH(LARGE('V_Tüm Teknoloji'!$AE$2:$AE$59,ROW()-3),'V_Tüm Teknoloji'!$AE$2:$AE$59,0))</f>
        <v>Garanti Portföy</v>
      </c>
      <c r="E52" s="8">
        <f>INDEX('V_Tüm Teknoloji'!D$2:D$59,MATCH(LARGE('V_Tüm Teknoloji'!$AE$2:$AE$59,ROW()-3),'V_Tüm Teknoloji'!$AE$2:$AE$59,0))</f>
        <v>2.7E-2</v>
      </c>
      <c r="F52" s="9">
        <f>INDEX('V_Tüm Teknoloji'!E$2:E$59,MATCH(LARGE('V_Tüm Teknoloji'!$AE$2:$AE$59,ROW()-3),'V_Tüm Teknoloji'!$AE$2:$AE$59,0))</f>
        <v>-1.787412873835692</v>
      </c>
      <c r="G52" s="9">
        <f>INDEX('V_Tüm Teknoloji'!F$2:F$59,MATCH(LARGE('V_Tüm Teknoloji'!$AE$2:$AE$59,ROW()-3),'V_Tüm Teknoloji'!$AE$2:$AE$59,0))</f>
        <v>-1.507344436341052</v>
      </c>
      <c r="H52" s="9">
        <f>INDEX('V_Tüm Teknoloji'!G$2:G$59,MATCH(LARGE('V_Tüm Teknoloji'!$AE$2:$AE$59,ROW()-3),'V_Tüm Teknoloji'!$AE$2:$AE$59,0))</f>
        <v>0.88385540157469578</v>
      </c>
      <c r="I52" s="9">
        <f>INDEX('V_Tüm Teknoloji'!H$2:H$59,MATCH(LARGE('V_Tüm Teknoloji'!$AE$2:$AE$59,ROW()-3),'V_Tüm Teknoloji'!$AE$2:$AE$59,0))</f>
        <v>35.763235663477118</v>
      </c>
      <c r="J52" s="9">
        <f>INDEX('V_Tüm Teknoloji'!I$2:I$59,MATCH(LARGE('V_Tüm Teknoloji'!$AE$2:$AE$59,ROW()-3),'V_Tüm Teknoloji'!$AE$2:$AE$59,0))</f>
        <v>66.158417293402465</v>
      </c>
      <c r="K52" s="10">
        <f>INDEX('V_Tüm Teknoloji'!J$2:J$59,MATCH(LARGE('V_Tüm Teknoloji'!$AE$2:$AE$59,ROW()-3),'V_Tüm Teknoloji'!$AE$2:$AE$59,0))</f>
        <v>24309</v>
      </c>
      <c r="L52" s="10">
        <f>INDEX('V_Tüm Teknoloji'!K$2:K$59,MATCH(LARGE('V_Tüm Teknoloji'!$AE$2:$AE$59,ROW()-3),'V_Tüm Teknoloji'!$AE$2:$AE$59,0))</f>
        <v>23690</v>
      </c>
      <c r="M52" s="8">
        <f>INDEX('V_Tüm Teknoloji'!L$2:L$59,MATCH(LARGE('V_Tüm Teknoloji'!$AE$2:$AE$59,ROW()-3),'V_Tüm Teknoloji'!$AE$2:$AE$59,0))</f>
        <v>-2.5463819984367971E-2</v>
      </c>
      <c r="N52" s="11">
        <f>INDEX('V_Tüm Teknoloji'!M$2:M$59,MATCH(LARGE('V_Tüm Teknoloji'!$AE$2:$AE$59,ROW()-3),'V_Tüm Teknoloji'!$AE$2:$AE$59,0))</f>
        <v>2668688075.6900001</v>
      </c>
      <c r="O52" s="11">
        <f>INDEX('V_Tüm Teknoloji'!N$2:N$59,MATCH(LARGE('V_Tüm Teknoloji'!$AE$2:$AE$59,ROW()-3),'V_Tüm Teknoloji'!$AE$2:$AE$59,0))</f>
        <v>2566694915.6599998</v>
      </c>
      <c r="P52" s="8">
        <f>INDEX('V_Tüm Teknoloji'!O$2:O$59,MATCH(LARGE('V_Tüm Teknoloji'!$AE$2:$AE$59,ROW()-3),'V_Tüm Teknoloji'!$AE$2:$AE$59,0))</f>
        <v>-3.8218464330504243E-2</v>
      </c>
      <c r="Q52" s="9">
        <f>INDEX('V_Tüm Teknoloji'!P$2:P$59,MATCH(LARGE('V_Tüm Teknoloji'!$AE$2:$AE$59,ROW()-3),'V_Tüm Teknoloji'!$AE$2:$AE$59,0))</f>
        <v>1.636183313648897</v>
      </c>
      <c r="R52" s="5" t="str">
        <f>INDEX('V_Tüm Teknoloji'!Q$2:Q$59,MATCH(LARGE('V_Tüm Teknoloji'!$AE$2:$AE$59,ROW()-3),'V_Tüm Teknoloji'!$AE$2:$AE$59,0))</f>
        <v>Görüyor</v>
      </c>
      <c r="S52" s="8">
        <f>INDEX('V_Tüm Teknoloji'!R$2:R$59,MATCH(LARGE('V_Tüm Teknoloji'!$AE$2:$AE$59,ROW()-3),'V_Tüm Teknoloji'!$AE$2:$AE$59,0))</f>
        <v>0.62829999999999997</v>
      </c>
      <c r="T52" s="8">
        <f>INDEX('V_Tüm Teknoloji'!S$2:S$59,MATCH(LARGE('V_Tüm Teknoloji'!$AE$2:$AE$59,ROW()-3),'V_Tüm Teknoloji'!$AE$2:$AE$59,0))</f>
        <v>2.9700000000000001E-2</v>
      </c>
      <c r="U52" s="8">
        <f>INDEX('V_Tüm Teknoloji'!T$2:T$59,MATCH(LARGE('V_Tüm Teknoloji'!$AE$2:$AE$59,ROW()-3),'V_Tüm Teknoloji'!$AE$2:$AE$59,0))</f>
        <v>0</v>
      </c>
      <c r="V52" s="8">
        <f>INDEX('V_Tüm Teknoloji'!U$2:U$59,MATCH(LARGE('V_Tüm Teknoloji'!$AE$2:$AE$59,ROW()-3),'V_Tüm Teknoloji'!$AE$2:$AE$59,0))</f>
        <v>5.8200000000000002E-2</v>
      </c>
      <c r="W52" s="8">
        <f>INDEX('V_Tüm Teknoloji'!V$2:V$59,MATCH(LARGE('V_Tüm Teknoloji'!$AE$2:$AE$59,ROW()-3),'V_Tüm Teknoloji'!$AE$2:$AE$59,0))</f>
        <v>0</v>
      </c>
      <c r="X52" s="8">
        <f>INDEX('V_Tüm Teknoloji'!W$2:W$59,MATCH(LARGE('V_Tüm Teknoloji'!$AE$2:$AE$59,ROW()-3),'V_Tüm Teknoloji'!$AE$2:$AE$59,0))</f>
        <v>0.14929999999999999</v>
      </c>
      <c r="Y52" s="8">
        <f>INDEX('V_Tüm Teknoloji'!X$2:X$59,MATCH(LARGE('V_Tüm Teknoloji'!$AE$2:$AE$59,ROW()-3),'V_Tüm Teknoloji'!$AE$2:$AE$59,0))</f>
        <v>6.1999999999999998E-3</v>
      </c>
      <c r="Z52" s="8">
        <f>INDEX('V_Tüm Teknoloji'!Y$2:Y$59,MATCH(LARGE('V_Tüm Teknoloji'!$AE$2:$AE$59,ROW()-3),'V_Tüm Teknoloji'!$AE$2:$AE$59,0))</f>
        <v>0</v>
      </c>
      <c r="AA52" s="8">
        <f>INDEX('V_Tüm Teknoloji'!Z$2:Z$59,MATCH(LARGE('V_Tüm Teknoloji'!$AE$2:$AE$59,ROW()-3),'V_Tüm Teknoloji'!$AE$2:$AE$59,0))</f>
        <v>0</v>
      </c>
      <c r="AB52" s="8">
        <f>INDEX('V_Tüm Teknoloji'!AA$2:AA$59,MATCH(LARGE('V_Tüm Teknoloji'!$AE$2:$AE$59,ROW()-3),'V_Tüm Teknoloji'!$AE$2:$AE$59,0))</f>
        <v>0</v>
      </c>
      <c r="AC52" s="8">
        <f>INDEX('V_Tüm Teknoloji'!AB$2:AB$59,MATCH(LARGE('V_Tüm Teknoloji'!$AE$2:$AE$59,ROW()-3),'V_Tüm Teknoloji'!$AE$2:$AE$59,0))</f>
        <v>0</v>
      </c>
      <c r="AD52" s="8">
        <f>INDEX('V_Tüm Teknoloji'!AC$2:AC$59,MATCH(LARGE('V_Tüm Teknoloji'!$AE$2:$AE$59,ROW()-3),'V_Tüm Teknoloji'!$AE$2:$AE$59,0))</f>
        <v>0.87169999999999992</v>
      </c>
    </row>
    <row r="53" spans="1:30" x14ac:dyDescent="0.2">
      <c r="A53">
        <v>50</v>
      </c>
      <c r="B53" s="5" t="str">
        <f>INDEX('V_Tüm Teknoloji'!A$2:A$59,MATCH(LARGE('V_Tüm Teknoloji'!$AE$2:$AE$59,ROW()-3),'V_Tüm Teknoloji'!$AE$2:$AE$59,0))</f>
        <v>IVY</v>
      </c>
      <c r="C53" s="5" t="str">
        <f>INDEX('V_Tüm Teknoloji'!B$2:B$59,MATCH(LARGE('V_Tüm Teknoloji'!$AE$2:$AE$59,ROW()-3),'V_Tüm Teknoloji'!$AE$2:$AE$59,0))</f>
        <v>İstanbul Portföy Blockchaın Teknolojileri Değişken Fon</v>
      </c>
      <c r="D53" s="5" t="str">
        <f>INDEX('V_Tüm Teknoloji'!C$2:C$59,MATCH(LARGE('V_Tüm Teknoloji'!$AE$2:$AE$59,ROW()-3),'V_Tüm Teknoloji'!$AE$2:$AE$59,0))</f>
        <v>İstanbul Portföy</v>
      </c>
      <c r="E53" s="8">
        <f>INDEX('V_Tüm Teknoloji'!D$2:D$59,MATCH(LARGE('V_Tüm Teknoloji'!$AE$2:$AE$59,ROW()-3),'V_Tüm Teknoloji'!$AE$2:$AE$59,0))</f>
        <v>2.5000000000000001E-2</v>
      </c>
      <c r="F53" s="9">
        <f>INDEX('V_Tüm Teknoloji'!E$2:E$59,MATCH(LARGE('V_Tüm Teknoloji'!$AE$2:$AE$59,ROW()-3),'V_Tüm Teknoloji'!$AE$2:$AE$59,0))</f>
        <v>-1.791631699948792</v>
      </c>
      <c r="G53" s="9">
        <f>INDEX('V_Tüm Teknoloji'!F$2:F$59,MATCH(LARGE('V_Tüm Teknoloji'!$AE$2:$AE$59,ROW()-3),'V_Tüm Teknoloji'!$AE$2:$AE$59,0))</f>
        <v>-1.0661752624319121</v>
      </c>
      <c r="H53" s="9">
        <f>INDEX('V_Tüm Teknoloji'!G$2:G$59,MATCH(LARGE('V_Tüm Teknoloji'!$AE$2:$AE$59,ROW()-3),'V_Tüm Teknoloji'!$AE$2:$AE$59,0))</f>
        <v>2.1203802103816121</v>
      </c>
      <c r="I53" s="9">
        <f>INDEX('V_Tüm Teknoloji'!H$2:H$59,MATCH(LARGE('V_Tüm Teknoloji'!$AE$2:$AE$59,ROW()-3),'V_Tüm Teknoloji'!$AE$2:$AE$59,0))</f>
        <v>27.515406547301531</v>
      </c>
      <c r="J53" s="9">
        <f>INDEX('V_Tüm Teknoloji'!I$2:I$59,MATCH(LARGE('V_Tüm Teknoloji'!$AE$2:$AE$59,ROW()-3),'V_Tüm Teknoloji'!$AE$2:$AE$59,0))</f>
        <v>41.39677906245165</v>
      </c>
      <c r="K53" s="10">
        <f>INDEX('V_Tüm Teknoloji'!J$2:J$59,MATCH(LARGE('V_Tüm Teknoloji'!$AE$2:$AE$59,ROW()-3),'V_Tüm Teknoloji'!$AE$2:$AE$59,0))</f>
        <v>14312</v>
      </c>
      <c r="L53" s="10">
        <f>INDEX('V_Tüm Teknoloji'!K$2:K$59,MATCH(LARGE('V_Tüm Teknoloji'!$AE$2:$AE$59,ROW()-3),'V_Tüm Teknoloji'!$AE$2:$AE$59,0))</f>
        <v>13692</v>
      </c>
      <c r="M53" s="8">
        <f>INDEX('V_Tüm Teknoloji'!L$2:L$59,MATCH(LARGE('V_Tüm Teknoloji'!$AE$2:$AE$59,ROW()-3),'V_Tüm Teknoloji'!$AE$2:$AE$59,0))</f>
        <v>-4.3320290665176057E-2</v>
      </c>
      <c r="N53" s="11">
        <f>INDEX('V_Tüm Teknoloji'!M$2:M$59,MATCH(LARGE('V_Tüm Teknoloji'!$AE$2:$AE$59,ROW()-3),'V_Tüm Teknoloji'!$AE$2:$AE$59,0))</f>
        <v>790411082.63</v>
      </c>
      <c r="O53" s="11">
        <f>INDEX('V_Tüm Teknoloji'!N$2:N$59,MATCH(LARGE('V_Tüm Teknoloji'!$AE$2:$AE$59,ROW()-3),'V_Tüm Teknoloji'!$AE$2:$AE$59,0))</f>
        <v>754122224.75</v>
      </c>
      <c r="P53" s="8">
        <f>INDEX('V_Tüm Teknoloji'!O$2:O$59,MATCH(LARGE('V_Tüm Teknoloji'!$AE$2:$AE$59,ROW()-3),'V_Tüm Teknoloji'!$AE$2:$AE$59,0))</f>
        <v>-4.5911372800154893E-2</v>
      </c>
      <c r="Q53" s="9">
        <f>INDEX('V_Tüm Teknoloji'!P$2:P$59,MATCH(LARGE('V_Tüm Teknoloji'!$AE$2:$AE$59,ROW()-3),'V_Tüm Teknoloji'!$AE$2:$AE$59,0))</f>
        <v>1.7145020745203641</v>
      </c>
      <c r="R53" s="5" t="str">
        <f>INDEX('V_Tüm Teknoloji'!Q$2:Q$59,MATCH(LARGE('V_Tüm Teknoloji'!$AE$2:$AE$59,ROW()-3),'V_Tüm Teknoloji'!$AE$2:$AE$59,0))</f>
        <v>Görüyor</v>
      </c>
      <c r="S53" s="8">
        <f>INDEX('V_Tüm Teknoloji'!R$2:R$59,MATCH(LARGE('V_Tüm Teknoloji'!$AE$2:$AE$59,ROW()-3),'V_Tüm Teknoloji'!$AE$2:$AE$59,0))</f>
        <v>0.61909999999999998</v>
      </c>
      <c r="T53" s="8">
        <f>INDEX('V_Tüm Teknoloji'!S$2:S$59,MATCH(LARGE('V_Tüm Teknoloji'!$AE$2:$AE$59,ROW()-3),'V_Tüm Teknoloji'!$AE$2:$AE$59,0))</f>
        <v>9.1400000000000009E-2</v>
      </c>
      <c r="U53" s="8">
        <f>INDEX('V_Tüm Teknoloji'!T$2:T$59,MATCH(LARGE('V_Tüm Teknoloji'!$AE$2:$AE$59,ROW()-3),'V_Tüm Teknoloji'!$AE$2:$AE$59,0))</f>
        <v>5.0000000000000001E-4</v>
      </c>
      <c r="V53" s="8">
        <f>INDEX('V_Tüm Teknoloji'!U$2:U$59,MATCH(LARGE('V_Tüm Teknoloji'!$AE$2:$AE$59,ROW()-3),'V_Tüm Teknoloji'!$AE$2:$AE$59,0))</f>
        <v>0</v>
      </c>
      <c r="W53" s="8">
        <f>INDEX('V_Tüm Teknoloji'!V$2:V$59,MATCH(LARGE('V_Tüm Teknoloji'!$AE$2:$AE$59,ROW()-3),'V_Tüm Teknoloji'!$AE$2:$AE$59,0))</f>
        <v>0</v>
      </c>
      <c r="X53" s="8">
        <f>INDEX('V_Tüm Teknoloji'!W$2:W$59,MATCH(LARGE('V_Tüm Teknoloji'!$AE$2:$AE$59,ROW()-3),'V_Tüm Teknoloji'!$AE$2:$AE$59,0))</f>
        <v>0</v>
      </c>
      <c r="Y53" s="8">
        <f>INDEX('V_Tüm Teknoloji'!X$2:X$59,MATCH(LARGE('V_Tüm Teknoloji'!$AE$2:$AE$59,ROW()-3),'V_Tüm Teknoloji'!$AE$2:$AE$59,0))</f>
        <v>0</v>
      </c>
      <c r="Z53" s="8">
        <f>INDEX('V_Tüm Teknoloji'!Y$2:Y$59,MATCH(LARGE('V_Tüm Teknoloji'!$AE$2:$AE$59,ROW()-3),'V_Tüm Teknoloji'!$AE$2:$AE$59,0))</f>
        <v>0.16569999999999999</v>
      </c>
      <c r="AA53" s="8">
        <f>INDEX('V_Tüm Teknoloji'!Z$2:Z$59,MATCH(LARGE('V_Tüm Teknoloji'!$AE$2:$AE$59,ROW()-3),'V_Tüm Teknoloji'!$AE$2:$AE$59,0))</f>
        <v>0</v>
      </c>
      <c r="AB53" s="8">
        <f>INDEX('V_Tüm Teknoloji'!AA$2:AA$59,MATCH(LARGE('V_Tüm Teknoloji'!$AE$2:$AE$59,ROW()-3),'V_Tüm Teknoloji'!$AE$2:$AE$59,0))</f>
        <v>0.1086</v>
      </c>
      <c r="AC53" s="8">
        <f>INDEX('V_Tüm Teknoloji'!AB$2:AB$59,MATCH(LARGE('V_Tüm Teknoloji'!$AE$2:$AE$59,ROW()-3),'V_Tüm Teknoloji'!$AE$2:$AE$59,0))</f>
        <v>0</v>
      </c>
      <c r="AD53" s="8">
        <f>INDEX('V_Tüm Teknoloji'!AC$2:AC$59,MATCH(LARGE('V_Tüm Teknoloji'!$AE$2:$AE$59,ROW()-3),'V_Tüm Teknoloji'!$AE$2:$AE$59,0))</f>
        <v>0.98529999999999995</v>
      </c>
    </row>
    <row r="54" spans="1:30" x14ac:dyDescent="0.2">
      <c r="A54">
        <v>51</v>
      </c>
      <c r="B54" s="5" t="str">
        <f>INDEX('V_Tüm Teknoloji'!A$2:A$59,MATCH(LARGE('V_Tüm Teknoloji'!$AE$2:$AE$59,ROW()-3),'V_Tüm Teknoloji'!$AE$2:$AE$59,0))</f>
        <v>NTI</v>
      </c>
      <c r="C54" s="5" t="str">
        <f>INDEX('V_Tüm Teknoloji'!B$2:B$59,MATCH(LARGE('V_Tüm Teknoloji'!$AE$2:$AE$59,ROW()-3),'V_Tüm Teknoloji'!$AE$2:$AE$59,0))</f>
        <v>Neo Portföy Teknoloji VE İnovasyon Değişken Fon</v>
      </c>
      <c r="D54" s="5" t="str">
        <f>INDEX('V_Tüm Teknoloji'!C$2:C$59,MATCH(LARGE('V_Tüm Teknoloji'!$AE$2:$AE$59,ROW()-3),'V_Tüm Teknoloji'!$AE$2:$AE$59,0))</f>
        <v>Neo Portföy</v>
      </c>
      <c r="E54" s="8">
        <f>INDEX('V_Tüm Teknoloji'!D$2:D$59,MATCH(LARGE('V_Tüm Teknoloji'!$AE$2:$AE$59,ROW()-3),'V_Tüm Teknoloji'!$AE$2:$AE$59,0))</f>
        <v>2.2499999999999999E-2</v>
      </c>
      <c r="F54" s="9">
        <f>INDEX('V_Tüm Teknoloji'!E$2:E$59,MATCH(LARGE('V_Tüm Teknoloji'!$AE$2:$AE$59,ROW()-3),'V_Tüm Teknoloji'!$AE$2:$AE$59,0))</f>
        <v>-1.8384052551451371</v>
      </c>
      <c r="G54" s="9">
        <f>INDEX('V_Tüm Teknoloji'!F$2:F$59,MATCH(LARGE('V_Tüm Teknoloji'!$AE$2:$AE$59,ROW()-3),'V_Tüm Teknoloji'!$AE$2:$AE$59,0))</f>
        <v>-3.6884919857466341</v>
      </c>
      <c r="H54" s="9">
        <f>INDEX('V_Tüm Teknoloji'!G$2:G$59,MATCH(LARGE('V_Tüm Teknoloji'!$AE$2:$AE$59,ROW()-3),'V_Tüm Teknoloji'!$AE$2:$AE$59,0))</f>
        <v>-2.0092901885219621</v>
      </c>
      <c r="I54" s="9">
        <f>INDEX('V_Tüm Teknoloji'!H$2:H$59,MATCH(LARGE('V_Tüm Teknoloji'!$AE$2:$AE$59,ROW()-3),'V_Tüm Teknoloji'!$AE$2:$AE$59,0))</f>
        <v>41.849978358479767</v>
      </c>
      <c r="J54" s="9" t="str">
        <f>INDEX('V_Tüm Teknoloji'!I$2:I$59,MATCH(LARGE('V_Tüm Teknoloji'!$AE$2:$AE$59,ROW()-3),'V_Tüm Teknoloji'!$AE$2:$AE$59,0))</f>
        <v>-</v>
      </c>
      <c r="K54" s="10">
        <f>INDEX('V_Tüm Teknoloji'!J$2:J$59,MATCH(LARGE('V_Tüm Teknoloji'!$AE$2:$AE$59,ROW()-3),'V_Tüm Teknoloji'!$AE$2:$AE$59,0))</f>
        <v>1993</v>
      </c>
      <c r="L54" s="10">
        <f>INDEX('V_Tüm Teknoloji'!K$2:K$59,MATCH(LARGE('V_Tüm Teknoloji'!$AE$2:$AE$59,ROW()-3),'V_Tüm Teknoloji'!$AE$2:$AE$59,0))</f>
        <v>2042</v>
      </c>
      <c r="M54" s="8">
        <f>INDEX('V_Tüm Teknoloji'!L$2:L$59,MATCH(LARGE('V_Tüm Teknoloji'!$AE$2:$AE$59,ROW()-3),'V_Tüm Teknoloji'!$AE$2:$AE$59,0))</f>
        <v>2.458605117912693E-2</v>
      </c>
      <c r="N54" s="11">
        <f>INDEX('V_Tüm Teknoloji'!M$2:M$59,MATCH(LARGE('V_Tüm Teknoloji'!$AE$2:$AE$59,ROW()-3),'V_Tüm Teknoloji'!$AE$2:$AE$59,0))</f>
        <v>382100625.63999999</v>
      </c>
      <c r="O54" s="11">
        <f>INDEX('V_Tüm Teknoloji'!N$2:N$59,MATCH(LARGE('V_Tüm Teknoloji'!$AE$2:$AE$59,ROW()-3),'V_Tüm Teknoloji'!$AE$2:$AE$59,0))</f>
        <v>419447225.36000001</v>
      </c>
      <c r="P54" s="8">
        <f>INDEX('V_Tüm Teknoloji'!O$2:O$59,MATCH(LARGE('V_Tüm Teknoloji'!$AE$2:$AE$59,ROW()-3),'V_Tüm Teknoloji'!$AE$2:$AE$59,0))</f>
        <v>9.7740221328992405E-2</v>
      </c>
      <c r="Q54" s="9">
        <f>INDEX('V_Tüm Teknoloji'!P$2:P$59,MATCH(LARGE('V_Tüm Teknoloji'!$AE$2:$AE$59,ROW()-3),'V_Tüm Teknoloji'!$AE$2:$AE$59,0))</f>
        <v>2.316053669628547</v>
      </c>
      <c r="R54" s="5" t="str">
        <f>INDEX('V_Tüm Teknoloji'!Q$2:Q$59,MATCH(LARGE('V_Tüm Teknoloji'!$AE$2:$AE$59,ROW()-3),'V_Tüm Teknoloji'!$AE$2:$AE$59,0))</f>
        <v>Görüyor</v>
      </c>
      <c r="S54" s="8">
        <f>INDEX('V_Tüm Teknoloji'!R$2:R$59,MATCH(LARGE('V_Tüm Teknoloji'!$AE$2:$AE$59,ROW()-3),'V_Tüm Teknoloji'!$AE$2:$AE$59,0))</f>
        <v>0.76829999999999998</v>
      </c>
      <c r="T54" s="8">
        <f>INDEX('V_Tüm Teknoloji'!S$2:S$59,MATCH(LARGE('V_Tüm Teknoloji'!$AE$2:$AE$59,ROW()-3),'V_Tüm Teknoloji'!$AE$2:$AE$59,0))</f>
        <v>0</v>
      </c>
      <c r="U54" s="8">
        <f>INDEX('V_Tüm Teknoloji'!T$2:T$59,MATCH(LARGE('V_Tüm Teknoloji'!$AE$2:$AE$59,ROW()-3),'V_Tüm Teknoloji'!$AE$2:$AE$59,0))</f>
        <v>0</v>
      </c>
      <c r="V54" s="8">
        <f>INDEX('V_Tüm Teknoloji'!U$2:U$59,MATCH(LARGE('V_Tüm Teknoloji'!$AE$2:$AE$59,ROW()-3),'V_Tüm Teknoloji'!$AE$2:$AE$59,0))</f>
        <v>6.7000000000000002E-3</v>
      </c>
      <c r="W54" s="8">
        <f>INDEX('V_Tüm Teknoloji'!V$2:V$59,MATCH(LARGE('V_Tüm Teknoloji'!$AE$2:$AE$59,ROW()-3),'V_Tüm Teknoloji'!$AE$2:$AE$59,0))</f>
        <v>0</v>
      </c>
      <c r="X54" s="8">
        <f>INDEX('V_Tüm Teknoloji'!W$2:W$59,MATCH(LARGE('V_Tüm Teknoloji'!$AE$2:$AE$59,ROW()-3),'V_Tüm Teknoloji'!$AE$2:$AE$59,0))</f>
        <v>4.24E-2</v>
      </c>
      <c r="Y54" s="8">
        <f>INDEX('V_Tüm Teknoloji'!X$2:X$59,MATCH(LARGE('V_Tüm Teknoloji'!$AE$2:$AE$59,ROW()-3),'V_Tüm Teknoloji'!$AE$2:$AE$59,0))</f>
        <v>0</v>
      </c>
      <c r="Z54" s="8">
        <f>INDEX('V_Tüm Teknoloji'!Y$2:Y$59,MATCH(LARGE('V_Tüm Teknoloji'!$AE$2:$AE$59,ROW()-3),'V_Tüm Teknoloji'!$AE$2:$AE$59,0))</f>
        <v>0.18260000000000001</v>
      </c>
      <c r="AA54" s="8">
        <f>INDEX('V_Tüm Teknoloji'!Z$2:Z$59,MATCH(LARGE('V_Tüm Teknoloji'!$AE$2:$AE$59,ROW()-3),'V_Tüm Teknoloji'!$AE$2:$AE$59,0))</f>
        <v>0</v>
      </c>
      <c r="AB54" s="8">
        <f>INDEX('V_Tüm Teknoloji'!AA$2:AA$59,MATCH(LARGE('V_Tüm Teknoloji'!$AE$2:$AE$59,ROW()-3),'V_Tüm Teknoloji'!$AE$2:$AE$59,0))</f>
        <v>0</v>
      </c>
      <c r="AC54" s="8">
        <f>INDEX('V_Tüm Teknoloji'!AB$2:AB$59,MATCH(LARGE('V_Tüm Teknoloji'!$AE$2:$AE$59,ROW()-3),'V_Tüm Teknoloji'!$AE$2:$AE$59,0))</f>
        <v>0</v>
      </c>
      <c r="AD54" s="8">
        <f>INDEX('V_Tüm Teknoloji'!AC$2:AC$59,MATCH(LARGE('V_Tüm Teknoloji'!$AE$2:$AE$59,ROW()-3),'V_Tüm Teknoloji'!$AE$2:$AE$59,0))</f>
        <v>1</v>
      </c>
    </row>
    <row r="55" spans="1:30" x14ac:dyDescent="0.2">
      <c r="A55">
        <v>52</v>
      </c>
      <c r="B55" s="5" t="str">
        <f>INDEX('V_Tüm Teknoloji'!A$2:A$59,MATCH(LARGE('V_Tüm Teknoloji'!$AE$2:$AE$59,ROW()-3),'V_Tüm Teknoloji'!$AE$2:$AE$59,0))</f>
        <v>SGT</v>
      </c>
      <c r="C55" s="5" t="str">
        <f>INDEX('V_Tüm Teknoloji'!B$2:B$59,MATCH(LARGE('V_Tüm Teknoloji'!$AE$2:$AE$59,ROW()-3),'V_Tüm Teknoloji'!$AE$2:$AE$59,0))</f>
        <v>Garanti Portföy Siber Güvenlik Teknolojileri Değişken Fon</v>
      </c>
      <c r="D55" s="5" t="str">
        <f>INDEX('V_Tüm Teknoloji'!C$2:C$59,MATCH(LARGE('V_Tüm Teknoloji'!$AE$2:$AE$59,ROW()-3),'V_Tüm Teknoloji'!$AE$2:$AE$59,0))</f>
        <v>Garanti Portföy</v>
      </c>
      <c r="E55" s="8">
        <f>INDEX('V_Tüm Teknoloji'!D$2:D$59,MATCH(LARGE('V_Tüm Teknoloji'!$AE$2:$AE$59,ROW()-3),'V_Tüm Teknoloji'!$AE$2:$AE$59,0))</f>
        <v>2.7E-2</v>
      </c>
      <c r="F55" s="9">
        <f>INDEX('V_Tüm Teknoloji'!E$2:E$59,MATCH(LARGE('V_Tüm Teknoloji'!$AE$2:$AE$59,ROW()-3),'V_Tüm Teknoloji'!$AE$2:$AE$59,0))</f>
        <v>-1.8738213932298911</v>
      </c>
      <c r="G55" s="9">
        <f>INDEX('V_Tüm Teknoloji'!F$2:F$59,MATCH(LARGE('V_Tüm Teknoloji'!$AE$2:$AE$59,ROW()-3),'V_Tüm Teknoloji'!$AE$2:$AE$59,0))</f>
        <v>-1.8462272376547411</v>
      </c>
      <c r="H55" s="9">
        <f>INDEX('V_Tüm Teknoloji'!G$2:G$59,MATCH(LARGE('V_Tüm Teknoloji'!$AE$2:$AE$59,ROW()-3),'V_Tüm Teknoloji'!$AE$2:$AE$59,0))</f>
        <v>7.0430182302138489</v>
      </c>
      <c r="I55" s="9">
        <f>INDEX('V_Tüm Teknoloji'!H$2:H$59,MATCH(LARGE('V_Tüm Teknoloji'!$AE$2:$AE$59,ROW()-3),'V_Tüm Teknoloji'!$AE$2:$AE$59,0))</f>
        <v>36.591362565374077</v>
      </c>
      <c r="J55" s="9">
        <f>INDEX('V_Tüm Teknoloji'!I$2:I$59,MATCH(LARGE('V_Tüm Teknoloji'!$AE$2:$AE$59,ROW()-3),'V_Tüm Teknoloji'!$AE$2:$AE$59,0))</f>
        <v>48.112996370124883</v>
      </c>
      <c r="K55" s="10">
        <f>INDEX('V_Tüm Teknoloji'!J$2:J$59,MATCH(LARGE('V_Tüm Teknoloji'!$AE$2:$AE$59,ROW()-3),'V_Tüm Teknoloji'!$AE$2:$AE$59,0))</f>
        <v>2603</v>
      </c>
      <c r="L55" s="10">
        <f>INDEX('V_Tüm Teknoloji'!K$2:K$59,MATCH(LARGE('V_Tüm Teknoloji'!$AE$2:$AE$59,ROW()-3),'V_Tüm Teknoloji'!$AE$2:$AE$59,0))</f>
        <v>2446</v>
      </c>
      <c r="M55" s="8">
        <f>INDEX('V_Tüm Teknoloji'!L$2:L$59,MATCH(LARGE('V_Tüm Teknoloji'!$AE$2:$AE$59,ROW()-3),'V_Tüm Teknoloji'!$AE$2:$AE$59,0))</f>
        <v>-6.0315021129465962E-2</v>
      </c>
      <c r="N55" s="11">
        <f>INDEX('V_Tüm Teknoloji'!M$2:M$59,MATCH(LARGE('V_Tüm Teknoloji'!$AE$2:$AE$59,ROW()-3),'V_Tüm Teknoloji'!$AE$2:$AE$59,0))</f>
        <v>240520317.91</v>
      </c>
      <c r="O55" s="11">
        <f>INDEX('V_Tüm Teknoloji'!N$2:N$59,MATCH(LARGE('V_Tüm Teknoloji'!$AE$2:$AE$59,ROW()-3),'V_Tüm Teknoloji'!$AE$2:$AE$59,0))</f>
        <v>180928344.16</v>
      </c>
      <c r="P55" s="8">
        <f>INDEX('V_Tüm Teknoloji'!O$2:O$59,MATCH(LARGE('V_Tüm Teknoloji'!$AE$2:$AE$59,ROW()-3),'V_Tüm Teknoloji'!$AE$2:$AE$59,0))</f>
        <v>-0.24776274315543961</v>
      </c>
      <c r="Q55" s="9">
        <f>INDEX('V_Tüm Teknoloji'!P$2:P$59,MATCH(LARGE('V_Tüm Teknoloji'!$AE$2:$AE$59,ROW()-3),'V_Tüm Teknoloji'!$AE$2:$AE$59,0))</f>
        <v>1.295743052674053</v>
      </c>
      <c r="R55" s="5" t="str">
        <f>INDEX('V_Tüm Teknoloji'!Q$2:Q$59,MATCH(LARGE('V_Tüm Teknoloji'!$AE$2:$AE$59,ROW()-3),'V_Tüm Teknoloji'!$AE$2:$AE$59,0))</f>
        <v>Görüyor</v>
      </c>
      <c r="S55" s="8">
        <f>INDEX('V_Tüm Teknoloji'!R$2:R$59,MATCH(LARGE('V_Tüm Teknoloji'!$AE$2:$AE$59,ROW()-3),'V_Tüm Teknoloji'!$AE$2:$AE$59,0))</f>
        <v>0.61570000000000003</v>
      </c>
      <c r="T55" s="8">
        <f>INDEX('V_Tüm Teknoloji'!S$2:S$59,MATCH(LARGE('V_Tüm Teknoloji'!$AE$2:$AE$59,ROW()-3),'V_Tüm Teknoloji'!$AE$2:$AE$59,0))</f>
        <v>5.0299999999999997E-2</v>
      </c>
      <c r="U55" s="8">
        <f>INDEX('V_Tüm Teknoloji'!T$2:T$59,MATCH(LARGE('V_Tüm Teknoloji'!$AE$2:$AE$59,ROW()-3),'V_Tüm Teknoloji'!$AE$2:$AE$59,0))</f>
        <v>0</v>
      </c>
      <c r="V55" s="8">
        <f>INDEX('V_Tüm Teknoloji'!U$2:U$59,MATCH(LARGE('V_Tüm Teknoloji'!$AE$2:$AE$59,ROW()-3),'V_Tüm Teknoloji'!$AE$2:$AE$59,0))</f>
        <v>4.1700000000000001E-2</v>
      </c>
      <c r="W55" s="8">
        <f>INDEX('V_Tüm Teknoloji'!V$2:V$59,MATCH(LARGE('V_Tüm Teknoloji'!$AE$2:$AE$59,ROW()-3),'V_Tüm Teknoloji'!$AE$2:$AE$59,0))</f>
        <v>0</v>
      </c>
      <c r="X55" s="8">
        <f>INDEX('V_Tüm Teknoloji'!W$2:W$59,MATCH(LARGE('V_Tüm Teknoloji'!$AE$2:$AE$59,ROW()-3),'V_Tüm Teknoloji'!$AE$2:$AE$59,0))</f>
        <v>0.2601</v>
      </c>
      <c r="Y55" s="8">
        <f>INDEX('V_Tüm Teknoloji'!X$2:X$59,MATCH(LARGE('V_Tüm Teknoloji'!$AE$2:$AE$59,ROW()-3),'V_Tüm Teknoloji'!$AE$2:$AE$59,0))</f>
        <v>2.9600000000000001E-2</v>
      </c>
      <c r="Z55" s="8">
        <f>INDEX('V_Tüm Teknoloji'!Y$2:Y$59,MATCH(LARGE('V_Tüm Teknoloji'!$AE$2:$AE$59,ROW()-3),'V_Tüm Teknoloji'!$AE$2:$AE$59,0))</f>
        <v>0</v>
      </c>
      <c r="AA55" s="8">
        <f>INDEX('V_Tüm Teknoloji'!Z$2:Z$59,MATCH(LARGE('V_Tüm Teknoloji'!$AE$2:$AE$59,ROW()-3),'V_Tüm Teknoloji'!$AE$2:$AE$59,0))</f>
        <v>0</v>
      </c>
      <c r="AB55" s="8">
        <f>INDEX('V_Tüm Teknoloji'!AA$2:AA$59,MATCH(LARGE('V_Tüm Teknoloji'!$AE$2:$AE$59,ROW()-3),'V_Tüm Teknoloji'!$AE$2:$AE$59,0))</f>
        <v>0</v>
      </c>
      <c r="AC55" s="8">
        <f>INDEX('V_Tüm Teknoloji'!AB$2:AB$59,MATCH(LARGE('V_Tüm Teknoloji'!$AE$2:$AE$59,ROW()-3),'V_Tüm Teknoloji'!$AE$2:$AE$59,0))</f>
        <v>0</v>
      </c>
      <c r="AD55" s="8">
        <f>INDEX('V_Tüm Teknoloji'!AC$2:AC$59,MATCH(LARGE('V_Tüm Teknoloji'!$AE$2:$AE$59,ROW()-3),'V_Tüm Teknoloji'!$AE$2:$AE$59,0))</f>
        <v>0.99740000000000006</v>
      </c>
    </row>
    <row r="56" spans="1:30" x14ac:dyDescent="0.2">
      <c r="A56">
        <v>53</v>
      </c>
      <c r="B56" s="5" t="str">
        <f>INDEX('V_Tüm Teknoloji'!A$2:A$59,MATCH(LARGE('V_Tüm Teknoloji'!$AE$2:$AE$59,ROW()-3),'V_Tüm Teknoloji'!$AE$2:$AE$59,0))</f>
        <v>GUH</v>
      </c>
      <c r="C56" s="5" t="str">
        <f>INDEX('V_Tüm Teknoloji'!B$2:B$59,MATCH(LARGE('V_Tüm Teknoloji'!$AE$2:$AE$59,ROW()-3),'V_Tüm Teknoloji'!$AE$2:$AE$59,0))</f>
        <v>Garanti Portföy Yabancı Teknoloji Hisse Senedi Fonu</v>
      </c>
      <c r="D56" s="5" t="str">
        <f>INDEX('V_Tüm Teknoloji'!C$2:C$59,MATCH(LARGE('V_Tüm Teknoloji'!$AE$2:$AE$59,ROW()-3),'V_Tüm Teknoloji'!$AE$2:$AE$59,0))</f>
        <v>Garanti Portföy</v>
      </c>
      <c r="E56" s="8">
        <f>INDEX('V_Tüm Teknoloji'!D$2:D$59,MATCH(LARGE('V_Tüm Teknoloji'!$AE$2:$AE$59,ROW()-3),'V_Tüm Teknoloji'!$AE$2:$AE$59,0))</f>
        <v>0.03</v>
      </c>
      <c r="F56" s="9">
        <f>INDEX('V_Tüm Teknoloji'!E$2:E$59,MATCH(LARGE('V_Tüm Teknoloji'!$AE$2:$AE$59,ROW()-3),'V_Tüm Teknoloji'!$AE$2:$AE$59,0))</f>
        <v>-1.913634812137333</v>
      </c>
      <c r="G56" s="9">
        <f>INDEX('V_Tüm Teknoloji'!F$2:F$59,MATCH(LARGE('V_Tüm Teknoloji'!$AE$2:$AE$59,ROW()-3),'V_Tüm Teknoloji'!$AE$2:$AE$59,0))</f>
        <v>-1.6465735692581029</v>
      </c>
      <c r="H56" s="9">
        <f>INDEX('V_Tüm Teknoloji'!G$2:G$59,MATCH(LARGE('V_Tüm Teknoloji'!$AE$2:$AE$59,ROW()-3),'V_Tüm Teknoloji'!$AE$2:$AE$59,0))</f>
        <v>3.72641345720004</v>
      </c>
      <c r="I56" s="9">
        <f>INDEX('V_Tüm Teknoloji'!H$2:H$59,MATCH(LARGE('V_Tüm Teknoloji'!$AE$2:$AE$59,ROW()-3),'V_Tüm Teknoloji'!$AE$2:$AE$59,0))</f>
        <v>41.783161490290333</v>
      </c>
      <c r="J56" s="9">
        <f>INDEX('V_Tüm Teknoloji'!I$2:I$59,MATCH(LARGE('V_Tüm Teknoloji'!$AE$2:$AE$59,ROW()-3),'V_Tüm Teknoloji'!$AE$2:$AE$59,0))</f>
        <v>83.511062897844738</v>
      </c>
      <c r="K56" s="10">
        <f>INDEX('V_Tüm Teknoloji'!J$2:J$59,MATCH(LARGE('V_Tüm Teknoloji'!$AE$2:$AE$59,ROW()-3),'V_Tüm Teknoloji'!$AE$2:$AE$59,0))</f>
        <v>38050</v>
      </c>
      <c r="L56" s="10">
        <f>INDEX('V_Tüm Teknoloji'!K$2:K$59,MATCH(LARGE('V_Tüm Teknoloji'!$AE$2:$AE$59,ROW()-3),'V_Tüm Teknoloji'!$AE$2:$AE$59,0))</f>
        <v>38737</v>
      </c>
      <c r="M56" s="8">
        <f>INDEX('V_Tüm Teknoloji'!L$2:L$59,MATCH(LARGE('V_Tüm Teknoloji'!$AE$2:$AE$59,ROW()-3),'V_Tüm Teknoloji'!$AE$2:$AE$59,0))</f>
        <v>1.8055190538764702E-2</v>
      </c>
      <c r="N56" s="11">
        <f>INDEX('V_Tüm Teknoloji'!M$2:M$59,MATCH(LARGE('V_Tüm Teknoloji'!$AE$2:$AE$59,ROW()-3),'V_Tüm Teknoloji'!$AE$2:$AE$59,0))</f>
        <v>4238721092.3099999</v>
      </c>
      <c r="O56" s="11">
        <f>INDEX('V_Tüm Teknoloji'!N$2:N$59,MATCH(LARGE('V_Tüm Teknoloji'!$AE$2:$AE$59,ROW()-3),'V_Tüm Teknoloji'!$AE$2:$AE$59,0))</f>
        <v>4669084051.6999998</v>
      </c>
      <c r="P56" s="8">
        <f>INDEX('V_Tüm Teknoloji'!O$2:O$59,MATCH(LARGE('V_Tüm Teknoloji'!$AE$2:$AE$59,ROW()-3),'V_Tüm Teknoloji'!$AE$2:$AE$59,0))</f>
        <v>0.1015313227781784</v>
      </c>
      <c r="Q56" s="9">
        <f>INDEX('V_Tüm Teknoloji'!P$2:P$59,MATCH(LARGE('V_Tüm Teknoloji'!$AE$2:$AE$59,ROW()-3),'V_Tüm Teknoloji'!$AE$2:$AE$59,0))</f>
        <v>2.284442681529729</v>
      </c>
      <c r="R56" s="5" t="str">
        <f>INDEX('V_Tüm Teknoloji'!Q$2:Q$59,MATCH(LARGE('V_Tüm Teknoloji'!$AE$2:$AE$59,ROW()-3),'V_Tüm Teknoloji'!$AE$2:$AE$59,0))</f>
        <v>Görüyor</v>
      </c>
      <c r="S56" s="8">
        <f>INDEX('V_Tüm Teknoloji'!R$2:R$59,MATCH(LARGE('V_Tüm Teknoloji'!$AE$2:$AE$59,ROW()-3),'V_Tüm Teknoloji'!$AE$2:$AE$59,0))</f>
        <v>0.95090000000000008</v>
      </c>
      <c r="T56" s="8">
        <f>INDEX('V_Tüm Teknoloji'!S$2:S$59,MATCH(LARGE('V_Tüm Teknoloji'!$AE$2:$AE$59,ROW()-3),'V_Tüm Teknoloji'!$AE$2:$AE$59,0))</f>
        <v>0</v>
      </c>
      <c r="U56" s="8">
        <f>INDEX('V_Tüm Teknoloji'!T$2:T$59,MATCH(LARGE('V_Tüm Teknoloji'!$AE$2:$AE$59,ROW()-3),'V_Tüm Teknoloji'!$AE$2:$AE$59,0))</f>
        <v>0</v>
      </c>
      <c r="V56" s="8">
        <f>INDEX('V_Tüm Teknoloji'!U$2:U$59,MATCH(LARGE('V_Tüm Teknoloji'!$AE$2:$AE$59,ROW()-3),'V_Tüm Teknoloji'!$AE$2:$AE$59,0))</f>
        <v>2.0199999999999999E-2</v>
      </c>
      <c r="W56" s="8">
        <f>INDEX('V_Tüm Teknoloji'!V$2:V$59,MATCH(LARGE('V_Tüm Teknoloji'!$AE$2:$AE$59,ROW()-3),'V_Tüm Teknoloji'!$AE$2:$AE$59,0))</f>
        <v>2.5700000000000001E-2</v>
      </c>
      <c r="X56" s="8">
        <f>INDEX('V_Tüm Teknoloji'!W$2:W$59,MATCH(LARGE('V_Tüm Teknoloji'!$AE$2:$AE$59,ROW()-3),'V_Tüm Teknoloji'!$AE$2:$AE$59,0))</f>
        <v>0</v>
      </c>
      <c r="Y56" s="8">
        <f>INDEX('V_Tüm Teknoloji'!X$2:X$59,MATCH(LARGE('V_Tüm Teknoloji'!$AE$2:$AE$59,ROW()-3),'V_Tüm Teknoloji'!$AE$2:$AE$59,0))</f>
        <v>2.8999999999999998E-3</v>
      </c>
      <c r="Z56" s="8">
        <f>INDEX('V_Tüm Teknoloji'!Y$2:Y$59,MATCH(LARGE('V_Tüm Teknoloji'!$AE$2:$AE$59,ROW()-3),'V_Tüm Teknoloji'!$AE$2:$AE$59,0))</f>
        <v>0</v>
      </c>
      <c r="AA56" s="8">
        <f>INDEX('V_Tüm Teknoloji'!Z$2:Z$59,MATCH(LARGE('V_Tüm Teknoloji'!$AE$2:$AE$59,ROW()-3),'V_Tüm Teknoloji'!$AE$2:$AE$59,0))</f>
        <v>0</v>
      </c>
      <c r="AB56" s="8">
        <f>INDEX('V_Tüm Teknoloji'!AA$2:AA$59,MATCH(LARGE('V_Tüm Teknoloji'!$AE$2:$AE$59,ROW()-3),'V_Tüm Teknoloji'!$AE$2:$AE$59,0))</f>
        <v>0</v>
      </c>
      <c r="AC56" s="8">
        <f>INDEX('V_Tüm Teknoloji'!AB$2:AB$59,MATCH(LARGE('V_Tüm Teknoloji'!$AE$2:$AE$59,ROW()-3),'V_Tüm Teknoloji'!$AE$2:$AE$59,0))</f>
        <v>0</v>
      </c>
      <c r="AD56" s="8">
        <f>INDEX('V_Tüm Teknoloji'!AC$2:AC$59,MATCH(LARGE('V_Tüm Teknoloji'!$AE$2:$AE$59,ROW()-3),'V_Tüm Teknoloji'!$AE$2:$AE$59,0))</f>
        <v>0.99970000000000003</v>
      </c>
    </row>
    <row r="57" spans="1:30" x14ac:dyDescent="0.2">
      <c r="A57">
        <v>54</v>
      </c>
      <c r="B57" s="5" t="str">
        <f>INDEX('V_Tüm Teknoloji'!A$2:A$59,MATCH(LARGE('V_Tüm Teknoloji'!$AE$2:$AE$59,ROW()-3),'V_Tüm Teknoloji'!$AE$2:$AE$59,0))</f>
        <v>YAY</v>
      </c>
      <c r="C57" s="5" t="str">
        <f>INDEX('V_Tüm Teknoloji'!B$2:B$59,MATCH(LARGE('V_Tüm Teknoloji'!$AE$2:$AE$59,ROW()-3),'V_Tüm Teknoloji'!$AE$2:$AE$59,0))</f>
        <v>Yapı Kredi Portföy Yabancı Teknoloji Sektörü Hisse Senedi Fonu</v>
      </c>
      <c r="D57" s="5" t="str">
        <f>INDEX('V_Tüm Teknoloji'!C$2:C$59,MATCH(LARGE('V_Tüm Teknoloji'!$AE$2:$AE$59,ROW()-3),'V_Tüm Teknoloji'!$AE$2:$AE$59,0))</f>
        <v>Yapı Kredi Portföy</v>
      </c>
      <c r="E57" s="8">
        <f>INDEX('V_Tüm Teknoloji'!D$2:D$59,MATCH(LARGE('V_Tüm Teknoloji'!$AE$2:$AE$59,ROW()-3),'V_Tüm Teknoloji'!$AE$2:$AE$59,0))</f>
        <v>3.2485E-2</v>
      </c>
      <c r="F57" s="9">
        <f>INDEX('V_Tüm Teknoloji'!E$2:E$59,MATCH(LARGE('V_Tüm Teknoloji'!$AE$2:$AE$59,ROW()-3),'V_Tüm Teknoloji'!$AE$2:$AE$59,0))</f>
        <v>-2.0096800943303461</v>
      </c>
      <c r="G57" s="9">
        <f>INDEX('V_Tüm Teknoloji'!F$2:F$59,MATCH(LARGE('V_Tüm Teknoloji'!$AE$2:$AE$59,ROW()-3),'V_Tüm Teknoloji'!$AE$2:$AE$59,0))</f>
        <v>-1.561450673204567</v>
      </c>
      <c r="H57" s="9">
        <f>INDEX('V_Tüm Teknoloji'!G$2:G$59,MATCH(LARGE('V_Tüm Teknoloji'!$AE$2:$AE$59,ROW()-3),'V_Tüm Teknoloji'!$AE$2:$AE$59,0))</f>
        <v>3.9630335896502671</v>
      </c>
      <c r="I57" s="9">
        <f>INDEX('V_Tüm Teknoloji'!H$2:H$59,MATCH(LARGE('V_Tüm Teknoloji'!$AE$2:$AE$59,ROW()-3),'V_Tüm Teknoloji'!$AE$2:$AE$59,0))</f>
        <v>41.243537054386323</v>
      </c>
      <c r="J57" s="9">
        <f>INDEX('V_Tüm Teknoloji'!I$2:I$59,MATCH(LARGE('V_Tüm Teknoloji'!$AE$2:$AE$59,ROW()-3),'V_Tüm Teknoloji'!$AE$2:$AE$59,0))</f>
        <v>85.552624955274112</v>
      </c>
      <c r="K57" s="10">
        <f>INDEX('V_Tüm Teknoloji'!J$2:J$59,MATCH(LARGE('V_Tüm Teknoloji'!$AE$2:$AE$59,ROW()-3),'V_Tüm Teknoloji'!$AE$2:$AE$59,0))</f>
        <v>42690</v>
      </c>
      <c r="L57" s="10">
        <f>INDEX('V_Tüm Teknoloji'!K$2:K$59,MATCH(LARGE('V_Tüm Teknoloji'!$AE$2:$AE$59,ROW()-3),'V_Tüm Teknoloji'!$AE$2:$AE$59,0))</f>
        <v>44075</v>
      </c>
      <c r="M57" s="8">
        <f>INDEX('V_Tüm Teknoloji'!L$2:L$59,MATCH(LARGE('V_Tüm Teknoloji'!$AE$2:$AE$59,ROW()-3),'V_Tüm Teknoloji'!$AE$2:$AE$59,0))</f>
        <v>3.244319512766447E-2</v>
      </c>
      <c r="N57" s="11">
        <f>INDEX('V_Tüm Teknoloji'!M$2:M$59,MATCH(LARGE('V_Tüm Teknoloji'!$AE$2:$AE$59,ROW()-3),'V_Tüm Teknoloji'!$AE$2:$AE$59,0))</f>
        <v>12750475715.42</v>
      </c>
      <c r="O57" s="11">
        <f>INDEX('V_Tüm Teknoloji'!N$2:N$59,MATCH(LARGE('V_Tüm Teknoloji'!$AE$2:$AE$59,ROW()-3),'V_Tüm Teknoloji'!$AE$2:$AE$59,0))</f>
        <v>13402234674.120001</v>
      </c>
      <c r="P57" s="8">
        <f>INDEX('V_Tüm Teknoloji'!O$2:O$59,MATCH(LARGE('V_Tüm Teknoloji'!$AE$2:$AE$59,ROW()-3),'V_Tüm Teknoloji'!$AE$2:$AE$59,0))</f>
        <v>5.1116442495693359E-2</v>
      </c>
      <c r="Q57" s="9">
        <f>INDEX('V_Tüm Teknoloji'!P$2:P$59,MATCH(LARGE('V_Tüm Teknoloji'!$AE$2:$AE$59,ROW()-3),'V_Tüm Teknoloji'!$AE$2:$AE$59,0))</f>
        <v>2.1427987082172222</v>
      </c>
      <c r="R57" s="5" t="str">
        <f>INDEX('V_Tüm Teknoloji'!Q$2:Q$59,MATCH(LARGE('V_Tüm Teknoloji'!$AE$2:$AE$59,ROW()-3),'V_Tüm Teknoloji'!$AE$2:$AE$59,0))</f>
        <v>Görüyor</v>
      </c>
      <c r="S57" s="8">
        <f>INDEX('V_Tüm Teknoloji'!R$2:R$59,MATCH(LARGE('V_Tüm Teknoloji'!$AE$2:$AE$59,ROW()-3),'V_Tüm Teknoloji'!$AE$2:$AE$59,0))</f>
        <v>0.96689999999999998</v>
      </c>
      <c r="T57" s="8">
        <f>INDEX('V_Tüm Teknoloji'!S$2:S$59,MATCH(LARGE('V_Tüm Teknoloji'!$AE$2:$AE$59,ROW()-3),'V_Tüm Teknoloji'!$AE$2:$AE$59,0))</f>
        <v>1.0200000000000001E-2</v>
      </c>
      <c r="U57" s="8">
        <f>INDEX('V_Tüm Teknoloji'!T$2:T$59,MATCH(LARGE('V_Tüm Teknoloji'!$AE$2:$AE$59,ROW()-3),'V_Tüm Teknoloji'!$AE$2:$AE$59,0))</f>
        <v>0</v>
      </c>
      <c r="V57" s="8">
        <f>INDEX('V_Tüm Teknoloji'!U$2:U$59,MATCH(LARGE('V_Tüm Teknoloji'!$AE$2:$AE$59,ROW()-3),'V_Tüm Teknoloji'!$AE$2:$AE$59,0))</f>
        <v>0</v>
      </c>
      <c r="W57" s="8">
        <f>INDEX('V_Tüm Teknoloji'!V$2:V$59,MATCH(LARGE('V_Tüm Teknoloji'!$AE$2:$AE$59,ROW()-3),'V_Tüm Teknoloji'!$AE$2:$AE$59,0))</f>
        <v>0</v>
      </c>
      <c r="X57" s="8">
        <f>INDEX('V_Tüm Teknoloji'!W$2:W$59,MATCH(LARGE('V_Tüm Teknoloji'!$AE$2:$AE$59,ROW()-3),'V_Tüm Teknoloji'!$AE$2:$AE$59,0))</f>
        <v>0</v>
      </c>
      <c r="Y57" s="8">
        <f>INDEX('V_Tüm Teknoloji'!X$2:X$59,MATCH(LARGE('V_Tüm Teknoloji'!$AE$2:$AE$59,ROW()-3),'V_Tüm Teknoloji'!$AE$2:$AE$59,0))</f>
        <v>0</v>
      </c>
      <c r="Z57" s="8">
        <f>INDEX('V_Tüm Teknoloji'!Y$2:Y$59,MATCH(LARGE('V_Tüm Teknoloji'!$AE$2:$AE$59,ROW()-3),'V_Tüm Teknoloji'!$AE$2:$AE$59,0))</f>
        <v>1.95E-2</v>
      </c>
      <c r="AA57" s="8">
        <f>INDEX('V_Tüm Teknoloji'!Z$2:Z$59,MATCH(LARGE('V_Tüm Teknoloji'!$AE$2:$AE$59,ROW()-3),'V_Tüm Teknoloji'!$AE$2:$AE$59,0))</f>
        <v>0</v>
      </c>
      <c r="AB57" s="8">
        <f>INDEX('V_Tüm Teknoloji'!AA$2:AA$59,MATCH(LARGE('V_Tüm Teknoloji'!$AE$2:$AE$59,ROW()-3),'V_Tüm Teknoloji'!$AE$2:$AE$59,0))</f>
        <v>0</v>
      </c>
      <c r="AC57" s="8">
        <f>INDEX('V_Tüm Teknoloji'!AB$2:AB$59,MATCH(LARGE('V_Tüm Teknoloji'!$AE$2:$AE$59,ROW()-3),'V_Tüm Teknoloji'!$AE$2:$AE$59,0))</f>
        <v>0</v>
      </c>
      <c r="AD57" s="8">
        <f>INDEX('V_Tüm Teknoloji'!AC$2:AC$59,MATCH(LARGE('V_Tüm Teknoloji'!$AE$2:$AE$59,ROW()-3),'V_Tüm Teknoloji'!$AE$2:$AE$59,0))</f>
        <v>0.99659999999999993</v>
      </c>
    </row>
    <row r="58" spans="1:30" x14ac:dyDescent="0.2">
      <c r="A58">
        <v>55</v>
      </c>
      <c r="B58" s="5" t="str">
        <f>INDEX('V_Tüm Teknoloji'!A$2:A$59,MATCH(LARGE('V_Tüm Teknoloji'!$AE$2:$AE$59,ROW()-3),'V_Tüm Teknoloji'!$AE$2:$AE$59,0))</f>
        <v>BTK</v>
      </c>
      <c r="C58" s="5" t="str">
        <f>INDEX('V_Tüm Teknoloji'!B$2:B$59,MATCH(LARGE('V_Tüm Teknoloji'!$AE$2:$AE$59,ROW()-3),'V_Tüm Teknoloji'!$AE$2:$AE$59,0))</f>
        <v>BV Portföy Teknoloji Katılım Fonu</v>
      </c>
      <c r="D58" s="5" t="str">
        <f>INDEX('V_Tüm Teknoloji'!C$2:C$59,MATCH(LARGE('V_Tüm Teknoloji'!$AE$2:$AE$59,ROW()-3),'V_Tüm Teknoloji'!$AE$2:$AE$59,0))</f>
        <v>BV Portföy</v>
      </c>
      <c r="E58" s="8">
        <f>INDEX('V_Tüm Teknoloji'!D$2:D$59,MATCH(LARGE('V_Tüm Teknoloji'!$AE$2:$AE$59,ROW()-3),'V_Tüm Teknoloji'!$AE$2:$AE$59,0))</f>
        <v>0.02</v>
      </c>
      <c r="F58" s="9">
        <f>INDEX('V_Tüm Teknoloji'!E$2:E$59,MATCH(LARGE('V_Tüm Teknoloji'!$AE$2:$AE$59,ROW()-3),'V_Tüm Teknoloji'!$AE$2:$AE$59,0))</f>
        <v>-2.052823355948064</v>
      </c>
      <c r="G58" s="9">
        <f>INDEX('V_Tüm Teknoloji'!F$2:F$59,MATCH(LARGE('V_Tüm Teknoloji'!$AE$2:$AE$59,ROW()-3),'V_Tüm Teknoloji'!$AE$2:$AE$59,0))</f>
        <v>-3.8362481866859199</v>
      </c>
      <c r="H58" s="9">
        <f>INDEX('V_Tüm Teknoloji'!G$2:G$59,MATCH(LARGE('V_Tüm Teknoloji'!$AE$2:$AE$59,ROW()-3),'V_Tüm Teknoloji'!$AE$2:$AE$59,0))</f>
        <v>0.40485855800656001</v>
      </c>
      <c r="I58" s="9">
        <f>INDEX('V_Tüm Teknoloji'!H$2:H$59,MATCH(LARGE('V_Tüm Teknoloji'!$AE$2:$AE$59,ROW()-3),'V_Tüm Teknoloji'!$AE$2:$AE$59,0))</f>
        <v>49.914610228093622</v>
      </c>
      <c r="J58" s="9" t="str">
        <f>INDEX('V_Tüm Teknoloji'!I$2:I$59,MATCH(LARGE('V_Tüm Teknoloji'!$AE$2:$AE$59,ROW()-3),'V_Tüm Teknoloji'!$AE$2:$AE$59,0))</f>
        <v>-</v>
      </c>
      <c r="K58" s="10">
        <f>INDEX('V_Tüm Teknoloji'!J$2:J$59,MATCH(LARGE('V_Tüm Teknoloji'!$AE$2:$AE$59,ROW()-3),'V_Tüm Teknoloji'!$AE$2:$AE$59,0))</f>
        <v>2145</v>
      </c>
      <c r="L58" s="10">
        <f>INDEX('V_Tüm Teknoloji'!K$2:K$59,MATCH(LARGE('V_Tüm Teknoloji'!$AE$2:$AE$59,ROW()-3),'V_Tüm Teknoloji'!$AE$2:$AE$59,0))</f>
        <v>2130</v>
      </c>
      <c r="M58" s="8">
        <f>INDEX('V_Tüm Teknoloji'!L$2:L$59,MATCH(LARGE('V_Tüm Teknoloji'!$AE$2:$AE$59,ROW()-3),'V_Tüm Teknoloji'!$AE$2:$AE$59,0))</f>
        <v>-6.9930069930069783E-3</v>
      </c>
      <c r="N58" s="11">
        <f>INDEX('V_Tüm Teknoloji'!M$2:M$59,MATCH(LARGE('V_Tüm Teknoloji'!$AE$2:$AE$59,ROW()-3),'V_Tüm Teknoloji'!$AE$2:$AE$59,0))</f>
        <v>319639048.14999998</v>
      </c>
      <c r="O58" s="11">
        <f>INDEX('V_Tüm Teknoloji'!N$2:N$59,MATCH(LARGE('V_Tüm Teknoloji'!$AE$2:$AE$59,ROW()-3),'V_Tüm Teknoloji'!$AE$2:$AE$59,0))</f>
        <v>286972440.01999998</v>
      </c>
      <c r="P58" s="8">
        <f>INDEX('V_Tüm Teknoloji'!O$2:O$59,MATCH(LARGE('V_Tüm Teknoloji'!$AE$2:$AE$59,ROW()-3),'V_Tüm Teknoloji'!$AE$2:$AE$59,0))</f>
        <v>-0.1021984276297502</v>
      </c>
      <c r="Q58" s="9">
        <f>INDEX('V_Tüm Teknoloji'!P$2:P$59,MATCH(LARGE('V_Tüm Teknoloji'!$AE$2:$AE$59,ROW()-3),'V_Tüm Teknoloji'!$AE$2:$AE$59,0))</f>
        <v>1.8145836168501821</v>
      </c>
      <c r="R58" s="5" t="str">
        <f>INDEX('V_Tüm Teknoloji'!Q$2:Q$59,MATCH(LARGE('V_Tüm Teknoloji'!$AE$2:$AE$59,ROW()-3),'V_Tüm Teknoloji'!$AE$2:$AE$59,0))</f>
        <v>Görüyor</v>
      </c>
      <c r="S58" s="8">
        <f>INDEX('V_Tüm Teknoloji'!R$2:R$59,MATCH(LARGE('V_Tüm Teknoloji'!$AE$2:$AE$59,ROW()-3),'V_Tüm Teknoloji'!$AE$2:$AE$59,0))</f>
        <v>0.73230000000000006</v>
      </c>
      <c r="T58" s="8">
        <f>INDEX('V_Tüm Teknoloji'!S$2:S$59,MATCH(LARGE('V_Tüm Teknoloji'!$AE$2:$AE$59,ROW()-3),'V_Tüm Teknoloji'!$AE$2:$AE$59,0))</f>
        <v>0</v>
      </c>
      <c r="U58" s="8">
        <f>INDEX('V_Tüm Teknoloji'!T$2:T$59,MATCH(LARGE('V_Tüm Teknoloji'!$AE$2:$AE$59,ROW()-3),'V_Tüm Teknoloji'!$AE$2:$AE$59,0))</f>
        <v>0</v>
      </c>
      <c r="V58" s="8">
        <f>INDEX('V_Tüm Teknoloji'!U$2:U$59,MATCH(LARGE('V_Tüm Teknoloji'!$AE$2:$AE$59,ROW()-3),'V_Tüm Teknoloji'!$AE$2:$AE$59,0))</f>
        <v>0</v>
      </c>
      <c r="W58" s="8">
        <f>INDEX('V_Tüm Teknoloji'!V$2:V$59,MATCH(LARGE('V_Tüm Teknoloji'!$AE$2:$AE$59,ROW()-3),'V_Tüm Teknoloji'!$AE$2:$AE$59,0))</f>
        <v>0</v>
      </c>
      <c r="X58" s="8">
        <f>INDEX('V_Tüm Teknoloji'!W$2:W$59,MATCH(LARGE('V_Tüm Teknoloji'!$AE$2:$AE$59,ROW()-3),'V_Tüm Teknoloji'!$AE$2:$AE$59,0))</f>
        <v>0.20080000000000001</v>
      </c>
      <c r="Y58" s="8">
        <f>INDEX('V_Tüm Teknoloji'!X$2:X$59,MATCH(LARGE('V_Tüm Teknoloji'!$AE$2:$AE$59,ROW()-3),'V_Tüm Teknoloji'!$AE$2:$AE$59,0))</f>
        <v>0</v>
      </c>
      <c r="Z58" s="8">
        <f>INDEX('V_Tüm Teknoloji'!Y$2:Y$59,MATCH(LARGE('V_Tüm Teknoloji'!$AE$2:$AE$59,ROW()-3),'V_Tüm Teknoloji'!$AE$2:$AE$59,0))</f>
        <v>4.9000000000000002E-2</v>
      </c>
      <c r="AA58" s="8">
        <f>INDEX('V_Tüm Teknoloji'!Z$2:Z$59,MATCH(LARGE('V_Tüm Teknoloji'!$AE$2:$AE$59,ROW()-3),'V_Tüm Teknoloji'!$AE$2:$AE$59,0))</f>
        <v>0</v>
      </c>
      <c r="AB58" s="8">
        <f>INDEX('V_Tüm Teknoloji'!AA$2:AA$59,MATCH(LARGE('V_Tüm Teknoloji'!$AE$2:$AE$59,ROW()-3),'V_Tüm Teknoloji'!$AE$2:$AE$59,0))</f>
        <v>0</v>
      </c>
      <c r="AC58" s="8">
        <f>INDEX('V_Tüm Teknoloji'!AB$2:AB$59,MATCH(LARGE('V_Tüm Teknoloji'!$AE$2:$AE$59,ROW()-3),'V_Tüm Teknoloji'!$AE$2:$AE$59,0))</f>
        <v>1.7899999999999999E-2</v>
      </c>
      <c r="AD58" s="8">
        <f>INDEX('V_Tüm Teknoloji'!AC$2:AC$59,MATCH(LARGE('V_Tüm Teknoloji'!$AE$2:$AE$59,ROW()-3),'V_Tüm Teknoloji'!$AE$2:$AE$59,0))</f>
        <v>1</v>
      </c>
    </row>
    <row r="59" spans="1:30" x14ac:dyDescent="0.2">
      <c r="A59">
        <v>56</v>
      </c>
      <c r="B59" s="5" t="str">
        <f>INDEX('V_Tüm Teknoloji'!A$2:A$59,MATCH(LARGE('V_Tüm Teknoloji'!$AE$2:$AE$59,ROW()-3),'V_Tüm Teknoloji'!$AE$2:$AE$59,0))</f>
        <v>IJZ</v>
      </c>
      <c r="C59" s="5" t="str">
        <f>INDEX('V_Tüm Teknoloji'!B$2:B$59,MATCH(LARGE('V_Tüm Teknoloji'!$AE$2:$AE$59,ROW()-3),'V_Tüm Teknoloji'!$AE$2:$AE$59,0))</f>
        <v>İŞ Portföy Siber Güvenlik Teknolojileri Değişken Fon</v>
      </c>
      <c r="D59" s="5" t="str">
        <f>INDEX('V_Tüm Teknoloji'!C$2:C$59,MATCH(LARGE('V_Tüm Teknoloji'!$AE$2:$AE$59,ROW()-3),'V_Tüm Teknoloji'!$AE$2:$AE$59,0))</f>
        <v>İŞ Portföy</v>
      </c>
      <c r="E59" s="8">
        <f>INDEX('V_Tüm Teknoloji'!D$2:D$59,MATCH(LARGE('V_Tüm Teknoloji'!$AE$2:$AE$59,ROW()-3),'V_Tüm Teknoloji'!$AE$2:$AE$59,0))</f>
        <v>2.5000000000000001E-2</v>
      </c>
      <c r="F59" s="9">
        <f>INDEX('V_Tüm Teknoloji'!E$2:E$59,MATCH(LARGE('V_Tüm Teknoloji'!$AE$2:$AE$59,ROW()-3),'V_Tüm Teknoloji'!$AE$2:$AE$59,0))</f>
        <v>-2.1268811246333512</v>
      </c>
      <c r="G59" s="9">
        <f>INDEX('V_Tüm Teknoloji'!F$2:F$59,MATCH(LARGE('V_Tüm Teknoloji'!$AE$2:$AE$59,ROW()-3),'V_Tüm Teknoloji'!$AE$2:$AE$59,0))</f>
        <v>-2.3396640246393652</v>
      </c>
      <c r="H59" s="9">
        <f>INDEX('V_Tüm Teknoloji'!G$2:G$59,MATCH(LARGE('V_Tüm Teknoloji'!$AE$2:$AE$59,ROW()-3),'V_Tüm Teknoloji'!$AE$2:$AE$59,0))</f>
        <v>6.0632477190723399</v>
      </c>
      <c r="I59" s="9">
        <f>INDEX('V_Tüm Teknoloji'!H$2:H$59,MATCH(LARGE('V_Tüm Teknoloji'!$AE$2:$AE$59,ROW()-3),'V_Tüm Teknoloji'!$AE$2:$AE$59,0))</f>
        <v>45.695907105313793</v>
      </c>
      <c r="J59" s="9">
        <f>INDEX('V_Tüm Teknoloji'!I$2:I$59,MATCH(LARGE('V_Tüm Teknoloji'!$AE$2:$AE$59,ROW()-3),'V_Tüm Teknoloji'!$AE$2:$AE$59,0))</f>
        <v>58.209107856142552</v>
      </c>
      <c r="K59" s="10">
        <f>INDEX('V_Tüm Teknoloji'!J$2:J$59,MATCH(LARGE('V_Tüm Teknoloji'!$AE$2:$AE$59,ROW()-3),'V_Tüm Teknoloji'!$AE$2:$AE$59,0))</f>
        <v>15241</v>
      </c>
      <c r="L59" s="10">
        <f>INDEX('V_Tüm Teknoloji'!K$2:K$59,MATCH(LARGE('V_Tüm Teknoloji'!$AE$2:$AE$59,ROW()-3),'V_Tüm Teknoloji'!$AE$2:$AE$59,0))</f>
        <v>14871</v>
      </c>
      <c r="M59" s="8">
        <f>INDEX('V_Tüm Teknoloji'!L$2:L$59,MATCH(LARGE('V_Tüm Teknoloji'!$AE$2:$AE$59,ROW()-3),'V_Tüm Teknoloji'!$AE$2:$AE$59,0))</f>
        <v>-2.427662226887994E-2</v>
      </c>
      <c r="N59" s="11">
        <f>INDEX('V_Tüm Teknoloji'!M$2:M$59,MATCH(LARGE('V_Tüm Teknoloji'!$AE$2:$AE$59,ROW()-3),'V_Tüm Teknoloji'!$AE$2:$AE$59,0))</f>
        <v>955220848.25999999</v>
      </c>
      <c r="O59" s="11">
        <f>INDEX('V_Tüm Teknoloji'!N$2:N$59,MATCH(LARGE('V_Tüm Teknoloji'!$AE$2:$AE$59,ROW()-3),'V_Tüm Teknoloji'!$AE$2:$AE$59,0))</f>
        <v>914756969.10000002</v>
      </c>
      <c r="P59" s="8">
        <f>INDEX('V_Tüm Teknoloji'!O$2:O$59,MATCH(LARGE('V_Tüm Teknoloji'!$AE$2:$AE$59,ROW()-3),'V_Tüm Teknoloji'!$AE$2:$AE$59,0))</f>
        <v>-4.2360757968911263E-2</v>
      </c>
      <c r="Q59" s="9">
        <f>INDEX('V_Tüm Teknoloji'!P$2:P$59,MATCH(LARGE('V_Tüm Teknoloji'!$AE$2:$AE$59,ROW()-3),'V_Tüm Teknoloji'!$AE$2:$AE$59,0))</f>
        <v>1.267572438347355</v>
      </c>
      <c r="R59" s="5" t="str">
        <f>INDEX('V_Tüm Teknoloji'!Q$2:Q$59,MATCH(LARGE('V_Tüm Teknoloji'!$AE$2:$AE$59,ROW()-3),'V_Tüm Teknoloji'!$AE$2:$AE$59,0))</f>
        <v>Görüyor</v>
      </c>
      <c r="S59" s="8">
        <f>INDEX('V_Tüm Teknoloji'!R$2:R$59,MATCH(LARGE('V_Tüm Teknoloji'!$AE$2:$AE$59,ROW()-3),'V_Tüm Teknoloji'!$AE$2:$AE$59,0))</f>
        <v>0.67830000000000001</v>
      </c>
      <c r="T59" s="8">
        <f>INDEX('V_Tüm Teknoloji'!S$2:S$59,MATCH(LARGE('V_Tüm Teknoloji'!$AE$2:$AE$59,ROW()-3),'V_Tüm Teknoloji'!$AE$2:$AE$59,0))</f>
        <v>0</v>
      </c>
      <c r="U59" s="8">
        <f>INDEX('V_Tüm Teknoloji'!T$2:T$59,MATCH(LARGE('V_Tüm Teknoloji'!$AE$2:$AE$59,ROW()-3),'V_Tüm Teknoloji'!$AE$2:$AE$59,0))</f>
        <v>0</v>
      </c>
      <c r="V59" s="8">
        <f>INDEX('V_Tüm Teknoloji'!U$2:U$59,MATCH(LARGE('V_Tüm Teknoloji'!$AE$2:$AE$59,ROW()-3),'V_Tüm Teknoloji'!$AE$2:$AE$59,0))</f>
        <v>2.9000000000000001E-2</v>
      </c>
      <c r="W59" s="8">
        <f>INDEX('V_Tüm Teknoloji'!V$2:V$59,MATCH(LARGE('V_Tüm Teknoloji'!$AE$2:$AE$59,ROW()-3),'V_Tüm Teknoloji'!$AE$2:$AE$59,0))</f>
        <v>1.8499999999999999E-2</v>
      </c>
      <c r="X59" s="8">
        <f>INDEX('V_Tüm Teknoloji'!W$2:W$59,MATCH(LARGE('V_Tüm Teknoloji'!$AE$2:$AE$59,ROW()-3),'V_Tüm Teknoloji'!$AE$2:$AE$59,0))</f>
        <v>0.27229999999999999</v>
      </c>
      <c r="Y59" s="8">
        <f>INDEX('V_Tüm Teknoloji'!X$2:X$59,MATCH(LARGE('V_Tüm Teknoloji'!$AE$2:$AE$59,ROW()-3),'V_Tüm Teknoloji'!$AE$2:$AE$59,0))</f>
        <v>0</v>
      </c>
      <c r="Z59" s="8">
        <f>INDEX('V_Tüm Teknoloji'!Y$2:Y$59,MATCH(LARGE('V_Tüm Teknoloji'!$AE$2:$AE$59,ROW()-3),'V_Tüm Teknoloji'!$AE$2:$AE$59,0))</f>
        <v>1.9E-3</v>
      </c>
      <c r="AA59" s="8">
        <f>INDEX('V_Tüm Teknoloji'!Z$2:Z$59,MATCH(LARGE('V_Tüm Teknoloji'!$AE$2:$AE$59,ROW()-3),'V_Tüm Teknoloji'!$AE$2:$AE$59,0))</f>
        <v>0</v>
      </c>
      <c r="AB59" s="8">
        <f>INDEX('V_Tüm Teknoloji'!AA$2:AA$59,MATCH(LARGE('V_Tüm Teknoloji'!$AE$2:$AE$59,ROW()-3),'V_Tüm Teknoloji'!$AE$2:$AE$59,0))</f>
        <v>0</v>
      </c>
      <c r="AC59" s="8">
        <f>INDEX('V_Tüm Teknoloji'!AB$2:AB$59,MATCH(LARGE('V_Tüm Teknoloji'!$AE$2:$AE$59,ROW()-3),'V_Tüm Teknoloji'!$AE$2:$AE$59,0))</f>
        <v>0</v>
      </c>
      <c r="AD59" s="8">
        <f>INDEX('V_Tüm Teknoloji'!AC$2:AC$59,MATCH(LARGE('V_Tüm Teknoloji'!$AE$2:$AE$59,ROW()-3),'V_Tüm Teknoloji'!$AE$2:$AE$59,0))</f>
        <v>1</v>
      </c>
    </row>
    <row r="60" spans="1:30" x14ac:dyDescent="0.2">
      <c r="A60">
        <v>57</v>
      </c>
      <c r="B60" s="5" t="str">
        <f>INDEX('V_Tüm Teknoloji'!A$2:A$59,MATCH(LARGE('V_Tüm Teknoloji'!$AE$2:$AE$59,ROW()-3),'V_Tüm Teknoloji'!$AE$2:$AE$59,0))</f>
        <v>RBL</v>
      </c>
      <c r="C60" s="5" t="str">
        <f>INDEX('V_Tüm Teknoloji'!B$2:B$59,MATCH(LARGE('V_Tüm Teknoloji'!$AE$2:$AE$59,ROW()-3),'V_Tüm Teknoloji'!$AE$2:$AE$59,0))</f>
        <v>Qnb Portföy Robotik VE Blockchain Teknolojileri Serbest Fon</v>
      </c>
      <c r="D60" s="5" t="str">
        <f>INDEX('V_Tüm Teknoloji'!C$2:C$59,MATCH(LARGE('V_Tüm Teknoloji'!$AE$2:$AE$59,ROW()-3),'V_Tüm Teknoloji'!$AE$2:$AE$59,0))</f>
        <v>Qnb Portföy</v>
      </c>
      <c r="E60" s="8">
        <f>INDEX('V_Tüm Teknoloji'!D$2:D$59,MATCH(LARGE('V_Tüm Teknoloji'!$AE$2:$AE$59,ROW()-3),'V_Tüm Teknoloji'!$AE$2:$AE$59,0))</f>
        <v>2.75E-2</v>
      </c>
      <c r="F60" s="9">
        <f>INDEX('V_Tüm Teknoloji'!E$2:E$59,MATCH(LARGE('V_Tüm Teknoloji'!$AE$2:$AE$59,ROW()-3),'V_Tüm Teknoloji'!$AE$2:$AE$59,0))</f>
        <v>-2.141979256458026</v>
      </c>
      <c r="G60" s="9">
        <f>INDEX('V_Tüm Teknoloji'!F$2:F$59,MATCH(LARGE('V_Tüm Teknoloji'!$AE$2:$AE$59,ROW()-3),'V_Tüm Teknoloji'!$AE$2:$AE$59,0))</f>
        <v>-3.3241966684962039</v>
      </c>
      <c r="H60" s="9">
        <f>INDEX('V_Tüm Teknoloji'!G$2:G$59,MATCH(LARGE('V_Tüm Teknoloji'!$AE$2:$AE$59,ROW()-3),'V_Tüm Teknoloji'!$AE$2:$AE$59,0))</f>
        <v>0.34809783693463547</v>
      </c>
      <c r="I60" s="9">
        <f>INDEX('V_Tüm Teknoloji'!H$2:H$59,MATCH(LARGE('V_Tüm Teknoloji'!$AE$2:$AE$59,ROW()-3),'V_Tüm Teknoloji'!$AE$2:$AE$59,0))</f>
        <v>24.711915796277559</v>
      </c>
      <c r="J60" s="9">
        <f>INDEX('V_Tüm Teknoloji'!I$2:I$59,MATCH(LARGE('V_Tüm Teknoloji'!$AE$2:$AE$59,ROW()-3),'V_Tüm Teknoloji'!$AE$2:$AE$59,0))</f>
        <v>43.259655958765187</v>
      </c>
      <c r="K60" s="10">
        <f>INDEX('V_Tüm Teknoloji'!J$2:J$59,MATCH(LARGE('V_Tüm Teknoloji'!$AE$2:$AE$59,ROW()-3),'V_Tüm Teknoloji'!$AE$2:$AE$59,0))</f>
        <v>921</v>
      </c>
      <c r="L60" s="10">
        <f>INDEX('V_Tüm Teknoloji'!K$2:K$59,MATCH(LARGE('V_Tüm Teknoloji'!$AE$2:$AE$59,ROW()-3),'V_Tüm Teknoloji'!$AE$2:$AE$59,0))</f>
        <v>885</v>
      </c>
      <c r="M60" s="8">
        <f>INDEX('V_Tüm Teknoloji'!L$2:L$59,MATCH(LARGE('V_Tüm Teknoloji'!$AE$2:$AE$59,ROW()-3),'V_Tüm Teknoloji'!$AE$2:$AE$59,0))</f>
        <v>-3.9087947882736167E-2</v>
      </c>
      <c r="N60" s="11">
        <f>INDEX('V_Tüm Teknoloji'!M$2:M$59,MATCH(LARGE('V_Tüm Teknoloji'!$AE$2:$AE$59,ROW()-3),'V_Tüm Teknoloji'!$AE$2:$AE$59,0))</f>
        <v>348869367.64999998</v>
      </c>
      <c r="O60" s="11">
        <f>INDEX('V_Tüm Teknoloji'!N$2:N$59,MATCH(LARGE('V_Tüm Teknoloji'!$AE$2:$AE$59,ROW()-3),'V_Tüm Teknoloji'!$AE$2:$AE$59,0))</f>
        <v>344911877.99000001</v>
      </c>
      <c r="P60" s="8">
        <f>INDEX('V_Tüm Teknoloji'!O$2:O$59,MATCH(LARGE('V_Tüm Teknoloji'!$AE$2:$AE$59,ROW()-3),'V_Tüm Teknoloji'!$AE$2:$AE$59,0))</f>
        <v>-1.134375794199927E-2</v>
      </c>
      <c r="Q60" s="9">
        <f>INDEX('V_Tüm Teknoloji'!P$2:P$59,MATCH(LARGE('V_Tüm Teknoloji'!$AE$2:$AE$59,ROW()-3),'V_Tüm Teknoloji'!$AE$2:$AE$59,0))</f>
        <v>1.541596877836469</v>
      </c>
      <c r="R60" s="5" t="str">
        <f>INDEX('V_Tüm Teknoloji'!Q$2:Q$59,MATCH(LARGE('V_Tüm Teknoloji'!$AE$2:$AE$59,ROW()-3),'V_Tüm Teknoloji'!$AE$2:$AE$59,0))</f>
        <v>Görüyor</v>
      </c>
      <c r="S60" s="8">
        <f>INDEX('V_Tüm Teknoloji'!R$2:R$59,MATCH(LARGE('V_Tüm Teknoloji'!$AE$2:$AE$59,ROW()-3),'V_Tüm Teknoloji'!$AE$2:$AE$59,0))</f>
        <v>0.56520000000000004</v>
      </c>
      <c r="T60" s="8">
        <f>INDEX('V_Tüm Teknoloji'!S$2:S$59,MATCH(LARGE('V_Tüm Teknoloji'!$AE$2:$AE$59,ROW()-3),'V_Tüm Teknoloji'!$AE$2:$AE$59,0))</f>
        <v>0.23760000000000001</v>
      </c>
      <c r="U60" s="8">
        <f>INDEX('V_Tüm Teknoloji'!T$2:T$59,MATCH(LARGE('V_Tüm Teknoloji'!$AE$2:$AE$59,ROW()-3),'V_Tüm Teknoloji'!$AE$2:$AE$59,0))</f>
        <v>0</v>
      </c>
      <c r="V60" s="8">
        <f>INDEX('V_Tüm Teknoloji'!U$2:U$59,MATCH(LARGE('V_Tüm Teknoloji'!$AE$2:$AE$59,ROW()-3),'V_Tüm Teknoloji'!$AE$2:$AE$59,0))</f>
        <v>0</v>
      </c>
      <c r="W60" s="8">
        <f>INDEX('V_Tüm Teknoloji'!V$2:V$59,MATCH(LARGE('V_Tüm Teknoloji'!$AE$2:$AE$59,ROW()-3),'V_Tüm Teknoloji'!$AE$2:$AE$59,0))</f>
        <v>2.9600000000000001E-2</v>
      </c>
      <c r="X60" s="8">
        <f>INDEX('V_Tüm Teknoloji'!W$2:W$59,MATCH(LARGE('V_Tüm Teknoloji'!$AE$2:$AE$59,ROW()-3),'V_Tüm Teknoloji'!$AE$2:$AE$59,0))</f>
        <v>0.1003</v>
      </c>
      <c r="Y60" s="8">
        <f>INDEX('V_Tüm Teknoloji'!X$2:X$59,MATCH(LARGE('V_Tüm Teknoloji'!$AE$2:$AE$59,ROW()-3),'V_Tüm Teknoloji'!$AE$2:$AE$59,0))</f>
        <v>2.3900000000000001E-2</v>
      </c>
      <c r="Z60" s="8">
        <f>INDEX('V_Tüm Teknoloji'!Y$2:Y$59,MATCH(LARGE('V_Tüm Teknoloji'!$AE$2:$AE$59,ROW()-3),'V_Tüm Teknoloji'!$AE$2:$AE$59,0))</f>
        <v>4.3400000000000001E-2</v>
      </c>
      <c r="AA60" s="8">
        <f>INDEX('V_Tüm Teknoloji'!Z$2:Z$59,MATCH(LARGE('V_Tüm Teknoloji'!$AE$2:$AE$59,ROW()-3),'V_Tüm Teknoloji'!$AE$2:$AE$59,0))</f>
        <v>0</v>
      </c>
      <c r="AB60" s="8">
        <f>INDEX('V_Tüm Teknoloji'!AA$2:AA$59,MATCH(LARGE('V_Tüm Teknoloji'!$AE$2:$AE$59,ROW()-3),'V_Tüm Teknoloji'!$AE$2:$AE$59,0))</f>
        <v>0</v>
      </c>
      <c r="AC60" s="8">
        <f>INDEX('V_Tüm Teknoloji'!AB$2:AB$59,MATCH(LARGE('V_Tüm Teknoloji'!$AE$2:$AE$59,ROW()-3),'V_Tüm Teknoloji'!$AE$2:$AE$59,0))</f>
        <v>0</v>
      </c>
      <c r="AD60" s="8">
        <f>INDEX('V_Tüm Teknoloji'!AC$2:AC$59,MATCH(LARGE('V_Tüm Teknoloji'!$AE$2:$AE$59,ROW()-3),'V_Tüm Teknoloji'!$AE$2:$AE$59,0))</f>
        <v>1</v>
      </c>
    </row>
    <row r="61" spans="1:30" x14ac:dyDescent="0.2">
      <c r="A61">
        <v>58</v>
      </c>
      <c r="B61" s="5" t="str">
        <f>INDEX('V_Tüm Teknoloji'!A$2:A$59,MATCH(LARGE('V_Tüm Teknoloji'!$AE$2:$AE$59,ROW()-3),'V_Tüm Teknoloji'!$AE$2:$AE$59,0))</f>
        <v>IJC</v>
      </c>
      <c r="C61" s="5" t="str">
        <f>INDEX('V_Tüm Teknoloji'!B$2:B$59,MATCH(LARGE('V_Tüm Teknoloji'!$AE$2:$AE$59,ROW()-3),'V_Tüm Teknoloji'!$AE$2:$AE$59,0))</f>
        <v>İŞ Portföy Yarı İletken Teknolojileri Değişken Fon</v>
      </c>
      <c r="D61" s="5" t="str">
        <f>INDEX('V_Tüm Teknoloji'!C$2:C$59,MATCH(LARGE('V_Tüm Teknoloji'!$AE$2:$AE$59,ROW()-3),'V_Tüm Teknoloji'!$AE$2:$AE$59,0))</f>
        <v>İŞ Portföy</v>
      </c>
      <c r="E61" s="8">
        <f>INDEX('V_Tüm Teknoloji'!D$2:D$59,MATCH(LARGE('V_Tüm Teknoloji'!$AE$2:$AE$59,ROW()-3),'V_Tüm Teknoloji'!$AE$2:$AE$59,0))</f>
        <v>2.5000000000000001E-2</v>
      </c>
      <c r="F61" s="9">
        <f>INDEX('V_Tüm Teknoloji'!E$2:E$59,MATCH(LARGE('V_Tüm Teknoloji'!$AE$2:$AE$59,ROW()-3),'V_Tüm Teknoloji'!$AE$2:$AE$59,0))</f>
        <v>-2.1726118997058008</v>
      </c>
      <c r="G61" s="9">
        <f>INDEX('V_Tüm Teknoloji'!F$2:F$59,MATCH(LARGE('V_Tüm Teknoloji'!$AE$2:$AE$59,ROW()-3),'V_Tüm Teknoloji'!$AE$2:$AE$59,0))</f>
        <v>-5.3053270472892988</v>
      </c>
      <c r="H61" s="9">
        <f>INDEX('V_Tüm Teknoloji'!G$2:G$59,MATCH(LARGE('V_Tüm Teknoloji'!$AE$2:$AE$59,ROW()-3),'V_Tüm Teknoloji'!$AE$2:$AE$59,0))</f>
        <v>-3.735344984464628</v>
      </c>
      <c r="I61" s="9">
        <f>INDEX('V_Tüm Teknoloji'!H$2:H$59,MATCH(LARGE('V_Tüm Teknoloji'!$AE$2:$AE$59,ROW()-3),'V_Tüm Teknoloji'!$AE$2:$AE$59,0))</f>
        <v>68.301564168554819</v>
      </c>
      <c r="J61" s="9">
        <f>INDEX('V_Tüm Teknoloji'!I$2:I$59,MATCH(LARGE('V_Tüm Teknoloji'!$AE$2:$AE$59,ROW()-3),'V_Tüm Teknoloji'!$AE$2:$AE$59,0))</f>
        <v>115.124099308672</v>
      </c>
      <c r="K61" s="10">
        <f>INDEX('V_Tüm Teknoloji'!J$2:J$59,MATCH(LARGE('V_Tüm Teknoloji'!$AE$2:$AE$59,ROW()-3),'V_Tüm Teknoloji'!$AE$2:$AE$59,0))</f>
        <v>54239</v>
      </c>
      <c r="L61" s="10">
        <f>INDEX('V_Tüm Teknoloji'!K$2:K$59,MATCH(LARGE('V_Tüm Teknoloji'!$AE$2:$AE$59,ROW()-3),'V_Tüm Teknoloji'!$AE$2:$AE$59,0))</f>
        <v>51769</v>
      </c>
      <c r="M61" s="8">
        <f>INDEX('V_Tüm Teknoloji'!L$2:L$59,MATCH(LARGE('V_Tüm Teknoloji'!$AE$2:$AE$59,ROW()-3),'V_Tüm Teknoloji'!$AE$2:$AE$59,0))</f>
        <v>-4.5539187669389143E-2</v>
      </c>
      <c r="N61" s="11">
        <f>INDEX('V_Tüm Teknoloji'!M$2:M$59,MATCH(LARGE('V_Tüm Teknoloji'!$AE$2:$AE$59,ROW()-3),'V_Tüm Teknoloji'!$AE$2:$AE$59,0))</f>
        <v>7978085029.4099998</v>
      </c>
      <c r="O61" s="11">
        <f>INDEX('V_Tüm Teknoloji'!N$2:N$59,MATCH(LARGE('V_Tüm Teknoloji'!$AE$2:$AE$59,ROW()-3),'V_Tüm Teknoloji'!$AE$2:$AE$59,0))</f>
        <v>6142423406.4200001</v>
      </c>
      <c r="P61" s="8">
        <f>INDEX('V_Tüm Teknoloji'!O$2:O$59,MATCH(LARGE('V_Tüm Teknoloji'!$AE$2:$AE$59,ROW()-3),'V_Tüm Teknoloji'!$AE$2:$AE$59,0))</f>
        <v>-0.2300879993410839</v>
      </c>
      <c r="Q61" s="9">
        <f>INDEX('V_Tüm Teknoloji'!P$2:P$59,MATCH(LARGE('V_Tüm Teknoloji'!$AE$2:$AE$59,ROW()-3),'V_Tüm Teknoloji'!$AE$2:$AE$59,0))</f>
        <v>2.4239777831940281</v>
      </c>
      <c r="R61" s="5" t="str">
        <f>INDEX('V_Tüm Teknoloji'!Q$2:Q$59,MATCH(LARGE('V_Tüm Teknoloji'!$AE$2:$AE$59,ROW()-3),'V_Tüm Teknoloji'!$AE$2:$AE$59,0))</f>
        <v>Görüyor</v>
      </c>
      <c r="S61" s="8">
        <f>INDEX('V_Tüm Teknoloji'!R$2:R$59,MATCH(LARGE('V_Tüm Teknoloji'!$AE$2:$AE$59,ROW()-3),'V_Tüm Teknoloji'!$AE$2:$AE$59,0))</f>
        <v>0.67130000000000001</v>
      </c>
      <c r="T61" s="8">
        <f>INDEX('V_Tüm Teknoloji'!S$2:S$59,MATCH(LARGE('V_Tüm Teknoloji'!$AE$2:$AE$59,ROW()-3),'V_Tüm Teknoloji'!$AE$2:$AE$59,0))</f>
        <v>4.0000000000000002E-4</v>
      </c>
      <c r="U61" s="8">
        <f>INDEX('V_Tüm Teknoloji'!T$2:T$59,MATCH(LARGE('V_Tüm Teknoloji'!$AE$2:$AE$59,ROW()-3),'V_Tüm Teknoloji'!$AE$2:$AE$59,0))</f>
        <v>0</v>
      </c>
      <c r="V61" s="8">
        <f>INDEX('V_Tüm Teknoloji'!U$2:U$59,MATCH(LARGE('V_Tüm Teknoloji'!$AE$2:$AE$59,ROW()-3),'V_Tüm Teknoloji'!$AE$2:$AE$59,0))</f>
        <v>0</v>
      </c>
      <c r="W61" s="8">
        <f>INDEX('V_Tüm Teknoloji'!V$2:V$59,MATCH(LARGE('V_Tüm Teknoloji'!$AE$2:$AE$59,ROW()-3),'V_Tüm Teknoloji'!$AE$2:$AE$59,0))</f>
        <v>9.1000000000000004E-3</v>
      </c>
      <c r="X61" s="8">
        <f>INDEX('V_Tüm Teknoloji'!W$2:W$59,MATCH(LARGE('V_Tüm Teknoloji'!$AE$2:$AE$59,ROW()-3),'V_Tüm Teknoloji'!$AE$2:$AE$59,0))</f>
        <v>0.31440000000000001</v>
      </c>
      <c r="Y61" s="8">
        <f>INDEX('V_Tüm Teknoloji'!X$2:X$59,MATCH(LARGE('V_Tüm Teknoloji'!$AE$2:$AE$59,ROW()-3),'V_Tüm Teknoloji'!$AE$2:$AE$59,0))</f>
        <v>0</v>
      </c>
      <c r="Z61" s="8">
        <f>INDEX('V_Tüm Teknoloji'!Y$2:Y$59,MATCH(LARGE('V_Tüm Teknoloji'!$AE$2:$AE$59,ROW()-3),'V_Tüm Teknoloji'!$AE$2:$AE$59,0))</f>
        <v>4.7999999999999996E-3</v>
      </c>
      <c r="AA61" s="8">
        <f>INDEX('V_Tüm Teknoloji'!Z$2:Z$59,MATCH(LARGE('V_Tüm Teknoloji'!$AE$2:$AE$59,ROW()-3),'V_Tüm Teknoloji'!$AE$2:$AE$59,0))</f>
        <v>0</v>
      </c>
      <c r="AB61" s="8">
        <f>INDEX('V_Tüm Teknoloji'!AA$2:AA$59,MATCH(LARGE('V_Tüm Teknoloji'!$AE$2:$AE$59,ROW()-3),'V_Tüm Teknoloji'!$AE$2:$AE$59,0))</f>
        <v>0</v>
      </c>
      <c r="AC61" s="8">
        <f>INDEX('V_Tüm Teknoloji'!AB$2:AB$59,MATCH(LARGE('V_Tüm Teknoloji'!$AE$2:$AE$59,ROW()-3),'V_Tüm Teknoloji'!$AE$2:$AE$59,0))</f>
        <v>0</v>
      </c>
      <c r="AD61" s="8">
        <f>INDEX('V_Tüm Teknoloji'!AC$2:AC$59,MATCH(LARGE('V_Tüm Teknoloji'!$AE$2:$AE$59,ROW()-3),'V_Tüm Teknoloji'!$AE$2:$AE$59,0))</f>
        <v>1</v>
      </c>
    </row>
  </sheetData>
  <conditionalFormatting sqref="B4:AD61">
    <cfRule type="expression" dxfId="1" priority="1">
      <formula>OR($B4="BAI",$B4="BHI",$B4="BIS",$B4="BSD",$B4="BTE",$B4="BTK",$B4="BV1",$B4="BVD",$B4="BVF",$B4="BVV",$B4="BVZ",$B4="MTD",$B4="RUT",$B4="SPR")</formula>
    </cfRule>
  </conditionalFormatting>
  <dataValidations count="1">
    <dataValidation type="list" sqref="E2" xr:uid="{00000000-0002-0000-1400-000000000000}">
      <formula1>"Günlük%,Haftalık,Aylık,Yılbaşına Göre,Yıllık"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L28"/>
  <sheetViews>
    <sheetView workbookViewId="0"/>
  </sheetViews>
  <sheetFormatPr baseColWidth="10" defaultColWidth="8.83203125" defaultRowHeight="15" x14ac:dyDescent="0.2"/>
  <sheetData>
    <row r="1" spans="1:38" x14ac:dyDescent="0.2">
      <c r="A1" t="s">
        <v>3</v>
      </c>
      <c r="B1" t="s">
        <v>650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369</v>
      </c>
      <c r="I1" t="s">
        <v>6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527</v>
      </c>
      <c r="T1" t="s">
        <v>528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</row>
    <row r="2" spans="1:38" x14ac:dyDescent="0.2">
      <c r="A2" t="s">
        <v>657</v>
      </c>
      <c r="B2" t="s">
        <v>658</v>
      </c>
      <c r="C2" t="s">
        <v>59</v>
      </c>
      <c r="D2">
        <v>1.4999999999999999E-2</v>
      </c>
      <c r="E2">
        <v>0.2379795892303749</v>
      </c>
      <c r="F2">
        <v>0.45419130755357529</v>
      </c>
      <c r="G2">
        <v>2.1381394627855381</v>
      </c>
      <c r="H2">
        <v>0.9256113155694079</v>
      </c>
      <c r="I2">
        <v>11.68205338006034</v>
      </c>
      <c r="J2">
        <v>22.810756240325471</v>
      </c>
      <c r="K2">
        <v>292</v>
      </c>
      <c r="L2">
        <v>284</v>
      </c>
      <c r="M2">
        <v>-2.7397260273972601E-2</v>
      </c>
      <c r="N2">
        <v>1729480230.0799999</v>
      </c>
      <c r="O2">
        <v>1376425509.1800001</v>
      </c>
      <c r="P2">
        <v>-0.20413920596459709</v>
      </c>
      <c r="Q2">
        <v>8.0672827360595376E-2</v>
      </c>
      <c r="R2" t="s">
        <v>41</v>
      </c>
      <c r="S2">
        <v>0</v>
      </c>
      <c r="T2">
        <v>0</v>
      </c>
      <c r="U2">
        <v>0</v>
      </c>
      <c r="V2">
        <v>2.8E-3</v>
      </c>
      <c r="W2">
        <v>0.75819999999999999</v>
      </c>
      <c r="X2">
        <v>0</v>
      </c>
      <c r="Y2">
        <v>0</v>
      </c>
      <c r="Z2">
        <v>0.153</v>
      </c>
      <c r="AA2">
        <v>0</v>
      </c>
      <c r="AB2">
        <v>0</v>
      </c>
      <c r="AC2">
        <v>0</v>
      </c>
      <c r="AD2">
        <v>0.91400000000000003</v>
      </c>
      <c r="AE2">
        <v>86.862550069086836</v>
      </c>
      <c r="AF2">
        <v>23.682832465293568</v>
      </c>
      <c r="AG2">
        <v>24.38815324739754</v>
      </c>
      <c r="AH2">
        <v>24.132009298773848</v>
      </c>
      <c r="AI2">
        <v>21.86640760883089</v>
      </c>
      <c r="AJ2">
        <v>22.810756240325471</v>
      </c>
      <c r="AL2">
        <f>IF(ISNUMBER(INDEX($A$2:$AJ$28,1,MATCH(Döviz!$E$2,$A$1:$AJ$1,0))),INDEX($A$2:$AJ$28,1,MATCH(Döviz!$E$2,$A$1:$AJ$1,0)),-1000000000)-ROW()/10000000</f>
        <v>0.2379793892303749</v>
      </c>
    </row>
    <row r="3" spans="1:38" x14ac:dyDescent="0.2">
      <c r="A3" t="s">
        <v>659</v>
      </c>
      <c r="B3" t="s">
        <v>660</v>
      </c>
      <c r="C3" t="s">
        <v>130</v>
      </c>
      <c r="D3">
        <v>7.4999999999999997E-3</v>
      </c>
      <c r="E3">
        <v>0.2349919889377938</v>
      </c>
      <c r="F3">
        <v>0.46512514177714509</v>
      </c>
      <c r="G3">
        <v>2.2428560895256582</v>
      </c>
      <c r="H3">
        <v>0.94437919189418462</v>
      </c>
      <c r="I3">
        <v>12.24736960792219</v>
      </c>
      <c r="J3">
        <v>23.050819593567411</v>
      </c>
      <c r="K3">
        <v>1861</v>
      </c>
      <c r="L3">
        <v>1810</v>
      </c>
      <c r="M3">
        <v>-2.7404621171413179E-2</v>
      </c>
      <c r="N3">
        <v>7617367223.9300003</v>
      </c>
      <c r="O3">
        <v>7269900923.7799997</v>
      </c>
      <c r="P3">
        <v>-4.5615012370472718E-2</v>
      </c>
      <c r="Q3">
        <v>7.945216446915114E-2</v>
      </c>
      <c r="R3" t="s">
        <v>41</v>
      </c>
      <c r="S3">
        <v>0</v>
      </c>
      <c r="T3">
        <v>0</v>
      </c>
      <c r="U3">
        <v>0</v>
      </c>
      <c r="V3">
        <v>0</v>
      </c>
      <c r="W3">
        <v>0.51350000000000007</v>
      </c>
      <c r="X3">
        <v>0</v>
      </c>
      <c r="Y3">
        <v>0</v>
      </c>
      <c r="Z3">
        <v>3.3999999999999998E-3</v>
      </c>
      <c r="AA3">
        <v>0</v>
      </c>
      <c r="AB3">
        <v>0</v>
      </c>
      <c r="AC3">
        <v>1E-4</v>
      </c>
      <c r="AD3">
        <v>0.51700000000000002</v>
      </c>
      <c r="AE3">
        <v>85.77207596229475</v>
      </c>
      <c r="AF3">
        <v>24.252953821236851</v>
      </c>
      <c r="AG3">
        <v>25.582577271152029</v>
      </c>
      <c r="AH3">
        <v>24.621314645812671</v>
      </c>
      <c r="AI3">
        <v>22.924563625085121</v>
      </c>
      <c r="AJ3">
        <v>23.050819593567411</v>
      </c>
      <c r="AL3">
        <f>IF(ISNUMBER(INDEX($A$2:$AJ$28,2,MATCH(Döviz!$E$2,$A$1:$AJ$1,0))),INDEX($A$2:$AJ$28,2,MATCH(Döviz!$E$2,$A$1:$AJ$1,0)),-1000000000)-ROW()/10000000</f>
        <v>0.23499168893779379</v>
      </c>
    </row>
    <row r="4" spans="1:38" x14ac:dyDescent="0.2">
      <c r="A4" t="s">
        <v>661</v>
      </c>
      <c r="B4" t="s">
        <v>662</v>
      </c>
      <c r="C4" t="s">
        <v>124</v>
      </c>
      <c r="D4">
        <v>9.4999999999999998E-3</v>
      </c>
      <c r="E4">
        <v>0.2344947163255062</v>
      </c>
      <c r="F4">
        <v>0.44053835599788821</v>
      </c>
      <c r="G4">
        <v>2.156753579003889</v>
      </c>
      <c r="H4">
        <v>0.90546151617840742</v>
      </c>
      <c r="I4">
        <v>11.464944703491421</v>
      </c>
      <c r="J4">
        <v>21.726404376095189</v>
      </c>
      <c r="K4">
        <v>33186</v>
      </c>
      <c r="L4">
        <v>32652</v>
      </c>
      <c r="M4">
        <v>-1.609112276261071E-2</v>
      </c>
      <c r="N4">
        <v>174257943691.57001</v>
      </c>
      <c r="O4">
        <v>164094999631.01999</v>
      </c>
      <c r="P4">
        <v>-5.832126699795126E-2</v>
      </c>
      <c r="Q4">
        <v>8.2882564909610421E-2</v>
      </c>
      <c r="R4" t="s">
        <v>41</v>
      </c>
      <c r="S4">
        <v>0</v>
      </c>
      <c r="T4">
        <v>0</v>
      </c>
      <c r="U4">
        <v>2.3300000000000001E-2</v>
      </c>
      <c r="V4">
        <v>2.9999999999999997E-4</v>
      </c>
      <c r="W4">
        <v>0.1784</v>
      </c>
      <c r="X4">
        <v>0</v>
      </c>
      <c r="Y4">
        <v>0</v>
      </c>
      <c r="Z4">
        <v>0.1699</v>
      </c>
      <c r="AA4">
        <v>0</v>
      </c>
      <c r="AB4">
        <v>0</v>
      </c>
      <c r="AC4">
        <v>0</v>
      </c>
      <c r="AD4">
        <v>0.37190000000000001</v>
      </c>
      <c r="AE4">
        <v>85.590571458809777</v>
      </c>
      <c r="AF4">
        <v>22.970928562747019</v>
      </c>
      <c r="AG4">
        <v>24.600470510513109</v>
      </c>
      <c r="AH4">
        <v>23.60667524322276</v>
      </c>
      <c r="AI4">
        <v>21.460024701407011</v>
      </c>
      <c r="AJ4">
        <v>21.726404376095189</v>
      </c>
      <c r="AL4">
        <f>IF(ISNUMBER(INDEX($A$2:$AJ$28,3,MATCH(Döviz!$E$2,$A$1:$AJ$1,0))),INDEX($A$2:$AJ$28,3,MATCH(Döviz!$E$2,$A$1:$AJ$1,0)),-1000000000)-ROW()/10000000</f>
        <v>0.23449431632550619</v>
      </c>
    </row>
    <row r="5" spans="1:38" x14ac:dyDescent="0.2">
      <c r="A5" t="s">
        <v>663</v>
      </c>
      <c r="B5" t="s">
        <v>664</v>
      </c>
      <c r="C5" t="s">
        <v>262</v>
      </c>
      <c r="D5">
        <v>1.06E-2</v>
      </c>
      <c r="E5">
        <v>0.234218206921466</v>
      </c>
      <c r="F5">
        <v>0.43927104092127411</v>
      </c>
      <c r="G5">
        <v>2.1514762754080601</v>
      </c>
      <c r="H5">
        <v>0.90582099289386875</v>
      </c>
      <c r="I5">
        <v>11.38549575186352</v>
      </c>
      <c r="J5">
        <v>21.112008532671918</v>
      </c>
      <c r="K5">
        <v>5313</v>
      </c>
      <c r="L5">
        <v>5050</v>
      </c>
      <c r="M5">
        <v>-4.9501223414266882E-2</v>
      </c>
      <c r="N5">
        <v>18639740556.919998</v>
      </c>
      <c r="O5">
        <v>15476176298.030001</v>
      </c>
      <c r="P5">
        <v>-0.1697214748901387</v>
      </c>
      <c r="Q5">
        <v>8.3130634192369671E-2</v>
      </c>
      <c r="R5" t="s">
        <v>41</v>
      </c>
      <c r="S5">
        <v>0</v>
      </c>
      <c r="T5">
        <v>0</v>
      </c>
      <c r="U5">
        <v>0</v>
      </c>
      <c r="V5">
        <v>0</v>
      </c>
      <c r="W5">
        <v>0.2097</v>
      </c>
      <c r="X5">
        <v>0</v>
      </c>
      <c r="Y5">
        <v>2.0000000000000001E-4</v>
      </c>
      <c r="Z5">
        <v>7.2000000000000008E-2</v>
      </c>
      <c r="AA5">
        <v>0</v>
      </c>
      <c r="AB5">
        <v>0</v>
      </c>
      <c r="AC5">
        <v>0</v>
      </c>
      <c r="AD5">
        <v>0.28189999999999998</v>
      </c>
      <c r="AE5">
        <v>85.489645526335096</v>
      </c>
      <c r="AF5">
        <v>22.904847133752149</v>
      </c>
      <c r="AG5">
        <v>24.54027626637318</v>
      </c>
      <c r="AH5">
        <v>23.616047314733009</v>
      </c>
      <c r="AI5">
        <v>21.311312561180429</v>
      </c>
      <c r="AJ5">
        <v>21.112008532671918</v>
      </c>
      <c r="AL5">
        <f>IF(ISNUMBER(INDEX($A$2:$AJ$28,4,MATCH(Döviz!$E$2,$A$1:$AJ$1,0))),INDEX($A$2:$AJ$28,4,MATCH(Döviz!$E$2,$A$1:$AJ$1,0)),-1000000000)-ROW()/10000000</f>
        <v>0.23421770692146601</v>
      </c>
    </row>
    <row r="6" spans="1:38" x14ac:dyDescent="0.2">
      <c r="A6" t="s">
        <v>665</v>
      </c>
      <c r="B6" t="s">
        <v>666</v>
      </c>
      <c r="C6" t="s">
        <v>62</v>
      </c>
      <c r="D6">
        <v>0.01</v>
      </c>
      <c r="E6">
        <v>0.23355294349427511</v>
      </c>
      <c r="F6">
        <v>0.45527318293887559</v>
      </c>
      <c r="G6">
        <v>2.256167405338672</v>
      </c>
      <c r="H6">
        <v>0.92611969834150987</v>
      </c>
      <c r="I6">
        <v>11.958400125805451</v>
      </c>
      <c r="J6">
        <v>22.710380921156471</v>
      </c>
      <c r="K6">
        <v>225</v>
      </c>
      <c r="L6">
        <v>224</v>
      </c>
      <c r="M6">
        <v>-4.4444444444444731E-3</v>
      </c>
      <c r="N6">
        <v>715554015.83000004</v>
      </c>
      <c r="O6">
        <v>894507282.72000003</v>
      </c>
      <c r="P6">
        <v>0.25009050739855732</v>
      </c>
      <c r="Q6">
        <v>8.3179842990096051E-2</v>
      </c>
      <c r="R6" t="s">
        <v>41</v>
      </c>
      <c r="S6">
        <v>0</v>
      </c>
      <c r="T6">
        <v>0</v>
      </c>
      <c r="U6">
        <v>0</v>
      </c>
      <c r="V6">
        <v>0</v>
      </c>
      <c r="W6">
        <v>6.7999999999999996E-3</v>
      </c>
      <c r="X6">
        <v>0</v>
      </c>
      <c r="Y6">
        <v>7.000000000000001E-4</v>
      </c>
      <c r="Z6">
        <v>0.13400000000000001</v>
      </c>
      <c r="AA6">
        <v>0</v>
      </c>
      <c r="AB6">
        <v>0</v>
      </c>
      <c r="AC6">
        <v>0</v>
      </c>
      <c r="AD6">
        <v>0.14149999999999999</v>
      </c>
      <c r="AE6">
        <v>85.246824375410426</v>
      </c>
      <c r="AF6">
        <v>23.73924453895566</v>
      </c>
      <c r="AG6">
        <v>25.734409467144221</v>
      </c>
      <c r="AH6">
        <v>24.145263563903651</v>
      </c>
      <c r="AI6">
        <v>22.383672030353789</v>
      </c>
      <c r="AJ6">
        <v>22.710380921156471</v>
      </c>
      <c r="AL6">
        <f>IF(ISNUMBER(INDEX($A$2:$AJ$28,5,MATCH(Döviz!$E$2,$A$1:$AJ$1,0))),INDEX($A$2:$AJ$28,5,MATCH(Döviz!$E$2,$A$1:$AJ$1,0)),-1000000000)-ROW()/10000000</f>
        <v>0.23355234349427512</v>
      </c>
    </row>
    <row r="7" spans="1:38" x14ac:dyDescent="0.2">
      <c r="A7" t="s">
        <v>667</v>
      </c>
      <c r="B7" t="s">
        <v>668</v>
      </c>
      <c r="C7" t="s">
        <v>147</v>
      </c>
      <c r="D7">
        <v>7.9000000000000008E-3</v>
      </c>
      <c r="E7">
        <v>0.2324453656786574</v>
      </c>
      <c r="F7">
        <v>0.43729363494540152</v>
      </c>
      <c r="G7">
        <v>2.190581935671077</v>
      </c>
      <c r="H7">
        <v>0.90720123558056809</v>
      </c>
      <c r="I7">
        <v>11.56180492152297</v>
      </c>
      <c r="J7">
        <v>21.985704106464741</v>
      </c>
      <c r="K7">
        <v>385</v>
      </c>
      <c r="L7">
        <v>397</v>
      </c>
      <c r="M7">
        <v>3.1168831168831179E-2</v>
      </c>
      <c r="N7">
        <v>5229114371.9499998</v>
      </c>
      <c r="O7">
        <v>5452671395.6400003</v>
      </c>
      <c r="P7">
        <v>4.2752368333958117E-2</v>
      </c>
      <c r="Q7">
        <v>8.2880085143247892E-2</v>
      </c>
      <c r="R7" t="s">
        <v>41</v>
      </c>
      <c r="S7">
        <v>0</v>
      </c>
      <c r="T7">
        <v>0</v>
      </c>
      <c r="U7">
        <v>0</v>
      </c>
      <c r="V7">
        <v>0</v>
      </c>
      <c r="W7">
        <v>2.5100000000000001E-2</v>
      </c>
      <c r="X7">
        <v>0</v>
      </c>
      <c r="Y7">
        <v>0</v>
      </c>
      <c r="Z7">
        <v>2.9100000000000001E-2</v>
      </c>
      <c r="AA7">
        <v>0</v>
      </c>
      <c r="AB7">
        <v>0</v>
      </c>
      <c r="AC7">
        <v>0</v>
      </c>
      <c r="AD7">
        <v>5.4199999999999998E-2</v>
      </c>
      <c r="AE7">
        <v>84.842558472709939</v>
      </c>
      <c r="AF7">
        <v>22.801739536438792</v>
      </c>
      <c r="AG7">
        <v>24.986325203748219</v>
      </c>
      <c r="AH7">
        <v>23.65203221335053</v>
      </c>
      <c r="AI7">
        <v>21.641327160799399</v>
      </c>
      <c r="AJ7">
        <v>21.985704106464741</v>
      </c>
      <c r="AL7">
        <f>IF(ISNUMBER(INDEX($A$2:$AJ$28,6,MATCH(Döviz!$E$2,$A$1:$AJ$1,0))),INDEX($A$2:$AJ$28,6,MATCH(Döviz!$E$2,$A$1:$AJ$1,0)),-1000000000)-ROW()/10000000</f>
        <v>0.2324446656786574</v>
      </c>
    </row>
    <row r="8" spans="1:38" x14ac:dyDescent="0.2">
      <c r="A8" t="s">
        <v>669</v>
      </c>
      <c r="B8" t="s">
        <v>670</v>
      </c>
      <c r="C8" t="s">
        <v>100</v>
      </c>
      <c r="D8">
        <v>0.01</v>
      </c>
      <c r="E8">
        <v>0.23198702322588799</v>
      </c>
      <c r="F8">
        <v>0.4479188489366015</v>
      </c>
      <c r="G8">
        <v>2.1579355520166881</v>
      </c>
      <c r="H8">
        <v>0.91344344226853558</v>
      </c>
      <c r="I8">
        <v>11.35530999826757</v>
      </c>
      <c r="J8">
        <v>21.299605628978259</v>
      </c>
      <c r="K8">
        <v>29804</v>
      </c>
      <c r="L8">
        <v>29602</v>
      </c>
      <c r="M8">
        <v>-6.777613743121691E-3</v>
      </c>
      <c r="N8">
        <v>135293520464.08</v>
      </c>
      <c r="O8">
        <v>133964899412.61</v>
      </c>
      <c r="P8">
        <v>-9.82028590070394E-3</v>
      </c>
      <c r="Q8">
        <v>8.0136726583195622E-2</v>
      </c>
      <c r="R8" t="s">
        <v>41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1.06E-2</v>
      </c>
      <c r="AA8">
        <v>0</v>
      </c>
      <c r="AB8">
        <v>0</v>
      </c>
      <c r="AC8">
        <v>0</v>
      </c>
      <c r="AD8">
        <v>1.06E-2</v>
      </c>
      <c r="AE8">
        <v>84.675263477449136</v>
      </c>
      <c r="AF8">
        <v>23.355768551694219</v>
      </c>
      <c r="AG8">
        <v>24.613952390190342</v>
      </c>
      <c r="AH8">
        <v>23.814775459143959</v>
      </c>
      <c r="AI8">
        <v>21.254811022398279</v>
      </c>
      <c r="AJ8">
        <v>21.299605628978259</v>
      </c>
      <c r="AL8">
        <f>IF(ISNUMBER(INDEX($A$2:$AJ$28,7,MATCH(Döviz!$E$2,$A$1:$AJ$1,0))),INDEX($A$2:$AJ$28,7,MATCH(Döviz!$E$2,$A$1:$AJ$1,0)),-1000000000)-ROW()/10000000</f>
        <v>0.23198622322588799</v>
      </c>
    </row>
    <row r="9" spans="1:38" x14ac:dyDescent="0.2">
      <c r="A9" t="s">
        <v>671</v>
      </c>
      <c r="B9" t="s">
        <v>672</v>
      </c>
      <c r="C9" t="s">
        <v>82</v>
      </c>
      <c r="D9">
        <v>0.01</v>
      </c>
      <c r="E9">
        <v>0.23193348520378351</v>
      </c>
      <c r="F9">
        <v>0.43776955185015343</v>
      </c>
      <c r="G9">
        <v>2.1303471630853328</v>
      </c>
      <c r="H9">
        <v>0.89259017466980506</v>
      </c>
      <c r="I9">
        <v>11.288418865358119</v>
      </c>
      <c r="J9">
        <v>21.037295773965511</v>
      </c>
      <c r="K9">
        <v>38461</v>
      </c>
      <c r="L9">
        <v>37968</v>
      </c>
      <c r="M9">
        <v>-1.2818179454512361E-2</v>
      </c>
      <c r="N9">
        <v>99795087160.460007</v>
      </c>
      <c r="O9">
        <v>98572289294.940002</v>
      </c>
      <c r="P9">
        <v>-1.2253086803299951E-2</v>
      </c>
      <c r="Q9">
        <v>8.0441179812812957E-2</v>
      </c>
      <c r="R9" t="s">
        <v>41</v>
      </c>
      <c r="S9">
        <v>0</v>
      </c>
      <c r="T9">
        <v>0</v>
      </c>
      <c r="U9">
        <v>2.0000000000000001E-4</v>
      </c>
      <c r="V9">
        <v>0</v>
      </c>
      <c r="W9">
        <v>5.91E-2</v>
      </c>
      <c r="X9">
        <v>0</v>
      </c>
      <c r="Y9">
        <v>0</v>
      </c>
      <c r="Z9">
        <v>9.1700000000000004E-2</v>
      </c>
      <c r="AA9">
        <v>0</v>
      </c>
      <c r="AB9">
        <v>0</v>
      </c>
      <c r="AC9">
        <v>0</v>
      </c>
      <c r="AD9">
        <v>0.151</v>
      </c>
      <c r="AE9">
        <v>84.655722099380995</v>
      </c>
      <c r="AF9">
        <v>22.82655520361514</v>
      </c>
      <c r="AG9">
        <v>24.299272328942081</v>
      </c>
      <c r="AH9">
        <v>23.271100982462769</v>
      </c>
      <c r="AI9">
        <v>21.129604542849808</v>
      </c>
      <c r="AJ9">
        <v>21.037295773965511</v>
      </c>
      <c r="AL9">
        <f>IF(ISNUMBER(INDEX($A$2:$AJ$28,8,MATCH(Döviz!$E$2,$A$1:$AJ$1,0))),INDEX($A$2:$AJ$28,8,MATCH(Döviz!$E$2,$A$1:$AJ$1,0)),-1000000000)-ROW()/10000000</f>
        <v>0.23193258520378351</v>
      </c>
    </row>
    <row r="10" spans="1:38" x14ac:dyDescent="0.2">
      <c r="A10" t="s">
        <v>673</v>
      </c>
      <c r="B10" t="s">
        <v>674</v>
      </c>
      <c r="C10" t="s">
        <v>71</v>
      </c>
      <c r="D10">
        <v>8.0000000000000002E-3</v>
      </c>
      <c r="E10">
        <v>0.23114946173237169</v>
      </c>
      <c r="F10">
        <v>0.44905605140002081</v>
      </c>
      <c r="G10">
        <v>2.1979933288396309</v>
      </c>
      <c r="H10">
        <v>0.91508764926258035</v>
      </c>
      <c r="I10">
        <v>11.56424136432504</v>
      </c>
      <c r="J10">
        <v>21.731366296707261</v>
      </c>
      <c r="K10">
        <v>26335</v>
      </c>
      <c r="L10">
        <v>25825</v>
      </c>
      <c r="M10">
        <v>-1.936586292006837E-2</v>
      </c>
      <c r="N10">
        <v>121644317434.89</v>
      </c>
      <c r="O10">
        <v>114445663132.83</v>
      </c>
      <c r="P10">
        <v>-5.9177892184836933E-2</v>
      </c>
      <c r="Q10">
        <v>8.1384715676913078E-2</v>
      </c>
      <c r="R10" t="s">
        <v>41</v>
      </c>
      <c r="S10">
        <v>0</v>
      </c>
      <c r="T10">
        <v>0</v>
      </c>
      <c r="U10">
        <v>0</v>
      </c>
      <c r="V10">
        <v>0</v>
      </c>
      <c r="W10">
        <v>4.0399999999999998E-2</v>
      </c>
      <c r="X10">
        <v>0</v>
      </c>
      <c r="Y10">
        <v>0</v>
      </c>
      <c r="Z10">
        <v>6.93E-2</v>
      </c>
      <c r="AA10">
        <v>0</v>
      </c>
      <c r="AB10">
        <v>0</v>
      </c>
      <c r="AC10">
        <v>1.2999999999999999E-3</v>
      </c>
      <c r="AD10">
        <v>0.111</v>
      </c>
      <c r="AE10">
        <v>84.369553532315678</v>
      </c>
      <c r="AF10">
        <v>23.4150655372868</v>
      </c>
      <c r="AG10">
        <v>25.07086140707705</v>
      </c>
      <c r="AH10">
        <v>23.85764228434584</v>
      </c>
      <c r="AI10">
        <v>21.64588768194173</v>
      </c>
      <c r="AJ10">
        <v>21.731366296707261</v>
      </c>
      <c r="AL10">
        <f>IF(ISNUMBER(INDEX($A$2:$AJ$28,9,MATCH(Döviz!$E$2,$A$1:$AJ$1,0))),INDEX($A$2:$AJ$28,9,MATCH(Döviz!$E$2,$A$1:$AJ$1,0)),-1000000000)-ROW()/10000000</f>
        <v>0.23114846173237169</v>
      </c>
    </row>
    <row r="11" spans="1:38" x14ac:dyDescent="0.2">
      <c r="A11" t="s">
        <v>675</v>
      </c>
      <c r="B11" t="s">
        <v>676</v>
      </c>
      <c r="C11" t="s">
        <v>228</v>
      </c>
      <c r="D11">
        <v>0.01</v>
      </c>
      <c r="E11">
        <v>0.231100802594808</v>
      </c>
      <c r="F11">
        <v>0.43484236742463711</v>
      </c>
      <c r="G11">
        <v>2.1310173809745652</v>
      </c>
      <c r="H11">
        <v>0.88204116707237823</v>
      </c>
      <c r="I11">
        <v>11.382902253307741</v>
      </c>
      <c r="J11">
        <v>21.28734909084897</v>
      </c>
      <c r="K11">
        <v>7264</v>
      </c>
      <c r="L11">
        <v>7136</v>
      </c>
      <c r="M11">
        <v>-1.7621145374449369E-2</v>
      </c>
      <c r="N11">
        <v>28396547055.810001</v>
      </c>
      <c r="O11">
        <v>27586322284.07</v>
      </c>
      <c r="P11">
        <v>-2.8532510313581508E-2</v>
      </c>
      <c r="Q11">
        <v>7.9623571191672599E-2</v>
      </c>
      <c r="R11" t="s">
        <v>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5.3699999999999998E-2</v>
      </c>
      <c r="AA11">
        <v>0</v>
      </c>
      <c r="AB11">
        <v>0</v>
      </c>
      <c r="AC11">
        <v>4.4000000000000003E-3</v>
      </c>
      <c r="AD11">
        <v>5.8099999999999999E-2</v>
      </c>
      <c r="AE11">
        <v>84.351792947104926</v>
      </c>
      <c r="AF11">
        <v>22.67392344428465</v>
      </c>
      <c r="AG11">
        <v>24.30691700174113</v>
      </c>
      <c r="AH11">
        <v>22.996073284386998</v>
      </c>
      <c r="AI11">
        <v>21.30645806388371</v>
      </c>
      <c r="AJ11">
        <v>21.28734909084897</v>
      </c>
      <c r="AL11">
        <f>IF(ISNUMBER(INDEX($A$2:$AJ$28,10,MATCH(Döviz!$E$2,$A$1:$AJ$1,0))),INDEX($A$2:$AJ$28,10,MATCH(Döviz!$E$2,$A$1:$AJ$1,0)),-1000000000)-ROW()/10000000</f>
        <v>0.231099702594808</v>
      </c>
    </row>
    <row r="12" spans="1:38" x14ac:dyDescent="0.2">
      <c r="A12" t="s">
        <v>677</v>
      </c>
      <c r="B12" t="s">
        <v>678</v>
      </c>
      <c r="C12" t="s">
        <v>82</v>
      </c>
      <c r="D12">
        <v>9.5999999999999992E-3</v>
      </c>
      <c r="E12">
        <v>0.23079518081139391</v>
      </c>
      <c r="F12">
        <v>0.44531703178087861</v>
      </c>
      <c r="G12">
        <v>2.1551884241161501</v>
      </c>
      <c r="H12">
        <v>0.90311549506778555</v>
      </c>
      <c r="I12">
        <v>11.445518532042209</v>
      </c>
      <c r="J12">
        <v>21.656152092255692</v>
      </c>
      <c r="K12">
        <v>27001</v>
      </c>
      <c r="L12">
        <v>27193</v>
      </c>
      <c r="M12">
        <v>7.1108477463797124E-3</v>
      </c>
      <c r="N12">
        <v>189182841823.32999</v>
      </c>
      <c r="O12">
        <v>188228862952.26999</v>
      </c>
      <c r="P12">
        <v>-5.0426289290593784E-3</v>
      </c>
      <c r="Q12">
        <v>8.0341947885349749E-2</v>
      </c>
      <c r="R12" t="s">
        <v>41</v>
      </c>
      <c r="S12">
        <v>0</v>
      </c>
      <c r="T12">
        <v>0</v>
      </c>
      <c r="U12">
        <v>2.9999999999999997E-4</v>
      </c>
      <c r="V12">
        <v>0</v>
      </c>
      <c r="W12">
        <v>9.2499999999999999E-2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9.2799999999999994E-2</v>
      </c>
      <c r="AE12">
        <v>84.240240996158789</v>
      </c>
      <c r="AF12">
        <v>23.22010237143153</v>
      </c>
      <c r="AG12">
        <v>24.58261796257484</v>
      </c>
      <c r="AH12">
        <v>23.545511121410119</v>
      </c>
      <c r="AI12">
        <v>21.423662893309778</v>
      </c>
      <c r="AJ12">
        <v>21.656152092255692</v>
      </c>
      <c r="AL12">
        <f>IF(ISNUMBER(INDEX($A$2:$AJ$28,11,MATCH(Döviz!$E$2,$A$1:$AJ$1,0))),INDEX($A$2:$AJ$28,11,MATCH(Döviz!$E$2,$A$1:$AJ$1,0)),-1000000000)-ROW()/10000000</f>
        <v>0.23079398081139391</v>
      </c>
    </row>
    <row r="13" spans="1:38" x14ac:dyDescent="0.2">
      <c r="A13" t="s">
        <v>679</v>
      </c>
      <c r="B13" t="s">
        <v>680</v>
      </c>
      <c r="C13" t="s">
        <v>453</v>
      </c>
      <c r="D13">
        <v>3.0000000000000001E-3</v>
      </c>
      <c r="E13">
        <v>0.23054604625789571</v>
      </c>
      <c r="F13">
        <v>0.44107478219361779</v>
      </c>
      <c r="G13">
        <v>2.1376998955902948</v>
      </c>
      <c r="H13">
        <v>0.89793014759758094</v>
      </c>
      <c r="I13">
        <v>11.45344135078037</v>
      </c>
      <c r="J13">
        <v>21.410099540569561</v>
      </c>
      <c r="K13">
        <v>1390</v>
      </c>
      <c r="L13">
        <v>1387</v>
      </c>
      <c r="M13">
        <v>-2.158273381294928E-3</v>
      </c>
      <c r="N13">
        <v>30309418338.48</v>
      </c>
      <c r="O13">
        <v>30281951503.130001</v>
      </c>
      <c r="P13">
        <v>-9.0621453184169809E-4</v>
      </c>
      <c r="Q13">
        <v>7.9823478882096247E-2</v>
      </c>
      <c r="R13" t="s">
        <v>38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2.3999999999999998E-3</v>
      </c>
      <c r="AA13">
        <v>0</v>
      </c>
      <c r="AB13">
        <v>0</v>
      </c>
      <c r="AC13">
        <v>0</v>
      </c>
      <c r="AD13">
        <v>2.3999999999999998E-3</v>
      </c>
      <c r="AE13">
        <v>84.149306884131917</v>
      </c>
      <c r="AF13">
        <v>22.998899357238649</v>
      </c>
      <c r="AG13">
        <v>24.383139434076799</v>
      </c>
      <c r="AH13">
        <v>23.41032170522265</v>
      </c>
      <c r="AI13">
        <v>21.438492784794029</v>
      </c>
      <c r="AJ13">
        <v>21.410099540569561</v>
      </c>
      <c r="AL13">
        <f>IF(ISNUMBER(INDEX($A$2:$AJ$28,12,MATCH(Döviz!$E$2,$A$1:$AJ$1,0))),INDEX($A$2:$AJ$28,12,MATCH(Döviz!$E$2,$A$1:$AJ$1,0)),-1000000000)-ROW()/10000000</f>
        <v>0.2305447462578957</v>
      </c>
    </row>
    <row r="14" spans="1:38" x14ac:dyDescent="0.2">
      <c r="A14" t="s">
        <v>681</v>
      </c>
      <c r="B14" t="s">
        <v>682</v>
      </c>
      <c r="C14" t="s">
        <v>228</v>
      </c>
      <c r="D14">
        <v>1.2999999999999999E-2</v>
      </c>
      <c r="E14">
        <v>0.23042330556033441</v>
      </c>
      <c r="F14">
        <v>0.44306006297083478</v>
      </c>
      <c r="G14">
        <v>2.147820375882858</v>
      </c>
      <c r="H14">
        <v>0.8996009349430123</v>
      </c>
      <c r="I14">
        <v>11.481586700812761</v>
      </c>
      <c r="J14">
        <v>21.572191197161558</v>
      </c>
      <c r="K14">
        <v>19722</v>
      </c>
      <c r="L14">
        <v>19604</v>
      </c>
      <c r="M14">
        <v>-5.9831660075042592E-3</v>
      </c>
      <c r="N14">
        <v>138050607816.51001</v>
      </c>
      <c r="O14">
        <v>136395921653.07001</v>
      </c>
      <c r="P14">
        <v>-1.198608386889055E-2</v>
      </c>
      <c r="Q14">
        <v>7.9594026157853812E-2</v>
      </c>
      <c r="R14" t="s">
        <v>41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5.8899999999999987E-2</v>
      </c>
      <c r="AD14">
        <v>5.8899999999999987E-2</v>
      </c>
      <c r="AE14">
        <v>84.104506529522055</v>
      </c>
      <c r="AF14">
        <v>23.102417569193531</v>
      </c>
      <c r="AG14">
        <v>24.498576162413851</v>
      </c>
      <c r="AH14">
        <v>23.453881518157111</v>
      </c>
      <c r="AI14">
        <v>21.491175106649528</v>
      </c>
      <c r="AJ14">
        <v>21.572191197161558</v>
      </c>
      <c r="AL14">
        <f>IF(ISNUMBER(INDEX($A$2:$AJ$28,13,MATCH(Döviz!$E$2,$A$1:$AJ$1,0))),INDEX($A$2:$AJ$28,13,MATCH(Döviz!$E$2,$A$1:$AJ$1,0)),-1000000000)-ROW()/10000000</f>
        <v>0.2304219055603344</v>
      </c>
    </row>
    <row r="15" spans="1:38" x14ac:dyDescent="0.2">
      <c r="A15" t="s">
        <v>683</v>
      </c>
      <c r="B15" t="s">
        <v>684</v>
      </c>
      <c r="C15" t="s">
        <v>138</v>
      </c>
      <c r="D15">
        <v>8.0000000000000002E-3</v>
      </c>
      <c r="E15">
        <v>0.2301580619524124</v>
      </c>
      <c r="F15">
        <v>0.44225182806971741</v>
      </c>
      <c r="G15">
        <v>2.1601844380136241</v>
      </c>
      <c r="H15">
        <v>0.89547193175403272</v>
      </c>
      <c r="I15">
        <v>11.467279879786799</v>
      </c>
      <c r="J15">
        <v>21.59704827309319</v>
      </c>
      <c r="K15">
        <v>23308</v>
      </c>
      <c r="L15">
        <v>23304</v>
      </c>
      <c r="M15">
        <v>-1.7161489617301129E-4</v>
      </c>
      <c r="N15">
        <v>155240744694.85999</v>
      </c>
      <c r="O15">
        <v>162868844439.32999</v>
      </c>
      <c r="P15">
        <v>4.9137227210960248E-2</v>
      </c>
      <c r="Q15">
        <v>8.1151462974441049E-2</v>
      </c>
      <c r="R15" t="s">
        <v>41</v>
      </c>
      <c r="S15">
        <v>0</v>
      </c>
      <c r="T15">
        <v>0</v>
      </c>
      <c r="U15">
        <v>0</v>
      </c>
      <c r="V15">
        <v>0</v>
      </c>
      <c r="W15">
        <v>0.34039999999999998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0.34039999999999998</v>
      </c>
      <c r="AE15">
        <v>84.007692612630521</v>
      </c>
      <c r="AF15">
        <v>23.060273892206691</v>
      </c>
      <c r="AG15">
        <v>24.639603746092899</v>
      </c>
      <c r="AH15">
        <v>23.34623250644443</v>
      </c>
      <c r="AI15">
        <v>21.464395672421439</v>
      </c>
      <c r="AJ15">
        <v>21.59704827309319</v>
      </c>
      <c r="AL15">
        <f>IF(ISNUMBER(INDEX($A$2:$AJ$28,14,MATCH(Döviz!$E$2,$A$1:$AJ$1,0))),INDEX($A$2:$AJ$28,14,MATCH(Döviz!$E$2,$A$1:$AJ$1,0)),-1000000000)-ROW()/10000000</f>
        <v>0.23015656195241241</v>
      </c>
    </row>
    <row r="16" spans="1:38" x14ac:dyDescent="0.2">
      <c r="A16" t="s">
        <v>685</v>
      </c>
      <c r="B16" t="s">
        <v>686</v>
      </c>
      <c r="C16" t="s">
        <v>90</v>
      </c>
      <c r="D16">
        <v>7.4999999999999997E-3</v>
      </c>
      <c r="E16">
        <v>0.22961239688872309</v>
      </c>
      <c r="F16">
        <v>0.43852030469975212</v>
      </c>
      <c r="G16">
        <v>2.117533124918336</v>
      </c>
      <c r="H16">
        <v>0.88208728937377856</v>
      </c>
      <c r="I16">
        <v>10.947332535674621</v>
      </c>
      <c r="J16">
        <v>20.880174223140919</v>
      </c>
      <c r="K16">
        <v>8443</v>
      </c>
      <c r="L16">
        <v>8279</v>
      </c>
      <c r="M16">
        <v>-1.9424375222077409E-2</v>
      </c>
      <c r="N16">
        <v>26644242987.099998</v>
      </c>
      <c r="O16">
        <v>26345227662.860001</v>
      </c>
      <c r="P16">
        <v>-1.122251153409648E-2</v>
      </c>
      <c r="Q16">
        <v>8.1958514389477127E-2</v>
      </c>
      <c r="R16" t="s">
        <v>38</v>
      </c>
      <c r="S16">
        <v>0</v>
      </c>
      <c r="T16">
        <v>0</v>
      </c>
      <c r="U16">
        <v>0</v>
      </c>
      <c r="V16">
        <v>0</v>
      </c>
      <c r="W16">
        <v>0.2349</v>
      </c>
      <c r="X16">
        <v>0</v>
      </c>
      <c r="Y16">
        <v>1E-4</v>
      </c>
      <c r="Z16">
        <v>2.1700000000000001E-2</v>
      </c>
      <c r="AA16">
        <v>0</v>
      </c>
      <c r="AB16">
        <v>0</v>
      </c>
      <c r="AC16">
        <v>8.0000000000000002E-3</v>
      </c>
      <c r="AD16">
        <v>0.26469999999999999</v>
      </c>
      <c r="AE16">
        <v>83.808524864383955</v>
      </c>
      <c r="AF16">
        <v>22.865701602201359</v>
      </c>
      <c r="AG16">
        <v>24.15311220609977</v>
      </c>
      <c r="AH16">
        <v>22.99727575867351</v>
      </c>
      <c r="AI16">
        <v>20.491160900108891</v>
      </c>
      <c r="AJ16">
        <v>20.880174223140919</v>
      </c>
      <c r="AL16">
        <f>IF(ISNUMBER(INDEX($A$2:$AJ$28,15,MATCH(Döviz!$E$2,$A$1:$AJ$1,0))),INDEX($A$2:$AJ$28,15,MATCH(Döviz!$E$2,$A$1:$AJ$1,0)),-1000000000)-ROW()/10000000</f>
        <v>0.2296107968887231</v>
      </c>
    </row>
    <row r="17" spans="1:38" x14ac:dyDescent="0.2">
      <c r="A17" t="s">
        <v>687</v>
      </c>
      <c r="B17" t="s">
        <v>688</v>
      </c>
      <c r="C17" t="s">
        <v>124</v>
      </c>
      <c r="D17">
        <v>1.0999999999999999E-2</v>
      </c>
      <c r="E17">
        <v>0.22950685161304829</v>
      </c>
      <c r="F17">
        <v>0.43221743074919328</v>
      </c>
      <c r="G17">
        <v>2.1372016204864508</v>
      </c>
      <c r="H17">
        <v>0.89087368147300339</v>
      </c>
      <c r="I17">
        <v>11.428948904733691</v>
      </c>
      <c r="J17">
        <v>21.740234489418089</v>
      </c>
      <c r="K17">
        <v>11098</v>
      </c>
      <c r="L17">
        <v>10881</v>
      </c>
      <c r="M17">
        <v>-1.9553072625698279E-2</v>
      </c>
      <c r="N17">
        <v>47110847343.68</v>
      </c>
      <c r="O17">
        <v>47155986585.690002</v>
      </c>
      <c r="P17">
        <v>9.5814965247176254E-4</v>
      </c>
      <c r="Q17">
        <v>8.1540120885636544E-2</v>
      </c>
      <c r="R17" t="s">
        <v>38</v>
      </c>
      <c r="S17">
        <v>0</v>
      </c>
      <c r="T17">
        <v>0</v>
      </c>
      <c r="U17">
        <v>0</v>
      </c>
      <c r="V17">
        <v>0</v>
      </c>
      <c r="W17">
        <v>0.254</v>
      </c>
      <c r="X17">
        <v>0</v>
      </c>
      <c r="Y17">
        <v>0</v>
      </c>
      <c r="Z17">
        <v>2.0500000000000001E-2</v>
      </c>
      <c r="AA17">
        <v>0</v>
      </c>
      <c r="AB17">
        <v>0</v>
      </c>
      <c r="AC17">
        <v>0</v>
      </c>
      <c r="AD17">
        <v>0.27450000000000002</v>
      </c>
      <c r="AE17">
        <v>83.770000838762627</v>
      </c>
      <c r="AF17">
        <v>22.53705174620794</v>
      </c>
      <c r="AG17">
        <v>24.377455983673581</v>
      </c>
      <c r="AH17">
        <v>23.226349552689019</v>
      </c>
      <c r="AI17">
        <v>21.39264794988615</v>
      </c>
      <c r="AJ17">
        <v>21.740234489418089</v>
      </c>
      <c r="AL17">
        <f>IF(ISNUMBER(INDEX($A$2:$AJ$28,16,MATCH(Döviz!$E$2,$A$1:$AJ$1,0))),INDEX($A$2:$AJ$28,16,MATCH(Döviz!$E$2,$A$1:$AJ$1,0)),-1000000000)-ROW()/10000000</f>
        <v>0.2295051516130483</v>
      </c>
    </row>
    <row r="18" spans="1:38" x14ac:dyDescent="0.2">
      <c r="A18" t="s">
        <v>689</v>
      </c>
      <c r="B18" t="s">
        <v>690</v>
      </c>
      <c r="D18" t="s">
        <v>165</v>
      </c>
      <c r="E18">
        <v>0.2275012397495724</v>
      </c>
      <c r="F18">
        <v>0.41663904460207402</v>
      </c>
      <c r="G18">
        <v>1.9800847921487059</v>
      </c>
      <c r="H18">
        <v>0.84291680756076737</v>
      </c>
      <c r="I18">
        <v>10.526514863303509</v>
      </c>
      <c r="J18">
        <v>19.565486656752391</v>
      </c>
      <c r="K18">
        <v>2413</v>
      </c>
      <c r="L18">
        <v>2384</v>
      </c>
      <c r="M18">
        <v>-1.201823456278495E-2</v>
      </c>
      <c r="N18">
        <v>14398542405.65</v>
      </c>
      <c r="O18">
        <v>13715984087.690001</v>
      </c>
      <c r="P18">
        <v>-4.7404681580280113E-2</v>
      </c>
      <c r="Q18">
        <v>7.9946704333702628E-2</v>
      </c>
      <c r="R18" t="s">
        <v>165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7.2800000000000004E-2</v>
      </c>
      <c r="AA18">
        <v>0</v>
      </c>
      <c r="AB18">
        <v>0</v>
      </c>
      <c r="AC18">
        <v>0</v>
      </c>
      <c r="AD18">
        <v>7.2800000000000004E-2</v>
      </c>
      <c r="AE18">
        <v>83.037952508593918</v>
      </c>
      <c r="AF18">
        <v>21.724750182822429</v>
      </c>
      <c r="AG18">
        <v>22.585342160446181</v>
      </c>
      <c r="AH18">
        <v>21.976045339977151</v>
      </c>
      <c r="AI18">
        <v>19.703476539004011</v>
      </c>
      <c r="AJ18">
        <v>19.565486656752391</v>
      </c>
      <c r="AL18">
        <f>IF(ISNUMBER(INDEX($A$2:$AJ$28,17,MATCH(Döviz!$E$2,$A$1:$AJ$1,0))),INDEX($A$2:$AJ$28,17,MATCH(Döviz!$E$2,$A$1:$AJ$1,0)),-1000000000)-ROW()/10000000</f>
        <v>0.2274994397495724</v>
      </c>
    </row>
    <row r="19" spans="1:38" x14ac:dyDescent="0.2">
      <c r="A19" t="s">
        <v>691</v>
      </c>
      <c r="B19" t="s">
        <v>692</v>
      </c>
      <c r="C19" t="s">
        <v>103</v>
      </c>
      <c r="D19">
        <v>7.4999999999999997E-3</v>
      </c>
      <c r="E19">
        <v>0.2272734492189343</v>
      </c>
      <c r="F19">
        <v>0.53805843078975624</v>
      </c>
      <c r="G19">
        <v>2.3189667262850659</v>
      </c>
      <c r="H19">
        <v>1.0108117347557231</v>
      </c>
      <c r="I19">
        <v>11.533123379310741</v>
      </c>
      <c r="J19">
        <v>19.861572190373259</v>
      </c>
      <c r="K19">
        <v>152</v>
      </c>
      <c r="L19">
        <v>155</v>
      </c>
      <c r="M19">
        <v>1.9736842105263049E-2</v>
      </c>
      <c r="N19">
        <v>316413657.24000001</v>
      </c>
      <c r="O19">
        <v>333192558.87</v>
      </c>
      <c r="P19">
        <v>5.302837360548307E-2</v>
      </c>
      <c r="Q19">
        <v>7.5125629113040493E-2</v>
      </c>
      <c r="R19" t="s">
        <v>41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0.83140000000000003</v>
      </c>
      <c r="AA19">
        <v>0</v>
      </c>
      <c r="AB19">
        <v>0</v>
      </c>
      <c r="AC19">
        <v>6.1999999999999998E-3</v>
      </c>
      <c r="AD19">
        <v>0.83760000000000001</v>
      </c>
      <c r="AE19">
        <v>82.954808964911024</v>
      </c>
      <c r="AF19">
        <v>28.055903891180151</v>
      </c>
      <c r="AG19">
        <v>26.450714221689029</v>
      </c>
      <c r="AH19">
        <v>26.35330594184564</v>
      </c>
      <c r="AI19">
        <v>21.587641197171379</v>
      </c>
      <c r="AJ19">
        <v>19.861572190373259</v>
      </c>
      <c r="AL19">
        <f>IF(ISNUMBER(INDEX($A$2:$AJ$28,18,MATCH(Döviz!$E$2,$A$1:$AJ$1,0))),INDEX($A$2:$AJ$28,18,MATCH(Döviz!$E$2,$A$1:$AJ$1,0)),-1000000000)-ROW()/10000000</f>
        <v>0.2272715492189343</v>
      </c>
    </row>
    <row r="20" spans="1:38" x14ac:dyDescent="0.2">
      <c r="A20" t="s">
        <v>693</v>
      </c>
      <c r="B20" t="s">
        <v>694</v>
      </c>
      <c r="C20" t="s">
        <v>453</v>
      </c>
      <c r="D20">
        <v>3.0000000000000001E-3</v>
      </c>
      <c r="E20">
        <v>0.22663250279821859</v>
      </c>
      <c r="F20">
        <v>0.41365638410506561</v>
      </c>
      <c r="G20">
        <v>2.01013570359927</v>
      </c>
      <c r="H20">
        <v>0.8424926657282672</v>
      </c>
      <c r="I20">
        <v>10.557507580098081</v>
      </c>
      <c r="J20">
        <v>19.48028702806619</v>
      </c>
      <c r="K20">
        <v>7200</v>
      </c>
      <c r="L20">
        <v>7144</v>
      </c>
      <c r="M20">
        <v>-7.7777777777777724E-3</v>
      </c>
      <c r="N20">
        <v>25637209668.580002</v>
      </c>
      <c r="O20">
        <v>25551704722.540001</v>
      </c>
      <c r="P20">
        <v>-3.3351892481806589E-3</v>
      </c>
      <c r="Q20">
        <v>8.0270953282616297E-2</v>
      </c>
      <c r="R20" t="s">
        <v>41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1.1999999999999999E-3</v>
      </c>
      <c r="AA20">
        <v>0</v>
      </c>
      <c r="AB20">
        <v>0</v>
      </c>
      <c r="AC20">
        <v>0</v>
      </c>
      <c r="AD20">
        <v>1.1999999999999999E-3</v>
      </c>
      <c r="AE20">
        <v>82.72086352134977</v>
      </c>
      <c r="AF20">
        <v>21.569225742621281</v>
      </c>
      <c r="AG20">
        <v>22.928110369179169</v>
      </c>
      <c r="AH20">
        <v>21.964987356486969</v>
      </c>
      <c r="AI20">
        <v>19.761488547363069</v>
      </c>
      <c r="AJ20">
        <v>19.48028702806619</v>
      </c>
      <c r="AL20">
        <f>IF(ISNUMBER(INDEX($A$2:$AJ$28,19,MATCH(Döviz!$E$2,$A$1:$AJ$1,0))),INDEX($A$2:$AJ$28,19,MATCH(Döviz!$E$2,$A$1:$AJ$1,0)),-1000000000)-ROW()/10000000</f>
        <v>0.22663050279821859</v>
      </c>
    </row>
    <row r="21" spans="1:38" x14ac:dyDescent="0.2">
      <c r="A21" t="s">
        <v>695</v>
      </c>
      <c r="B21" t="s">
        <v>696</v>
      </c>
      <c r="C21" t="s">
        <v>235</v>
      </c>
      <c r="D21">
        <v>0.01</v>
      </c>
      <c r="E21">
        <v>0.22629587805595991</v>
      </c>
      <c r="F21">
        <v>0.43112063846919568</v>
      </c>
      <c r="G21">
        <v>2.0389952339067152</v>
      </c>
      <c r="H21">
        <v>0.81597636255579253</v>
      </c>
      <c r="I21">
        <v>11.669041790882259</v>
      </c>
      <c r="J21">
        <v>21.985444946239109</v>
      </c>
      <c r="K21">
        <v>784</v>
      </c>
      <c r="L21">
        <v>680</v>
      </c>
      <c r="M21">
        <v>-0.1326530612244898</v>
      </c>
      <c r="N21">
        <v>2615761682.2600002</v>
      </c>
      <c r="O21">
        <v>2010331359.8499999</v>
      </c>
      <c r="P21">
        <v>-0.231454695019048</v>
      </c>
      <c r="Q21">
        <v>8.0547676229388632E-2</v>
      </c>
      <c r="R21" t="s">
        <v>38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6.9999999999999993E-3</v>
      </c>
      <c r="AA21">
        <v>0</v>
      </c>
      <c r="AB21">
        <v>0</v>
      </c>
      <c r="AC21">
        <v>0</v>
      </c>
      <c r="AD21">
        <v>6.9999999999999993E-3</v>
      </c>
      <c r="AE21">
        <v>82.597995490425347</v>
      </c>
      <c r="AF21">
        <v>22.479861863036628</v>
      </c>
      <c r="AG21">
        <v>23.257289386748472</v>
      </c>
      <c r="AH21">
        <v>21.273669452347441</v>
      </c>
      <c r="AI21">
        <v>21.842052582933469</v>
      </c>
      <c r="AJ21">
        <v>21.985444946239109</v>
      </c>
      <c r="AL21">
        <f>IF(ISNUMBER(INDEX($A$2:$AJ$28,20,MATCH(Döviz!$E$2,$A$1:$AJ$1,0))),INDEX($A$2:$AJ$28,20,MATCH(Döviz!$E$2,$A$1:$AJ$1,0)),-1000000000)-ROW()/10000000</f>
        <v>0.2262937780559599</v>
      </c>
    </row>
    <row r="22" spans="1:38" x14ac:dyDescent="0.2">
      <c r="A22" t="s">
        <v>697</v>
      </c>
      <c r="B22" t="s">
        <v>698</v>
      </c>
      <c r="C22" t="s">
        <v>87</v>
      </c>
      <c r="D22">
        <v>0.01</v>
      </c>
      <c r="E22">
        <v>0.22568038005115201</v>
      </c>
      <c r="F22">
        <v>0.43429697787624733</v>
      </c>
      <c r="G22">
        <v>2.079373318595557</v>
      </c>
      <c r="H22">
        <v>0.87766874245660542</v>
      </c>
      <c r="I22">
        <v>10.91492641935332</v>
      </c>
      <c r="J22">
        <v>20.411572449863051</v>
      </c>
      <c r="K22">
        <v>11101</v>
      </c>
      <c r="L22">
        <v>10902</v>
      </c>
      <c r="M22">
        <v>-1.7926312944779751E-2</v>
      </c>
      <c r="N22">
        <v>40980964113.559998</v>
      </c>
      <c r="O22">
        <v>40128074707.910004</v>
      </c>
      <c r="P22">
        <v>-2.0811843354553661E-2</v>
      </c>
      <c r="Q22">
        <v>8.1780322263212302E-2</v>
      </c>
      <c r="R22" t="s">
        <v>38</v>
      </c>
      <c r="S22">
        <v>0</v>
      </c>
      <c r="T22">
        <v>0</v>
      </c>
      <c r="U22">
        <v>3.9199999999999999E-2</v>
      </c>
      <c r="V22">
        <v>0</v>
      </c>
      <c r="W22">
        <v>0.2858</v>
      </c>
      <c r="X22">
        <v>0</v>
      </c>
      <c r="Y22">
        <v>0</v>
      </c>
      <c r="Z22">
        <v>0.32769999999999999</v>
      </c>
      <c r="AA22">
        <v>0</v>
      </c>
      <c r="AB22">
        <v>0</v>
      </c>
      <c r="AC22">
        <v>7.9000000000000008E-3</v>
      </c>
      <c r="AD22">
        <v>0.66060000000000008</v>
      </c>
      <c r="AE22">
        <v>82.373338718670482</v>
      </c>
      <c r="AF22">
        <v>22.645485274975751</v>
      </c>
      <c r="AG22">
        <v>23.717851915230568</v>
      </c>
      <c r="AH22">
        <v>22.882077928332929</v>
      </c>
      <c r="AI22">
        <v>20.430503297763909</v>
      </c>
      <c r="AJ22">
        <v>20.411572449863051</v>
      </c>
      <c r="AL22">
        <f>IF(ISNUMBER(INDEX($A$2:$AJ$28,21,MATCH(Döviz!$E$2,$A$1:$AJ$1,0))),INDEX($A$2:$AJ$28,21,MATCH(Döviz!$E$2,$A$1:$AJ$1,0)),-1000000000)-ROW()/10000000</f>
        <v>0.22567818005115201</v>
      </c>
    </row>
    <row r="23" spans="1:38" x14ac:dyDescent="0.2">
      <c r="A23" t="s">
        <v>699</v>
      </c>
      <c r="B23" t="s">
        <v>700</v>
      </c>
      <c r="C23" t="s">
        <v>68</v>
      </c>
      <c r="D23">
        <v>0.01</v>
      </c>
      <c r="E23">
        <v>0.22534870493329251</v>
      </c>
      <c r="F23">
        <v>0.40885905582814802</v>
      </c>
      <c r="G23">
        <v>1.993807462358044</v>
      </c>
      <c r="H23">
        <v>0.83468757091962331</v>
      </c>
      <c r="I23">
        <v>10.49465640209959</v>
      </c>
      <c r="J23">
        <v>19.537539725159899</v>
      </c>
      <c r="K23">
        <v>271</v>
      </c>
      <c r="L23">
        <v>271</v>
      </c>
      <c r="M23">
        <v>0</v>
      </c>
      <c r="N23">
        <v>1031419315</v>
      </c>
      <c r="O23">
        <v>1049899300.4</v>
      </c>
      <c r="P23">
        <v>1.791704414610451E-2</v>
      </c>
      <c r="Q23">
        <v>8.029519201404578E-2</v>
      </c>
      <c r="R23" t="s">
        <v>38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82.25227730065177</v>
      </c>
      <c r="AF23">
        <v>21.319079339610571</v>
      </c>
      <c r="AG23">
        <v>22.741866367521439</v>
      </c>
      <c r="AH23">
        <v>21.76149738469018</v>
      </c>
      <c r="AI23">
        <v>19.643844034699232</v>
      </c>
      <c r="AJ23">
        <v>19.537539725159899</v>
      </c>
      <c r="AL23">
        <f>IF(ISNUMBER(INDEX($A$2:$AJ$28,22,MATCH(Döviz!$E$2,$A$1:$AJ$1,0))),INDEX($A$2:$AJ$28,22,MATCH(Döviz!$E$2,$A$1:$AJ$1,0)),-1000000000)-ROW()/10000000</f>
        <v>0.2253464049332925</v>
      </c>
    </row>
    <row r="24" spans="1:38" x14ac:dyDescent="0.2">
      <c r="A24" t="s">
        <v>701</v>
      </c>
      <c r="B24" t="s">
        <v>702</v>
      </c>
      <c r="C24" t="s">
        <v>100</v>
      </c>
      <c r="D24">
        <v>1.2E-2</v>
      </c>
      <c r="E24">
        <v>0.22447916855350411</v>
      </c>
      <c r="F24">
        <v>0.46356088789687439</v>
      </c>
      <c r="G24">
        <v>2.2512918478850619</v>
      </c>
      <c r="H24">
        <v>0.94424943655855298</v>
      </c>
      <c r="I24">
        <v>12.04321598393183</v>
      </c>
      <c r="J24">
        <v>22.49754894598972</v>
      </c>
      <c r="K24">
        <v>3085</v>
      </c>
      <c r="L24">
        <v>2972</v>
      </c>
      <c r="M24">
        <v>-3.6628849270664447E-2</v>
      </c>
      <c r="N24">
        <v>12377682931.76</v>
      </c>
      <c r="O24">
        <v>11697500350.25</v>
      </c>
      <c r="P24">
        <v>-5.4952335203603757E-2</v>
      </c>
      <c r="Q24">
        <v>7.5435521270618519E-2</v>
      </c>
      <c r="R24" t="s">
        <v>38</v>
      </c>
      <c r="S24">
        <v>0</v>
      </c>
      <c r="T24">
        <v>0</v>
      </c>
      <c r="U24">
        <v>0</v>
      </c>
      <c r="V24">
        <v>0</v>
      </c>
      <c r="W24">
        <v>6.4699999999999994E-2</v>
      </c>
      <c r="X24">
        <v>0</v>
      </c>
      <c r="Y24">
        <v>0</v>
      </c>
      <c r="Z24">
        <v>8.1000000000000013E-3</v>
      </c>
      <c r="AA24">
        <v>0</v>
      </c>
      <c r="AB24">
        <v>0</v>
      </c>
      <c r="AC24">
        <v>0</v>
      </c>
      <c r="AD24">
        <v>7.279999999999999E-2</v>
      </c>
      <c r="AE24">
        <v>81.934896522029007</v>
      </c>
      <c r="AF24">
        <v>24.171389154622741</v>
      </c>
      <c r="AG24">
        <v>25.678797639938988</v>
      </c>
      <c r="AH24">
        <v>24.617931738847989</v>
      </c>
      <c r="AI24">
        <v>22.542429918641631</v>
      </c>
      <c r="AJ24">
        <v>22.49754894598972</v>
      </c>
      <c r="AL24">
        <f>IF(ISNUMBER(INDEX($A$2:$AJ$28,23,MATCH(Döviz!$E$2,$A$1:$AJ$1,0))),INDEX($A$2:$AJ$28,23,MATCH(Döviz!$E$2,$A$1:$AJ$1,0)),-1000000000)-ROW()/10000000</f>
        <v>0.2244767685535041</v>
      </c>
    </row>
    <row r="25" spans="1:38" x14ac:dyDescent="0.2">
      <c r="A25" t="s">
        <v>703</v>
      </c>
      <c r="B25" t="s">
        <v>704</v>
      </c>
      <c r="C25" t="s">
        <v>100</v>
      </c>
      <c r="D25">
        <v>1.4999999999999999E-2</v>
      </c>
      <c r="E25">
        <v>0.2049311866483938</v>
      </c>
      <c r="F25">
        <v>0.40798178308700811</v>
      </c>
      <c r="G25">
        <v>2.9824964384719488</v>
      </c>
      <c r="H25">
        <v>0.95918517649644652</v>
      </c>
      <c r="I25">
        <v>11.556934871206421</v>
      </c>
      <c r="J25">
        <v>27.2699111537062</v>
      </c>
      <c r="K25">
        <v>1586</v>
      </c>
      <c r="L25">
        <v>1584</v>
      </c>
      <c r="M25">
        <v>-1.2610340479193289E-3</v>
      </c>
      <c r="N25">
        <v>12986145997.809999</v>
      </c>
      <c r="O25">
        <v>13302914742.76</v>
      </c>
      <c r="P25">
        <v>2.4392821781259899E-2</v>
      </c>
      <c r="Q25">
        <v>0.1198603765022969</v>
      </c>
      <c r="R25" t="s">
        <v>41</v>
      </c>
      <c r="S25">
        <v>0</v>
      </c>
      <c r="T25">
        <v>0</v>
      </c>
      <c r="U25">
        <v>0</v>
      </c>
      <c r="V25">
        <v>1.61E-2</v>
      </c>
      <c r="W25">
        <v>3.5000000000000003E-2</v>
      </c>
      <c r="X25">
        <v>0</v>
      </c>
      <c r="Y25">
        <v>0</v>
      </c>
      <c r="Z25">
        <v>4.5000000000000014E-3</v>
      </c>
      <c r="AA25">
        <v>0</v>
      </c>
      <c r="AB25">
        <v>0</v>
      </c>
      <c r="AC25">
        <v>0</v>
      </c>
      <c r="AD25">
        <v>5.5599999999999997E-2</v>
      </c>
      <c r="AE25">
        <v>74.799883126663744</v>
      </c>
      <c r="AF25">
        <v>21.27333583239399</v>
      </c>
      <c r="AG25">
        <v>34.019100001320673</v>
      </c>
      <c r="AH25">
        <v>25.00732781580021</v>
      </c>
      <c r="AI25">
        <v>21.6322114255915</v>
      </c>
      <c r="AJ25">
        <v>27.2699111537062</v>
      </c>
      <c r="AL25">
        <f>IF(ISNUMBER(INDEX($A$2:$AJ$28,24,MATCH(Döviz!$E$2,$A$1:$AJ$1,0))),INDEX($A$2:$AJ$28,24,MATCH(Döviz!$E$2,$A$1:$AJ$1,0)),-1000000000)-ROW()/10000000</f>
        <v>0.20492868664839381</v>
      </c>
    </row>
    <row r="26" spans="1:38" x14ac:dyDescent="0.2">
      <c r="A26" t="s">
        <v>705</v>
      </c>
      <c r="B26" t="s">
        <v>706</v>
      </c>
      <c r="C26" t="s">
        <v>50</v>
      </c>
      <c r="D26">
        <v>0.01</v>
      </c>
      <c r="E26">
        <v>0.2019623622632194</v>
      </c>
      <c r="F26">
        <v>0.51679898572161154</v>
      </c>
      <c r="G26">
        <v>2.2890103804163342</v>
      </c>
      <c r="H26">
        <v>0.73548224262875994</v>
      </c>
      <c r="I26">
        <v>12.441062936631139</v>
      </c>
      <c r="J26" t="s">
        <v>165</v>
      </c>
      <c r="K26">
        <v>91</v>
      </c>
      <c r="L26">
        <v>98</v>
      </c>
      <c r="M26">
        <v>7.6923076923076872E-2</v>
      </c>
      <c r="N26">
        <v>233991975.91999999</v>
      </c>
      <c r="O26">
        <v>313902618.11000001</v>
      </c>
      <c r="P26">
        <v>0.34151018160264113</v>
      </c>
      <c r="Q26">
        <v>0.13537827532073771</v>
      </c>
      <c r="R26" t="s">
        <v>41</v>
      </c>
      <c r="S26">
        <v>0</v>
      </c>
      <c r="T26">
        <v>0</v>
      </c>
      <c r="U26">
        <v>0</v>
      </c>
      <c r="V26">
        <v>0.2319</v>
      </c>
      <c r="W26">
        <v>0.3664</v>
      </c>
      <c r="X26">
        <v>0.11799999999999999</v>
      </c>
      <c r="Y26">
        <v>-0.59560000000000002</v>
      </c>
      <c r="Z26">
        <v>0</v>
      </c>
      <c r="AA26">
        <v>0</v>
      </c>
      <c r="AB26">
        <v>0.69200000000000006</v>
      </c>
      <c r="AC26">
        <v>1E-4</v>
      </c>
      <c r="AD26">
        <v>0.81280000000000008</v>
      </c>
      <c r="AE26">
        <v>73.716262226075074</v>
      </c>
      <c r="AF26">
        <v>26.947375684055459</v>
      </c>
      <c r="AG26">
        <v>26.109024651623809</v>
      </c>
      <c r="AH26">
        <v>19.175072754249811</v>
      </c>
      <c r="AI26">
        <v>23.287117804463421</v>
      </c>
      <c r="AJ26" t="s">
        <v>165</v>
      </c>
      <c r="AL26">
        <f>IF(ISNUMBER(INDEX($A$2:$AJ$28,25,MATCH(Döviz!$E$2,$A$1:$AJ$1,0))),INDEX($A$2:$AJ$28,25,MATCH(Döviz!$E$2,$A$1:$AJ$1,0)),-1000000000)-ROW()/10000000</f>
        <v>0.20195976226321941</v>
      </c>
    </row>
    <row r="27" spans="1:38" x14ac:dyDescent="0.2">
      <c r="A27" t="s">
        <v>707</v>
      </c>
      <c r="B27" t="s">
        <v>708</v>
      </c>
      <c r="C27" t="s">
        <v>357</v>
      </c>
      <c r="D27">
        <v>0</v>
      </c>
      <c r="E27">
        <v>0.155886390921256</v>
      </c>
      <c r="F27">
        <v>0.27075303314736399</v>
      </c>
      <c r="G27">
        <v>2.1637895287733411</v>
      </c>
      <c r="H27">
        <v>1.1074640956235231</v>
      </c>
      <c r="I27">
        <v>13.415096181112981</v>
      </c>
      <c r="J27">
        <v>23.50399097532441</v>
      </c>
      <c r="K27">
        <v>281</v>
      </c>
      <c r="L27">
        <v>261</v>
      </c>
      <c r="M27">
        <v>-7.1174377224199281E-2</v>
      </c>
      <c r="N27">
        <v>302185523.32999998</v>
      </c>
      <c r="O27">
        <v>299725079.97000003</v>
      </c>
      <c r="P27">
        <v>-8.142161586321417E-3</v>
      </c>
      <c r="Q27">
        <v>0.2349080374490369</v>
      </c>
      <c r="R27" t="s">
        <v>41</v>
      </c>
      <c r="S27">
        <v>1.67E-2</v>
      </c>
      <c r="T27">
        <v>1.43E-2</v>
      </c>
      <c r="U27">
        <v>0</v>
      </c>
      <c r="V27">
        <v>0</v>
      </c>
      <c r="W27">
        <v>0</v>
      </c>
      <c r="X27">
        <v>0</v>
      </c>
      <c r="Y27">
        <v>0</v>
      </c>
      <c r="Z27">
        <v>2.9899999999999999E-2</v>
      </c>
      <c r="AA27">
        <v>0</v>
      </c>
      <c r="AB27">
        <v>0</v>
      </c>
      <c r="AC27">
        <v>0</v>
      </c>
      <c r="AD27">
        <v>6.0900000000000003E-2</v>
      </c>
      <c r="AE27">
        <v>56.898532686258442</v>
      </c>
      <c r="AF27">
        <v>14.11783672839826</v>
      </c>
      <c r="AG27">
        <v>24.68072431257092</v>
      </c>
      <c r="AH27">
        <v>28.873171064470409</v>
      </c>
      <c r="AI27">
        <v>25.110308236442251</v>
      </c>
      <c r="AJ27">
        <v>23.50399097532441</v>
      </c>
      <c r="AL27">
        <f>IF(ISNUMBER(INDEX($A$2:$AJ$28,26,MATCH(Döviz!$E$2,$A$1:$AJ$1,0))),INDEX($A$2:$AJ$28,26,MATCH(Döviz!$E$2,$A$1:$AJ$1,0)),-1000000000)-ROW()/10000000</f>
        <v>0.15588369092125601</v>
      </c>
    </row>
    <row r="28" spans="1:38" x14ac:dyDescent="0.2">
      <c r="A28" t="s">
        <v>709</v>
      </c>
      <c r="B28" t="s">
        <v>710</v>
      </c>
      <c r="C28" t="s">
        <v>50</v>
      </c>
      <c r="D28">
        <v>3.15E-2</v>
      </c>
      <c r="E28">
        <v>0.1169107679869885</v>
      </c>
      <c r="F28">
        <v>0.70176524950549268</v>
      </c>
      <c r="G28">
        <v>2.641906459720289</v>
      </c>
      <c r="H28">
        <v>1.267489218763473</v>
      </c>
      <c r="I28">
        <v>14.70626398612216</v>
      </c>
      <c r="J28">
        <v>26.50553073072572</v>
      </c>
      <c r="K28">
        <v>68</v>
      </c>
      <c r="L28">
        <v>62</v>
      </c>
      <c r="M28">
        <v>-8.8235294117647078E-2</v>
      </c>
      <c r="N28">
        <v>850926693.66999996</v>
      </c>
      <c r="O28">
        <v>762515120.87</v>
      </c>
      <c r="P28">
        <v>-0.1039003400148204</v>
      </c>
      <c r="Q28">
        <v>9.4308138648477868E-2</v>
      </c>
      <c r="R28" t="s">
        <v>41</v>
      </c>
      <c r="S28">
        <v>0</v>
      </c>
      <c r="T28">
        <v>0</v>
      </c>
      <c r="U28">
        <v>0</v>
      </c>
      <c r="V28">
        <v>9.2799999999999994E-2</v>
      </c>
      <c r="W28">
        <v>0</v>
      </c>
      <c r="X28">
        <v>0</v>
      </c>
      <c r="Y28">
        <v>0.57050000000000001</v>
      </c>
      <c r="Z28">
        <v>0.14510000000000001</v>
      </c>
      <c r="AA28">
        <v>0</v>
      </c>
      <c r="AB28">
        <v>0.14779999999999999</v>
      </c>
      <c r="AC28">
        <v>4.3799999999999999E-2</v>
      </c>
      <c r="AD28">
        <v>1</v>
      </c>
      <c r="AE28">
        <v>42.672430315250807</v>
      </c>
      <c r="AF28">
        <v>36.592045152786397</v>
      </c>
      <c r="AG28">
        <v>30.134245556184549</v>
      </c>
      <c r="AH28">
        <v>33.045254632047701</v>
      </c>
      <c r="AI28">
        <v>27.527109512485069</v>
      </c>
      <c r="AJ28">
        <v>26.50553073072572</v>
      </c>
      <c r="AL28">
        <f>IF(ISNUMBER(INDEX($A$2:$AJ$28,27,MATCH(Döviz!$E$2,$A$1:$AJ$1,0))),INDEX($A$2:$AJ$28,27,MATCH(Döviz!$E$2,$A$1:$AJ$1,0)),-1000000000)-ROW()/10000000</f>
        <v>0.11690796798698851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K30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2" max="2" width="9" customWidth="1"/>
    <col min="3" max="3" width="68" customWidth="1"/>
    <col min="4" max="4" width="26" customWidth="1"/>
    <col min="5" max="37" width="13" customWidth="1"/>
  </cols>
  <sheetData>
    <row r="1" spans="1:37" x14ac:dyDescent="0.2">
      <c r="F1" s="6">
        <v>46216</v>
      </c>
      <c r="G1" s="6">
        <v>46210</v>
      </c>
      <c r="H1" s="6">
        <v>46185</v>
      </c>
      <c r="I1" s="6">
        <v>46203</v>
      </c>
      <c r="J1" s="6">
        <v>46022</v>
      </c>
      <c r="K1" s="6">
        <v>45852</v>
      </c>
    </row>
    <row r="2" spans="1:37" x14ac:dyDescent="0.2">
      <c r="B2" s="3" t="s">
        <v>75</v>
      </c>
      <c r="D2" s="7" t="s">
        <v>0</v>
      </c>
      <c r="E2" s="2" t="s">
        <v>13</v>
      </c>
    </row>
    <row r="3" spans="1:37" ht="48" x14ac:dyDescent="0.2">
      <c r="B3" s="4" t="s">
        <v>3</v>
      </c>
      <c r="C3" s="4" t="s">
        <v>650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369</v>
      </c>
      <c r="J3" s="4" t="s">
        <v>6</v>
      </c>
      <c r="K3" s="4" t="s">
        <v>16</v>
      </c>
      <c r="L3" s="4" t="s">
        <v>17</v>
      </c>
      <c r="M3" s="4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R3" s="4" t="s">
        <v>23</v>
      </c>
      <c r="S3" s="4" t="s">
        <v>24</v>
      </c>
      <c r="T3" s="4" t="s">
        <v>527</v>
      </c>
      <c r="U3" s="4" t="s">
        <v>528</v>
      </c>
      <c r="V3" s="4" t="s">
        <v>25</v>
      </c>
      <c r="W3" s="4" t="s">
        <v>26</v>
      </c>
      <c r="X3" s="4" t="s">
        <v>27</v>
      </c>
      <c r="Y3" s="4" t="s">
        <v>28</v>
      </c>
      <c r="Z3" s="4" t="s">
        <v>29</v>
      </c>
      <c r="AA3" s="4" t="s">
        <v>30</v>
      </c>
      <c r="AB3" s="4" t="s">
        <v>31</v>
      </c>
      <c r="AC3" s="4" t="s">
        <v>32</v>
      </c>
      <c r="AD3" s="4" t="s">
        <v>33</v>
      </c>
      <c r="AE3" s="4" t="s">
        <v>34</v>
      </c>
      <c r="AF3" s="4" t="s">
        <v>651</v>
      </c>
      <c r="AG3" s="4" t="s">
        <v>652</v>
      </c>
      <c r="AH3" s="4" t="s">
        <v>653</v>
      </c>
      <c r="AI3" s="4" t="s">
        <v>654</v>
      </c>
      <c r="AJ3" s="4" t="s">
        <v>655</v>
      </c>
      <c r="AK3" s="4" t="s">
        <v>656</v>
      </c>
    </row>
    <row r="4" spans="1:37" x14ac:dyDescent="0.2">
      <c r="A4">
        <v>1</v>
      </c>
      <c r="B4" s="5" t="str">
        <f>INDEX(V_Döviz!A$2:A$28,MATCH(LARGE(V_Döviz!$AL$2:$AL$28,ROW()-3),V_Döviz!$AL$2:$AL$28,0))</f>
        <v>NBZ</v>
      </c>
      <c r="C4" s="5" t="str">
        <f>INDEX(V_Döviz!B$2:B$28,MATCH(LARGE(V_Döviz!$AL$2:$AL$28,ROW()-3),V_Döviz!$AL$2:$AL$28,0))</f>
        <v>Neo Portföy Birinci Serbest (Döviz) Fon</v>
      </c>
      <c r="D4" s="5" t="str">
        <f>INDEX(V_Döviz!C$2:C$28,MATCH(LARGE(V_Döviz!$AL$2:$AL$28,ROW()-3),V_Döviz!$AL$2:$AL$28,0))</f>
        <v>Neo Portföy</v>
      </c>
      <c r="E4" s="8">
        <f>INDEX(V_Döviz!D$2:D$28,MATCH(LARGE(V_Döviz!$AL$2:$AL$28,ROW()-3),V_Döviz!$AL$2:$AL$28,0))</f>
        <v>1.4999999999999999E-2</v>
      </c>
      <c r="F4" s="9">
        <f>INDEX(V_Döviz!E$2:E$28,MATCH(LARGE(V_Döviz!$AL$2:$AL$28,ROW()-3),V_Döviz!$AL$2:$AL$28,0))</f>
        <v>0.2379795892303749</v>
      </c>
      <c r="G4" s="9">
        <f>INDEX(V_Döviz!F$2:F$28,MATCH(LARGE(V_Döviz!$AL$2:$AL$28,ROW()-3),V_Döviz!$AL$2:$AL$28,0))</f>
        <v>0.45419130755357529</v>
      </c>
      <c r="H4" s="9">
        <f>INDEX(V_Döviz!G$2:G$28,MATCH(LARGE(V_Döviz!$AL$2:$AL$28,ROW()-3),V_Döviz!$AL$2:$AL$28,0))</f>
        <v>2.1381394627855381</v>
      </c>
      <c r="I4" s="9">
        <f>INDEX(V_Döviz!H$2:H$28,MATCH(LARGE(V_Döviz!$AL$2:$AL$28,ROW()-3),V_Döviz!$AL$2:$AL$28,0))</f>
        <v>0.9256113155694079</v>
      </c>
      <c r="J4" s="9">
        <f>INDEX(V_Döviz!I$2:I$28,MATCH(LARGE(V_Döviz!$AL$2:$AL$28,ROW()-3),V_Döviz!$AL$2:$AL$28,0))</f>
        <v>11.68205338006034</v>
      </c>
      <c r="K4" s="9">
        <f>INDEX(V_Döviz!J$2:J$28,MATCH(LARGE(V_Döviz!$AL$2:$AL$28,ROW()-3),V_Döviz!$AL$2:$AL$28,0))</f>
        <v>22.810756240325471</v>
      </c>
      <c r="L4" s="10">
        <f>INDEX(V_Döviz!K$2:K$28,MATCH(LARGE(V_Döviz!$AL$2:$AL$28,ROW()-3),V_Döviz!$AL$2:$AL$28,0))</f>
        <v>292</v>
      </c>
      <c r="M4" s="10">
        <f>INDEX(V_Döviz!L$2:L$28,MATCH(LARGE(V_Döviz!$AL$2:$AL$28,ROW()-3),V_Döviz!$AL$2:$AL$28,0))</f>
        <v>284</v>
      </c>
      <c r="N4" s="8">
        <f>INDEX(V_Döviz!M$2:M$28,MATCH(LARGE(V_Döviz!$AL$2:$AL$28,ROW()-3),V_Döviz!$AL$2:$AL$28,0))</f>
        <v>-2.7397260273972601E-2</v>
      </c>
      <c r="O4" s="11">
        <f>INDEX(V_Döviz!N$2:N$28,MATCH(LARGE(V_Döviz!$AL$2:$AL$28,ROW()-3),V_Döviz!$AL$2:$AL$28,0))</f>
        <v>1729480230.0799999</v>
      </c>
      <c r="P4" s="11">
        <f>INDEX(V_Döviz!O$2:O$28,MATCH(LARGE(V_Döviz!$AL$2:$AL$28,ROW()-3),V_Döviz!$AL$2:$AL$28,0))</f>
        <v>1376425509.1800001</v>
      </c>
      <c r="Q4" s="8">
        <f>INDEX(V_Döviz!P$2:P$28,MATCH(LARGE(V_Döviz!$AL$2:$AL$28,ROW()-3),V_Döviz!$AL$2:$AL$28,0))</f>
        <v>-0.20413920596459709</v>
      </c>
      <c r="R4" s="9">
        <f>INDEX(V_Döviz!Q$2:Q$28,MATCH(LARGE(V_Döviz!$AL$2:$AL$28,ROW()-3),V_Döviz!$AL$2:$AL$28,0))</f>
        <v>8.0672827360595376E-2</v>
      </c>
      <c r="S4" s="5" t="str">
        <f>INDEX(V_Döviz!R$2:R$28,MATCH(LARGE(V_Döviz!$AL$2:$AL$28,ROW()-3),V_Döviz!$AL$2:$AL$28,0))</f>
        <v>Görüyor</v>
      </c>
      <c r="T4" s="8">
        <f>INDEX(V_Döviz!S$2:S$28,MATCH(LARGE(V_Döviz!$AL$2:$AL$28,ROW()-3),V_Döviz!$AL$2:$AL$28,0))</f>
        <v>0</v>
      </c>
      <c r="U4" s="8">
        <f>INDEX(V_Döviz!T$2:T$28,MATCH(LARGE(V_Döviz!$AL$2:$AL$28,ROW()-3),V_Döviz!$AL$2:$AL$28,0))</f>
        <v>0</v>
      </c>
      <c r="V4" s="8">
        <f>INDEX(V_Döviz!U$2:U$28,MATCH(LARGE(V_Döviz!$AL$2:$AL$28,ROW()-3),V_Döviz!$AL$2:$AL$28,0))</f>
        <v>0</v>
      </c>
      <c r="W4" s="8">
        <f>INDEX(V_Döviz!V$2:V$28,MATCH(LARGE(V_Döviz!$AL$2:$AL$28,ROW()-3),V_Döviz!$AL$2:$AL$28,0))</f>
        <v>2.8E-3</v>
      </c>
      <c r="X4" s="8">
        <f>INDEX(V_Döviz!W$2:W$28,MATCH(LARGE(V_Döviz!$AL$2:$AL$28,ROW()-3),V_Döviz!$AL$2:$AL$28,0))</f>
        <v>0.75819999999999999</v>
      </c>
      <c r="Y4" s="8">
        <f>INDEX(V_Döviz!X$2:X$28,MATCH(LARGE(V_Döviz!$AL$2:$AL$28,ROW()-3),V_Döviz!$AL$2:$AL$28,0))</f>
        <v>0</v>
      </c>
      <c r="Z4" s="8">
        <f>INDEX(V_Döviz!Y$2:Y$28,MATCH(LARGE(V_Döviz!$AL$2:$AL$28,ROW()-3),V_Döviz!$AL$2:$AL$28,0))</f>
        <v>0</v>
      </c>
      <c r="AA4" s="8">
        <f>INDEX(V_Döviz!Z$2:Z$28,MATCH(LARGE(V_Döviz!$AL$2:$AL$28,ROW()-3),V_Döviz!$AL$2:$AL$28,0))</f>
        <v>0.153</v>
      </c>
      <c r="AB4" s="8">
        <f>INDEX(V_Döviz!AA$2:AA$28,MATCH(LARGE(V_Döviz!$AL$2:$AL$28,ROW()-3),V_Döviz!$AL$2:$AL$28,0))</f>
        <v>0</v>
      </c>
      <c r="AC4" s="8">
        <f>INDEX(V_Döviz!AB$2:AB$28,MATCH(LARGE(V_Döviz!$AL$2:$AL$28,ROW()-3),V_Döviz!$AL$2:$AL$28,0))</f>
        <v>0</v>
      </c>
      <c r="AD4" s="8">
        <f>INDEX(V_Döviz!AC$2:AC$28,MATCH(LARGE(V_Döviz!$AL$2:$AL$28,ROW()-3),V_Döviz!$AL$2:$AL$28,0))</f>
        <v>0</v>
      </c>
      <c r="AE4" s="8">
        <f>INDEX(V_Döviz!AD$2:AD$28,MATCH(LARGE(V_Döviz!$AL$2:$AL$28,ROW()-3),V_Döviz!$AL$2:$AL$28,0))</f>
        <v>0.91400000000000003</v>
      </c>
      <c r="AF4" s="9">
        <f>INDEX(V_Döviz!AE$2:AE$28,MATCH(LARGE(V_Döviz!$AL$2:$AL$28,ROW()-3),V_Döviz!$AL$2:$AL$28,0))</f>
        <v>86.862550069086836</v>
      </c>
      <c r="AG4" s="9">
        <f>INDEX(V_Döviz!AF$2:AF$28,MATCH(LARGE(V_Döviz!$AL$2:$AL$28,ROW()-3),V_Döviz!$AL$2:$AL$28,0))</f>
        <v>23.682832465293568</v>
      </c>
      <c r="AH4" s="9">
        <f>INDEX(V_Döviz!AG$2:AG$28,MATCH(LARGE(V_Döviz!$AL$2:$AL$28,ROW()-3),V_Döviz!$AL$2:$AL$28,0))</f>
        <v>24.38815324739754</v>
      </c>
      <c r="AI4" s="9">
        <f>INDEX(V_Döviz!AH$2:AH$28,MATCH(LARGE(V_Döviz!$AL$2:$AL$28,ROW()-3),V_Döviz!$AL$2:$AL$28,0))</f>
        <v>24.132009298773848</v>
      </c>
      <c r="AJ4" s="9">
        <f>INDEX(V_Döviz!AI$2:AI$28,MATCH(LARGE(V_Döviz!$AL$2:$AL$28,ROW()-3),V_Döviz!$AL$2:$AL$28,0))</f>
        <v>21.86640760883089</v>
      </c>
      <c r="AK4" s="9">
        <f>INDEX(V_Döviz!AJ$2:AJ$28,MATCH(LARGE(V_Döviz!$AL$2:$AL$28,ROW()-3),V_Döviz!$AL$2:$AL$28,0))</f>
        <v>22.810756240325471</v>
      </c>
    </row>
    <row r="5" spans="1:37" x14ac:dyDescent="0.2">
      <c r="A5">
        <v>2</v>
      </c>
      <c r="B5" s="5" t="str">
        <f>INDEX(V_Döviz!A$2:A$28,MATCH(LARGE(V_Döviz!$AL$2:$AL$28,ROW()-3),V_Döviz!$AL$2:$AL$28,0))</f>
        <v>NCS</v>
      </c>
      <c r="C5" s="5" t="str">
        <f>INDEX(V_Döviz!B$2:B$28,MATCH(LARGE(V_Döviz!$AL$2:$AL$28,ROW()-3),V_Döviz!$AL$2:$AL$28,0))</f>
        <v>Nurol Portföy Üçüncü Serbest (Döviz) Fon</v>
      </c>
      <c r="D5" s="5" t="str">
        <f>INDEX(V_Döviz!C$2:C$28,MATCH(LARGE(V_Döviz!$AL$2:$AL$28,ROW()-3),V_Döviz!$AL$2:$AL$28,0))</f>
        <v>Nurol Portföy</v>
      </c>
      <c r="E5" s="8">
        <f>INDEX(V_Döviz!D$2:D$28,MATCH(LARGE(V_Döviz!$AL$2:$AL$28,ROW()-3),V_Döviz!$AL$2:$AL$28,0))</f>
        <v>7.4999999999999997E-3</v>
      </c>
      <c r="F5" s="9">
        <f>INDEX(V_Döviz!E$2:E$28,MATCH(LARGE(V_Döviz!$AL$2:$AL$28,ROW()-3),V_Döviz!$AL$2:$AL$28,0))</f>
        <v>0.2349919889377938</v>
      </c>
      <c r="G5" s="9">
        <f>INDEX(V_Döviz!F$2:F$28,MATCH(LARGE(V_Döviz!$AL$2:$AL$28,ROW()-3),V_Döviz!$AL$2:$AL$28,0))</f>
        <v>0.46512514177714509</v>
      </c>
      <c r="H5" s="9">
        <f>INDEX(V_Döviz!G$2:G$28,MATCH(LARGE(V_Döviz!$AL$2:$AL$28,ROW()-3),V_Döviz!$AL$2:$AL$28,0))</f>
        <v>2.2428560895256582</v>
      </c>
      <c r="I5" s="9">
        <f>INDEX(V_Döviz!H$2:H$28,MATCH(LARGE(V_Döviz!$AL$2:$AL$28,ROW()-3),V_Döviz!$AL$2:$AL$28,0))</f>
        <v>0.94437919189418462</v>
      </c>
      <c r="J5" s="9">
        <f>INDEX(V_Döviz!I$2:I$28,MATCH(LARGE(V_Döviz!$AL$2:$AL$28,ROW()-3),V_Döviz!$AL$2:$AL$28,0))</f>
        <v>12.24736960792219</v>
      </c>
      <c r="K5" s="9">
        <f>INDEX(V_Döviz!J$2:J$28,MATCH(LARGE(V_Döviz!$AL$2:$AL$28,ROW()-3),V_Döviz!$AL$2:$AL$28,0))</f>
        <v>23.050819593567411</v>
      </c>
      <c r="L5" s="10">
        <f>INDEX(V_Döviz!K$2:K$28,MATCH(LARGE(V_Döviz!$AL$2:$AL$28,ROW()-3),V_Döviz!$AL$2:$AL$28,0))</f>
        <v>1861</v>
      </c>
      <c r="M5" s="10">
        <f>INDEX(V_Döviz!L$2:L$28,MATCH(LARGE(V_Döviz!$AL$2:$AL$28,ROW()-3),V_Döviz!$AL$2:$AL$28,0))</f>
        <v>1810</v>
      </c>
      <c r="N5" s="8">
        <f>INDEX(V_Döviz!M$2:M$28,MATCH(LARGE(V_Döviz!$AL$2:$AL$28,ROW()-3),V_Döviz!$AL$2:$AL$28,0))</f>
        <v>-2.7404621171413179E-2</v>
      </c>
      <c r="O5" s="11">
        <f>INDEX(V_Döviz!N$2:N$28,MATCH(LARGE(V_Döviz!$AL$2:$AL$28,ROW()-3),V_Döviz!$AL$2:$AL$28,0))</f>
        <v>7617367223.9300003</v>
      </c>
      <c r="P5" s="11">
        <f>INDEX(V_Döviz!O$2:O$28,MATCH(LARGE(V_Döviz!$AL$2:$AL$28,ROW()-3),V_Döviz!$AL$2:$AL$28,0))</f>
        <v>7269900923.7799997</v>
      </c>
      <c r="Q5" s="8">
        <f>INDEX(V_Döviz!P$2:P$28,MATCH(LARGE(V_Döviz!$AL$2:$AL$28,ROW()-3),V_Döviz!$AL$2:$AL$28,0))</f>
        <v>-4.5615012370472718E-2</v>
      </c>
      <c r="R5" s="9">
        <f>INDEX(V_Döviz!Q$2:Q$28,MATCH(LARGE(V_Döviz!$AL$2:$AL$28,ROW()-3),V_Döviz!$AL$2:$AL$28,0))</f>
        <v>7.945216446915114E-2</v>
      </c>
      <c r="S5" s="5" t="str">
        <f>INDEX(V_Döviz!R$2:R$28,MATCH(LARGE(V_Döviz!$AL$2:$AL$28,ROW()-3),V_Döviz!$AL$2:$AL$28,0))</f>
        <v>Görüyor</v>
      </c>
      <c r="T5" s="8">
        <f>INDEX(V_Döviz!S$2:S$28,MATCH(LARGE(V_Döviz!$AL$2:$AL$28,ROW()-3),V_Döviz!$AL$2:$AL$28,0))</f>
        <v>0</v>
      </c>
      <c r="U5" s="8">
        <f>INDEX(V_Döviz!T$2:T$28,MATCH(LARGE(V_Döviz!$AL$2:$AL$28,ROW()-3),V_Döviz!$AL$2:$AL$28,0))</f>
        <v>0</v>
      </c>
      <c r="V5" s="8">
        <f>INDEX(V_Döviz!U$2:U$28,MATCH(LARGE(V_Döviz!$AL$2:$AL$28,ROW()-3),V_Döviz!$AL$2:$AL$28,0))</f>
        <v>0</v>
      </c>
      <c r="W5" s="8">
        <f>INDEX(V_Döviz!V$2:V$28,MATCH(LARGE(V_Döviz!$AL$2:$AL$28,ROW()-3),V_Döviz!$AL$2:$AL$28,0))</f>
        <v>0</v>
      </c>
      <c r="X5" s="8">
        <f>INDEX(V_Döviz!W$2:W$28,MATCH(LARGE(V_Döviz!$AL$2:$AL$28,ROW()-3),V_Döviz!$AL$2:$AL$28,0))</f>
        <v>0.51350000000000007</v>
      </c>
      <c r="Y5" s="8">
        <f>INDEX(V_Döviz!X$2:X$28,MATCH(LARGE(V_Döviz!$AL$2:$AL$28,ROW()-3),V_Döviz!$AL$2:$AL$28,0))</f>
        <v>0</v>
      </c>
      <c r="Z5" s="8">
        <f>INDEX(V_Döviz!Y$2:Y$28,MATCH(LARGE(V_Döviz!$AL$2:$AL$28,ROW()-3),V_Döviz!$AL$2:$AL$28,0))</f>
        <v>0</v>
      </c>
      <c r="AA5" s="8">
        <f>INDEX(V_Döviz!Z$2:Z$28,MATCH(LARGE(V_Döviz!$AL$2:$AL$28,ROW()-3),V_Döviz!$AL$2:$AL$28,0))</f>
        <v>3.3999999999999998E-3</v>
      </c>
      <c r="AB5" s="8">
        <f>INDEX(V_Döviz!AA$2:AA$28,MATCH(LARGE(V_Döviz!$AL$2:$AL$28,ROW()-3),V_Döviz!$AL$2:$AL$28,0))</f>
        <v>0</v>
      </c>
      <c r="AC5" s="8">
        <f>INDEX(V_Döviz!AB$2:AB$28,MATCH(LARGE(V_Döviz!$AL$2:$AL$28,ROW()-3),V_Döviz!$AL$2:$AL$28,0))</f>
        <v>0</v>
      </c>
      <c r="AD5" s="8">
        <f>INDEX(V_Döviz!AC$2:AC$28,MATCH(LARGE(V_Döviz!$AL$2:$AL$28,ROW()-3),V_Döviz!$AL$2:$AL$28,0))</f>
        <v>1E-4</v>
      </c>
      <c r="AE5" s="8">
        <f>INDEX(V_Döviz!AD$2:AD$28,MATCH(LARGE(V_Döviz!$AL$2:$AL$28,ROW()-3),V_Döviz!$AL$2:$AL$28,0))</f>
        <v>0.51700000000000002</v>
      </c>
      <c r="AF5" s="9">
        <f>INDEX(V_Döviz!AE$2:AE$28,MATCH(LARGE(V_Döviz!$AL$2:$AL$28,ROW()-3),V_Döviz!$AL$2:$AL$28,0))</f>
        <v>85.77207596229475</v>
      </c>
      <c r="AG5" s="9">
        <f>INDEX(V_Döviz!AF$2:AF$28,MATCH(LARGE(V_Döviz!$AL$2:$AL$28,ROW()-3),V_Döviz!$AL$2:$AL$28,0))</f>
        <v>24.252953821236851</v>
      </c>
      <c r="AH5" s="9">
        <f>INDEX(V_Döviz!AG$2:AG$28,MATCH(LARGE(V_Döviz!$AL$2:$AL$28,ROW()-3),V_Döviz!$AL$2:$AL$28,0))</f>
        <v>25.582577271152029</v>
      </c>
      <c r="AI5" s="9">
        <f>INDEX(V_Döviz!AH$2:AH$28,MATCH(LARGE(V_Döviz!$AL$2:$AL$28,ROW()-3),V_Döviz!$AL$2:$AL$28,0))</f>
        <v>24.621314645812671</v>
      </c>
      <c r="AJ5" s="9">
        <f>INDEX(V_Döviz!AI$2:AI$28,MATCH(LARGE(V_Döviz!$AL$2:$AL$28,ROW()-3),V_Döviz!$AL$2:$AL$28,0))</f>
        <v>22.924563625085121</v>
      </c>
      <c r="AK5" s="9">
        <f>INDEX(V_Döviz!AJ$2:AJ$28,MATCH(LARGE(V_Döviz!$AL$2:$AL$28,ROW()-3),V_Döviz!$AL$2:$AL$28,0))</f>
        <v>23.050819593567411</v>
      </c>
    </row>
    <row r="6" spans="1:37" x14ac:dyDescent="0.2">
      <c r="A6">
        <v>3</v>
      </c>
      <c r="B6" s="5" t="str">
        <f>INDEX(V_Döviz!A$2:A$28,MATCH(LARGE(V_Döviz!$AL$2:$AL$28,ROW()-3),V_Döviz!$AL$2:$AL$28,0))</f>
        <v>PAL</v>
      </c>
      <c r="C6" s="5" t="str">
        <f>INDEX(V_Döviz!B$2:B$28,MATCH(LARGE(V_Döviz!$AL$2:$AL$28,ROW()-3),V_Döviz!$AL$2:$AL$28,0))</f>
        <v>AK Portföy Altıncı Serbest(döviz) Fon</v>
      </c>
      <c r="D6" s="5" t="str">
        <f>INDEX(V_Döviz!C$2:C$28,MATCH(LARGE(V_Döviz!$AL$2:$AL$28,ROW()-3),V_Döviz!$AL$2:$AL$28,0))</f>
        <v>AK Portföy</v>
      </c>
      <c r="E6" s="8">
        <f>INDEX(V_Döviz!D$2:D$28,MATCH(LARGE(V_Döviz!$AL$2:$AL$28,ROW()-3),V_Döviz!$AL$2:$AL$28,0))</f>
        <v>9.4999999999999998E-3</v>
      </c>
      <c r="F6" s="9">
        <f>INDEX(V_Döviz!E$2:E$28,MATCH(LARGE(V_Döviz!$AL$2:$AL$28,ROW()-3),V_Döviz!$AL$2:$AL$28,0))</f>
        <v>0.2344947163255062</v>
      </c>
      <c r="G6" s="9">
        <f>INDEX(V_Döviz!F$2:F$28,MATCH(LARGE(V_Döviz!$AL$2:$AL$28,ROW()-3),V_Döviz!$AL$2:$AL$28,0))</f>
        <v>0.44053835599788821</v>
      </c>
      <c r="H6" s="9">
        <f>INDEX(V_Döviz!G$2:G$28,MATCH(LARGE(V_Döviz!$AL$2:$AL$28,ROW()-3),V_Döviz!$AL$2:$AL$28,0))</f>
        <v>2.156753579003889</v>
      </c>
      <c r="I6" s="9">
        <f>INDEX(V_Döviz!H$2:H$28,MATCH(LARGE(V_Döviz!$AL$2:$AL$28,ROW()-3),V_Döviz!$AL$2:$AL$28,0))</f>
        <v>0.90546151617840742</v>
      </c>
      <c r="J6" s="9">
        <f>INDEX(V_Döviz!I$2:I$28,MATCH(LARGE(V_Döviz!$AL$2:$AL$28,ROW()-3),V_Döviz!$AL$2:$AL$28,0))</f>
        <v>11.464944703491421</v>
      </c>
      <c r="K6" s="9">
        <f>INDEX(V_Döviz!J$2:J$28,MATCH(LARGE(V_Döviz!$AL$2:$AL$28,ROW()-3),V_Döviz!$AL$2:$AL$28,0))</f>
        <v>21.726404376095189</v>
      </c>
      <c r="L6" s="10">
        <f>INDEX(V_Döviz!K$2:K$28,MATCH(LARGE(V_Döviz!$AL$2:$AL$28,ROW()-3),V_Döviz!$AL$2:$AL$28,0))</f>
        <v>33186</v>
      </c>
      <c r="M6" s="10">
        <f>INDEX(V_Döviz!L$2:L$28,MATCH(LARGE(V_Döviz!$AL$2:$AL$28,ROW()-3),V_Döviz!$AL$2:$AL$28,0))</f>
        <v>32652</v>
      </c>
      <c r="N6" s="8">
        <f>INDEX(V_Döviz!M$2:M$28,MATCH(LARGE(V_Döviz!$AL$2:$AL$28,ROW()-3),V_Döviz!$AL$2:$AL$28,0))</f>
        <v>-1.609112276261071E-2</v>
      </c>
      <c r="O6" s="11">
        <f>INDEX(V_Döviz!N$2:N$28,MATCH(LARGE(V_Döviz!$AL$2:$AL$28,ROW()-3),V_Döviz!$AL$2:$AL$28,0))</f>
        <v>174257943691.57001</v>
      </c>
      <c r="P6" s="11">
        <f>INDEX(V_Döviz!O$2:O$28,MATCH(LARGE(V_Döviz!$AL$2:$AL$28,ROW()-3),V_Döviz!$AL$2:$AL$28,0))</f>
        <v>164094999631.01999</v>
      </c>
      <c r="Q6" s="8">
        <f>INDEX(V_Döviz!P$2:P$28,MATCH(LARGE(V_Döviz!$AL$2:$AL$28,ROW()-3),V_Döviz!$AL$2:$AL$28,0))</f>
        <v>-5.832126699795126E-2</v>
      </c>
      <c r="R6" s="9">
        <f>INDEX(V_Döviz!Q$2:Q$28,MATCH(LARGE(V_Döviz!$AL$2:$AL$28,ROW()-3),V_Döviz!$AL$2:$AL$28,0))</f>
        <v>8.2882564909610421E-2</v>
      </c>
      <c r="S6" s="5" t="str">
        <f>INDEX(V_Döviz!R$2:R$28,MATCH(LARGE(V_Döviz!$AL$2:$AL$28,ROW()-3),V_Döviz!$AL$2:$AL$28,0))</f>
        <v>Görüyor</v>
      </c>
      <c r="T6" s="8">
        <f>INDEX(V_Döviz!S$2:S$28,MATCH(LARGE(V_Döviz!$AL$2:$AL$28,ROW()-3),V_Döviz!$AL$2:$AL$28,0))</f>
        <v>0</v>
      </c>
      <c r="U6" s="8">
        <f>INDEX(V_Döviz!T$2:T$28,MATCH(LARGE(V_Döviz!$AL$2:$AL$28,ROW()-3),V_Döviz!$AL$2:$AL$28,0))</f>
        <v>0</v>
      </c>
      <c r="V6" s="8">
        <f>INDEX(V_Döviz!U$2:U$28,MATCH(LARGE(V_Döviz!$AL$2:$AL$28,ROW()-3),V_Döviz!$AL$2:$AL$28,0))</f>
        <v>2.3300000000000001E-2</v>
      </c>
      <c r="W6" s="8">
        <f>INDEX(V_Döviz!V$2:V$28,MATCH(LARGE(V_Döviz!$AL$2:$AL$28,ROW()-3),V_Döviz!$AL$2:$AL$28,0))</f>
        <v>2.9999999999999997E-4</v>
      </c>
      <c r="X6" s="8">
        <f>INDEX(V_Döviz!W$2:W$28,MATCH(LARGE(V_Döviz!$AL$2:$AL$28,ROW()-3),V_Döviz!$AL$2:$AL$28,0))</f>
        <v>0.1784</v>
      </c>
      <c r="Y6" s="8">
        <f>INDEX(V_Döviz!X$2:X$28,MATCH(LARGE(V_Döviz!$AL$2:$AL$28,ROW()-3),V_Döviz!$AL$2:$AL$28,0))</f>
        <v>0</v>
      </c>
      <c r="Z6" s="8">
        <f>INDEX(V_Döviz!Y$2:Y$28,MATCH(LARGE(V_Döviz!$AL$2:$AL$28,ROW()-3),V_Döviz!$AL$2:$AL$28,0))</f>
        <v>0</v>
      </c>
      <c r="AA6" s="8">
        <f>INDEX(V_Döviz!Z$2:Z$28,MATCH(LARGE(V_Döviz!$AL$2:$AL$28,ROW()-3),V_Döviz!$AL$2:$AL$28,0))</f>
        <v>0.1699</v>
      </c>
      <c r="AB6" s="8">
        <f>INDEX(V_Döviz!AA$2:AA$28,MATCH(LARGE(V_Döviz!$AL$2:$AL$28,ROW()-3),V_Döviz!$AL$2:$AL$28,0))</f>
        <v>0</v>
      </c>
      <c r="AC6" s="8">
        <f>INDEX(V_Döviz!AB$2:AB$28,MATCH(LARGE(V_Döviz!$AL$2:$AL$28,ROW()-3),V_Döviz!$AL$2:$AL$28,0))</f>
        <v>0</v>
      </c>
      <c r="AD6" s="8">
        <f>INDEX(V_Döviz!AC$2:AC$28,MATCH(LARGE(V_Döviz!$AL$2:$AL$28,ROW()-3),V_Döviz!$AL$2:$AL$28,0))</f>
        <v>0</v>
      </c>
      <c r="AE6" s="8">
        <f>INDEX(V_Döviz!AD$2:AD$28,MATCH(LARGE(V_Döviz!$AL$2:$AL$28,ROW()-3),V_Döviz!$AL$2:$AL$28,0))</f>
        <v>0.37190000000000001</v>
      </c>
      <c r="AF6" s="9">
        <f>INDEX(V_Döviz!AE$2:AE$28,MATCH(LARGE(V_Döviz!$AL$2:$AL$28,ROW()-3),V_Döviz!$AL$2:$AL$28,0))</f>
        <v>85.590571458809777</v>
      </c>
      <c r="AG6" s="9">
        <f>INDEX(V_Döviz!AF$2:AF$28,MATCH(LARGE(V_Döviz!$AL$2:$AL$28,ROW()-3),V_Döviz!$AL$2:$AL$28,0))</f>
        <v>22.970928562747019</v>
      </c>
      <c r="AH6" s="9">
        <f>INDEX(V_Döviz!AG$2:AG$28,MATCH(LARGE(V_Döviz!$AL$2:$AL$28,ROW()-3),V_Döviz!$AL$2:$AL$28,0))</f>
        <v>24.600470510513109</v>
      </c>
      <c r="AI6" s="9">
        <f>INDEX(V_Döviz!AH$2:AH$28,MATCH(LARGE(V_Döviz!$AL$2:$AL$28,ROW()-3),V_Döviz!$AL$2:$AL$28,0))</f>
        <v>23.60667524322276</v>
      </c>
      <c r="AJ6" s="9">
        <f>INDEX(V_Döviz!AI$2:AI$28,MATCH(LARGE(V_Döviz!$AL$2:$AL$28,ROW()-3),V_Döviz!$AL$2:$AL$28,0))</f>
        <v>21.460024701407011</v>
      </c>
      <c r="AK6" s="9">
        <f>INDEX(V_Döviz!AJ$2:AJ$28,MATCH(LARGE(V_Döviz!$AL$2:$AL$28,ROW()-3),V_Döviz!$AL$2:$AL$28,0))</f>
        <v>21.726404376095189</v>
      </c>
    </row>
    <row r="7" spans="1:37" x14ac:dyDescent="0.2">
      <c r="A7">
        <v>4</v>
      </c>
      <c r="B7" s="5" t="str">
        <f>INDEX(V_Döviz!A$2:A$28,MATCH(LARGE(V_Döviz!$AL$2:$AL$28,ROW()-3),V_Döviz!$AL$2:$AL$28,0))</f>
        <v>FBI</v>
      </c>
      <c r="C7" s="5" t="str">
        <f>INDEX(V_Döviz!B$2:B$28,MATCH(LARGE(V_Döviz!$AL$2:$AL$28,ROW()-3),V_Döviz!$AL$2:$AL$28,0))</f>
        <v>Fiba Portföy Birinci Serbest (Döviz) Fon</v>
      </c>
      <c r="D7" s="5" t="str">
        <f>INDEX(V_Döviz!C$2:C$28,MATCH(LARGE(V_Döviz!$AL$2:$AL$28,ROW()-3),V_Döviz!$AL$2:$AL$28,0))</f>
        <v>Fiba Portföy</v>
      </c>
      <c r="E7" s="8">
        <f>INDEX(V_Döviz!D$2:D$28,MATCH(LARGE(V_Döviz!$AL$2:$AL$28,ROW()-3),V_Döviz!$AL$2:$AL$28,0))</f>
        <v>1.06E-2</v>
      </c>
      <c r="F7" s="9">
        <f>INDEX(V_Döviz!E$2:E$28,MATCH(LARGE(V_Döviz!$AL$2:$AL$28,ROW()-3),V_Döviz!$AL$2:$AL$28,0))</f>
        <v>0.234218206921466</v>
      </c>
      <c r="G7" s="9">
        <f>INDEX(V_Döviz!F$2:F$28,MATCH(LARGE(V_Döviz!$AL$2:$AL$28,ROW()-3),V_Döviz!$AL$2:$AL$28,0))</f>
        <v>0.43927104092127411</v>
      </c>
      <c r="H7" s="9">
        <f>INDEX(V_Döviz!G$2:G$28,MATCH(LARGE(V_Döviz!$AL$2:$AL$28,ROW()-3),V_Döviz!$AL$2:$AL$28,0))</f>
        <v>2.1514762754080601</v>
      </c>
      <c r="I7" s="9">
        <f>INDEX(V_Döviz!H$2:H$28,MATCH(LARGE(V_Döviz!$AL$2:$AL$28,ROW()-3),V_Döviz!$AL$2:$AL$28,0))</f>
        <v>0.90582099289386875</v>
      </c>
      <c r="J7" s="9">
        <f>INDEX(V_Döviz!I$2:I$28,MATCH(LARGE(V_Döviz!$AL$2:$AL$28,ROW()-3),V_Döviz!$AL$2:$AL$28,0))</f>
        <v>11.38549575186352</v>
      </c>
      <c r="K7" s="9">
        <f>INDEX(V_Döviz!J$2:J$28,MATCH(LARGE(V_Döviz!$AL$2:$AL$28,ROW()-3),V_Döviz!$AL$2:$AL$28,0))</f>
        <v>21.112008532671918</v>
      </c>
      <c r="L7" s="10">
        <f>INDEX(V_Döviz!K$2:K$28,MATCH(LARGE(V_Döviz!$AL$2:$AL$28,ROW()-3),V_Döviz!$AL$2:$AL$28,0))</f>
        <v>5313</v>
      </c>
      <c r="M7" s="10">
        <f>INDEX(V_Döviz!L$2:L$28,MATCH(LARGE(V_Döviz!$AL$2:$AL$28,ROW()-3),V_Döviz!$AL$2:$AL$28,0))</f>
        <v>5050</v>
      </c>
      <c r="N7" s="8">
        <f>INDEX(V_Döviz!M$2:M$28,MATCH(LARGE(V_Döviz!$AL$2:$AL$28,ROW()-3),V_Döviz!$AL$2:$AL$28,0))</f>
        <v>-4.9501223414266882E-2</v>
      </c>
      <c r="O7" s="11">
        <f>INDEX(V_Döviz!N$2:N$28,MATCH(LARGE(V_Döviz!$AL$2:$AL$28,ROW()-3),V_Döviz!$AL$2:$AL$28,0))</f>
        <v>18639740556.919998</v>
      </c>
      <c r="P7" s="11">
        <f>INDEX(V_Döviz!O$2:O$28,MATCH(LARGE(V_Döviz!$AL$2:$AL$28,ROW()-3),V_Döviz!$AL$2:$AL$28,0))</f>
        <v>15476176298.030001</v>
      </c>
      <c r="Q7" s="8">
        <f>INDEX(V_Döviz!P$2:P$28,MATCH(LARGE(V_Döviz!$AL$2:$AL$28,ROW()-3),V_Döviz!$AL$2:$AL$28,0))</f>
        <v>-0.1697214748901387</v>
      </c>
      <c r="R7" s="9">
        <f>INDEX(V_Döviz!Q$2:Q$28,MATCH(LARGE(V_Döviz!$AL$2:$AL$28,ROW()-3),V_Döviz!$AL$2:$AL$28,0))</f>
        <v>8.3130634192369671E-2</v>
      </c>
      <c r="S7" s="5" t="str">
        <f>INDEX(V_Döviz!R$2:R$28,MATCH(LARGE(V_Döviz!$AL$2:$AL$28,ROW()-3),V_Döviz!$AL$2:$AL$28,0))</f>
        <v>Görüyor</v>
      </c>
      <c r="T7" s="8">
        <f>INDEX(V_Döviz!S$2:S$28,MATCH(LARGE(V_Döviz!$AL$2:$AL$28,ROW()-3),V_Döviz!$AL$2:$AL$28,0))</f>
        <v>0</v>
      </c>
      <c r="U7" s="8">
        <f>INDEX(V_Döviz!T$2:T$28,MATCH(LARGE(V_Döviz!$AL$2:$AL$28,ROW()-3),V_Döviz!$AL$2:$AL$28,0))</f>
        <v>0</v>
      </c>
      <c r="V7" s="8">
        <f>INDEX(V_Döviz!U$2:U$28,MATCH(LARGE(V_Döviz!$AL$2:$AL$28,ROW()-3),V_Döviz!$AL$2:$AL$28,0))</f>
        <v>0</v>
      </c>
      <c r="W7" s="8">
        <f>INDEX(V_Döviz!V$2:V$28,MATCH(LARGE(V_Döviz!$AL$2:$AL$28,ROW()-3),V_Döviz!$AL$2:$AL$28,0))</f>
        <v>0</v>
      </c>
      <c r="X7" s="8">
        <f>INDEX(V_Döviz!W$2:W$28,MATCH(LARGE(V_Döviz!$AL$2:$AL$28,ROW()-3),V_Döviz!$AL$2:$AL$28,0))</f>
        <v>0.2097</v>
      </c>
      <c r="Y7" s="8">
        <f>INDEX(V_Döviz!X$2:X$28,MATCH(LARGE(V_Döviz!$AL$2:$AL$28,ROW()-3),V_Döviz!$AL$2:$AL$28,0))</f>
        <v>0</v>
      </c>
      <c r="Z7" s="8">
        <f>INDEX(V_Döviz!Y$2:Y$28,MATCH(LARGE(V_Döviz!$AL$2:$AL$28,ROW()-3),V_Döviz!$AL$2:$AL$28,0))</f>
        <v>2.0000000000000001E-4</v>
      </c>
      <c r="AA7" s="8">
        <f>INDEX(V_Döviz!Z$2:Z$28,MATCH(LARGE(V_Döviz!$AL$2:$AL$28,ROW()-3),V_Döviz!$AL$2:$AL$28,0))</f>
        <v>7.2000000000000008E-2</v>
      </c>
      <c r="AB7" s="8">
        <f>INDEX(V_Döviz!AA$2:AA$28,MATCH(LARGE(V_Döviz!$AL$2:$AL$28,ROW()-3),V_Döviz!$AL$2:$AL$28,0))</f>
        <v>0</v>
      </c>
      <c r="AC7" s="8">
        <f>INDEX(V_Döviz!AB$2:AB$28,MATCH(LARGE(V_Döviz!$AL$2:$AL$28,ROW()-3),V_Döviz!$AL$2:$AL$28,0))</f>
        <v>0</v>
      </c>
      <c r="AD7" s="8">
        <f>INDEX(V_Döviz!AC$2:AC$28,MATCH(LARGE(V_Döviz!$AL$2:$AL$28,ROW()-3),V_Döviz!$AL$2:$AL$28,0))</f>
        <v>0</v>
      </c>
      <c r="AE7" s="8">
        <f>INDEX(V_Döviz!AD$2:AD$28,MATCH(LARGE(V_Döviz!$AL$2:$AL$28,ROW()-3),V_Döviz!$AL$2:$AL$28,0))</f>
        <v>0.28189999999999998</v>
      </c>
      <c r="AF7" s="9">
        <f>INDEX(V_Döviz!AE$2:AE$28,MATCH(LARGE(V_Döviz!$AL$2:$AL$28,ROW()-3),V_Döviz!$AL$2:$AL$28,0))</f>
        <v>85.489645526335096</v>
      </c>
      <c r="AG7" s="9">
        <f>INDEX(V_Döviz!AF$2:AF$28,MATCH(LARGE(V_Döviz!$AL$2:$AL$28,ROW()-3),V_Döviz!$AL$2:$AL$28,0))</f>
        <v>22.904847133752149</v>
      </c>
      <c r="AH7" s="9">
        <f>INDEX(V_Döviz!AG$2:AG$28,MATCH(LARGE(V_Döviz!$AL$2:$AL$28,ROW()-3),V_Döviz!$AL$2:$AL$28,0))</f>
        <v>24.54027626637318</v>
      </c>
      <c r="AI7" s="9">
        <f>INDEX(V_Döviz!AH$2:AH$28,MATCH(LARGE(V_Döviz!$AL$2:$AL$28,ROW()-3),V_Döviz!$AL$2:$AL$28,0))</f>
        <v>23.616047314733009</v>
      </c>
      <c r="AJ7" s="9">
        <f>INDEX(V_Döviz!AI$2:AI$28,MATCH(LARGE(V_Döviz!$AL$2:$AL$28,ROW()-3),V_Döviz!$AL$2:$AL$28,0))</f>
        <v>21.311312561180429</v>
      </c>
      <c r="AK7" s="9">
        <f>INDEX(V_Döviz!AJ$2:AJ$28,MATCH(LARGE(V_Döviz!$AL$2:$AL$28,ROW()-3),V_Döviz!$AL$2:$AL$28,0))</f>
        <v>21.112008532671918</v>
      </c>
    </row>
    <row r="8" spans="1:37" x14ac:dyDescent="0.2">
      <c r="A8">
        <v>5</v>
      </c>
      <c r="B8" s="5" t="str">
        <f>INDEX(V_Döviz!A$2:A$28,MATCH(LARGE(V_Döviz!$AL$2:$AL$28,ROW()-3),V_Döviz!$AL$2:$AL$28,0))</f>
        <v>GAG</v>
      </c>
      <c r="C8" s="5" t="str">
        <f>INDEX(V_Döviz!B$2:B$28,MATCH(LARGE(V_Döviz!$AL$2:$AL$28,ROW()-3),V_Döviz!$AL$2:$AL$28,0))</f>
        <v>Inveo Portföy Birinci Serbest (Dövız) Fon</v>
      </c>
      <c r="D8" s="5" t="str">
        <f>INDEX(V_Döviz!C$2:C$28,MATCH(LARGE(V_Döviz!$AL$2:$AL$28,ROW()-3),V_Döviz!$AL$2:$AL$28,0))</f>
        <v>Inveo Portföy</v>
      </c>
      <c r="E8" s="8">
        <f>INDEX(V_Döviz!D$2:D$28,MATCH(LARGE(V_Döviz!$AL$2:$AL$28,ROW()-3),V_Döviz!$AL$2:$AL$28,0))</f>
        <v>0.01</v>
      </c>
      <c r="F8" s="9">
        <f>INDEX(V_Döviz!E$2:E$28,MATCH(LARGE(V_Döviz!$AL$2:$AL$28,ROW()-3),V_Döviz!$AL$2:$AL$28,0))</f>
        <v>0.23355294349427511</v>
      </c>
      <c r="G8" s="9">
        <f>INDEX(V_Döviz!F$2:F$28,MATCH(LARGE(V_Döviz!$AL$2:$AL$28,ROW()-3),V_Döviz!$AL$2:$AL$28,0))</f>
        <v>0.45527318293887559</v>
      </c>
      <c r="H8" s="9">
        <f>INDEX(V_Döviz!G$2:G$28,MATCH(LARGE(V_Döviz!$AL$2:$AL$28,ROW()-3),V_Döviz!$AL$2:$AL$28,0))</f>
        <v>2.256167405338672</v>
      </c>
      <c r="I8" s="9">
        <f>INDEX(V_Döviz!H$2:H$28,MATCH(LARGE(V_Döviz!$AL$2:$AL$28,ROW()-3),V_Döviz!$AL$2:$AL$28,0))</f>
        <v>0.92611969834150987</v>
      </c>
      <c r="J8" s="9">
        <f>INDEX(V_Döviz!I$2:I$28,MATCH(LARGE(V_Döviz!$AL$2:$AL$28,ROW()-3),V_Döviz!$AL$2:$AL$28,0))</f>
        <v>11.958400125805451</v>
      </c>
      <c r="K8" s="9">
        <f>INDEX(V_Döviz!J$2:J$28,MATCH(LARGE(V_Döviz!$AL$2:$AL$28,ROW()-3),V_Döviz!$AL$2:$AL$28,0))</f>
        <v>22.710380921156471</v>
      </c>
      <c r="L8" s="10">
        <f>INDEX(V_Döviz!K$2:K$28,MATCH(LARGE(V_Döviz!$AL$2:$AL$28,ROW()-3),V_Döviz!$AL$2:$AL$28,0))</f>
        <v>225</v>
      </c>
      <c r="M8" s="10">
        <f>INDEX(V_Döviz!L$2:L$28,MATCH(LARGE(V_Döviz!$AL$2:$AL$28,ROW()-3),V_Döviz!$AL$2:$AL$28,0))</f>
        <v>224</v>
      </c>
      <c r="N8" s="8">
        <f>INDEX(V_Döviz!M$2:M$28,MATCH(LARGE(V_Döviz!$AL$2:$AL$28,ROW()-3),V_Döviz!$AL$2:$AL$28,0))</f>
        <v>-4.4444444444444731E-3</v>
      </c>
      <c r="O8" s="11">
        <f>INDEX(V_Döviz!N$2:N$28,MATCH(LARGE(V_Döviz!$AL$2:$AL$28,ROW()-3),V_Döviz!$AL$2:$AL$28,0))</f>
        <v>715554015.83000004</v>
      </c>
      <c r="P8" s="11">
        <f>INDEX(V_Döviz!O$2:O$28,MATCH(LARGE(V_Döviz!$AL$2:$AL$28,ROW()-3),V_Döviz!$AL$2:$AL$28,0))</f>
        <v>894507282.72000003</v>
      </c>
      <c r="Q8" s="8">
        <f>INDEX(V_Döviz!P$2:P$28,MATCH(LARGE(V_Döviz!$AL$2:$AL$28,ROW()-3),V_Döviz!$AL$2:$AL$28,0))</f>
        <v>0.25009050739855732</v>
      </c>
      <c r="R8" s="9">
        <f>INDEX(V_Döviz!Q$2:Q$28,MATCH(LARGE(V_Döviz!$AL$2:$AL$28,ROW()-3),V_Döviz!$AL$2:$AL$28,0))</f>
        <v>8.3179842990096051E-2</v>
      </c>
      <c r="S8" s="5" t="str">
        <f>INDEX(V_Döviz!R$2:R$28,MATCH(LARGE(V_Döviz!$AL$2:$AL$28,ROW()-3),V_Döviz!$AL$2:$AL$28,0))</f>
        <v>Görüyor</v>
      </c>
      <c r="T8" s="8">
        <f>INDEX(V_Döviz!S$2:S$28,MATCH(LARGE(V_Döviz!$AL$2:$AL$28,ROW()-3),V_Döviz!$AL$2:$AL$28,0))</f>
        <v>0</v>
      </c>
      <c r="U8" s="8">
        <f>INDEX(V_Döviz!T$2:T$28,MATCH(LARGE(V_Döviz!$AL$2:$AL$28,ROW()-3),V_Döviz!$AL$2:$AL$28,0))</f>
        <v>0</v>
      </c>
      <c r="V8" s="8">
        <f>INDEX(V_Döviz!U$2:U$28,MATCH(LARGE(V_Döviz!$AL$2:$AL$28,ROW()-3),V_Döviz!$AL$2:$AL$28,0))</f>
        <v>0</v>
      </c>
      <c r="W8" s="8">
        <f>INDEX(V_Döviz!V$2:V$28,MATCH(LARGE(V_Döviz!$AL$2:$AL$28,ROW()-3),V_Döviz!$AL$2:$AL$28,0))</f>
        <v>0</v>
      </c>
      <c r="X8" s="8">
        <f>INDEX(V_Döviz!W$2:W$28,MATCH(LARGE(V_Döviz!$AL$2:$AL$28,ROW()-3),V_Döviz!$AL$2:$AL$28,0))</f>
        <v>6.7999999999999996E-3</v>
      </c>
      <c r="Y8" s="8">
        <f>INDEX(V_Döviz!X$2:X$28,MATCH(LARGE(V_Döviz!$AL$2:$AL$28,ROW()-3),V_Döviz!$AL$2:$AL$28,0))</f>
        <v>0</v>
      </c>
      <c r="Z8" s="8">
        <f>INDEX(V_Döviz!Y$2:Y$28,MATCH(LARGE(V_Döviz!$AL$2:$AL$28,ROW()-3),V_Döviz!$AL$2:$AL$28,0))</f>
        <v>7.000000000000001E-4</v>
      </c>
      <c r="AA8" s="8">
        <f>INDEX(V_Döviz!Z$2:Z$28,MATCH(LARGE(V_Döviz!$AL$2:$AL$28,ROW()-3),V_Döviz!$AL$2:$AL$28,0))</f>
        <v>0.13400000000000001</v>
      </c>
      <c r="AB8" s="8">
        <f>INDEX(V_Döviz!AA$2:AA$28,MATCH(LARGE(V_Döviz!$AL$2:$AL$28,ROW()-3),V_Döviz!$AL$2:$AL$28,0))</f>
        <v>0</v>
      </c>
      <c r="AC8" s="8">
        <f>INDEX(V_Döviz!AB$2:AB$28,MATCH(LARGE(V_Döviz!$AL$2:$AL$28,ROW()-3),V_Döviz!$AL$2:$AL$28,0))</f>
        <v>0</v>
      </c>
      <c r="AD8" s="8">
        <f>INDEX(V_Döviz!AC$2:AC$28,MATCH(LARGE(V_Döviz!$AL$2:$AL$28,ROW()-3),V_Döviz!$AL$2:$AL$28,0))</f>
        <v>0</v>
      </c>
      <c r="AE8" s="8">
        <f>INDEX(V_Döviz!AD$2:AD$28,MATCH(LARGE(V_Döviz!$AL$2:$AL$28,ROW()-3),V_Döviz!$AL$2:$AL$28,0))</f>
        <v>0.14149999999999999</v>
      </c>
      <c r="AF8" s="9">
        <f>INDEX(V_Döviz!AE$2:AE$28,MATCH(LARGE(V_Döviz!$AL$2:$AL$28,ROW()-3),V_Döviz!$AL$2:$AL$28,0))</f>
        <v>85.246824375410426</v>
      </c>
      <c r="AG8" s="9">
        <f>INDEX(V_Döviz!AF$2:AF$28,MATCH(LARGE(V_Döviz!$AL$2:$AL$28,ROW()-3),V_Döviz!$AL$2:$AL$28,0))</f>
        <v>23.73924453895566</v>
      </c>
      <c r="AH8" s="9">
        <f>INDEX(V_Döviz!AG$2:AG$28,MATCH(LARGE(V_Döviz!$AL$2:$AL$28,ROW()-3),V_Döviz!$AL$2:$AL$28,0))</f>
        <v>25.734409467144221</v>
      </c>
      <c r="AI8" s="9">
        <f>INDEX(V_Döviz!AH$2:AH$28,MATCH(LARGE(V_Döviz!$AL$2:$AL$28,ROW()-3),V_Döviz!$AL$2:$AL$28,0))</f>
        <v>24.145263563903651</v>
      </c>
      <c r="AJ8" s="9">
        <f>INDEX(V_Döviz!AI$2:AI$28,MATCH(LARGE(V_Döviz!$AL$2:$AL$28,ROW()-3),V_Döviz!$AL$2:$AL$28,0))</f>
        <v>22.383672030353789</v>
      </c>
      <c r="AK8" s="9">
        <f>INDEX(V_Döviz!AJ$2:AJ$28,MATCH(LARGE(V_Döviz!$AL$2:$AL$28,ROW()-3),V_Döviz!$AL$2:$AL$28,0))</f>
        <v>22.710380921156471</v>
      </c>
    </row>
    <row r="9" spans="1:37" x14ac:dyDescent="0.2">
      <c r="A9">
        <v>6</v>
      </c>
      <c r="B9" s="5" t="str">
        <f>INDEX(V_Döviz!A$2:A$28,MATCH(LARGE(V_Döviz!$AL$2:$AL$28,ROW()-3),V_Döviz!$AL$2:$AL$28,0))</f>
        <v>DOL</v>
      </c>
      <c r="C9" s="5" t="str">
        <f>INDEX(V_Döviz!B$2:B$28,MATCH(LARGE(V_Döviz!$AL$2:$AL$28,ROW()-3),V_Döviz!$AL$2:$AL$28,0))</f>
        <v>Aktif Portföy Üçüncü Aktif Serbest (Döviz) Fon</v>
      </c>
      <c r="D9" s="5" t="str">
        <f>INDEX(V_Döviz!C$2:C$28,MATCH(LARGE(V_Döviz!$AL$2:$AL$28,ROW()-3),V_Döviz!$AL$2:$AL$28,0))</f>
        <v>Aktif Portföy</v>
      </c>
      <c r="E9" s="8">
        <f>INDEX(V_Döviz!D$2:D$28,MATCH(LARGE(V_Döviz!$AL$2:$AL$28,ROW()-3),V_Döviz!$AL$2:$AL$28,0))</f>
        <v>7.9000000000000008E-3</v>
      </c>
      <c r="F9" s="9">
        <f>INDEX(V_Döviz!E$2:E$28,MATCH(LARGE(V_Döviz!$AL$2:$AL$28,ROW()-3),V_Döviz!$AL$2:$AL$28,0))</f>
        <v>0.2324453656786574</v>
      </c>
      <c r="G9" s="9">
        <f>INDEX(V_Döviz!F$2:F$28,MATCH(LARGE(V_Döviz!$AL$2:$AL$28,ROW()-3),V_Döviz!$AL$2:$AL$28,0))</f>
        <v>0.43729363494540152</v>
      </c>
      <c r="H9" s="9">
        <f>INDEX(V_Döviz!G$2:G$28,MATCH(LARGE(V_Döviz!$AL$2:$AL$28,ROW()-3),V_Döviz!$AL$2:$AL$28,0))</f>
        <v>2.190581935671077</v>
      </c>
      <c r="I9" s="9">
        <f>INDEX(V_Döviz!H$2:H$28,MATCH(LARGE(V_Döviz!$AL$2:$AL$28,ROW()-3),V_Döviz!$AL$2:$AL$28,0))</f>
        <v>0.90720123558056809</v>
      </c>
      <c r="J9" s="9">
        <f>INDEX(V_Döviz!I$2:I$28,MATCH(LARGE(V_Döviz!$AL$2:$AL$28,ROW()-3),V_Döviz!$AL$2:$AL$28,0))</f>
        <v>11.56180492152297</v>
      </c>
      <c r="K9" s="9">
        <f>INDEX(V_Döviz!J$2:J$28,MATCH(LARGE(V_Döviz!$AL$2:$AL$28,ROW()-3),V_Döviz!$AL$2:$AL$28,0))</f>
        <v>21.985704106464741</v>
      </c>
      <c r="L9" s="10">
        <f>INDEX(V_Döviz!K$2:K$28,MATCH(LARGE(V_Döviz!$AL$2:$AL$28,ROW()-3),V_Döviz!$AL$2:$AL$28,0))</f>
        <v>385</v>
      </c>
      <c r="M9" s="10">
        <f>INDEX(V_Döviz!L$2:L$28,MATCH(LARGE(V_Döviz!$AL$2:$AL$28,ROW()-3),V_Döviz!$AL$2:$AL$28,0))</f>
        <v>397</v>
      </c>
      <c r="N9" s="8">
        <f>INDEX(V_Döviz!M$2:M$28,MATCH(LARGE(V_Döviz!$AL$2:$AL$28,ROW()-3),V_Döviz!$AL$2:$AL$28,0))</f>
        <v>3.1168831168831179E-2</v>
      </c>
      <c r="O9" s="11">
        <f>INDEX(V_Döviz!N$2:N$28,MATCH(LARGE(V_Döviz!$AL$2:$AL$28,ROW()-3),V_Döviz!$AL$2:$AL$28,0))</f>
        <v>5229114371.9499998</v>
      </c>
      <c r="P9" s="11">
        <f>INDEX(V_Döviz!O$2:O$28,MATCH(LARGE(V_Döviz!$AL$2:$AL$28,ROW()-3),V_Döviz!$AL$2:$AL$28,0))</f>
        <v>5452671395.6400003</v>
      </c>
      <c r="Q9" s="8">
        <f>INDEX(V_Döviz!P$2:P$28,MATCH(LARGE(V_Döviz!$AL$2:$AL$28,ROW()-3),V_Döviz!$AL$2:$AL$28,0))</f>
        <v>4.2752368333958117E-2</v>
      </c>
      <c r="R9" s="9">
        <f>INDEX(V_Döviz!Q$2:Q$28,MATCH(LARGE(V_Döviz!$AL$2:$AL$28,ROW()-3),V_Döviz!$AL$2:$AL$28,0))</f>
        <v>8.2880085143247892E-2</v>
      </c>
      <c r="S9" s="5" t="str">
        <f>INDEX(V_Döviz!R$2:R$28,MATCH(LARGE(V_Döviz!$AL$2:$AL$28,ROW()-3),V_Döviz!$AL$2:$AL$28,0))</f>
        <v>Görüyor</v>
      </c>
      <c r="T9" s="8">
        <f>INDEX(V_Döviz!S$2:S$28,MATCH(LARGE(V_Döviz!$AL$2:$AL$28,ROW()-3),V_Döviz!$AL$2:$AL$28,0))</f>
        <v>0</v>
      </c>
      <c r="U9" s="8">
        <f>INDEX(V_Döviz!T$2:T$28,MATCH(LARGE(V_Döviz!$AL$2:$AL$28,ROW()-3),V_Döviz!$AL$2:$AL$28,0))</f>
        <v>0</v>
      </c>
      <c r="V9" s="8">
        <f>INDEX(V_Döviz!U$2:U$28,MATCH(LARGE(V_Döviz!$AL$2:$AL$28,ROW()-3),V_Döviz!$AL$2:$AL$28,0))</f>
        <v>0</v>
      </c>
      <c r="W9" s="8">
        <f>INDEX(V_Döviz!V$2:V$28,MATCH(LARGE(V_Döviz!$AL$2:$AL$28,ROW()-3),V_Döviz!$AL$2:$AL$28,0))</f>
        <v>0</v>
      </c>
      <c r="X9" s="8">
        <f>INDEX(V_Döviz!W$2:W$28,MATCH(LARGE(V_Döviz!$AL$2:$AL$28,ROW()-3),V_Döviz!$AL$2:$AL$28,0))</f>
        <v>2.5100000000000001E-2</v>
      </c>
      <c r="Y9" s="8">
        <f>INDEX(V_Döviz!X$2:X$28,MATCH(LARGE(V_Döviz!$AL$2:$AL$28,ROW()-3),V_Döviz!$AL$2:$AL$28,0))</f>
        <v>0</v>
      </c>
      <c r="Z9" s="8">
        <f>INDEX(V_Döviz!Y$2:Y$28,MATCH(LARGE(V_Döviz!$AL$2:$AL$28,ROW()-3),V_Döviz!$AL$2:$AL$28,0))</f>
        <v>0</v>
      </c>
      <c r="AA9" s="8">
        <f>INDEX(V_Döviz!Z$2:Z$28,MATCH(LARGE(V_Döviz!$AL$2:$AL$28,ROW()-3),V_Döviz!$AL$2:$AL$28,0))</f>
        <v>2.9100000000000001E-2</v>
      </c>
      <c r="AB9" s="8">
        <f>INDEX(V_Döviz!AA$2:AA$28,MATCH(LARGE(V_Döviz!$AL$2:$AL$28,ROW()-3),V_Döviz!$AL$2:$AL$28,0))</f>
        <v>0</v>
      </c>
      <c r="AC9" s="8">
        <f>INDEX(V_Döviz!AB$2:AB$28,MATCH(LARGE(V_Döviz!$AL$2:$AL$28,ROW()-3),V_Döviz!$AL$2:$AL$28,0))</f>
        <v>0</v>
      </c>
      <c r="AD9" s="8">
        <f>INDEX(V_Döviz!AC$2:AC$28,MATCH(LARGE(V_Döviz!$AL$2:$AL$28,ROW()-3),V_Döviz!$AL$2:$AL$28,0))</f>
        <v>0</v>
      </c>
      <c r="AE9" s="8">
        <f>INDEX(V_Döviz!AD$2:AD$28,MATCH(LARGE(V_Döviz!$AL$2:$AL$28,ROW()-3),V_Döviz!$AL$2:$AL$28,0))</f>
        <v>5.4199999999999998E-2</v>
      </c>
      <c r="AF9" s="9">
        <f>INDEX(V_Döviz!AE$2:AE$28,MATCH(LARGE(V_Döviz!$AL$2:$AL$28,ROW()-3),V_Döviz!$AL$2:$AL$28,0))</f>
        <v>84.842558472709939</v>
      </c>
      <c r="AG9" s="9">
        <f>INDEX(V_Döviz!AF$2:AF$28,MATCH(LARGE(V_Döviz!$AL$2:$AL$28,ROW()-3),V_Döviz!$AL$2:$AL$28,0))</f>
        <v>22.801739536438792</v>
      </c>
      <c r="AH9" s="9">
        <f>INDEX(V_Döviz!AG$2:AG$28,MATCH(LARGE(V_Döviz!$AL$2:$AL$28,ROW()-3),V_Döviz!$AL$2:$AL$28,0))</f>
        <v>24.986325203748219</v>
      </c>
      <c r="AI9" s="9">
        <f>INDEX(V_Döviz!AH$2:AH$28,MATCH(LARGE(V_Döviz!$AL$2:$AL$28,ROW()-3),V_Döviz!$AL$2:$AL$28,0))</f>
        <v>23.65203221335053</v>
      </c>
      <c r="AJ9" s="9">
        <f>INDEX(V_Döviz!AI$2:AI$28,MATCH(LARGE(V_Döviz!$AL$2:$AL$28,ROW()-3),V_Döviz!$AL$2:$AL$28,0))</f>
        <v>21.641327160799399</v>
      </c>
      <c r="AK9" s="9">
        <f>INDEX(V_Döviz!AJ$2:AJ$28,MATCH(LARGE(V_Döviz!$AL$2:$AL$28,ROW()-3),V_Döviz!$AL$2:$AL$28,0))</f>
        <v>21.985704106464741</v>
      </c>
    </row>
    <row r="10" spans="1:37" x14ac:dyDescent="0.2">
      <c r="A10">
        <v>7</v>
      </c>
      <c r="B10" s="5" t="str">
        <f>INDEX(V_Döviz!A$2:A$28,MATCH(LARGE(V_Döviz!$AL$2:$AL$28,ROW()-3),V_Döviz!$AL$2:$AL$28,0))</f>
        <v>YP4</v>
      </c>
      <c r="C10" s="5" t="str">
        <f>INDEX(V_Döviz!B$2:B$28,MATCH(LARGE(V_Döviz!$AL$2:$AL$28,ROW()-3),V_Döviz!$AL$2:$AL$28,0))</f>
        <v>Yapı Kredi Portföy Feriköy Serbest (Döviz) Fon</v>
      </c>
      <c r="D10" s="5" t="str">
        <f>INDEX(V_Döviz!C$2:C$28,MATCH(LARGE(V_Döviz!$AL$2:$AL$28,ROW()-3),V_Döviz!$AL$2:$AL$28,0))</f>
        <v>Yapı Kredi Portföy</v>
      </c>
      <c r="E10" s="8">
        <f>INDEX(V_Döviz!D$2:D$28,MATCH(LARGE(V_Döviz!$AL$2:$AL$28,ROW()-3),V_Döviz!$AL$2:$AL$28,0))</f>
        <v>0.01</v>
      </c>
      <c r="F10" s="9">
        <f>INDEX(V_Döviz!E$2:E$28,MATCH(LARGE(V_Döviz!$AL$2:$AL$28,ROW()-3),V_Döviz!$AL$2:$AL$28,0))</f>
        <v>0.23198702322588799</v>
      </c>
      <c r="G10" s="9">
        <f>INDEX(V_Döviz!F$2:F$28,MATCH(LARGE(V_Döviz!$AL$2:$AL$28,ROW()-3),V_Döviz!$AL$2:$AL$28,0))</f>
        <v>0.4479188489366015</v>
      </c>
      <c r="H10" s="9">
        <f>INDEX(V_Döviz!G$2:G$28,MATCH(LARGE(V_Döviz!$AL$2:$AL$28,ROW()-3),V_Döviz!$AL$2:$AL$28,0))</f>
        <v>2.1579355520166881</v>
      </c>
      <c r="I10" s="9">
        <f>INDEX(V_Döviz!H$2:H$28,MATCH(LARGE(V_Döviz!$AL$2:$AL$28,ROW()-3),V_Döviz!$AL$2:$AL$28,0))</f>
        <v>0.91344344226853558</v>
      </c>
      <c r="J10" s="9">
        <f>INDEX(V_Döviz!I$2:I$28,MATCH(LARGE(V_Döviz!$AL$2:$AL$28,ROW()-3),V_Döviz!$AL$2:$AL$28,0))</f>
        <v>11.35530999826757</v>
      </c>
      <c r="K10" s="9">
        <f>INDEX(V_Döviz!J$2:J$28,MATCH(LARGE(V_Döviz!$AL$2:$AL$28,ROW()-3),V_Döviz!$AL$2:$AL$28,0))</f>
        <v>21.299605628978259</v>
      </c>
      <c r="L10" s="10">
        <f>INDEX(V_Döviz!K$2:K$28,MATCH(LARGE(V_Döviz!$AL$2:$AL$28,ROW()-3),V_Döviz!$AL$2:$AL$28,0))</f>
        <v>29804</v>
      </c>
      <c r="M10" s="10">
        <f>INDEX(V_Döviz!L$2:L$28,MATCH(LARGE(V_Döviz!$AL$2:$AL$28,ROW()-3),V_Döviz!$AL$2:$AL$28,0))</f>
        <v>29602</v>
      </c>
      <c r="N10" s="8">
        <f>INDEX(V_Döviz!M$2:M$28,MATCH(LARGE(V_Döviz!$AL$2:$AL$28,ROW()-3),V_Döviz!$AL$2:$AL$28,0))</f>
        <v>-6.777613743121691E-3</v>
      </c>
      <c r="O10" s="11">
        <f>INDEX(V_Döviz!N$2:N$28,MATCH(LARGE(V_Döviz!$AL$2:$AL$28,ROW()-3),V_Döviz!$AL$2:$AL$28,0))</f>
        <v>135293520464.08</v>
      </c>
      <c r="P10" s="11">
        <f>INDEX(V_Döviz!O$2:O$28,MATCH(LARGE(V_Döviz!$AL$2:$AL$28,ROW()-3),V_Döviz!$AL$2:$AL$28,0))</f>
        <v>133964899412.61</v>
      </c>
      <c r="Q10" s="8">
        <f>INDEX(V_Döviz!P$2:P$28,MATCH(LARGE(V_Döviz!$AL$2:$AL$28,ROW()-3),V_Döviz!$AL$2:$AL$28,0))</f>
        <v>-9.82028590070394E-3</v>
      </c>
      <c r="R10" s="9">
        <f>INDEX(V_Döviz!Q$2:Q$28,MATCH(LARGE(V_Döviz!$AL$2:$AL$28,ROW()-3),V_Döviz!$AL$2:$AL$28,0))</f>
        <v>8.0136726583195622E-2</v>
      </c>
      <c r="S10" s="5" t="str">
        <f>INDEX(V_Döviz!R$2:R$28,MATCH(LARGE(V_Döviz!$AL$2:$AL$28,ROW()-3),V_Döviz!$AL$2:$AL$28,0))</f>
        <v>Görüyor</v>
      </c>
      <c r="T10" s="8">
        <f>INDEX(V_Döviz!S$2:S$28,MATCH(LARGE(V_Döviz!$AL$2:$AL$28,ROW()-3),V_Döviz!$AL$2:$AL$28,0))</f>
        <v>0</v>
      </c>
      <c r="U10" s="8">
        <f>INDEX(V_Döviz!T$2:T$28,MATCH(LARGE(V_Döviz!$AL$2:$AL$28,ROW()-3),V_Döviz!$AL$2:$AL$28,0))</f>
        <v>0</v>
      </c>
      <c r="V10" s="8">
        <f>INDEX(V_Döviz!U$2:U$28,MATCH(LARGE(V_Döviz!$AL$2:$AL$28,ROW()-3),V_Döviz!$AL$2:$AL$28,0))</f>
        <v>0</v>
      </c>
      <c r="W10" s="8">
        <f>INDEX(V_Döviz!V$2:V$28,MATCH(LARGE(V_Döviz!$AL$2:$AL$28,ROW()-3),V_Döviz!$AL$2:$AL$28,0))</f>
        <v>0</v>
      </c>
      <c r="X10" s="8">
        <f>INDEX(V_Döviz!W$2:W$28,MATCH(LARGE(V_Döviz!$AL$2:$AL$28,ROW()-3),V_Döviz!$AL$2:$AL$28,0))</f>
        <v>0</v>
      </c>
      <c r="Y10" s="8">
        <f>INDEX(V_Döviz!X$2:X$28,MATCH(LARGE(V_Döviz!$AL$2:$AL$28,ROW()-3),V_Döviz!$AL$2:$AL$28,0))</f>
        <v>0</v>
      </c>
      <c r="Z10" s="8">
        <f>INDEX(V_Döviz!Y$2:Y$28,MATCH(LARGE(V_Döviz!$AL$2:$AL$28,ROW()-3),V_Döviz!$AL$2:$AL$28,0))</f>
        <v>0</v>
      </c>
      <c r="AA10" s="8">
        <f>INDEX(V_Döviz!Z$2:Z$28,MATCH(LARGE(V_Döviz!$AL$2:$AL$28,ROW()-3),V_Döviz!$AL$2:$AL$28,0))</f>
        <v>1.06E-2</v>
      </c>
      <c r="AB10" s="8">
        <f>INDEX(V_Döviz!AA$2:AA$28,MATCH(LARGE(V_Döviz!$AL$2:$AL$28,ROW()-3),V_Döviz!$AL$2:$AL$28,0))</f>
        <v>0</v>
      </c>
      <c r="AC10" s="8">
        <f>INDEX(V_Döviz!AB$2:AB$28,MATCH(LARGE(V_Döviz!$AL$2:$AL$28,ROW()-3),V_Döviz!$AL$2:$AL$28,0))</f>
        <v>0</v>
      </c>
      <c r="AD10" s="8">
        <f>INDEX(V_Döviz!AC$2:AC$28,MATCH(LARGE(V_Döviz!$AL$2:$AL$28,ROW()-3),V_Döviz!$AL$2:$AL$28,0))</f>
        <v>0</v>
      </c>
      <c r="AE10" s="8">
        <f>INDEX(V_Döviz!AD$2:AD$28,MATCH(LARGE(V_Döviz!$AL$2:$AL$28,ROW()-3),V_Döviz!$AL$2:$AL$28,0))</f>
        <v>1.06E-2</v>
      </c>
      <c r="AF10" s="9">
        <f>INDEX(V_Döviz!AE$2:AE$28,MATCH(LARGE(V_Döviz!$AL$2:$AL$28,ROW()-3),V_Döviz!$AL$2:$AL$28,0))</f>
        <v>84.675263477449136</v>
      </c>
      <c r="AG10" s="9">
        <f>INDEX(V_Döviz!AF$2:AF$28,MATCH(LARGE(V_Döviz!$AL$2:$AL$28,ROW()-3),V_Döviz!$AL$2:$AL$28,0))</f>
        <v>23.355768551694219</v>
      </c>
      <c r="AH10" s="9">
        <f>INDEX(V_Döviz!AG$2:AG$28,MATCH(LARGE(V_Döviz!$AL$2:$AL$28,ROW()-3),V_Döviz!$AL$2:$AL$28,0))</f>
        <v>24.613952390190342</v>
      </c>
      <c r="AI10" s="9">
        <f>INDEX(V_Döviz!AH$2:AH$28,MATCH(LARGE(V_Döviz!$AL$2:$AL$28,ROW()-3),V_Döviz!$AL$2:$AL$28,0))</f>
        <v>23.814775459143959</v>
      </c>
      <c r="AJ10" s="9">
        <f>INDEX(V_Döviz!AI$2:AI$28,MATCH(LARGE(V_Döviz!$AL$2:$AL$28,ROW()-3),V_Döviz!$AL$2:$AL$28,0))</f>
        <v>21.254811022398279</v>
      </c>
      <c r="AK10" s="9">
        <f>INDEX(V_Döviz!AJ$2:AJ$28,MATCH(LARGE(V_Döviz!$AL$2:$AL$28,ROW()-3),V_Döviz!$AL$2:$AL$28,0))</f>
        <v>21.299605628978259</v>
      </c>
    </row>
    <row r="11" spans="1:37" x14ac:dyDescent="0.2">
      <c r="A11">
        <v>8</v>
      </c>
      <c r="B11" s="5" t="str">
        <f>INDEX(V_Döviz!A$2:A$28,MATCH(LARGE(V_Döviz!$AL$2:$AL$28,ROW()-3),V_Döviz!$AL$2:$AL$28,0))</f>
        <v>GPL</v>
      </c>
      <c r="C11" s="5" t="str">
        <f>INDEX(V_Döviz!B$2:B$28,MATCH(LARGE(V_Döviz!$AL$2:$AL$28,ROW()-3),V_Döviz!$AL$2:$AL$28,0))</f>
        <v>Garanti Portföy Birinci Serbest (Döviz) Fon</v>
      </c>
      <c r="D11" s="5" t="str">
        <f>INDEX(V_Döviz!C$2:C$28,MATCH(LARGE(V_Döviz!$AL$2:$AL$28,ROW()-3),V_Döviz!$AL$2:$AL$28,0))</f>
        <v>Garanti Portföy</v>
      </c>
      <c r="E11" s="8">
        <f>INDEX(V_Döviz!D$2:D$28,MATCH(LARGE(V_Döviz!$AL$2:$AL$28,ROW()-3),V_Döviz!$AL$2:$AL$28,0))</f>
        <v>0.01</v>
      </c>
      <c r="F11" s="9">
        <f>INDEX(V_Döviz!E$2:E$28,MATCH(LARGE(V_Döviz!$AL$2:$AL$28,ROW()-3),V_Döviz!$AL$2:$AL$28,0))</f>
        <v>0.23193348520378351</v>
      </c>
      <c r="G11" s="9">
        <f>INDEX(V_Döviz!F$2:F$28,MATCH(LARGE(V_Döviz!$AL$2:$AL$28,ROW()-3),V_Döviz!$AL$2:$AL$28,0))</f>
        <v>0.43776955185015343</v>
      </c>
      <c r="H11" s="9">
        <f>INDEX(V_Döviz!G$2:G$28,MATCH(LARGE(V_Döviz!$AL$2:$AL$28,ROW()-3),V_Döviz!$AL$2:$AL$28,0))</f>
        <v>2.1303471630853328</v>
      </c>
      <c r="I11" s="9">
        <f>INDEX(V_Döviz!H$2:H$28,MATCH(LARGE(V_Döviz!$AL$2:$AL$28,ROW()-3),V_Döviz!$AL$2:$AL$28,0))</f>
        <v>0.89259017466980506</v>
      </c>
      <c r="J11" s="9">
        <f>INDEX(V_Döviz!I$2:I$28,MATCH(LARGE(V_Döviz!$AL$2:$AL$28,ROW()-3),V_Döviz!$AL$2:$AL$28,0))</f>
        <v>11.288418865358119</v>
      </c>
      <c r="K11" s="9">
        <f>INDEX(V_Döviz!J$2:J$28,MATCH(LARGE(V_Döviz!$AL$2:$AL$28,ROW()-3),V_Döviz!$AL$2:$AL$28,0))</f>
        <v>21.037295773965511</v>
      </c>
      <c r="L11" s="10">
        <f>INDEX(V_Döviz!K$2:K$28,MATCH(LARGE(V_Döviz!$AL$2:$AL$28,ROW()-3),V_Döviz!$AL$2:$AL$28,0))</f>
        <v>38461</v>
      </c>
      <c r="M11" s="10">
        <f>INDEX(V_Döviz!L$2:L$28,MATCH(LARGE(V_Döviz!$AL$2:$AL$28,ROW()-3),V_Döviz!$AL$2:$AL$28,0))</f>
        <v>37968</v>
      </c>
      <c r="N11" s="8">
        <f>INDEX(V_Döviz!M$2:M$28,MATCH(LARGE(V_Döviz!$AL$2:$AL$28,ROW()-3),V_Döviz!$AL$2:$AL$28,0))</f>
        <v>-1.2818179454512361E-2</v>
      </c>
      <c r="O11" s="11">
        <f>INDEX(V_Döviz!N$2:N$28,MATCH(LARGE(V_Döviz!$AL$2:$AL$28,ROW()-3),V_Döviz!$AL$2:$AL$28,0))</f>
        <v>99795087160.460007</v>
      </c>
      <c r="P11" s="11">
        <f>INDEX(V_Döviz!O$2:O$28,MATCH(LARGE(V_Döviz!$AL$2:$AL$28,ROW()-3),V_Döviz!$AL$2:$AL$28,0))</f>
        <v>98572289294.940002</v>
      </c>
      <c r="Q11" s="8">
        <f>INDEX(V_Döviz!P$2:P$28,MATCH(LARGE(V_Döviz!$AL$2:$AL$28,ROW()-3),V_Döviz!$AL$2:$AL$28,0))</f>
        <v>-1.2253086803299951E-2</v>
      </c>
      <c r="R11" s="9">
        <f>INDEX(V_Döviz!Q$2:Q$28,MATCH(LARGE(V_Döviz!$AL$2:$AL$28,ROW()-3),V_Döviz!$AL$2:$AL$28,0))</f>
        <v>8.0441179812812957E-2</v>
      </c>
      <c r="S11" s="5" t="str">
        <f>INDEX(V_Döviz!R$2:R$28,MATCH(LARGE(V_Döviz!$AL$2:$AL$28,ROW()-3),V_Döviz!$AL$2:$AL$28,0))</f>
        <v>Görüyor</v>
      </c>
      <c r="T11" s="8">
        <f>INDEX(V_Döviz!S$2:S$28,MATCH(LARGE(V_Döviz!$AL$2:$AL$28,ROW()-3),V_Döviz!$AL$2:$AL$28,0))</f>
        <v>0</v>
      </c>
      <c r="U11" s="8">
        <f>INDEX(V_Döviz!T$2:T$28,MATCH(LARGE(V_Döviz!$AL$2:$AL$28,ROW()-3),V_Döviz!$AL$2:$AL$28,0))</f>
        <v>0</v>
      </c>
      <c r="V11" s="8">
        <f>INDEX(V_Döviz!U$2:U$28,MATCH(LARGE(V_Döviz!$AL$2:$AL$28,ROW()-3),V_Döviz!$AL$2:$AL$28,0))</f>
        <v>2.0000000000000001E-4</v>
      </c>
      <c r="W11" s="8">
        <f>INDEX(V_Döviz!V$2:V$28,MATCH(LARGE(V_Döviz!$AL$2:$AL$28,ROW()-3),V_Döviz!$AL$2:$AL$28,0))</f>
        <v>0</v>
      </c>
      <c r="X11" s="8">
        <f>INDEX(V_Döviz!W$2:W$28,MATCH(LARGE(V_Döviz!$AL$2:$AL$28,ROW()-3),V_Döviz!$AL$2:$AL$28,0))</f>
        <v>5.91E-2</v>
      </c>
      <c r="Y11" s="8">
        <f>INDEX(V_Döviz!X$2:X$28,MATCH(LARGE(V_Döviz!$AL$2:$AL$28,ROW()-3),V_Döviz!$AL$2:$AL$28,0))</f>
        <v>0</v>
      </c>
      <c r="Z11" s="8">
        <f>INDEX(V_Döviz!Y$2:Y$28,MATCH(LARGE(V_Döviz!$AL$2:$AL$28,ROW()-3),V_Döviz!$AL$2:$AL$28,0))</f>
        <v>0</v>
      </c>
      <c r="AA11" s="8">
        <f>INDEX(V_Döviz!Z$2:Z$28,MATCH(LARGE(V_Döviz!$AL$2:$AL$28,ROW()-3),V_Döviz!$AL$2:$AL$28,0))</f>
        <v>9.1700000000000004E-2</v>
      </c>
      <c r="AB11" s="8">
        <f>INDEX(V_Döviz!AA$2:AA$28,MATCH(LARGE(V_Döviz!$AL$2:$AL$28,ROW()-3),V_Döviz!$AL$2:$AL$28,0))</f>
        <v>0</v>
      </c>
      <c r="AC11" s="8">
        <f>INDEX(V_Döviz!AB$2:AB$28,MATCH(LARGE(V_Döviz!$AL$2:$AL$28,ROW()-3),V_Döviz!$AL$2:$AL$28,0))</f>
        <v>0</v>
      </c>
      <c r="AD11" s="8">
        <f>INDEX(V_Döviz!AC$2:AC$28,MATCH(LARGE(V_Döviz!$AL$2:$AL$28,ROW()-3),V_Döviz!$AL$2:$AL$28,0))</f>
        <v>0</v>
      </c>
      <c r="AE11" s="8">
        <f>INDEX(V_Döviz!AD$2:AD$28,MATCH(LARGE(V_Döviz!$AL$2:$AL$28,ROW()-3),V_Döviz!$AL$2:$AL$28,0))</f>
        <v>0.151</v>
      </c>
      <c r="AF11" s="9">
        <f>INDEX(V_Döviz!AE$2:AE$28,MATCH(LARGE(V_Döviz!$AL$2:$AL$28,ROW()-3),V_Döviz!$AL$2:$AL$28,0))</f>
        <v>84.655722099380995</v>
      </c>
      <c r="AG11" s="9">
        <f>INDEX(V_Döviz!AF$2:AF$28,MATCH(LARGE(V_Döviz!$AL$2:$AL$28,ROW()-3),V_Döviz!$AL$2:$AL$28,0))</f>
        <v>22.82655520361514</v>
      </c>
      <c r="AH11" s="9">
        <f>INDEX(V_Döviz!AG$2:AG$28,MATCH(LARGE(V_Döviz!$AL$2:$AL$28,ROW()-3),V_Döviz!$AL$2:$AL$28,0))</f>
        <v>24.299272328942081</v>
      </c>
      <c r="AI11" s="9">
        <f>INDEX(V_Döviz!AH$2:AH$28,MATCH(LARGE(V_Döviz!$AL$2:$AL$28,ROW()-3),V_Döviz!$AL$2:$AL$28,0))</f>
        <v>23.271100982462769</v>
      </c>
      <c r="AJ11" s="9">
        <f>INDEX(V_Döviz!AI$2:AI$28,MATCH(LARGE(V_Döviz!$AL$2:$AL$28,ROW()-3),V_Döviz!$AL$2:$AL$28,0))</f>
        <v>21.129604542849808</v>
      </c>
      <c r="AK11" s="9">
        <f>INDEX(V_Döviz!AJ$2:AJ$28,MATCH(LARGE(V_Döviz!$AL$2:$AL$28,ROW()-3),V_Döviz!$AL$2:$AL$28,0))</f>
        <v>21.037295773965511</v>
      </c>
    </row>
    <row r="12" spans="1:37" x14ac:dyDescent="0.2">
      <c r="A12">
        <v>9</v>
      </c>
      <c r="B12" s="5" t="str">
        <f>INDEX(V_Döviz!A$2:A$28,MATCH(LARGE(V_Döviz!$AL$2:$AL$28,ROW()-3),V_Döviz!$AL$2:$AL$28,0))</f>
        <v>DAS</v>
      </c>
      <c r="C12" s="5" t="str">
        <f>INDEX(V_Döviz!B$2:B$28,MATCH(LARGE(V_Döviz!$AL$2:$AL$28,ROW()-3),V_Döviz!$AL$2:$AL$28,0))</f>
        <v>Deniz Portföy Onikinci Serbest (Döviz) Fon</v>
      </c>
      <c r="D12" s="5" t="str">
        <f>INDEX(V_Döviz!C$2:C$28,MATCH(LARGE(V_Döviz!$AL$2:$AL$28,ROW()-3),V_Döviz!$AL$2:$AL$28,0))</f>
        <v>Deniz Portföy</v>
      </c>
      <c r="E12" s="8">
        <f>INDEX(V_Döviz!D$2:D$28,MATCH(LARGE(V_Döviz!$AL$2:$AL$28,ROW()-3),V_Döviz!$AL$2:$AL$28,0))</f>
        <v>8.0000000000000002E-3</v>
      </c>
      <c r="F12" s="9">
        <f>INDEX(V_Döviz!E$2:E$28,MATCH(LARGE(V_Döviz!$AL$2:$AL$28,ROW()-3),V_Döviz!$AL$2:$AL$28,0))</f>
        <v>0.23114946173237169</v>
      </c>
      <c r="G12" s="9">
        <f>INDEX(V_Döviz!F$2:F$28,MATCH(LARGE(V_Döviz!$AL$2:$AL$28,ROW()-3),V_Döviz!$AL$2:$AL$28,0))</f>
        <v>0.44905605140002081</v>
      </c>
      <c r="H12" s="9">
        <f>INDEX(V_Döviz!G$2:G$28,MATCH(LARGE(V_Döviz!$AL$2:$AL$28,ROW()-3),V_Döviz!$AL$2:$AL$28,0))</f>
        <v>2.1979933288396309</v>
      </c>
      <c r="I12" s="9">
        <f>INDEX(V_Döviz!H$2:H$28,MATCH(LARGE(V_Döviz!$AL$2:$AL$28,ROW()-3),V_Döviz!$AL$2:$AL$28,0))</f>
        <v>0.91508764926258035</v>
      </c>
      <c r="J12" s="9">
        <f>INDEX(V_Döviz!I$2:I$28,MATCH(LARGE(V_Döviz!$AL$2:$AL$28,ROW()-3),V_Döviz!$AL$2:$AL$28,0))</f>
        <v>11.56424136432504</v>
      </c>
      <c r="K12" s="9">
        <f>INDEX(V_Döviz!J$2:J$28,MATCH(LARGE(V_Döviz!$AL$2:$AL$28,ROW()-3),V_Döviz!$AL$2:$AL$28,0))</f>
        <v>21.731366296707261</v>
      </c>
      <c r="L12" s="10">
        <f>INDEX(V_Döviz!K$2:K$28,MATCH(LARGE(V_Döviz!$AL$2:$AL$28,ROW()-3),V_Döviz!$AL$2:$AL$28,0))</f>
        <v>26335</v>
      </c>
      <c r="M12" s="10">
        <f>INDEX(V_Döviz!L$2:L$28,MATCH(LARGE(V_Döviz!$AL$2:$AL$28,ROW()-3),V_Döviz!$AL$2:$AL$28,0))</f>
        <v>25825</v>
      </c>
      <c r="N12" s="8">
        <f>INDEX(V_Döviz!M$2:M$28,MATCH(LARGE(V_Döviz!$AL$2:$AL$28,ROW()-3),V_Döviz!$AL$2:$AL$28,0))</f>
        <v>-1.936586292006837E-2</v>
      </c>
      <c r="O12" s="11">
        <f>INDEX(V_Döviz!N$2:N$28,MATCH(LARGE(V_Döviz!$AL$2:$AL$28,ROW()-3),V_Döviz!$AL$2:$AL$28,0))</f>
        <v>121644317434.89</v>
      </c>
      <c r="P12" s="11">
        <f>INDEX(V_Döviz!O$2:O$28,MATCH(LARGE(V_Döviz!$AL$2:$AL$28,ROW()-3),V_Döviz!$AL$2:$AL$28,0))</f>
        <v>114445663132.83</v>
      </c>
      <c r="Q12" s="8">
        <f>INDEX(V_Döviz!P$2:P$28,MATCH(LARGE(V_Döviz!$AL$2:$AL$28,ROW()-3),V_Döviz!$AL$2:$AL$28,0))</f>
        <v>-5.9177892184836933E-2</v>
      </c>
      <c r="R12" s="9">
        <f>INDEX(V_Döviz!Q$2:Q$28,MATCH(LARGE(V_Döviz!$AL$2:$AL$28,ROW()-3),V_Döviz!$AL$2:$AL$28,0))</f>
        <v>8.1384715676913078E-2</v>
      </c>
      <c r="S12" s="5" t="str">
        <f>INDEX(V_Döviz!R$2:R$28,MATCH(LARGE(V_Döviz!$AL$2:$AL$28,ROW()-3),V_Döviz!$AL$2:$AL$28,0))</f>
        <v>Görüyor</v>
      </c>
      <c r="T12" s="8">
        <f>INDEX(V_Döviz!S$2:S$28,MATCH(LARGE(V_Döviz!$AL$2:$AL$28,ROW()-3),V_Döviz!$AL$2:$AL$28,0))</f>
        <v>0</v>
      </c>
      <c r="U12" s="8">
        <f>INDEX(V_Döviz!T$2:T$28,MATCH(LARGE(V_Döviz!$AL$2:$AL$28,ROW()-3),V_Döviz!$AL$2:$AL$28,0))</f>
        <v>0</v>
      </c>
      <c r="V12" s="8">
        <f>INDEX(V_Döviz!U$2:U$28,MATCH(LARGE(V_Döviz!$AL$2:$AL$28,ROW()-3),V_Döviz!$AL$2:$AL$28,0))</f>
        <v>0</v>
      </c>
      <c r="W12" s="8">
        <f>INDEX(V_Döviz!V$2:V$28,MATCH(LARGE(V_Döviz!$AL$2:$AL$28,ROW()-3),V_Döviz!$AL$2:$AL$28,0))</f>
        <v>0</v>
      </c>
      <c r="X12" s="8">
        <f>INDEX(V_Döviz!W$2:W$28,MATCH(LARGE(V_Döviz!$AL$2:$AL$28,ROW()-3),V_Döviz!$AL$2:$AL$28,0))</f>
        <v>4.0399999999999998E-2</v>
      </c>
      <c r="Y12" s="8">
        <f>INDEX(V_Döviz!X$2:X$28,MATCH(LARGE(V_Döviz!$AL$2:$AL$28,ROW()-3),V_Döviz!$AL$2:$AL$28,0))</f>
        <v>0</v>
      </c>
      <c r="Z12" s="8">
        <f>INDEX(V_Döviz!Y$2:Y$28,MATCH(LARGE(V_Döviz!$AL$2:$AL$28,ROW()-3),V_Döviz!$AL$2:$AL$28,0))</f>
        <v>0</v>
      </c>
      <c r="AA12" s="8">
        <f>INDEX(V_Döviz!Z$2:Z$28,MATCH(LARGE(V_Döviz!$AL$2:$AL$28,ROW()-3),V_Döviz!$AL$2:$AL$28,0))</f>
        <v>6.93E-2</v>
      </c>
      <c r="AB12" s="8">
        <f>INDEX(V_Döviz!AA$2:AA$28,MATCH(LARGE(V_Döviz!$AL$2:$AL$28,ROW()-3),V_Döviz!$AL$2:$AL$28,0))</f>
        <v>0</v>
      </c>
      <c r="AC12" s="8">
        <f>INDEX(V_Döviz!AB$2:AB$28,MATCH(LARGE(V_Döviz!$AL$2:$AL$28,ROW()-3),V_Döviz!$AL$2:$AL$28,0))</f>
        <v>0</v>
      </c>
      <c r="AD12" s="8">
        <f>INDEX(V_Döviz!AC$2:AC$28,MATCH(LARGE(V_Döviz!$AL$2:$AL$28,ROW()-3),V_Döviz!$AL$2:$AL$28,0))</f>
        <v>1.2999999999999999E-3</v>
      </c>
      <c r="AE12" s="8">
        <f>INDEX(V_Döviz!AD$2:AD$28,MATCH(LARGE(V_Döviz!$AL$2:$AL$28,ROW()-3),V_Döviz!$AL$2:$AL$28,0))</f>
        <v>0.111</v>
      </c>
      <c r="AF12" s="9">
        <f>INDEX(V_Döviz!AE$2:AE$28,MATCH(LARGE(V_Döviz!$AL$2:$AL$28,ROW()-3),V_Döviz!$AL$2:$AL$28,0))</f>
        <v>84.369553532315678</v>
      </c>
      <c r="AG12" s="9">
        <f>INDEX(V_Döviz!AF$2:AF$28,MATCH(LARGE(V_Döviz!$AL$2:$AL$28,ROW()-3),V_Döviz!$AL$2:$AL$28,0))</f>
        <v>23.4150655372868</v>
      </c>
      <c r="AH12" s="9">
        <f>INDEX(V_Döviz!AG$2:AG$28,MATCH(LARGE(V_Döviz!$AL$2:$AL$28,ROW()-3),V_Döviz!$AL$2:$AL$28,0))</f>
        <v>25.07086140707705</v>
      </c>
      <c r="AI12" s="9">
        <f>INDEX(V_Döviz!AH$2:AH$28,MATCH(LARGE(V_Döviz!$AL$2:$AL$28,ROW()-3),V_Döviz!$AL$2:$AL$28,0))</f>
        <v>23.85764228434584</v>
      </c>
      <c r="AJ12" s="9">
        <f>INDEX(V_Döviz!AI$2:AI$28,MATCH(LARGE(V_Döviz!$AL$2:$AL$28,ROW()-3),V_Döviz!$AL$2:$AL$28,0))</f>
        <v>21.64588768194173</v>
      </c>
      <c r="AK12" s="9">
        <f>INDEX(V_Döviz!AJ$2:AJ$28,MATCH(LARGE(V_Döviz!$AL$2:$AL$28,ROW()-3),V_Döviz!$AL$2:$AL$28,0))</f>
        <v>21.731366296707261</v>
      </c>
    </row>
    <row r="13" spans="1:37" x14ac:dyDescent="0.2">
      <c r="A13">
        <v>10</v>
      </c>
      <c r="B13" s="5" t="str">
        <f>INDEX(V_Döviz!A$2:A$28,MATCH(LARGE(V_Döviz!$AL$2:$AL$28,ROW()-3),V_Döviz!$AL$2:$AL$28,0))</f>
        <v>OJB</v>
      </c>
      <c r="C13" s="5" t="str">
        <f>INDEX(V_Döviz!B$2:B$28,MATCH(LARGE(V_Döviz!$AL$2:$AL$28,ROW()-3),V_Döviz!$AL$2:$AL$28,0))</f>
        <v>Qnb Portföy Beşinci Serbest (Döviz) Fon</v>
      </c>
      <c r="D13" s="5" t="str">
        <f>INDEX(V_Döviz!C$2:C$28,MATCH(LARGE(V_Döviz!$AL$2:$AL$28,ROW()-3),V_Döviz!$AL$2:$AL$28,0))</f>
        <v>Qnb Portföy</v>
      </c>
      <c r="E13" s="8">
        <f>INDEX(V_Döviz!D$2:D$28,MATCH(LARGE(V_Döviz!$AL$2:$AL$28,ROW()-3),V_Döviz!$AL$2:$AL$28,0))</f>
        <v>0.01</v>
      </c>
      <c r="F13" s="9">
        <f>INDEX(V_Döviz!E$2:E$28,MATCH(LARGE(V_Döviz!$AL$2:$AL$28,ROW()-3),V_Döviz!$AL$2:$AL$28,0))</f>
        <v>0.231100802594808</v>
      </c>
      <c r="G13" s="9">
        <f>INDEX(V_Döviz!F$2:F$28,MATCH(LARGE(V_Döviz!$AL$2:$AL$28,ROW()-3),V_Döviz!$AL$2:$AL$28,0))</f>
        <v>0.43484236742463711</v>
      </c>
      <c r="H13" s="9">
        <f>INDEX(V_Döviz!G$2:G$28,MATCH(LARGE(V_Döviz!$AL$2:$AL$28,ROW()-3),V_Döviz!$AL$2:$AL$28,0))</f>
        <v>2.1310173809745652</v>
      </c>
      <c r="I13" s="9">
        <f>INDEX(V_Döviz!H$2:H$28,MATCH(LARGE(V_Döviz!$AL$2:$AL$28,ROW()-3),V_Döviz!$AL$2:$AL$28,0))</f>
        <v>0.88204116707237823</v>
      </c>
      <c r="J13" s="9">
        <f>INDEX(V_Döviz!I$2:I$28,MATCH(LARGE(V_Döviz!$AL$2:$AL$28,ROW()-3),V_Döviz!$AL$2:$AL$28,0))</f>
        <v>11.382902253307741</v>
      </c>
      <c r="K13" s="9">
        <f>INDEX(V_Döviz!J$2:J$28,MATCH(LARGE(V_Döviz!$AL$2:$AL$28,ROW()-3),V_Döviz!$AL$2:$AL$28,0))</f>
        <v>21.28734909084897</v>
      </c>
      <c r="L13" s="10">
        <f>INDEX(V_Döviz!K$2:K$28,MATCH(LARGE(V_Döviz!$AL$2:$AL$28,ROW()-3),V_Döviz!$AL$2:$AL$28,0))</f>
        <v>7264</v>
      </c>
      <c r="M13" s="10">
        <f>INDEX(V_Döviz!L$2:L$28,MATCH(LARGE(V_Döviz!$AL$2:$AL$28,ROW()-3),V_Döviz!$AL$2:$AL$28,0))</f>
        <v>7136</v>
      </c>
      <c r="N13" s="8">
        <f>INDEX(V_Döviz!M$2:M$28,MATCH(LARGE(V_Döviz!$AL$2:$AL$28,ROW()-3),V_Döviz!$AL$2:$AL$28,0))</f>
        <v>-1.7621145374449369E-2</v>
      </c>
      <c r="O13" s="11">
        <f>INDEX(V_Döviz!N$2:N$28,MATCH(LARGE(V_Döviz!$AL$2:$AL$28,ROW()-3),V_Döviz!$AL$2:$AL$28,0))</f>
        <v>28396547055.810001</v>
      </c>
      <c r="P13" s="11">
        <f>INDEX(V_Döviz!O$2:O$28,MATCH(LARGE(V_Döviz!$AL$2:$AL$28,ROW()-3),V_Döviz!$AL$2:$AL$28,0))</f>
        <v>27586322284.07</v>
      </c>
      <c r="Q13" s="8">
        <f>INDEX(V_Döviz!P$2:P$28,MATCH(LARGE(V_Döviz!$AL$2:$AL$28,ROW()-3),V_Döviz!$AL$2:$AL$28,0))</f>
        <v>-2.8532510313581508E-2</v>
      </c>
      <c r="R13" s="9">
        <f>INDEX(V_Döviz!Q$2:Q$28,MATCH(LARGE(V_Döviz!$AL$2:$AL$28,ROW()-3),V_Döviz!$AL$2:$AL$28,0))</f>
        <v>7.9623571191672599E-2</v>
      </c>
      <c r="S13" s="5" t="str">
        <f>INDEX(V_Döviz!R$2:R$28,MATCH(LARGE(V_Döviz!$AL$2:$AL$28,ROW()-3),V_Döviz!$AL$2:$AL$28,0))</f>
        <v>Görüyor</v>
      </c>
      <c r="T13" s="8">
        <f>INDEX(V_Döviz!S$2:S$28,MATCH(LARGE(V_Döviz!$AL$2:$AL$28,ROW()-3),V_Döviz!$AL$2:$AL$28,0))</f>
        <v>0</v>
      </c>
      <c r="U13" s="8">
        <f>INDEX(V_Döviz!T$2:T$28,MATCH(LARGE(V_Döviz!$AL$2:$AL$28,ROW()-3),V_Döviz!$AL$2:$AL$28,0))</f>
        <v>0</v>
      </c>
      <c r="V13" s="8">
        <f>INDEX(V_Döviz!U$2:U$28,MATCH(LARGE(V_Döviz!$AL$2:$AL$28,ROW()-3),V_Döviz!$AL$2:$AL$28,0))</f>
        <v>0</v>
      </c>
      <c r="W13" s="8">
        <f>INDEX(V_Döviz!V$2:V$28,MATCH(LARGE(V_Döviz!$AL$2:$AL$28,ROW()-3),V_Döviz!$AL$2:$AL$28,0))</f>
        <v>0</v>
      </c>
      <c r="X13" s="8">
        <f>INDEX(V_Döviz!W$2:W$28,MATCH(LARGE(V_Döviz!$AL$2:$AL$28,ROW()-3),V_Döviz!$AL$2:$AL$28,0))</f>
        <v>0</v>
      </c>
      <c r="Y13" s="8">
        <f>INDEX(V_Döviz!X$2:X$28,MATCH(LARGE(V_Döviz!$AL$2:$AL$28,ROW()-3),V_Döviz!$AL$2:$AL$28,0))</f>
        <v>0</v>
      </c>
      <c r="Z13" s="8">
        <f>INDEX(V_Döviz!Y$2:Y$28,MATCH(LARGE(V_Döviz!$AL$2:$AL$28,ROW()-3),V_Döviz!$AL$2:$AL$28,0))</f>
        <v>0</v>
      </c>
      <c r="AA13" s="8">
        <f>INDEX(V_Döviz!Z$2:Z$28,MATCH(LARGE(V_Döviz!$AL$2:$AL$28,ROW()-3),V_Döviz!$AL$2:$AL$28,0))</f>
        <v>5.3699999999999998E-2</v>
      </c>
      <c r="AB13" s="8">
        <f>INDEX(V_Döviz!AA$2:AA$28,MATCH(LARGE(V_Döviz!$AL$2:$AL$28,ROW()-3),V_Döviz!$AL$2:$AL$28,0))</f>
        <v>0</v>
      </c>
      <c r="AC13" s="8">
        <f>INDEX(V_Döviz!AB$2:AB$28,MATCH(LARGE(V_Döviz!$AL$2:$AL$28,ROW()-3),V_Döviz!$AL$2:$AL$28,0))</f>
        <v>0</v>
      </c>
      <c r="AD13" s="8">
        <f>INDEX(V_Döviz!AC$2:AC$28,MATCH(LARGE(V_Döviz!$AL$2:$AL$28,ROW()-3),V_Döviz!$AL$2:$AL$28,0))</f>
        <v>4.4000000000000003E-3</v>
      </c>
      <c r="AE13" s="8">
        <f>INDEX(V_Döviz!AD$2:AD$28,MATCH(LARGE(V_Döviz!$AL$2:$AL$28,ROW()-3),V_Döviz!$AL$2:$AL$28,0))</f>
        <v>5.8099999999999999E-2</v>
      </c>
      <c r="AF13" s="9">
        <f>INDEX(V_Döviz!AE$2:AE$28,MATCH(LARGE(V_Döviz!$AL$2:$AL$28,ROW()-3),V_Döviz!$AL$2:$AL$28,0))</f>
        <v>84.351792947104926</v>
      </c>
      <c r="AG13" s="9">
        <f>INDEX(V_Döviz!AF$2:AF$28,MATCH(LARGE(V_Döviz!$AL$2:$AL$28,ROW()-3),V_Döviz!$AL$2:$AL$28,0))</f>
        <v>22.67392344428465</v>
      </c>
      <c r="AH13" s="9">
        <f>INDEX(V_Döviz!AG$2:AG$28,MATCH(LARGE(V_Döviz!$AL$2:$AL$28,ROW()-3),V_Döviz!$AL$2:$AL$28,0))</f>
        <v>24.30691700174113</v>
      </c>
      <c r="AI13" s="9">
        <f>INDEX(V_Döviz!AH$2:AH$28,MATCH(LARGE(V_Döviz!$AL$2:$AL$28,ROW()-3),V_Döviz!$AL$2:$AL$28,0))</f>
        <v>22.996073284386998</v>
      </c>
      <c r="AJ13" s="9">
        <f>INDEX(V_Döviz!AI$2:AI$28,MATCH(LARGE(V_Döviz!$AL$2:$AL$28,ROW()-3),V_Döviz!$AL$2:$AL$28,0))</f>
        <v>21.30645806388371</v>
      </c>
      <c r="AK13" s="9">
        <f>INDEX(V_Döviz!AJ$2:AJ$28,MATCH(LARGE(V_Döviz!$AL$2:$AL$28,ROW()-3),V_Döviz!$AL$2:$AL$28,0))</f>
        <v>21.28734909084897</v>
      </c>
    </row>
    <row r="14" spans="1:37" x14ac:dyDescent="0.2">
      <c r="A14">
        <v>11</v>
      </c>
      <c r="B14" s="5" t="str">
        <f>INDEX(V_Döviz!A$2:A$28,MATCH(LARGE(V_Döviz!$AL$2:$AL$28,ROW()-3),V_Döviz!$AL$2:$AL$28,0))</f>
        <v>GRO</v>
      </c>
      <c r="C14" s="5" t="str">
        <f>INDEX(V_Döviz!B$2:B$28,MATCH(LARGE(V_Döviz!$AL$2:$AL$28,ROW()-3),V_Döviz!$AL$2:$AL$28,0))</f>
        <v>Garanti Portföy Otuzuncu Serbest (Döviz) Fon</v>
      </c>
      <c r="D14" s="5" t="str">
        <f>INDEX(V_Döviz!C$2:C$28,MATCH(LARGE(V_Döviz!$AL$2:$AL$28,ROW()-3),V_Döviz!$AL$2:$AL$28,0))</f>
        <v>Garanti Portföy</v>
      </c>
      <c r="E14" s="8">
        <f>INDEX(V_Döviz!D$2:D$28,MATCH(LARGE(V_Döviz!$AL$2:$AL$28,ROW()-3),V_Döviz!$AL$2:$AL$28,0))</f>
        <v>9.5999999999999992E-3</v>
      </c>
      <c r="F14" s="9">
        <f>INDEX(V_Döviz!E$2:E$28,MATCH(LARGE(V_Döviz!$AL$2:$AL$28,ROW()-3),V_Döviz!$AL$2:$AL$28,0))</f>
        <v>0.23079518081139391</v>
      </c>
      <c r="G14" s="9">
        <f>INDEX(V_Döviz!F$2:F$28,MATCH(LARGE(V_Döviz!$AL$2:$AL$28,ROW()-3),V_Döviz!$AL$2:$AL$28,0))</f>
        <v>0.44531703178087861</v>
      </c>
      <c r="H14" s="9">
        <f>INDEX(V_Döviz!G$2:G$28,MATCH(LARGE(V_Döviz!$AL$2:$AL$28,ROW()-3),V_Döviz!$AL$2:$AL$28,0))</f>
        <v>2.1551884241161501</v>
      </c>
      <c r="I14" s="9">
        <f>INDEX(V_Döviz!H$2:H$28,MATCH(LARGE(V_Döviz!$AL$2:$AL$28,ROW()-3),V_Döviz!$AL$2:$AL$28,0))</f>
        <v>0.90311549506778555</v>
      </c>
      <c r="J14" s="9">
        <f>INDEX(V_Döviz!I$2:I$28,MATCH(LARGE(V_Döviz!$AL$2:$AL$28,ROW()-3),V_Döviz!$AL$2:$AL$28,0))</f>
        <v>11.445518532042209</v>
      </c>
      <c r="K14" s="9">
        <f>INDEX(V_Döviz!J$2:J$28,MATCH(LARGE(V_Döviz!$AL$2:$AL$28,ROW()-3),V_Döviz!$AL$2:$AL$28,0))</f>
        <v>21.656152092255692</v>
      </c>
      <c r="L14" s="10">
        <f>INDEX(V_Döviz!K$2:K$28,MATCH(LARGE(V_Döviz!$AL$2:$AL$28,ROW()-3),V_Döviz!$AL$2:$AL$28,0))</f>
        <v>27001</v>
      </c>
      <c r="M14" s="10">
        <f>INDEX(V_Döviz!L$2:L$28,MATCH(LARGE(V_Döviz!$AL$2:$AL$28,ROW()-3),V_Döviz!$AL$2:$AL$28,0))</f>
        <v>27193</v>
      </c>
      <c r="N14" s="8">
        <f>INDEX(V_Döviz!M$2:M$28,MATCH(LARGE(V_Döviz!$AL$2:$AL$28,ROW()-3),V_Döviz!$AL$2:$AL$28,0))</f>
        <v>7.1108477463797124E-3</v>
      </c>
      <c r="O14" s="11">
        <f>INDEX(V_Döviz!N$2:N$28,MATCH(LARGE(V_Döviz!$AL$2:$AL$28,ROW()-3),V_Döviz!$AL$2:$AL$28,0))</f>
        <v>189182841823.32999</v>
      </c>
      <c r="P14" s="11">
        <f>INDEX(V_Döviz!O$2:O$28,MATCH(LARGE(V_Döviz!$AL$2:$AL$28,ROW()-3),V_Döviz!$AL$2:$AL$28,0))</f>
        <v>188228862952.26999</v>
      </c>
      <c r="Q14" s="8">
        <f>INDEX(V_Döviz!P$2:P$28,MATCH(LARGE(V_Döviz!$AL$2:$AL$28,ROW()-3),V_Döviz!$AL$2:$AL$28,0))</f>
        <v>-5.0426289290593784E-3</v>
      </c>
      <c r="R14" s="9">
        <f>INDEX(V_Döviz!Q$2:Q$28,MATCH(LARGE(V_Döviz!$AL$2:$AL$28,ROW()-3),V_Döviz!$AL$2:$AL$28,0))</f>
        <v>8.0341947885349749E-2</v>
      </c>
      <c r="S14" s="5" t="str">
        <f>INDEX(V_Döviz!R$2:R$28,MATCH(LARGE(V_Döviz!$AL$2:$AL$28,ROW()-3),V_Döviz!$AL$2:$AL$28,0))</f>
        <v>Görüyor</v>
      </c>
      <c r="T14" s="8">
        <f>INDEX(V_Döviz!S$2:S$28,MATCH(LARGE(V_Döviz!$AL$2:$AL$28,ROW()-3),V_Döviz!$AL$2:$AL$28,0))</f>
        <v>0</v>
      </c>
      <c r="U14" s="8">
        <f>INDEX(V_Döviz!T$2:T$28,MATCH(LARGE(V_Döviz!$AL$2:$AL$28,ROW()-3),V_Döviz!$AL$2:$AL$28,0))</f>
        <v>0</v>
      </c>
      <c r="V14" s="8">
        <f>INDEX(V_Döviz!U$2:U$28,MATCH(LARGE(V_Döviz!$AL$2:$AL$28,ROW()-3),V_Döviz!$AL$2:$AL$28,0))</f>
        <v>2.9999999999999997E-4</v>
      </c>
      <c r="W14" s="8">
        <f>INDEX(V_Döviz!V$2:V$28,MATCH(LARGE(V_Döviz!$AL$2:$AL$28,ROW()-3),V_Döviz!$AL$2:$AL$28,0))</f>
        <v>0</v>
      </c>
      <c r="X14" s="8">
        <f>INDEX(V_Döviz!W$2:W$28,MATCH(LARGE(V_Döviz!$AL$2:$AL$28,ROW()-3),V_Döviz!$AL$2:$AL$28,0))</f>
        <v>9.2499999999999999E-2</v>
      </c>
      <c r="Y14" s="8">
        <f>INDEX(V_Döviz!X$2:X$28,MATCH(LARGE(V_Döviz!$AL$2:$AL$28,ROW()-3),V_Döviz!$AL$2:$AL$28,0))</f>
        <v>0</v>
      </c>
      <c r="Z14" s="8">
        <f>INDEX(V_Döviz!Y$2:Y$28,MATCH(LARGE(V_Döviz!$AL$2:$AL$28,ROW()-3),V_Döviz!$AL$2:$AL$28,0))</f>
        <v>0</v>
      </c>
      <c r="AA14" s="8">
        <f>INDEX(V_Döviz!Z$2:Z$28,MATCH(LARGE(V_Döviz!$AL$2:$AL$28,ROW()-3),V_Döviz!$AL$2:$AL$28,0))</f>
        <v>0</v>
      </c>
      <c r="AB14" s="8">
        <f>INDEX(V_Döviz!AA$2:AA$28,MATCH(LARGE(V_Döviz!$AL$2:$AL$28,ROW()-3),V_Döviz!$AL$2:$AL$28,0))</f>
        <v>0</v>
      </c>
      <c r="AC14" s="8">
        <f>INDEX(V_Döviz!AB$2:AB$28,MATCH(LARGE(V_Döviz!$AL$2:$AL$28,ROW()-3),V_Döviz!$AL$2:$AL$28,0))</f>
        <v>0</v>
      </c>
      <c r="AD14" s="8">
        <f>INDEX(V_Döviz!AC$2:AC$28,MATCH(LARGE(V_Döviz!$AL$2:$AL$28,ROW()-3),V_Döviz!$AL$2:$AL$28,0))</f>
        <v>0</v>
      </c>
      <c r="AE14" s="8">
        <f>INDEX(V_Döviz!AD$2:AD$28,MATCH(LARGE(V_Döviz!$AL$2:$AL$28,ROW()-3),V_Döviz!$AL$2:$AL$28,0))</f>
        <v>9.2799999999999994E-2</v>
      </c>
      <c r="AF14" s="9">
        <f>INDEX(V_Döviz!AE$2:AE$28,MATCH(LARGE(V_Döviz!$AL$2:$AL$28,ROW()-3),V_Döviz!$AL$2:$AL$28,0))</f>
        <v>84.240240996158789</v>
      </c>
      <c r="AG14" s="9">
        <f>INDEX(V_Döviz!AF$2:AF$28,MATCH(LARGE(V_Döviz!$AL$2:$AL$28,ROW()-3),V_Döviz!$AL$2:$AL$28,0))</f>
        <v>23.22010237143153</v>
      </c>
      <c r="AH14" s="9">
        <f>INDEX(V_Döviz!AG$2:AG$28,MATCH(LARGE(V_Döviz!$AL$2:$AL$28,ROW()-3),V_Döviz!$AL$2:$AL$28,0))</f>
        <v>24.58261796257484</v>
      </c>
      <c r="AI14" s="9">
        <f>INDEX(V_Döviz!AH$2:AH$28,MATCH(LARGE(V_Döviz!$AL$2:$AL$28,ROW()-3),V_Döviz!$AL$2:$AL$28,0))</f>
        <v>23.545511121410119</v>
      </c>
      <c r="AJ14" s="9">
        <f>INDEX(V_Döviz!AI$2:AI$28,MATCH(LARGE(V_Döviz!$AL$2:$AL$28,ROW()-3),V_Döviz!$AL$2:$AL$28,0))</f>
        <v>21.423662893309778</v>
      </c>
      <c r="AK14" s="9">
        <f>INDEX(V_Döviz!AJ$2:AJ$28,MATCH(LARGE(V_Döviz!$AL$2:$AL$28,ROW()-3),V_Döviz!$AL$2:$AL$28,0))</f>
        <v>21.656152092255692</v>
      </c>
    </row>
    <row r="15" spans="1:37" x14ac:dyDescent="0.2">
      <c r="A15">
        <v>12</v>
      </c>
      <c r="B15" s="5" t="str">
        <f>INDEX(V_Döviz!A$2:A$28,MATCH(LARGE(V_Döviz!$AL$2:$AL$28,ROW()-3),V_Döviz!$AL$2:$AL$28,0))</f>
        <v>KDS</v>
      </c>
      <c r="C15" s="5" t="str">
        <f>INDEX(V_Döviz!B$2:B$28,MATCH(LARGE(V_Döviz!$AL$2:$AL$28,ROW()-3),V_Döviz!$AL$2:$AL$28,0))</f>
        <v>Kuveyt Türk Portföy Yedinci Katılım Serbest (Döviz) Fon</v>
      </c>
      <c r="D15" s="5" t="str">
        <f>INDEX(V_Döviz!C$2:C$28,MATCH(LARGE(V_Döviz!$AL$2:$AL$28,ROW()-3),V_Döviz!$AL$2:$AL$28,0))</f>
        <v>Kuveyt Türk Portföy</v>
      </c>
      <c r="E15" s="8">
        <f>INDEX(V_Döviz!D$2:D$28,MATCH(LARGE(V_Döviz!$AL$2:$AL$28,ROW()-3),V_Döviz!$AL$2:$AL$28,0))</f>
        <v>3.0000000000000001E-3</v>
      </c>
      <c r="F15" s="9">
        <f>INDEX(V_Döviz!E$2:E$28,MATCH(LARGE(V_Döviz!$AL$2:$AL$28,ROW()-3),V_Döviz!$AL$2:$AL$28,0))</f>
        <v>0.23054604625789571</v>
      </c>
      <c r="G15" s="9">
        <f>INDEX(V_Döviz!F$2:F$28,MATCH(LARGE(V_Döviz!$AL$2:$AL$28,ROW()-3),V_Döviz!$AL$2:$AL$28,0))</f>
        <v>0.44107478219361779</v>
      </c>
      <c r="H15" s="9">
        <f>INDEX(V_Döviz!G$2:G$28,MATCH(LARGE(V_Döviz!$AL$2:$AL$28,ROW()-3),V_Döviz!$AL$2:$AL$28,0))</f>
        <v>2.1376998955902948</v>
      </c>
      <c r="I15" s="9">
        <f>INDEX(V_Döviz!H$2:H$28,MATCH(LARGE(V_Döviz!$AL$2:$AL$28,ROW()-3),V_Döviz!$AL$2:$AL$28,0))</f>
        <v>0.89793014759758094</v>
      </c>
      <c r="J15" s="9">
        <f>INDEX(V_Döviz!I$2:I$28,MATCH(LARGE(V_Döviz!$AL$2:$AL$28,ROW()-3),V_Döviz!$AL$2:$AL$28,0))</f>
        <v>11.45344135078037</v>
      </c>
      <c r="K15" s="9">
        <f>INDEX(V_Döviz!J$2:J$28,MATCH(LARGE(V_Döviz!$AL$2:$AL$28,ROW()-3),V_Döviz!$AL$2:$AL$28,0))</f>
        <v>21.410099540569561</v>
      </c>
      <c r="L15" s="10">
        <f>INDEX(V_Döviz!K$2:K$28,MATCH(LARGE(V_Döviz!$AL$2:$AL$28,ROW()-3),V_Döviz!$AL$2:$AL$28,0))</f>
        <v>1390</v>
      </c>
      <c r="M15" s="10">
        <f>INDEX(V_Döviz!L$2:L$28,MATCH(LARGE(V_Döviz!$AL$2:$AL$28,ROW()-3),V_Döviz!$AL$2:$AL$28,0))</f>
        <v>1387</v>
      </c>
      <c r="N15" s="8">
        <f>INDEX(V_Döviz!M$2:M$28,MATCH(LARGE(V_Döviz!$AL$2:$AL$28,ROW()-3),V_Döviz!$AL$2:$AL$28,0))</f>
        <v>-2.158273381294928E-3</v>
      </c>
      <c r="O15" s="11">
        <f>INDEX(V_Döviz!N$2:N$28,MATCH(LARGE(V_Döviz!$AL$2:$AL$28,ROW()-3),V_Döviz!$AL$2:$AL$28,0))</f>
        <v>30309418338.48</v>
      </c>
      <c r="P15" s="11">
        <f>INDEX(V_Döviz!O$2:O$28,MATCH(LARGE(V_Döviz!$AL$2:$AL$28,ROW()-3),V_Döviz!$AL$2:$AL$28,0))</f>
        <v>30281951503.130001</v>
      </c>
      <c r="Q15" s="8">
        <f>INDEX(V_Döviz!P$2:P$28,MATCH(LARGE(V_Döviz!$AL$2:$AL$28,ROW()-3),V_Döviz!$AL$2:$AL$28,0))</f>
        <v>-9.0621453184169809E-4</v>
      </c>
      <c r="R15" s="9">
        <f>INDEX(V_Döviz!Q$2:Q$28,MATCH(LARGE(V_Döviz!$AL$2:$AL$28,ROW()-3),V_Döviz!$AL$2:$AL$28,0))</f>
        <v>7.9823478882096247E-2</v>
      </c>
      <c r="S15" s="5" t="str">
        <f>INDEX(V_Döviz!R$2:R$28,MATCH(LARGE(V_Döviz!$AL$2:$AL$28,ROW()-3),V_Döviz!$AL$2:$AL$28,0))</f>
        <v>Görmüyor</v>
      </c>
      <c r="T15" s="8">
        <f>INDEX(V_Döviz!S$2:S$28,MATCH(LARGE(V_Döviz!$AL$2:$AL$28,ROW()-3),V_Döviz!$AL$2:$AL$28,0))</f>
        <v>0</v>
      </c>
      <c r="U15" s="8">
        <f>INDEX(V_Döviz!T$2:T$28,MATCH(LARGE(V_Döviz!$AL$2:$AL$28,ROW()-3),V_Döviz!$AL$2:$AL$28,0))</f>
        <v>0</v>
      </c>
      <c r="V15" s="8">
        <f>INDEX(V_Döviz!U$2:U$28,MATCH(LARGE(V_Döviz!$AL$2:$AL$28,ROW()-3),V_Döviz!$AL$2:$AL$28,0))</f>
        <v>0</v>
      </c>
      <c r="W15" s="8">
        <f>INDEX(V_Döviz!V$2:V$28,MATCH(LARGE(V_Döviz!$AL$2:$AL$28,ROW()-3),V_Döviz!$AL$2:$AL$28,0))</f>
        <v>0</v>
      </c>
      <c r="X15" s="8">
        <f>INDEX(V_Döviz!W$2:W$28,MATCH(LARGE(V_Döviz!$AL$2:$AL$28,ROW()-3),V_Döviz!$AL$2:$AL$28,0))</f>
        <v>0</v>
      </c>
      <c r="Y15" s="8">
        <f>INDEX(V_Döviz!X$2:X$28,MATCH(LARGE(V_Döviz!$AL$2:$AL$28,ROW()-3),V_Döviz!$AL$2:$AL$28,0))</f>
        <v>0</v>
      </c>
      <c r="Z15" s="8">
        <f>INDEX(V_Döviz!Y$2:Y$28,MATCH(LARGE(V_Döviz!$AL$2:$AL$28,ROW()-3),V_Döviz!$AL$2:$AL$28,0))</f>
        <v>0</v>
      </c>
      <c r="AA15" s="8">
        <f>INDEX(V_Döviz!Z$2:Z$28,MATCH(LARGE(V_Döviz!$AL$2:$AL$28,ROW()-3),V_Döviz!$AL$2:$AL$28,0))</f>
        <v>2.3999999999999998E-3</v>
      </c>
      <c r="AB15" s="8">
        <f>INDEX(V_Döviz!AA$2:AA$28,MATCH(LARGE(V_Döviz!$AL$2:$AL$28,ROW()-3),V_Döviz!$AL$2:$AL$28,0))</f>
        <v>0</v>
      </c>
      <c r="AC15" s="8">
        <f>INDEX(V_Döviz!AB$2:AB$28,MATCH(LARGE(V_Döviz!$AL$2:$AL$28,ROW()-3),V_Döviz!$AL$2:$AL$28,0))</f>
        <v>0</v>
      </c>
      <c r="AD15" s="8">
        <f>INDEX(V_Döviz!AC$2:AC$28,MATCH(LARGE(V_Döviz!$AL$2:$AL$28,ROW()-3),V_Döviz!$AL$2:$AL$28,0))</f>
        <v>0</v>
      </c>
      <c r="AE15" s="8">
        <f>INDEX(V_Döviz!AD$2:AD$28,MATCH(LARGE(V_Döviz!$AL$2:$AL$28,ROW()-3),V_Döviz!$AL$2:$AL$28,0))</f>
        <v>2.3999999999999998E-3</v>
      </c>
      <c r="AF15" s="9">
        <f>INDEX(V_Döviz!AE$2:AE$28,MATCH(LARGE(V_Döviz!$AL$2:$AL$28,ROW()-3),V_Döviz!$AL$2:$AL$28,0))</f>
        <v>84.149306884131917</v>
      </c>
      <c r="AG15" s="9">
        <f>INDEX(V_Döviz!AF$2:AF$28,MATCH(LARGE(V_Döviz!$AL$2:$AL$28,ROW()-3),V_Döviz!$AL$2:$AL$28,0))</f>
        <v>22.998899357238649</v>
      </c>
      <c r="AH15" s="9">
        <f>INDEX(V_Döviz!AG$2:AG$28,MATCH(LARGE(V_Döviz!$AL$2:$AL$28,ROW()-3),V_Döviz!$AL$2:$AL$28,0))</f>
        <v>24.383139434076799</v>
      </c>
      <c r="AI15" s="9">
        <f>INDEX(V_Döviz!AH$2:AH$28,MATCH(LARGE(V_Döviz!$AL$2:$AL$28,ROW()-3),V_Döviz!$AL$2:$AL$28,0))</f>
        <v>23.41032170522265</v>
      </c>
      <c r="AJ15" s="9">
        <f>INDEX(V_Döviz!AI$2:AI$28,MATCH(LARGE(V_Döviz!$AL$2:$AL$28,ROW()-3),V_Döviz!$AL$2:$AL$28,0))</f>
        <v>21.438492784794029</v>
      </c>
      <c r="AK15" s="9">
        <f>INDEX(V_Döviz!AJ$2:AJ$28,MATCH(LARGE(V_Döviz!$AL$2:$AL$28,ROW()-3),V_Döviz!$AL$2:$AL$28,0))</f>
        <v>21.410099540569561</v>
      </c>
    </row>
    <row r="16" spans="1:37" x14ac:dyDescent="0.2">
      <c r="A16">
        <v>13</v>
      </c>
      <c r="B16" s="5" t="str">
        <f>INDEX(V_Döviz!A$2:A$28,MATCH(LARGE(V_Döviz!$AL$2:$AL$28,ROW()-3),V_Döviz!$AL$2:$AL$28,0))</f>
        <v>FPZ</v>
      </c>
      <c r="C16" s="5" t="str">
        <f>INDEX(V_Döviz!B$2:B$28,MATCH(LARGE(V_Döviz!$AL$2:$AL$28,ROW()-3),V_Döviz!$AL$2:$AL$28,0))</f>
        <v>Qnb Portföy Birinci Serbest (Döviz) Fon</v>
      </c>
      <c r="D16" s="5" t="str">
        <f>INDEX(V_Döviz!C$2:C$28,MATCH(LARGE(V_Döviz!$AL$2:$AL$28,ROW()-3),V_Döviz!$AL$2:$AL$28,0))</f>
        <v>Qnb Portföy</v>
      </c>
      <c r="E16" s="8">
        <f>INDEX(V_Döviz!D$2:D$28,MATCH(LARGE(V_Döviz!$AL$2:$AL$28,ROW()-3),V_Döviz!$AL$2:$AL$28,0))</f>
        <v>1.2999999999999999E-2</v>
      </c>
      <c r="F16" s="9">
        <f>INDEX(V_Döviz!E$2:E$28,MATCH(LARGE(V_Döviz!$AL$2:$AL$28,ROW()-3),V_Döviz!$AL$2:$AL$28,0))</f>
        <v>0.23042330556033441</v>
      </c>
      <c r="G16" s="9">
        <f>INDEX(V_Döviz!F$2:F$28,MATCH(LARGE(V_Döviz!$AL$2:$AL$28,ROW()-3),V_Döviz!$AL$2:$AL$28,0))</f>
        <v>0.44306006297083478</v>
      </c>
      <c r="H16" s="9">
        <f>INDEX(V_Döviz!G$2:G$28,MATCH(LARGE(V_Döviz!$AL$2:$AL$28,ROW()-3),V_Döviz!$AL$2:$AL$28,0))</f>
        <v>2.147820375882858</v>
      </c>
      <c r="I16" s="9">
        <f>INDEX(V_Döviz!H$2:H$28,MATCH(LARGE(V_Döviz!$AL$2:$AL$28,ROW()-3),V_Döviz!$AL$2:$AL$28,0))</f>
        <v>0.8996009349430123</v>
      </c>
      <c r="J16" s="9">
        <f>INDEX(V_Döviz!I$2:I$28,MATCH(LARGE(V_Döviz!$AL$2:$AL$28,ROW()-3),V_Döviz!$AL$2:$AL$28,0))</f>
        <v>11.481586700812761</v>
      </c>
      <c r="K16" s="9">
        <f>INDEX(V_Döviz!J$2:J$28,MATCH(LARGE(V_Döviz!$AL$2:$AL$28,ROW()-3),V_Döviz!$AL$2:$AL$28,0))</f>
        <v>21.572191197161558</v>
      </c>
      <c r="L16" s="10">
        <f>INDEX(V_Döviz!K$2:K$28,MATCH(LARGE(V_Döviz!$AL$2:$AL$28,ROW()-3),V_Döviz!$AL$2:$AL$28,0))</f>
        <v>19722</v>
      </c>
      <c r="M16" s="10">
        <f>INDEX(V_Döviz!L$2:L$28,MATCH(LARGE(V_Döviz!$AL$2:$AL$28,ROW()-3),V_Döviz!$AL$2:$AL$28,0))</f>
        <v>19604</v>
      </c>
      <c r="N16" s="8">
        <f>INDEX(V_Döviz!M$2:M$28,MATCH(LARGE(V_Döviz!$AL$2:$AL$28,ROW()-3),V_Döviz!$AL$2:$AL$28,0))</f>
        <v>-5.9831660075042592E-3</v>
      </c>
      <c r="O16" s="11">
        <f>INDEX(V_Döviz!N$2:N$28,MATCH(LARGE(V_Döviz!$AL$2:$AL$28,ROW()-3),V_Döviz!$AL$2:$AL$28,0))</f>
        <v>138050607816.51001</v>
      </c>
      <c r="P16" s="11">
        <f>INDEX(V_Döviz!O$2:O$28,MATCH(LARGE(V_Döviz!$AL$2:$AL$28,ROW()-3),V_Döviz!$AL$2:$AL$28,0))</f>
        <v>136395921653.07001</v>
      </c>
      <c r="Q16" s="8">
        <f>INDEX(V_Döviz!P$2:P$28,MATCH(LARGE(V_Döviz!$AL$2:$AL$28,ROW()-3),V_Döviz!$AL$2:$AL$28,0))</f>
        <v>-1.198608386889055E-2</v>
      </c>
      <c r="R16" s="9">
        <f>INDEX(V_Döviz!Q$2:Q$28,MATCH(LARGE(V_Döviz!$AL$2:$AL$28,ROW()-3),V_Döviz!$AL$2:$AL$28,0))</f>
        <v>7.9594026157853812E-2</v>
      </c>
      <c r="S16" s="5" t="str">
        <f>INDEX(V_Döviz!R$2:R$28,MATCH(LARGE(V_Döviz!$AL$2:$AL$28,ROW()-3),V_Döviz!$AL$2:$AL$28,0))</f>
        <v>Görüyor</v>
      </c>
      <c r="T16" s="8">
        <f>INDEX(V_Döviz!S$2:S$28,MATCH(LARGE(V_Döviz!$AL$2:$AL$28,ROW()-3),V_Döviz!$AL$2:$AL$28,0))</f>
        <v>0</v>
      </c>
      <c r="U16" s="8">
        <f>INDEX(V_Döviz!T$2:T$28,MATCH(LARGE(V_Döviz!$AL$2:$AL$28,ROW()-3),V_Döviz!$AL$2:$AL$28,0))</f>
        <v>0</v>
      </c>
      <c r="V16" s="8">
        <f>INDEX(V_Döviz!U$2:U$28,MATCH(LARGE(V_Döviz!$AL$2:$AL$28,ROW()-3),V_Döviz!$AL$2:$AL$28,0))</f>
        <v>0</v>
      </c>
      <c r="W16" s="8">
        <f>INDEX(V_Döviz!V$2:V$28,MATCH(LARGE(V_Döviz!$AL$2:$AL$28,ROW()-3),V_Döviz!$AL$2:$AL$28,0))</f>
        <v>0</v>
      </c>
      <c r="X16" s="8">
        <f>INDEX(V_Döviz!W$2:W$28,MATCH(LARGE(V_Döviz!$AL$2:$AL$28,ROW()-3),V_Döviz!$AL$2:$AL$28,0))</f>
        <v>0</v>
      </c>
      <c r="Y16" s="8">
        <f>INDEX(V_Döviz!X$2:X$28,MATCH(LARGE(V_Döviz!$AL$2:$AL$28,ROW()-3),V_Döviz!$AL$2:$AL$28,0))</f>
        <v>0</v>
      </c>
      <c r="Z16" s="8">
        <f>INDEX(V_Döviz!Y$2:Y$28,MATCH(LARGE(V_Döviz!$AL$2:$AL$28,ROW()-3),V_Döviz!$AL$2:$AL$28,0))</f>
        <v>0</v>
      </c>
      <c r="AA16" s="8">
        <f>INDEX(V_Döviz!Z$2:Z$28,MATCH(LARGE(V_Döviz!$AL$2:$AL$28,ROW()-3),V_Döviz!$AL$2:$AL$28,0))</f>
        <v>0</v>
      </c>
      <c r="AB16" s="8">
        <f>INDEX(V_Döviz!AA$2:AA$28,MATCH(LARGE(V_Döviz!$AL$2:$AL$28,ROW()-3),V_Döviz!$AL$2:$AL$28,0))</f>
        <v>0</v>
      </c>
      <c r="AC16" s="8">
        <f>INDEX(V_Döviz!AB$2:AB$28,MATCH(LARGE(V_Döviz!$AL$2:$AL$28,ROW()-3),V_Döviz!$AL$2:$AL$28,0))</f>
        <v>0</v>
      </c>
      <c r="AD16" s="8">
        <f>INDEX(V_Döviz!AC$2:AC$28,MATCH(LARGE(V_Döviz!$AL$2:$AL$28,ROW()-3),V_Döviz!$AL$2:$AL$28,0))</f>
        <v>5.8899999999999987E-2</v>
      </c>
      <c r="AE16" s="8">
        <f>INDEX(V_Döviz!AD$2:AD$28,MATCH(LARGE(V_Döviz!$AL$2:$AL$28,ROW()-3),V_Döviz!$AL$2:$AL$28,0))</f>
        <v>5.8899999999999987E-2</v>
      </c>
      <c r="AF16" s="9">
        <f>INDEX(V_Döviz!AE$2:AE$28,MATCH(LARGE(V_Döviz!$AL$2:$AL$28,ROW()-3),V_Döviz!$AL$2:$AL$28,0))</f>
        <v>84.104506529522055</v>
      </c>
      <c r="AG16" s="9">
        <f>INDEX(V_Döviz!AF$2:AF$28,MATCH(LARGE(V_Döviz!$AL$2:$AL$28,ROW()-3),V_Döviz!$AL$2:$AL$28,0))</f>
        <v>23.102417569193531</v>
      </c>
      <c r="AH16" s="9">
        <f>INDEX(V_Döviz!AG$2:AG$28,MATCH(LARGE(V_Döviz!$AL$2:$AL$28,ROW()-3),V_Döviz!$AL$2:$AL$28,0))</f>
        <v>24.498576162413851</v>
      </c>
      <c r="AI16" s="9">
        <f>INDEX(V_Döviz!AH$2:AH$28,MATCH(LARGE(V_Döviz!$AL$2:$AL$28,ROW()-3),V_Döviz!$AL$2:$AL$28,0))</f>
        <v>23.453881518157111</v>
      </c>
      <c r="AJ16" s="9">
        <f>INDEX(V_Döviz!AI$2:AI$28,MATCH(LARGE(V_Döviz!$AL$2:$AL$28,ROW()-3),V_Döviz!$AL$2:$AL$28,0))</f>
        <v>21.491175106649528</v>
      </c>
      <c r="AK16" s="9">
        <f>INDEX(V_Döviz!AJ$2:AJ$28,MATCH(LARGE(V_Döviz!$AL$2:$AL$28,ROW()-3),V_Döviz!$AL$2:$AL$28,0))</f>
        <v>21.572191197161558</v>
      </c>
    </row>
    <row r="17" spans="1:37" x14ac:dyDescent="0.2">
      <c r="A17">
        <v>14</v>
      </c>
      <c r="B17" s="5" t="str">
        <f>INDEX(V_Döviz!A$2:A$28,MATCH(LARGE(V_Döviz!$AL$2:$AL$28,ROW()-3),V_Döviz!$AL$2:$AL$28,0))</f>
        <v>ONS</v>
      </c>
      <c r="C17" s="5" t="str">
        <f>INDEX(V_Döviz!B$2:B$28,MATCH(LARGE(V_Döviz!$AL$2:$AL$28,ROW()-3),V_Döviz!$AL$2:$AL$28,0))</f>
        <v>İŞ Portföy Onikinci Serbest (Döviz) Fon</v>
      </c>
      <c r="D17" s="5" t="str">
        <f>INDEX(V_Döviz!C$2:C$28,MATCH(LARGE(V_Döviz!$AL$2:$AL$28,ROW()-3),V_Döviz!$AL$2:$AL$28,0))</f>
        <v>İŞ Portföy</v>
      </c>
      <c r="E17" s="8">
        <f>INDEX(V_Döviz!D$2:D$28,MATCH(LARGE(V_Döviz!$AL$2:$AL$28,ROW()-3),V_Döviz!$AL$2:$AL$28,0))</f>
        <v>8.0000000000000002E-3</v>
      </c>
      <c r="F17" s="9">
        <f>INDEX(V_Döviz!E$2:E$28,MATCH(LARGE(V_Döviz!$AL$2:$AL$28,ROW()-3),V_Döviz!$AL$2:$AL$28,0))</f>
        <v>0.2301580619524124</v>
      </c>
      <c r="G17" s="9">
        <f>INDEX(V_Döviz!F$2:F$28,MATCH(LARGE(V_Döviz!$AL$2:$AL$28,ROW()-3),V_Döviz!$AL$2:$AL$28,0))</f>
        <v>0.44225182806971741</v>
      </c>
      <c r="H17" s="9">
        <f>INDEX(V_Döviz!G$2:G$28,MATCH(LARGE(V_Döviz!$AL$2:$AL$28,ROW()-3),V_Döviz!$AL$2:$AL$28,0))</f>
        <v>2.1601844380136241</v>
      </c>
      <c r="I17" s="9">
        <f>INDEX(V_Döviz!H$2:H$28,MATCH(LARGE(V_Döviz!$AL$2:$AL$28,ROW()-3),V_Döviz!$AL$2:$AL$28,0))</f>
        <v>0.89547193175403272</v>
      </c>
      <c r="J17" s="9">
        <f>INDEX(V_Döviz!I$2:I$28,MATCH(LARGE(V_Döviz!$AL$2:$AL$28,ROW()-3),V_Döviz!$AL$2:$AL$28,0))</f>
        <v>11.467279879786799</v>
      </c>
      <c r="K17" s="9">
        <f>INDEX(V_Döviz!J$2:J$28,MATCH(LARGE(V_Döviz!$AL$2:$AL$28,ROW()-3),V_Döviz!$AL$2:$AL$28,0))</f>
        <v>21.59704827309319</v>
      </c>
      <c r="L17" s="10">
        <f>INDEX(V_Döviz!K$2:K$28,MATCH(LARGE(V_Döviz!$AL$2:$AL$28,ROW()-3),V_Döviz!$AL$2:$AL$28,0))</f>
        <v>23308</v>
      </c>
      <c r="M17" s="10">
        <f>INDEX(V_Döviz!L$2:L$28,MATCH(LARGE(V_Döviz!$AL$2:$AL$28,ROW()-3),V_Döviz!$AL$2:$AL$28,0))</f>
        <v>23304</v>
      </c>
      <c r="N17" s="8">
        <f>INDEX(V_Döviz!M$2:M$28,MATCH(LARGE(V_Döviz!$AL$2:$AL$28,ROW()-3),V_Döviz!$AL$2:$AL$28,0))</f>
        <v>-1.7161489617301129E-4</v>
      </c>
      <c r="O17" s="11">
        <f>INDEX(V_Döviz!N$2:N$28,MATCH(LARGE(V_Döviz!$AL$2:$AL$28,ROW()-3),V_Döviz!$AL$2:$AL$28,0))</f>
        <v>155240744694.85999</v>
      </c>
      <c r="P17" s="11">
        <f>INDEX(V_Döviz!O$2:O$28,MATCH(LARGE(V_Döviz!$AL$2:$AL$28,ROW()-3),V_Döviz!$AL$2:$AL$28,0))</f>
        <v>162868844439.32999</v>
      </c>
      <c r="Q17" s="8">
        <f>INDEX(V_Döviz!P$2:P$28,MATCH(LARGE(V_Döviz!$AL$2:$AL$28,ROW()-3),V_Döviz!$AL$2:$AL$28,0))</f>
        <v>4.9137227210960248E-2</v>
      </c>
      <c r="R17" s="9">
        <f>INDEX(V_Döviz!Q$2:Q$28,MATCH(LARGE(V_Döviz!$AL$2:$AL$28,ROW()-3),V_Döviz!$AL$2:$AL$28,0))</f>
        <v>8.1151462974441049E-2</v>
      </c>
      <c r="S17" s="5" t="str">
        <f>INDEX(V_Döviz!R$2:R$28,MATCH(LARGE(V_Döviz!$AL$2:$AL$28,ROW()-3),V_Döviz!$AL$2:$AL$28,0))</f>
        <v>Görüyor</v>
      </c>
      <c r="T17" s="8">
        <f>INDEX(V_Döviz!S$2:S$28,MATCH(LARGE(V_Döviz!$AL$2:$AL$28,ROW()-3),V_Döviz!$AL$2:$AL$28,0))</f>
        <v>0</v>
      </c>
      <c r="U17" s="8">
        <f>INDEX(V_Döviz!T$2:T$28,MATCH(LARGE(V_Döviz!$AL$2:$AL$28,ROW()-3),V_Döviz!$AL$2:$AL$28,0))</f>
        <v>0</v>
      </c>
      <c r="V17" s="8">
        <f>INDEX(V_Döviz!U$2:U$28,MATCH(LARGE(V_Döviz!$AL$2:$AL$28,ROW()-3),V_Döviz!$AL$2:$AL$28,0))</f>
        <v>0</v>
      </c>
      <c r="W17" s="8">
        <f>INDEX(V_Döviz!V$2:V$28,MATCH(LARGE(V_Döviz!$AL$2:$AL$28,ROW()-3),V_Döviz!$AL$2:$AL$28,0))</f>
        <v>0</v>
      </c>
      <c r="X17" s="8">
        <f>INDEX(V_Döviz!W$2:W$28,MATCH(LARGE(V_Döviz!$AL$2:$AL$28,ROW()-3),V_Döviz!$AL$2:$AL$28,0))</f>
        <v>0.34039999999999998</v>
      </c>
      <c r="Y17" s="8">
        <f>INDEX(V_Döviz!X$2:X$28,MATCH(LARGE(V_Döviz!$AL$2:$AL$28,ROW()-3),V_Döviz!$AL$2:$AL$28,0))</f>
        <v>0</v>
      </c>
      <c r="Z17" s="8">
        <f>INDEX(V_Döviz!Y$2:Y$28,MATCH(LARGE(V_Döviz!$AL$2:$AL$28,ROW()-3),V_Döviz!$AL$2:$AL$28,0))</f>
        <v>0</v>
      </c>
      <c r="AA17" s="8">
        <f>INDEX(V_Döviz!Z$2:Z$28,MATCH(LARGE(V_Döviz!$AL$2:$AL$28,ROW()-3),V_Döviz!$AL$2:$AL$28,0))</f>
        <v>0</v>
      </c>
      <c r="AB17" s="8">
        <f>INDEX(V_Döviz!AA$2:AA$28,MATCH(LARGE(V_Döviz!$AL$2:$AL$28,ROW()-3),V_Döviz!$AL$2:$AL$28,0))</f>
        <v>0</v>
      </c>
      <c r="AC17" s="8">
        <f>INDEX(V_Döviz!AB$2:AB$28,MATCH(LARGE(V_Döviz!$AL$2:$AL$28,ROW()-3),V_Döviz!$AL$2:$AL$28,0))</f>
        <v>0</v>
      </c>
      <c r="AD17" s="8">
        <f>INDEX(V_Döviz!AC$2:AC$28,MATCH(LARGE(V_Döviz!$AL$2:$AL$28,ROW()-3),V_Döviz!$AL$2:$AL$28,0))</f>
        <v>0</v>
      </c>
      <c r="AE17" s="8">
        <f>INDEX(V_Döviz!AD$2:AD$28,MATCH(LARGE(V_Döviz!$AL$2:$AL$28,ROW()-3),V_Döviz!$AL$2:$AL$28,0))</f>
        <v>0.34039999999999998</v>
      </c>
      <c r="AF17" s="9">
        <f>INDEX(V_Döviz!AE$2:AE$28,MATCH(LARGE(V_Döviz!$AL$2:$AL$28,ROW()-3),V_Döviz!$AL$2:$AL$28,0))</f>
        <v>84.007692612630521</v>
      </c>
      <c r="AG17" s="9">
        <f>INDEX(V_Döviz!AF$2:AF$28,MATCH(LARGE(V_Döviz!$AL$2:$AL$28,ROW()-3),V_Döviz!$AL$2:$AL$28,0))</f>
        <v>23.060273892206691</v>
      </c>
      <c r="AH17" s="9">
        <f>INDEX(V_Döviz!AG$2:AG$28,MATCH(LARGE(V_Döviz!$AL$2:$AL$28,ROW()-3),V_Döviz!$AL$2:$AL$28,0))</f>
        <v>24.639603746092899</v>
      </c>
      <c r="AI17" s="9">
        <f>INDEX(V_Döviz!AH$2:AH$28,MATCH(LARGE(V_Döviz!$AL$2:$AL$28,ROW()-3),V_Döviz!$AL$2:$AL$28,0))</f>
        <v>23.34623250644443</v>
      </c>
      <c r="AJ17" s="9">
        <f>INDEX(V_Döviz!AI$2:AI$28,MATCH(LARGE(V_Döviz!$AL$2:$AL$28,ROW()-3),V_Döviz!$AL$2:$AL$28,0))</f>
        <v>21.464395672421439</v>
      </c>
      <c r="AK17" s="9">
        <f>INDEX(V_Döviz!AJ$2:AJ$28,MATCH(LARGE(V_Döviz!$AL$2:$AL$28,ROW()-3),V_Döviz!$AL$2:$AL$28,0))</f>
        <v>21.59704827309319</v>
      </c>
    </row>
    <row r="18" spans="1:37" x14ac:dyDescent="0.2">
      <c r="A18">
        <v>15</v>
      </c>
      <c r="B18" s="5" t="str">
        <f>INDEX(V_Döviz!A$2:A$28,MATCH(LARGE(V_Döviz!$AL$2:$AL$28,ROW()-3),V_Döviz!$AL$2:$AL$28,0))</f>
        <v>HME</v>
      </c>
      <c r="C18" s="5" t="str">
        <f>INDEX(V_Döviz!B$2:B$28,MATCH(LARGE(V_Döviz!$AL$2:$AL$28,ROW()-3),V_Döviz!$AL$2:$AL$28,0))</f>
        <v>Hsbc Portföy Dördüncü Serbest (Döviz) Fon</v>
      </c>
      <c r="D18" s="5" t="str">
        <f>INDEX(V_Döviz!C$2:C$28,MATCH(LARGE(V_Döviz!$AL$2:$AL$28,ROW()-3),V_Döviz!$AL$2:$AL$28,0))</f>
        <v>Hsbc Portföy</v>
      </c>
      <c r="E18" s="8">
        <f>INDEX(V_Döviz!D$2:D$28,MATCH(LARGE(V_Döviz!$AL$2:$AL$28,ROW()-3),V_Döviz!$AL$2:$AL$28,0))</f>
        <v>7.4999999999999997E-3</v>
      </c>
      <c r="F18" s="9">
        <f>INDEX(V_Döviz!E$2:E$28,MATCH(LARGE(V_Döviz!$AL$2:$AL$28,ROW()-3),V_Döviz!$AL$2:$AL$28,0))</f>
        <v>0.22961239688872309</v>
      </c>
      <c r="G18" s="9">
        <f>INDEX(V_Döviz!F$2:F$28,MATCH(LARGE(V_Döviz!$AL$2:$AL$28,ROW()-3),V_Döviz!$AL$2:$AL$28,0))</f>
        <v>0.43852030469975212</v>
      </c>
      <c r="H18" s="9">
        <f>INDEX(V_Döviz!G$2:G$28,MATCH(LARGE(V_Döviz!$AL$2:$AL$28,ROW()-3),V_Döviz!$AL$2:$AL$28,0))</f>
        <v>2.117533124918336</v>
      </c>
      <c r="I18" s="9">
        <f>INDEX(V_Döviz!H$2:H$28,MATCH(LARGE(V_Döviz!$AL$2:$AL$28,ROW()-3),V_Döviz!$AL$2:$AL$28,0))</f>
        <v>0.88208728937377856</v>
      </c>
      <c r="J18" s="9">
        <f>INDEX(V_Döviz!I$2:I$28,MATCH(LARGE(V_Döviz!$AL$2:$AL$28,ROW()-3),V_Döviz!$AL$2:$AL$28,0))</f>
        <v>10.947332535674621</v>
      </c>
      <c r="K18" s="9">
        <f>INDEX(V_Döviz!J$2:J$28,MATCH(LARGE(V_Döviz!$AL$2:$AL$28,ROW()-3),V_Döviz!$AL$2:$AL$28,0))</f>
        <v>20.880174223140919</v>
      </c>
      <c r="L18" s="10">
        <f>INDEX(V_Döviz!K$2:K$28,MATCH(LARGE(V_Döviz!$AL$2:$AL$28,ROW()-3),V_Döviz!$AL$2:$AL$28,0))</f>
        <v>8443</v>
      </c>
      <c r="M18" s="10">
        <f>INDEX(V_Döviz!L$2:L$28,MATCH(LARGE(V_Döviz!$AL$2:$AL$28,ROW()-3),V_Döviz!$AL$2:$AL$28,0))</f>
        <v>8279</v>
      </c>
      <c r="N18" s="8">
        <f>INDEX(V_Döviz!M$2:M$28,MATCH(LARGE(V_Döviz!$AL$2:$AL$28,ROW()-3),V_Döviz!$AL$2:$AL$28,0))</f>
        <v>-1.9424375222077409E-2</v>
      </c>
      <c r="O18" s="11">
        <f>INDEX(V_Döviz!N$2:N$28,MATCH(LARGE(V_Döviz!$AL$2:$AL$28,ROW()-3),V_Döviz!$AL$2:$AL$28,0))</f>
        <v>26644242987.099998</v>
      </c>
      <c r="P18" s="11">
        <f>INDEX(V_Döviz!O$2:O$28,MATCH(LARGE(V_Döviz!$AL$2:$AL$28,ROW()-3),V_Döviz!$AL$2:$AL$28,0))</f>
        <v>26345227662.860001</v>
      </c>
      <c r="Q18" s="8">
        <f>INDEX(V_Döviz!P$2:P$28,MATCH(LARGE(V_Döviz!$AL$2:$AL$28,ROW()-3),V_Döviz!$AL$2:$AL$28,0))</f>
        <v>-1.122251153409648E-2</v>
      </c>
      <c r="R18" s="9">
        <f>INDEX(V_Döviz!Q$2:Q$28,MATCH(LARGE(V_Döviz!$AL$2:$AL$28,ROW()-3),V_Döviz!$AL$2:$AL$28,0))</f>
        <v>8.1958514389477127E-2</v>
      </c>
      <c r="S18" s="5" t="str">
        <f>INDEX(V_Döviz!R$2:R$28,MATCH(LARGE(V_Döviz!$AL$2:$AL$28,ROW()-3),V_Döviz!$AL$2:$AL$28,0))</f>
        <v>Görmüyor</v>
      </c>
      <c r="T18" s="8">
        <f>INDEX(V_Döviz!S$2:S$28,MATCH(LARGE(V_Döviz!$AL$2:$AL$28,ROW()-3),V_Döviz!$AL$2:$AL$28,0))</f>
        <v>0</v>
      </c>
      <c r="U18" s="8">
        <f>INDEX(V_Döviz!T$2:T$28,MATCH(LARGE(V_Döviz!$AL$2:$AL$28,ROW()-3),V_Döviz!$AL$2:$AL$28,0))</f>
        <v>0</v>
      </c>
      <c r="V18" s="8">
        <f>INDEX(V_Döviz!U$2:U$28,MATCH(LARGE(V_Döviz!$AL$2:$AL$28,ROW()-3),V_Döviz!$AL$2:$AL$28,0))</f>
        <v>0</v>
      </c>
      <c r="W18" s="8">
        <f>INDEX(V_Döviz!V$2:V$28,MATCH(LARGE(V_Döviz!$AL$2:$AL$28,ROW()-3),V_Döviz!$AL$2:$AL$28,0))</f>
        <v>0</v>
      </c>
      <c r="X18" s="8">
        <f>INDEX(V_Döviz!W$2:W$28,MATCH(LARGE(V_Döviz!$AL$2:$AL$28,ROW()-3),V_Döviz!$AL$2:$AL$28,0))</f>
        <v>0.2349</v>
      </c>
      <c r="Y18" s="8">
        <f>INDEX(V_Döviz!X$2:X$28,MATCH(LARGE(V_Döviz!$AL$2:$AL$28,ROW()-3),V_Döviz!$AL$2:$AL$28,0))</f>
        <v>0</v>
      </c>
      <c r="Z18" s="8">
        <f>INDEX(V_Döviz!Y$2:Y$28,MATCH(LARGE(V_Döviz!$AL$2:$AL$28,ROW()-3),V_Döviz!$AL$2:$AL$28,0))</f>
        <v>1E-4</v>
      </c>
      <c r="AA18" s="8">
        <f>INDEX(V_Döviz!Z$2:Z$28,MATCH(LARGE(V_Döviz!$AL$2:$AL$28,ROW()-3),V_Döviz!$AL$2:$AL$28,0))</f>
        <v>2.1700000000000001E-2</v>
      </c>
      <c r="AB18" s="8">
        <f>INDEX(V_Döviz!AA$2:AA$28,MATCH(LARGE(V_Döviz!$AL$2:$AL$28,ROW()-3),V_Döviz!$AL$2:$AL$28,0))</f>
        <v>0</v>
      </c>
      <c r="AC18" s="8">
        <f>INDEX(V_Döviz!AB$2:AB$28,MATCH(LARGE(V_Döviz!$AL$2:$AL$28,ROW()-3),V_Döviz!$AL$2:$AL$28,0))</f>
        <v>0</v>
      </c>
      <c r="AD18" s="8">
        <f>INDEX(V_Döviz!AC$2:AC$28,MATCH(LARGE(V_Döviz!$AL$2:$AL$28,ROW()-3),V_Döviz!$AL$2:$AL$28,0))</f>
        <v>8.0000000000000002E-3</v>
      </c>
      <c r="AE18" s="8">
        <f>INDEX(V_Döviz!AD$2:AD$28,MATCH(LARGE(V_Döviz!$AL$2:$AL$28,ROW()-3),V_Döviz!$AL$2:$AL$28,0))</f>
        <v>0.26469999999999999</v>
      </c>
      <c r="AF18" s="9">
        <f>INDEX(V_Döviz!AE$2:AE$28,MATCH(LARGE(V_Döviz!$AL$2:$AL$28,ROW()-3),V_Döviz!$AL$2:$AL$28,0))</f>
        <v>83.808524864383955</v>
      </c>
      <c r="AG18" s="9">
        <f>INDEX(V_Döviz!AF$2:AF$28,MATCH(LARGE(V_Döviz!$AL$2:$AL$28,ROW()-3),V_Döviz!$AL$2:$AL$28,0))</f>
        <v>22.865701602201359</v>
      </c>
      <c r="AH18" s="9">
        <f>INDEX(V_Döviz!AG$2:AG$28,MATCH(LARGE(V_Döviz!$AL$2:$AL$28,ROW()-3),V_Döviz!$AL$2:$AL$28,0))</f>
        <v>24.15311220609977</v>
      </c>
      <c r="AI18" s="9">
        <f>INDEX(V_Döviz!AH$2:AH$28,MATCH(LARGE(V_Döviz!$AL$2:$AL$28,ROW()-3),V_Döviz!$AL$2:$AL$28,0))</f>
        <v>22.99727575867351</v>
      </c>
      <c r="AJ18" s="9">
        <f>INDEX(V_Döviz!AI$2:AI$28,MATCH(LARGE(V_Döviz!$AL$2:$AL$28,ROW()-3),V_Döviz!$AL$2:$AL$28,0))</f>
        <v>20.491160900108891</v>
      </c>
      <c r="AK18" s="9">
        <f>INDEX(V_Döviz!AJ$2:AJ$28,MATCH(LARGE(V_Döviz!$AL$2:$AL$28,ROW()-3),V_Döviz!$AL$2:$AL$28,0))</f>
        <v>20.880174223140919</v>
      </c>
    </row>
    <row r="19" spans="1:37" x14ac:dyDescent="0.2">
      <c r="A19">
        <v>16</v>
      </c>
      <c r="B19" s="5" t="str">
        <f>INDEX(V_Döviz!A$2:A$28,MATCH(LARGE(V_Döviz!$AL$2:$AL$28,ROW()-3),V_Döviz!$AL$2:$AL$28,0))</f>
        <v>OBR</v>
      </c>
      <c r="C19" s="5" t="str">
        <f>INDEX(V_Döviz!B$2:B$28,MATCH(LARGE(V_Döviz!$AL$2:$AL$28,ROW()-3),V_Döviz!$AL$2:$AL$28,0))</f>
        <v>AK Portföy Onbirinci Serbest (Döviz) Fon</v>
      </c>
      <c r="D19" s="5" t="str">
        <f>INDEX(V_Döviz!C$2:C$28,MATCH(LARGE(V_Döviz!$AL$2:$AL$28,ROW()-3),V_Döviz!$AL$2:$AL$28,0))</f>
        <v>AK Portföy</v>
      </c>
      <c r="E19" s="8">
        <f>INDEX(V_Döviz!D$2:D$28,MATCH(LARGE(V_Döviz!$AL$2:$AL$28,ROW()-3),V_Döviz!$AL$2:$AL$28,0))</f>
        <v>1.0999999999999999E-2</v>
      </c>
      <c r="F19" s="9">
        <f>INDEX(V_Döviz!E$2:E$28,MATCH(LARGE(V_Döviz!$AL$2:$AL$28,ROW()-3),V_Döviz!$AL$2:$AL$28,0))</f>
        <v>0.22950685161304829</v>
      </c>
      <c r="G19" s="9">
        <f>INDEX(V_Döviz!F$2:F$28,MATCH(LARGE(V_Döviz!$AL$2:$AL$28,ROW()-3),V_Döviz!$AL$2:$AL$28,0))</f>
        <v>0.43221743074919328</v>
      </c>
      <c r="H19" s="9">
        <f>INDEX(V_Döviz!G$2:G$28,MATCH(LARGE(V_Döviz!$AL$2:$AL$28,ROW()-3),V_Döviz!$AL$2:$AL$28,0))</f>
        <v>2.1372016204864508</v>
      </c>
      <c r="I19" s="9">
        <f>INDEX(V_Döviz!H$2:H$28,MATCH(LARGE(V_Döviz!$AL$2:$AL$28,ROW()-3),V_Döviz!$AL$2:$AL$28,0))</f>
        <v>0.89087368147300339</v>
      </c>
      <c r="J19" s="9">
        <f>INDEX(V_Döviz!I$2:I$28,MATCH(LARGE(V_Döviz!$AL$2:$AL$28,ROW()-3),V_Döviz!$AL$2:$AL$28,0))</f>
        <v>11.428948904733691</v>
      </c>
      <c r="K19" s="9">
        <f>INDEX(V_Döviz!J$2:J$28,MATCH(LARGE(V_Döviz!$AL$2:$AL$28,ROW()-3),V_Döviz!$AL$2:$AL$28,0))</f>
        <v>21.740234489418089</v>
      </c>
      <c r="L19" s="10">
        <f>INDEX(V_Döviz!K$2:K$28,MATCH(LARGE(V_Döviz!$AL$2:$AL$28,ROW()-3),V_Döviz!$AL$2:$AL$28,0))</f>
        <v>11098</v>
      </c>
      <c r="M19" s="10">
        <f>INDEX(V_Döviz!L$2:L$28,MATCH(LARGE(V_Döviz!$AL$2:$AL$28,ROW()-3),V_Döviz!$AL$2:$AL$28,0))</f>
        <v>10881</v>
      </c>
      <c r="N19" s="8">
        <f>INDEX(V_Döviz!M$2:M$28,MATCH(LARGE(V_Döviz!$AL$2:$AL$28,ROW()-3),V_Döviz!$AL$2:$AL$28,0))</f>
        <v>-1.9553072625698279E-2</v>
      </c>
      <c r="O19" s="11">
        <f>INDEX(V_Döviz!N$2:N$28,MATCH(LARGE(V_Döviz!$AL$2:$AL$28,ROW()-3),V_Döviz!$AL$2:$AL$28,0))</f>
        <v>47110847343.68</v>
      </c>
      <c r="P19" s="11">
        <f>INDEX(V_Döviz!O$2:O$28,MATCH(LARGE(V_Döviz!$AL$2:$AL$28,ROW()-3),V_Döviz!$AL$2:$AL$28,0))</f>
        <v>47155986585.690002</v>
      </c>
      <c r="Q19" s="8">
        <f>INDEX(V_Döviz!P$2:P$28,MATCH(LARGE(V_Döviz!$AL$2:$AL$28,ROW()-3),V_Döviz!$AL$2:$AL$28,0))</f>
        <v>9.5814965247176254E-4</v>
      </c>
      <c r="R19" s="9">
        <f>INDEX(V_Döviz!Q$2:Q$28,MATCH(LARGE(V_Döviz!$AL$2:$AL$28,ROW()-3),V_Döviz!$AL$2:$AL$28,0))</f>
        <v>8.1540120885636544E-2</v>
      </c>
      <c r="S19" s="5" t="str">
        <f>INDEX(V_Döviz!R$2:R$28,MATCH(LARGE(V_Döviz!$AL$2:$AL$28,ROW()-3),V_Döviz!$AL$2:$AL$28,0))</f>
        <v>Görmüyor</v>
      </c>
      <c r="T19" s="8">
        <f>INDEX(V_Döviz!S$2:S$28,MATCH(LARGE(V_Döviz!$AL$2:$AL$28,ROW()-3),V_Döviz!$AL$2:$AL$28,0))</f>
        <v>0</v>
      </c>
      <c r="U19" s="8">
        <f>INDEX(V_Döviz!T$2:T$28,MATCH(LARGE(V_Döviz!$AL$2:$AL$28,ROW()-3),V_Döviz!$AL$2:$AL$28,0))</f>
        <v>0</v>
      </c>
      <c r="V19" s="8">
        <f>INDEX(V_Döviz!U$2:U$28,MATCH(LARGE(V_Döviz!$AL$2:$AL$28,ROW()-3),V_Döviz!$AL$2:$AL$28,0))</f>
        <v>0</v>
      </c>
      <c r="W19" s="8">
        <f>INDEX(V_Döviz!V$2:V$28,MATCH(LARGE(V_Döviz!$AL$2:$AL$28,ROW()-3),V_Döviz!$AL$2:$AL$28,0))</f>
        <v>0</v>
      </c>
      <c r="X19" s="8">
        <f>INDEX(V_Döviz!W$2:W$28,MATCH(LARGE(V_Döviz!$AL$2:$AL$28,ROW()-3),V_Döviz!$AL$2:$AL$28,0))</f>
        <v>0.254</v>
      </c>
      <c r="Y19" s="8">
        <f>INDEX(V_Döviz!X$2:X$28,MATCH(LARGE(V_Döviz!$AL$2:$AL$28,ROW()-3),V_Döviz!$AL$2:$AL$28,0))</f>
        <v>0</v>
      </c>
      <c r="Z19" s="8">
        <f>INDEX(V_Döviz!Y$2:Y$28,MATCH(LARGE(V_Döviz!$AL$2:$AL$28,ROW()-3),V_Döviz!$AL$2:$AL$28,0))</f>
        <v>0</v>
      </c>
      <c r="AA19" s="8">
        <f>INDEX(V_Döviz!Z$2:Z$28,MATCH(LARGE(V_Döviz!$AL$2:$AL$28,ROW()-3),V_Döviz!$AL$2:$AL$28,0))</f>
        <v>2.0500000000000001E-2</v>
      </c>
      <c r="AB19" s="8">
        <f>INDEX(V_Döviz!AA$2:AA$28,MATCH(LARGE(V_Döviz!$AL$2:$AL$28,ROW()-3),V_Döviz!$AL$2:$AL$28,0))</f>
        <v>0</v>
      </c>
      <c r="AC19" s="8">
        <f>INDEX(V_Döviz!AB$2:AB$28,MATCH(LARGE(V_Döviz!$AL$2:$AL$28,ROW()-3),V_Döviz!$AL$2:$AL$28,0))</f>
        <v>0</v>
      </c>
      <c r="AD19" s="8">
        <f>INDEX(V_Döviz!AC$2:AC$28,MATCH(LARGE(V_Döviz!$AL$2:$AL$28,ROW()-3),V_Döviz!$AL$2:$AL$28,0))</f>
        <v>0</v>
      </c>
      <c r="AE19" s="8">
        <f>INDEX(V_Döviz!AD$2:AD$28,MATCH(LARGE(V_Döviz!$AL$2:$AL$28,ROW()-3),V_Döviz!$AL$2:$AL$28,0))</f>
        <v>0.27450000000000002</v>
      </c>
      <c r="AF19" s="9">
        <f>INDEX(V_Döviz!AE$2:AE$28,MATCH(LARGE(V_Döviz!$AL$2:$AL$28,ROW()-3),V_Döviz!$AL$2:$AL$28,0))</f>
        <v>83.770000838762627</v>
      </c>
      <c r="AG19" s="9">
        <f>INDEX(V_Döviz!AF$2:AF$28,MATCH(LARGE(V_Döviz!$AL$2:$AL$28,ROW()-3),V_Döviz!$AL$2:$AL$28,0))</f>
        <v>22.53705174620794</v>
      </c>
      <c r="AH19" s="9">
        <f>INDEX(V_Döviz!AG$2:AG$28,MATCH(LARGE(V_Döviz!$AL$2:$AL$28,ROW()-3),V_Döviz!$AL$2:$AL$28,0))</f>
        <v>24.377455983673581</v>
      </c>
      <c r="AI19" s="9">
        <f>INDEX(V_Döviz!AH$2:AH$28,MATCH(LARGE(V_Döviz!$AL$2:$AL$28,ROW()-3),V_Döviz!$AL$2:$AL$28,0))</f>
        <v>23.226349552689019</v>
      </c>
      <c r="AJ19" s="9">
        <f>INDEX(V_Döviz!AI$2:AI$28,MATCH(LARGE(V_Döviz!$AL$2:$AL$28,ROW()-3),V_Döviz!$AL$2:$AL$28,0))</f>
        <v>21.39264794988615</v>
      </c>
      <c r="AK19" s="9">
        <f>INDEX(V_Döviz!AJ$2:AJ$28,MATCH(LARGE(V_Döviz!$AL$2:$AL$28,ROW()-3),V_Döviz!$AL$2:$AL$28,0))</f>
        <v>21.740234489418089</v>
      </c>
    </row>
    <row r="20" spans="1:37" x14ac:dyDescent="0.2">
      <c r="A20">
        <v>17</v>
      </c>
      <c r="B20" s="5" t="str">
        <f>INDEX(V_Döviz!A$2:A$28,MATCH(LARGE(V_Döviz!$AL$2:$AL$28,ROW()-3),V_Döviz!$AL$2:$AL$28,0))</f>
        <v>AL5</v>
      </c>
      <c r="C20" s="5" t="str">
        <f>INDEX(V_Döviz!B$2:B$28,MATCH(LARGE(V_Döviz!$AL$2:$AL$28,ROW()-3),V_Döviz!$AL$2:$AL$28,0))</f>
        <v>Albaraka Portföy Katılım Serbest (Döviz) Fon</v>
      </c>
      <c r="D20" s="5">
        <f>INDEX(V_Döviz!C$2:C$28,MATCH(LARGE(V_Döviz!$AL$2:$AL$28,ROW()-3),V_Döviz!$AL$2:$AL$28,0))</f>
        <v>0</v>
      </c>
      <c r="E20" s="8" t="str">
        <f>INDEX(V_Döviz!D$2:D$28,MATCH(LARGE(V_Döviz!$AL$2:$AL$28,ROW()-3),V_Döviz!$AL$2:$AL$28,0))</f>
        <v>-</v>
      </c>
      <c r="F20" s="9">
        <f>INDEX(V_Döviz!E$2:E$28,MATCH(LARGE(V_Döviz!$AL$2:$AL$28,ROW()-3),V_Döviz!$AL$2:$AL$28,0))</f>
        <v>0.2275012397495724</v>
      </c>
      <c r="G20" s="9">
        <f>INDEX(V_Döviz!F$2:F$28,MATCH(LARGE(V_Döviz!$AL$2:$AL$28,ROW()-3),V_Döviz!$AL$2:$AL$28,0))</f>
        <v>0.41663904460207402</v>
      </c>
      <c r="H20" s="9">
        <f>INDEX(V_Döviz!G$2:G$28,MATCH(LARGE(V_Döviz!$AL$2:$AL$28,ROW()-3),V_Döviz!$AL$2:$AL$28,0))</f>
        <v>1.9800847921487059</v>
      </c>
      <c r="I20" s="9">
        <f>INDEX(V_Döviz!H$2:H$28,MATCH(LARGE(V_Döviz!$AL$2:$AL$28,ROW()-3),V_Döviz!$AL$2:$AL$28,0))</f>
        <v>0.84291680756076737</v>
      </c>
      <c r="J20" s="9">
        <f>INDEX(V_Döviz!I$2:I$28,MATCH(LARGE(V_Döviz!$AL$2:$AL$28,ROW()-3),V_Döviz!$AL$2:$AL$28,0))</f>
        <v>10.526514863303509</v>
      </c>
      <c r="K20" s="9">
        <f>INDEX(V_Döviz!J$2:J$28,MATCH(LARGE(V_Döviz!$AL$2:$AL$28,ROW()-3),V_Döviz!$AL$2:$AL$28,0))</f>
        <v>19.565486656752391</v>
      </c>
      <c r="L20" s="10">
        <f>INDEX(V_Döviz!K$2:K$28,MATCH(LARGE(V_Döviz!$AL$2:$AL$28,ROW()-3),V_Döviz!$AL$2:$AL$28,0))</f>
        <v>2413</v>
      </c>
      <c r="M20" s="10">
        <f>INDEX(V_Döviz!L$2:L$28,MATCH(LARGE(V_Döviz!$AL$2:$AL$28,ROW()-3),V_Döviz!$AL$2:$AL$28,0))</f>
        <v>2384</v>
      </c>
      <c r="N20" s="8">
        <f>INDEX(V_Döviz!M$2:M$28,MATCH(LARGE(V_Döviz!$AL$2:$AL$28,ROW()-3),V_Döviz!$AL$2:$AL$28,0))</f>
        <v>-1.201823456278495E-2</v>
      </c>
      <c r="O20" s="11">
        <f>INDEX(V_Döviz!N$2:N$28,MATCH(LARGE(V_Döviz!$AL$2:$AL$28,ROW()-3),V_Döviz!$AL$2:$AL$28,0))</f>
        <v>14398542405.65</v>
      </c>
      <c r="P20" s="11">
        <f>INDEX(V_Döviz!O$2:O$28,MATCH(LARGE(V_Döviz!$AL$2:$AL$28,ROW()-3),V_Döviz!$AL$2:$AL$28,0))</f>
        <v>13715984087.690001</v>
      </c>
      <c r="Q20" s="8">
        <f>INDEX(V_Döviz!P$2:P$28,MATCH(LARGE(V_Döviz!$AL$2:$AL$28,ROW()-3),V_Döviz!$AL$2:$AL$28,0))</f>
        <v>-4.7404681580280113E-2</v>
      </c>
      <c r="R20" s="9">
        <f>INDEX(V_Döviz!Q$2:Q$28,MATCH(LARGE(V_Döviz!$AL$2:$AL$28,ROW()-3),V_Döviz!$AL$2:$AL$28,0))</f>
        <v>7.9946704333702628E-2</v>
      </c>
      <c r="S20" s="5" t="str">
        <f>INDEX(V_Döviz!R$2:R$28,MATCH(LARGE(V_Döviz!$AL$2:$AL$28,ROW()-3),V_Döviz!$AL$2:$AL$28,0))</f>
        <v>-</v>
      </c>
      <c r="T20" s="8">
        <f>INDEX(V_Döviz!S$2:S$28,MATCH(LARGE(V_Döviz!$AL$2:$AL$28,ROW()-3),V_Döviz!$AL$2:$AL$28,0))</f>
        <v>0</v>
      </c>
      <c r="U20" s="8">
        <f>INDEX(V_Döviz!T$2:T$28,MATCH(LARGE(V_Döviz!$AL$2:$AL$28,ROW()-3),V_Döviz!$AL$2:$AL$28,0))</f>
        <v>0</v>
      </c>
      <c r="V20" s="8">
        <f>INDEX(V_Döviz!U$2:U$28,MATCH(LARGE(V_Döviz!$AL$2:$AL$28,ROW()-3),V_Döviz!$AL$2:$AL$28,0))</f>
        <v>0</v>
      </c>
      <c r="W20" s="8">
        <f>INDEX(V_Döviz!V$2:V$28,MATCH(LARGE(V_Döviz!$AL$2:$AL$28,ROW()-3),V_Döviz!$AL$2:$AL$28,0))</f>
        <v>0</v>
      </c>
      <c r="X20" s="8">
        <f>INDEX(V_Döviz!W$2:W$28,MATCH(LARGE(V_Döviz!$AL$2:$AL$28,ROW()-3),V_Döviz!$AL$2:$AL$28,0))</f>
        <v>0</v>
      </c>
      <c r="Y20" s="8">
        <f>INDEX(V_Döviz!X$2:X$28,MATCH(LARGE(V_Döviz!$AL$2:$AL$28,ROW()-3),V_Döviz!$AL$2:$AL$28,0))</f>
        <v>0</v>
      </c>
      <c r="Z20" s="8">
        <f>INDEX(V_Döviz!Y$2:Y$28,MATCH(LARGE(V_Döviz!$AL$2:$AL$28,ROW()-3),V_Döviz!$AL$2:$AL$28,0))</f>
        <v>0</v>
      </c>
      <c r="AA20" s="8">
        <f>INDEX(V_Döviz!Z$2:Z$28,MATCH(LARGE(V_Döviz!$AL$2:$AL$28,ROW()-3),V_Döviz!$AL$2:$AL$28,0))</f>
        <v>7.2800000000000004E-2</v>
      </c>
      <c r="AB20" s="8">
        <f>INDEX(V_Döviz!AA$2:AA$28,MATCH(LARGE(V_Döviz!$AL$2:$AL$28,ROW()-3),V_Döviz!$AL$2:$AL$28,0))</f>
        <v>0</v>
      </c>
      <c r="AC20" s="8">
        <f>INDEX(V_Döviz!AB$2:AB$28,MATCH(LARGE(V_Döviz!$AL$2:$AL$28,ROW()-3),V_Döviz!$AL$2:$AL$28,0))</f>
        <v>0</v>
      </c>
      <c r="AD20" s="8">
        <f>INDEX(V_Döviz!AC$2:AC$28,MATCH(LARGE(V_Döviz!$AL$2:$AL$28,ROW()-3),V_Döviz!$AL$2:$AL$28,0))</f>
        <v>0</v>
      </c>
      <c r="AE20" s="8">
        <f>INDEX(V_Döviz!AD$2:AD$28,MATCH(LARGE(V_Döviz!$AL$2:$AL$28,ROW()-3),V_Döviz!$AL$2:$AL$28,0))</f>
        <v>7.2800000000000004E-2</v>
      </c>
      <c r="AF20" s="9">
        <f>INDEX(V_Döviz!AE$2:AE$28,MATCH(LARGE(V_Döviz!$AL$2:$AL$28,ROW()-3),V_Döviz!$AL$2:$AL$28,0))</f>
        <v>83.037952508593918</v>
      </c>
      <c r="AG20" s="9">
        <f>INDEX(V_Döviz!AF$2:AF$28,MATCH(LARGE(V_Döviz!$AL$2:$AL$28,ROW()-3),V_Döviz!$AL$2:$AL$28,0))</f>
        <v>21.724750182822429</v>
      </c>
      <c r="AH20" s="9">
        <f>INDEX(V_Döviz!AG$2:AG$28,MATCH(LARGE(V_Döviz!$AL$2:$AL$28,ROW()-3),V_Döviz!$AL$2:$AL$28,0))</f>
        <v>22.585342160446181</v>
      </c>
      <c r="AI20" s="9">
        <f>INDEX(V_Döviz!AH$2:AH$28,MATCH(LARGE(V_Döviz!$AL$2:$AL$28,ROW()-3),V_Döviz!$AL$2:$AL$28,0))</f>
        <v>21.976045339977151</v>
      </c>
      <c r="AJ20" s="9">
        <f>INDEX(V_Döviz!AI$2:AI$28,MATCH(LARGE(V_Döviz!$AL$2:$AL$28,ROW()-3),V_Döviz!$AL$2:$AL$28,0))</f>
        <v>19.703476539004011</v>
      </c>
      <c r="AK20" s="9">
        <f>INDEX(V_Döviz!AJ$2:AJ$28,MATCH(LARGE(V_Döviz!$AL$2:$AL$28,ROW()-3),V_Döviz!$AL$2:$AL$28,0))</f>
        <v>19.565486656752391</v>
      </c>
    </row>
    <row r="21" spans="1:37" x14ac:dyDescent="0.2">
      <c r="A21">
        <v>18</v>
      </c>
      <c r="B21" s="5" t="str">
        <f>INDEX(V_Döviz!A$2:A$28,MATCH(LARGE(V_Döviz!$AL$2:$AL$28,ROW()-3),V_Döviz!$AL$2:$AL$28,0))</f>
        <v>HP3</v>
      </c>
      <c r="C21" s="5" t="str">
        <f>INDEX(V_Döviz!B$2:B$28,MATCH(LARGE(V_Döviz!$AL$2:$AL$28,ROW()-3),V_Döviz!$AL$2:$AL$28,0))</f>
        <v>Hedef Portföy Lidya Serbest (Döviz) Fon</v>
      </c>
      <c r="D21" s="5" t="str">
        <f>INDEX(V_Döviz!C$2:C$28,MATCH(LARGE(V_Döviz!$AL$2:$AL$28,ROW()-3),V_Döviz!$AL$2:$AL$28,0))</f>
        <v>Hedef Portföy</v>
      </c>
      <c r="E21" s="8">
        <f>INDEX(V_Döviz!D$2:D$28,MATCH(LARGE(V_Döviz!$AL$2:$AL$28,ROW()-3),V_Döviz!$AL$2:$AL$28,0))</f>
        <v>7.4999999999999997E-3</v>
      </c>
      <c r="F21" s="9">
        <f>INDEX(V_Döviz!E$2:E$28,MATCH(LARGE(V_Döviz!$AL$2:$AL$28,ROW()-3),V_Döviz!$AL$2:$AL$28,0))</f>
        <v>0.2272734492189343</v>
      </c>
      <c r="G21" s="9">
        <f>INDEX(V_Döviz!F$2:F$28,MATCH(LARGE(V_Döviz!$AL$2:$AL$28,ROW()-3),V_Döviz!$AL$2:$AL$28,0))</f>
        <v>0.53805843078975624</v>
      </c>
      <c r="H21" s="9">
        <f>INDEX(V_Döviz!G$2:G$28,MATCH(LARGE(V_Döviz!$AL$2:$AL$28,ROW()-3),V_Döviz!$AL$2:$AL$28,0))</f>
        <v>2.3189667262850659</v>
      </c>
      <c r="I21" s="9">
        <f>INDEX(V_Döviz!H$2:H$28,MATCH(LARGE(V_Döviz!$AL$2:$AL$28,ROW()-3),V_Döviz!$AL$2:$AL$28,0))</f>
        <v>1.0108117347557231</v>
      </c>
      <c r="J21" s="9">
        <f>INDEX(V_Döviz!I$2:I$28,MATCH(LARGE(V_Döviz!$AL$2:$AL$28,ROW()-3),V_Döviz!$AL$2:$AL$28,0))</f>
        <v>11.533123379310741</v>
      </c>
      <c r="K21" s="9">
        <f>INDEX(V_Döviz!J$2:J$28,MATCH(LARGE(V_Döviz!$AL$2:$AL$28,ROW()-3),V_Döviz!$AL$2:$AL$28,0))</f>
        <v>19.861572190373259</v>
      </c>
      <c r="L21" s="10">
        <f>INDEX(V_Döviz!K$2:K$28,MATCH(LARGE(V_Döviz!$AL$2:$AL$28,ROW()-3),V_Döviz!$AL$2:$AL$28,0))</f>
        <v>152</v>
      </c>
      <c r="M21" s="10">
        <f>INDEX(V_Döviz!L$2:L$28,MATCH(LARGE(V_Döviz!$AL$2:$AL$28,ROW()-3),V_Döviz!$AL$2:$AL$28,0))</f>
        <v>155</v>
      </c>
      <c r="N21" s="8">
        <f>INDEX(V_Döviz!M$2:M$28,MATCH(LARGE(V_Döviz!$AL$2:$AL$28,ROW()-3),V_Döviz!$AL$2:$AL$28,0))</f>
        <v>1.9736842105263049E-2</v>
      </c>
      <c r="O21" s="11">
        <f>INDEX(V_Döviz!N$2:N$28,MATCH(LARGE(V_Döviz!$AL$2:$AL$28,ROW()-3),V_Döviz!$AL$2:$AL$28,0))</f>
        <v>316413657.24000001</v>
      </c>
      <c r="P21" s="11">
        <f>INDEX(V_Döviz!O$2:O$28,MATCH(LARGE(V_Döviz!$AL$2:$AL$28,ROW()-3),V_Döviz!$AL$2:$AL$28,0))</f>
        <v>333192558.87</v>
      </c>
      <c r="Q21" s="8">
        <f>INDEX(V_Döviz!P$2:P$28,MATCH(LARGE(V_Döviz!$AL$2:$AL$28,ROW()-3),V_Döviz!$AL$2:$AL$28,0))</f>
        <v>5.302837360548307E-2</v>
      </c>
      <c r="R21" s="9">
        <f>INDEX(V_Döviz!Q$2:Q$28,MATCH(LARGE(V_Döviz!$AL$2:$AL$28,ROW()-3),V_Döviz!$AL$2:$AL$28,0))</f>
        <v>7.5125629113040493E-2</v>
      </c>
      <c r="S21" s="5" t="str">
        <f>INDEX(V_Döviz!R$2:R$28,MATCH(LARGE(V_Döviz!$AL$2:$AL$28,ROW()-3),V_Döviz!$AL$2:$AL$28,0))</f>
        <v>Görüyor</v>
      </c>
      <c r="T21" s="8">
        <f>INDEX(V_Döviz!S$2:S$28,MATCH(LARGE(V_Döviz!$AL$2:$AL$28,ROW()-3),V_Döviz!$AL$2:$AL$28,0))</f>
        <v>0</v>
      </c>
      <c r="U21" s="8">
        <f>INDEX(V_Döviz!T$2:T$28,MATCH(LARGE(V_Döviz!$AL$2:$AL$28,ROW()-3),V_Döviz!$AL$2:$AL$28,0))</f>
        <v>0</v>
      </c>
      <c r="V21" s="8">
        <f>INDEX(V_Döviz!U$2:U$28,MATCH(LARGE(V_Döviz!$AL$2:$AL$28,ROW()-3),V_Döviz!$AL$2:$AL$28,0))</f>
        <v>0</v>
      </c>
      <c r="W21" s="8">
        <f>INDEX(V_Döviz!V$2:V$28,MATCH(LARGE(V_Döviz!$AL$2:$AL$28,ROW()-3),V_Döviz!$AL$2:$AL$28,0))</f>
        <v>0</v>
      </c>
      <c r="X21" s="8">
        <f>INDEX(V_Döviz!W$2:W$28,MATCH(LARGE(V_Döviz!$AL$2:$AL$28,ROW()-3),V_Döviz!$AL$2:$AL$28,0))</f>
        <v>0</v>
      </c>
      <c r="Y21" s="8">
        <f>INDEX(V_Döviz!X$2:X$28,MATCH(LARGE(V_Döviz!$AL$2:$AL$28,ROW()-3),V_Döviz!$AL$2:$AL$28,0))</f>
        <v>0</v>
      </c>
      <c r="Z21" s="8">
        <f>INDEX(V_Döviz!Y$2:Y$28,MATCH(LARGE(V_Döviz!$AL$2:$AL$28,ROW()-3),V_Döviz!$AL$2:$AL$28,0))</f>
        <v>0</v>
      </c>
      <c r="AA21" s="8">
        <f>INDEX(V_Döviz!Z$2:Z$28,MATCH(LARGE(V_Döviz!$AL$2:$AL$28,ROW()-3),V_Döviz!$AL$2:$AL$28,0))</f>
        <v>0.83140000000000003</v>
      </c>
      <c r="AB21" s="8">
        <f>INDEX(V_Döviz!AA$2:AA$28,MATCH(LARGE(V_Döviz!$AL$2:$AL$28,ROW()-3),V_Döviz!$AL$2:$AL$28,0))</f>
        <v>0</v>
      </c>
      <c r="AC21" s="8">
        <f>INDEX(V_Döviz!AB$2:AB$28,MATCH(LARGE(V_Döviz!$AL$2:$AL$28,ROW()-3),V_Döviz!$AL$2:$AL$28,0))</f>
        <v>0</v>
      </c>
      <c r="AD21" s="8">
        <f>INDEX(V_Döviz!AC$2:AC$28,MATCH(LARGE(V_Döviz!$AL$2:$AL$28,ROW()-3),V_Döviz!$AL$2:$AL$28,0))</f>
        <v>6.1999999999999998E-3</v>
      </c>
      <c r="AE21" s="8">
        <f>INDEX(V_Döviz!AD$2:AD$28,MATCH(LARGE(V_Döviz!$AL$2:$AL$28,ROW()-3),V_Döviz!$AL$2:$AL$28,0))</f>
        <v>0.83760000000000001</v>
      </c>
      <c r="AF21" s="9">
        <f>INDEX(V_Döviz!AE$2:AE$28,MATCH(LARGE(V_Döviz!$AL$2:$AL$28,ROW()-3),V_Döviz!$AL$2:$AL$28,0))</f>
        <v>82.954808964911024</v>
      </c>
      <c r="AG21" s="9">
        <f>INDEX(V_Döviz!AF$2:AF$28,MATCH(LARGE(V_Döviz!$AL$2:$AL$28,ROW()-3),V_Döviz!$AL$2:$AL$28,0))</f>
        <v>28.055903891180151</v>
      </c>
      <c r="AH21" s="9">
        <f>INDEX(V_Döviz!AG$2:AG$28,MATCH(LARGE(V_Döviz!$AL$2:$AL$28,ROW()-3),V_Döviz!$AL$2:$AL$28,0))</f>
        <v>26.450714221689029</v>
      </c>
      <c r="AI21" s="9">
        <f>INDEX(V_Döviz!AH$2:AH$28,MATCH(LARGE(V_Döviz!$AL$2:$AL$28,ROW()-3),V_Döviz!$AL$2:$AL$28,0))</f>
        <v>26.35330594184564</v>
      </c>
      <c r="AJ21" s="9">
        <f>INDEX(V_Döviz!AI$2:AI$28,MATCH(LARGE(V_Döviz!$AL$2:$AL$28,ROW()-3),V_Döviz!$AL$2:$AL$28,0))</f>
        <v>21.587641197171379</v>
      </c>
      <c r="AK21" s="9">
        <f>INDEX(V_Döviz!AJ$2:AJ$28,MATCH(LARGE(V_Döviz!$AL$2:$AL$28,ROW()-3),V_Döviz!$AL$2:$AL$28,0))</f>
        <v>19.861572190373259</v>
      </c>
    </row>
    <row r="22" spans="1:37" x14ac:dyDescent="0.2">
      <c r="A22">
        <v>19</v>
      </c>
      <c r="B22" s="5" t="str">
        <f>INDEX(V_Döviz!A$2:A$28,MATCH(LARGE(V_Döviz!$AL$2:$AL$28,ROW()-3),V_Döviz!$AL$2:$AL$28,0))</f>
        <v>KDL</v>
      </c>
      <c r="C22" s="5" t="str">
        <f>INDEX(V_Döviz!B$2:B$28,MATCH(LARGE(V_Döviz!$AL$2:$AL$28,ROW()-3),V_Döviz!$AL$2:$AL$28,0))</f>
        <v>Kuveyt Türk Portföy Beşinci Katılım Serbest (Döviz) Fon</v>
      </c>
      <c r="D22" s="5" t="str">
        <f>INDEX(V_Döviz!C$2:C$28,MATCH(LARGE(V_Döviz!$AL$2:$AL$28,ROW()-3),V_Döviz!$AL$2:$AL$28,0))</f>
        <v>Kuveyt Türk Portföy</v>
      </c>
      <c r="E22" s="8">
        <f>INDEX(V_Döviz!D$2:D$28,MATCH(LARGE(V_Döviz!$AL$2:$AL$28,ROW()-3),V_Döviz!$AL$2:$AL$28,0))</f>
        <v>3.0000000000000001E-3</v>
      </c>
      <c r="F22" s="9">
        <f>INDEX(V_Döviz!E$2:E$28,MATCH(LARGE(V_Döviz!$AL$2:$AL$28,ROW()-3),V_Döviz!$AL$2:$AL$28,0))</f>
        <v>0.22663250279821859</v>
      </c>
      <c r="G22" s="9">
        <f>INDEX(V_Döviz!F$2:F$28,MATCH(LARGE(V_Döviz!$AL$2:$AL$28,ROW()-3),V_Döviz!$AL$2:$AL$28,0))</f>
        <v>0.41365638410506561</v>
      </c>
      <c r="H22" s="9">
        <f>INDEX(V_Döviz!G$2:G$28,MATCH(LARGE(V_Döviz!$AL$2:$AL$28,ROW()-3),V_Döviz!$AL$2:$AL$28,0))</f>
        <v>2.01013570359927</v>
      </c>
      <c r="I22" s="9">
        <f>INDEX(V_Döviz!H$2:H$28,MATCH(LARGE(V_Döviz!$AL$2:$AL$28,ROW()-3),V_Döviz!$AL$2:$AL$28,0))</f>
        <v>0.8424926657282672</v>
      </c>
      <c r="J22" s="9">
        <f>INDEX(V_Döviz!I$2:I$28,MATCH(LARGE(V_Döviz!$AL$2:$AL$28,ROW()-3),V_Döviz!$AL$2:$AL$28,0))</f>
        <v>10.557507580098081</v>
      </c>
      <c r="K22" s="9">
        <f>INDEX(V_Döviz!J$2:J$28,MATCH(LARGE(V_Döviz!$AL$2:$AL$28,ROW()-3),V_Döviz!$AL$2:$AL$28,0))</f>
        <v>19.48028702806619</v>
      </c>
      <c r="L22" s="10">
        <f>INDEX(V_Döviz!K$2:K$28,MATCH(LARGE(V_Döviz!$AL$2:$AL$28,ROW()-3),V_Döviz!$AL$2:$AL$28,0))</f>
        <v>7200</v>
      </c>
      <c r="M22" s="10">
        <f>INDEX(V_Döviz!L$2:L$28,MATCH(LARGE(V_Döviz!$AL$2:$AL$28,ROW()-3),V_Döviz!$AL$2:$AL$28,0))</f>
        <v>7144</v>
      </c>
      <c r="N22" s="8">
        <f>INDEX(V_Döviz!M$2:M$28,MATCH(LARGE(V_Döviz!$AL$2:$AL$28,ROW()-3),V_Döviz!$AL$2:$AL$28,0))</f>
        <v>-7.7777777777777724E-3</v>
      </c>
      <c r="O22" s="11">
        <f>INDEX(V_Döviz!N$2:N$28,MATCH(LARGE(V_Döviz!$AL$2:$AL$28,ROW()-3),V_Döviz!$AL$2:$AL$28,0))</f>
        <v>25637209668.580002</v>
      </c>
      <c r="P22" s="11">
        <f>INDEX(V_Döviz!O$2:O$28,MATCH(LARGE(V_Döviz!$AL$2:$AL$28,ROW()-3),V_Döviz!$AL$2:$AL$28,0))</f>
        <v>25551704722.540001</v>
      </c>
      <c r="Q22" s="8">
        <f>INDEX(V_Döviz!P$2:P$28,MATCH(LARGE(V_Döviz!$AL$2:$AL$28,ROW()-3),V_Döviz!$AL$2:$AL$28,0))</f>
        <v>-3.3351892481806589E-3</v>
      </c>
      <c r="R22" s="9">
        <f>INDEX(V_Döviz!Q$2:Q$28,MATCH(LARGE(V_Döviz!$AL$2:$AL$28,ROW()-3),V_Döviz!$AL$2:$AL$28,0))</f>
        <v>8.0270953282616297E-2</v>
      </c>
      <c r="S22" s="5" t="str">
        <f>INDEX(V_Döviz!R$2:R$28,MATCH(LARGE(V_Döviz!$AL$2:$AL$28,ROW()-3),V_Döviz!$AL$2:$AL$28,0))</f>
        <v>Görüyor</v>
      </c>
      <c r="T22" s="8">
        <f>INDEX(V_Döviz!S$2:S$28,MATCH(LARGE(V_Döviz!$AL$2:$AL$28,ROW()-3),V_Döviz!$AL$2:$AL$28,0))</f>
        <v>0</v>
      </c>
      <c r="U22" s="8">
        <f>INDEX(V_Döviz!T$2:T$28,MATCH(LARGE(V_Döviz!$AL$2:$AL$28,ROW()-3),V_Döviz!$AL$2:$AL$28,0))</f>
        <v>0</v>
      </c>
      <c r="V22" s="8">
        <f>INDEX(V_Döviz!U$2:U$28,MATCH(LARGE(V_Döviz!$AL$2:$AL$28,ROW()-3),V_Döviz!$AL$2:$AL$28,0))</f>
        <v>0</v>
      </c>
      <c r="W22" s="8">
        <f>INDEX(V_Döviz!V$2:V$28,MATCH(LARGE(V_Döviz!$AL$2:$AL$28,ROW()-3),V_Döviz!$AL$2:$AL$28,0))</f>
        <v>0</v>
      </c>
      <c r="X22" s="8">
        <f>INDEX(V_Döviz!W$2:W$28,MATCH(LARGE(V_Döviz!$AL$2:$AL$28,ROW()-3),V_Döviz!$AL$2:$AL$28,0))</f>
        <v>0</v>
      </c>
      <c r="Y22" s="8">
        <f>INDEX(V_Döviz!X$2:X$28,MATCH(LARGE(V_Döviz!$AL$2:$AL$28,ROW()-3),V_Döviz!$AL$2:$AL$28,0))</f>
        <v>0</v>
      </c>
      <c r="Z22" s="8">
        <f>INDEX(V_Döviz!Y$2:Y$28,MATCH(LARGE(V_Döviz!$AL$2:$AL$28,ROW()-3),V_Döviz!$AL$2:$AL$28,0))</f>
        <v>0</v>
      </c>
      <c r="AA22" s="8">
        <f>INDEX(V_Döviz!Z$2:Z$28,MATCH(LARGE(V_Döviz!$AL$2:$AL$28,ROW()-3),V_Döviz!$AL$2:$AL$28,0))</f>
        <v>1.1999999999999999E-3</v>
      </c>
      <c r="AB22" s="8">
        <f>INDEX(V_Döviz!AA$2:AA$28,MATCH(LARGE(V_Döviz!$AL$2:$AL$28,ROW()-3),V_Döviz!$AL$2:$AL$28,0))</f>
        <v>0</v>
      </c>
      <c r="AC22" s="8">
        <f>INDEX(V_Döviz!AB$2:AB$28,MATCH(LARGE(V_Döviz!$AL$2:$AL$28,ROW()-3),V_Döviz!$AL$2:$AL$28,0))</f>
        <v>0</v>
      </c>
      <c r="AD22" s="8">
        <f>INDEX(V_Döviz!AC$2:AC$28,MATCH(LARGE(V_Döviz!$AL$2:$AL$28,ROW()-3),V_Döviz!$AL$2:$AL$28,0))</f>
        <v>0</v>
      </c>
      <c r="AE22" s="8">
        <f>INDEX(V_Döviz!AD$2:AD$28,MATCH(LARGE(V_Döviz!$AL$2:$AL$28,ROW()-3),V_Döviz!$AL$2:$AL$28,0))</f>
        <v>1.1999999999999999E-3</v>
      </c>
      <c r="AF22" s="9">
        <f>INDEX(V_Döviz!AE$2:AE$28,MATCH(LARGE(V_Döviz!$AL$2:$AL$28,ROW()-3),V_Döviz!$AL$2:$AL$28,0))</f>
        <v>82.72086352134977</v>
      </c>
      <c r="AG22" s="9">
        <f>INDEX(V_Döviz!AF$2:AF$28,MATCH(LARGE(V_Döviz!$AL$2:$AL$28,ROW()-3),V_Döviz!$AL$2:$AL$28,0))</f>
        <v>21.569225742621281</v>
      </c>
      <c r="AH22" s="9">
        <f>INDEX(V_Döviz!AG$2:AG$28,MATCH(LARGE(V_Döviz!$AL$2:$AL$28,ROW()-3),V_Döviz!$AL$2:$AL$28,0))</f>
        <v>22.928110369179169</v>
      </c>
      <c r="AI22" s="9">
        <f>INDEX(V_Döviz!AH$2:AH$28,MATCH(LARGE(V_Döviz!$AL$2:$AL$28,ROW()-3),V_Döviz!$AL$2:$AL$28,0))</f>
        <v>21.964987356486969</v>
      </c>
      <c r="AJ22" s="9">
        <f>INDEX(V_Döviz!AI$2:AI$28,MATCH(LARGE(V_Döviz!$AL$2:$AL$28,ROW()-3),V_Döviz!$AL$2:$AL$28,0))</f>
        <v>19.761488547363069</v>
      </c>
      <c r="AK22" s="9">
        <f>INDEX(V_Döviz!AJ$2:AJ$28,MATCH(LARGE(V_Döviz!$AL$2:$AL$28,ROW()-3),V_Döviz!$AL$2:$AL$28,0))</f>
        <v>19.48028702806619</v>
      </c>
    </row>
    <row r="23" spans="1:37" x14ac:dyDescent="0.2">
      <c r="A23">
        <v>20</v>
      </c>
      <c r="B23" s="5" t="str">
        <f>INDEX(V_Döviz!A$2:A$28,MATCH(LARGE(V_Döviz!$AL$2:$AL$28,ROW()-3),V_Döviz!$AL$2:$AL$28,0))</f>
        <v>ROD</v>
      </c>
      <c r="C23" s="5" t="str">
        <f>INDEX(V_Döviz!B$2:B$28,MATCH(LARGE(V_Döviz!$AL$2:$AL$28,ROW()-3),V_Döviz!$AL$2:$AL$28,0))</f>
        <v>Rota Portföy Odeabank Birinci Serbest (Döviz) Özel Fon</v>
      </c>
      <c r="D23" s="5" t="str">
        <f>INDEX(V_Döviz!C$2:C$28,MATCH(LARGE(V_Döviz!$AL$2:$AL$28,ROW()-3),V_Döviz!$AL$2:$AL$28,0))</f>
        <v>Rota Portföy</v>
      </c>
      <c r="E23" s="8">
        <f>INDEX(V_Döviz!D$2:D$28,MATCH(LARGE(V_Döviz!$AL$2:$AL$28,ROW()-3),V_Döviz!$AL$2:$AL$28,0))</f>
        <v>0.01</v>
      </c>
      <c r="F23" s="9">
        <f>INDEX(V_Döviz!E$2:E$28,MATCH(LARGE(V_Döviz!$AL$2:$AL$28,ROW()-3),V_Döviz!$AL$2:$AL$28,0))</f>
        <v>0.22629587805595991</v>
      </c>
      <c r="G23" s="9">
        <f>INDEX(V_Döviz!F$2:F$28,MATCH(LARGE(V_Döviz!$AL$2:$AL$28,ROW()-3),V_Döviz!$AL$2:$AL$28,0))</f>
        <v>0.43112063846919568</v>
      </c>
      <c r="H23" s="9">
        <f>INDEX(V_Döviz!G$2:G$28,MATCH(LARGE(V_Döviz!$AL$2:$AL$28,ROW()-3),V_Döviz!$AL$2:$AL$28,0))</f>
        <v>2.0389952339067152</v>
      </c>
      <c r="I23" s="9">
        <f>INDEX(V_Döviz!H$2:H$28,MATCH(LARGE(V_Döviz!$AL$2:$AL$28,ROW()-3),V_Döviz!$AL$2:$AL$28,0))</f>
        <v>0.81597636255579253</v>
      </c>
      <c r="J23" s="9">
        <f>INDEX(V_Döviz!I$2:I$28,MATCH(LARGE(V_Döviz!$AL$2:$AL$28,ROW()-3),V_Döviz!$AL$2:$AL$28,0))</f>
        <v>11.669041790882259</v>
      </c>
      <c r="K23" s="9">
        <f>INDEX(V_Döviz!J$2:J$28,MATCH(LARGE(V_Döviz!$AL$2:$AL$28,ROW()-3),V_Döviz!$AL$2:$AL$28,0))</f>
        <v>21.985444946239109</v>
      </c>
      <c r="L23" s="10">
        <f>INDEX(V_Döviz!K$2:K$28,MATCH(LARGE(V_Döviz!$AL$2:$AL$28,ROW()-3),V_Döviz!$AL$2:$AL$28,0))</f>
        <v>784</v>
      </c>
      <c r="M23" s="10">
        <f>INDEX(V_Döviz!L$2:L$28,MATCH(LARGE(V_Döviz!$AL$2:$AL$28,ROW()-3),V_Döviz!$AL$2:$AL$28,0))</f>
        <v>680</v>
      </c>
      <c r="N23" s="8">
        <f>INDEX(V_Döviz!M$2:M$28,MATCH(LARGE(V_Döviz!$AL$2:$AL$28,ROW()-3),V_Döviz!$AL$2:$AL$28,0))</f>
        <v>-0.1326530612244898</v>
      </c>
      <c r="O23" s="11">
        <f>INDEX(V_Döviz!N$2:N$28,MATCH(LARGE(V_Döviz!$AL$2:$AL$28,ROW()-3),V_Döviz!$AL$2:$AL$28,0))</f>
        <v>2615761682.2600002</v>
      </c>
      <c r="P23" s="11">
        <f>INDEX(V_Döviz!O$2:O$28,MATCH(LARGE(V_Döviz!$AL$2:$AL$28,ROW()-3),V_Döviz!$AL$2:$AL$28,0))</f>
        <v>2010331359.8499999</v>
      </c>
      <c r="Q23" s="8">
        <f>INDEX(V_Döviz!P$2:P$28,MATCH(LARGE(V_Döviz!$AL$2:$AL$28,ROW()-3),V_Döviz!$AL$2:$AL$28,0))</f>
        <v>-0.231454695019048</v>
      </c>
      <c r="R23" s="9">
        <f>INDEX(V_Döviz!Q$2:Q$28,MATCH(LARGE(V_Döviz!$AL$2:$AL$28,ROW()-3),V_Döviz!$AL$2:$AL$28,0))</f>
        <v>8.0547676229388632E-2</v>
      </c>
      <c r="S23" s="5" t="str">
        <f>INDEX(V_Döviz!R$2:R$28,MATCH(LARGE(V_Döviz!$AL$2:$AL$28,ROW()-3),V_Döviz!$AL$2:$AL$28,0))</f>
        <v>Görmüyor</v>
      </c>
      <c r="T23" s="8">
        <f>INDEX(V_Döviz!S$2:S$28,MATCH(LARGE(V_Döviz!$AL$2:$AL$28,ROW()-3),V_Döviz!$AL$2:$AL$28,0))</f>
        <v>0</v>
      </c>
      <c r="U23" s="8">
        <f>INDEX(V_Döviz!T$2:T$28,MATCH(LARGE(V_Döviz!$AL$2:$AL$28,ROW()-3),V_Döviz!$AL$2:$AL$28,0))</f>
        <v>0</v>
      </c>
      <c r="V23" s="8">
        <f>INDEX(V_Döviz!U$2:U$28,MATCH(LARGE(V_Döviz!$AL$2:$AL$28,ROW()-3),V_Döviz!$AL$2:$AL$28,0))</f>
        <v>0</v>
      </c>
      <c r="W23" s="8">
        <f>INDEX(V_Döviz!V$2:V$28,MATCH(LARGE(V_Döviz!$AL$2:$AL$28,ROW()-3),V_Döviz!$AL$2:$AL$28,0))</f>
        <v>0</v>
      </c>
      <c r="X23" s="8">
        <f>INDEX(V_Döviz!W$2:W$28,MATCH(LARGE(V_Döviz!$AL$2:$AL$28,ROW()-3),V_Döviz!$AL$2:$AL$28,0))</f>
        <v>0</v>
      </c>
      <c r="Y23" s="8">
        <f>INDEX(V_Döviz!X$2:X$28,MATCH(LARGE(V_Döviz!$AL$2:$AL$28,ROW()-3),V_Döviz!$AL$2:$AL$28,0))</f>
        <v>0</v>
      </c>
      <c r="Z23" s="8">
        <f>INDEX(V_Döviz!Y$2:Y$28,MATCH(LARGE(V_Döviz!$AL$2:$AL$28,ROW()-3),V_Döviz!$AL$2:$AL$28,0))</f>
        <v>0</v>
      </c>
      <c r="AA23" s="8">
        <f>INDEX(V_Döviz!Z$2:Z$28,MATCH(LARGE(V_Döviz!$AL$2:$AL$28,ROW()-3),V_Döviz!$AL$2:$AL$28,0))</f>
        <v>6.9999999999999993E-3</v>
      </c>
      <c r="AB23" s="8">
        <f>INDEX(V_Döviz!AA$2:AA$28,MATCH(LARGE(V_Döviz!$AL$2:$AL$28,ROW()-3),V_Döviz!$AL$2:$AL$28,0))</f>
        <v>0</v>
      </c>
      <c r="AC23" s="8">
        <f>INDEX(V_Döviz!AB$2:AB$28,MATCH(LARGE(V_Döviz!$AL$2:$AL$28,ROW()-3),V_Döviz!$AL$2:$AL$28,0))</f>
        <v>0</v>
      </c>
      <c r="AD23" s="8">
        <f>INDEX(V_Döviz!AC$2:AC$28,MATCH(LARGE(V_Döviz!$AL$2:$AL$28,ROW()-3),V_Döviz!$AL$2:$AL$28,0))</f>
        <v>0</v>
      </c>
      <c r="AE23" s="8">
        <f>INDEX(V_Döviz!AD$2:AD$28,MATCH(LARGE(V_Döviz!$AL$2:$AL$28,ROW()-3),V_Döviz!$AL$2:$AL$28,0))</f>
        <v>6.9999999999999993E-3</v>
      </c>
      <c r="AF23" s="9">
        <f>INDEX(V_Döviz!AE$2:AE$28,MATCH(LARGE(V_Döviz!$AL$2:$AL$28,ROW()-3),V_Döviz!$AL$2:$AL$28,0))</f>
        <v>82.597995490425347</v>
      </c>
      <c r="AG23" s="9">
        <f>INDEX(V_Döviz!AF$2:AF$28,MATCH(LARGE(V_Döviz!$AL$2:$AL$28,ROW()-3),V_Döviz!$AL$2:$AL$28,0))</f>
        <v>22.479861863036628</v>
      </c>
      <c r="AH23" s="9">
        <f>INDEX(V_Döviz!AG$2:AG$28,MATCH(LARGE(V_Döviz!$AL$2:$AL$28,ROW()-3),V_Döviz!$AL$2:$AL$28,0))</f>
        <v>23.257289386748472</v>
      </c>
      <c r="AI23" s="9">
        <f>INDEX(V_Döviz!AH$2:AH$28,MATCH(LARGE(V_Döviz!$AL$2:$AL$28,ROW()-3),V_Döviz!$AL$2:$AL$28,0))</f>
        <v>21.273669452347441</v>
      </c>
      <c r="AJ23" s="9">
        <f>INDEX(V_Döviz!AI$2:AI$28,MATCH(LARGE(V_Döviz!$AL$2:$AL$28,ROW()-3),V_Döviz!$AL$2:$AL$28,0))</f>
        <v>21.842052582933469</v>
      </c>
      <c r="AK23" s="9">
        <f>INDEX(V_Döviz!AJ$2:AJ$28,MATCH(LARGE(V_Döviz!$AL$2:$AL$28,ROW()-3),V_Döviz!$AL$2:$AL$28,0))</f>
        <v>21.985444946239109</v>
      </c>
    </row>
    <row r="24" spans="1:37" x14ac:dyDescent="0.2">
      <c r="A24">
        <v>21</v>
      </c>
      <c r="B24" s="5" t="str">
        <f>INDEX(V_Döviz!A$2:A$28,MATCH(LARGE(V_Döviz!$AL$2:$AL$28,ROW()-3),V_Döviz!$AL$2:$AL$28,0))</f>
        <v>TB9</v>
      </c>
      <c r="C24" s="5" t="str">
        <f>INDEX(V_Döviz!B$2:B$28,MATCH(LARGE(V_Döviz!$AL$2:$AL$28,ROW()-3),V_Döviz!$AL$2:$AL$28,0))</f>
        <v>Teb Portföy Dokuzuncu Serbest (Döviz) Fon</v>
      </c>
      <c r="D24" s="5" t="str">
        <f>INDEX(V_Döviz!C$2:C$28,MATCH(LARGE(V_Döviz!$AL$2:$AL$28,ROW()-3),V_Döviz!$AL$2:$AL$28,0))</f>
        <v>Teb Portföy</v>
      </c>
      <c r="E24" s="8">
        <f>INDEX(V_Döviz!D$2:D$28,MATCH(LARGE(V_Döviz!$AL$2:$AL$28,ROW()-3),V_Döviz!$AL$2:$AL$28,0))</f>
        <v>0.01</v>
      </c>
      <c r="F24" s="9">
        <f>INDEX(V_Döviz!E$2:E$28,MATCH(LARGE(V_Döviz!$AL$2:$AL$28,ROW()-3),V_Döviz!$AL$2:$AL$28,0))</f>
        <v>0.22568038005115201</v>
      </c>
      <c r="G24" s="9">
        <f>INDEX(V_Döviz!F$2:F$28,MATCH(LARGE(V_Döviz!$AL$2:$AL$28,ROW()-3),V_Döviz!$AL$2:$AL$28,0))</f>
        <v>0.43429697787624733</v>
      </c>
      <c r="H24" s="9">
        <f>INDEX(V_Döviz!G$2:G$28,MATCH(LARGE(V_Döviz!$AL$2:$AL$28,ROW()-3),V_Döviz!$AL$2:$AL$28,0))</f>
        <v>2.079373318595557</v>
      </c>
      <c r="I24" s="9">
        <f>INDEX(V_Döviz!H$2:H$28,MATCH(LARGE(V_Döviz!$AL$2:$AL$28,ROW()-3),V_Döviz!$AL$2:$AL$28,0))</f>
        <v>0.87766874245660542</v>
      </c>
      <c r="J24" s="9">
        <f>INDEX(V_Döviz!I$2:I$28,MATCH(LARGE(V_Döviz!$AL$2:$AL$28,ROW()-3),V_Döviz!$AL$2:$AL$28,0))</f>
        <v>10.91492641935332</v>
      </c>
      <c r="K24" s="9">
        <f>INDEX(V_Döviz!J$2:J$28,MATCH(LARGE(V_Döviz!$AL$2:$AL$28,ROW()-3),V_Döviz!$AL$2:$AL$28,0))</f>
        <v>20.411572449863051</v>
      </c>
      <c r="L24" s="10">
        <f>INDEX(V_Döviz!K$2:K$28,MATCH(LARGE(V_Döviz!$AL$2:$AL$28,ROW()-3),V_Döviz!$AL$2:$AL$28,0))</f>
        <v>11101</v>
      </c>
      <c r="M24" s="10">
        <f>INDEX(V_Döviz!L$2:L$28,MATCH(LARGE(V_Döviz!$AL$2:$AL$28,ROW()-3),V_Döviz!$AL$2:$AL$28,0))</f>
        <v>10902</v>
      </c>
      <c r="N24" s="8">
        <f>INDEX(V_Döviz!M$2:M$28,MATCH(LARGE(V_Döviz!$AL$2:$AL$28,ROW()-3),V_Döviz!$AL$2:$AL$28,0))</f>
        <v>-1.7926312944779751E-2</v>
      </c>
      <c r="O24" s="11">
        <f>INDEX(V_Döviz!N$2:N$28,MATCH(LARGE(V_Döviz!$AL$2:$AL$28,ROW()-3),V_Döviz!$AL$2:$AL$28,0))</f>
        <v>40980964113.559998</v>
      </c>
      <c r="P24" s="11">
        <f>INDEX(V_Döviz!O$2:O$28,MATCH(LARGE(V_Döviz!$AL$2:$AL$28,ROW()-3),V_Döviz!$AL$2:$AL$28,0))</f>
        <v>40128074707.910004</v>
      </c>
      <c r="Q24" s="8">
        <f>INDEX(V_Döviz!P$2:P$28,MATCH(LARGE(V_Döviz!$AL$2:$AL$28,ROW()-3),V_Döviz!$AL$2:$AL$28,0))</f>
        <v>-2.0811843354553661E-2</v>
      </c>
      <c r="R24" s="9">
        <f>INDEX(V_Döviz!Q$2:Q$28,MATCH(LARGE(V_Döviz!$AL$2:$AL$28,ROW()-3),V_Döviz!$AL$2:$AL$28,0))</f>
        <v>8.1780322263212302E-2</v>
      </c>
      <c r="S24" s="5" t="str">
        <f>INDEX(V_Döviz!R$2:R$28,MATCH(LARGE(V_Döviz!$AL$2:$AL$28,ROW()-3),V_Döviz!$AL$2:$AL$28,0))</f>
        <v>Görmüyor</v>
      </c>
      <c r="T24" s="8">
        <f>INDEX(V_Döviz!S$2:S$28,MATCH(LARGE(V_Döviz!$AL$2:$AL$28,ROW()-3),V_Döviz!$AL$2:$AL$28,0))</f>
        <v>0</v>
      </c>
      <c r="U24" s="8">
        <f>INDEX(V_Döviz!T$2:T$28,MATCH(LARGE(V_Döviz!$AL$2:$AL$28,ROW()-3),V_Döviz!$AL$2:$AL$28,0))</f>
        <v>0</v>
      </c>
      <c r="V24" s="8">
        <f>INDEX(V_Döviz!U$2:U$28,MATCH(LARGE(V_Döviz!$AL$2:$AL$28,ROW()-3),V_Döviz!$AL$2:$AL$28,0))</f>
        <v>3.9199999999999999E-2</v>
      </c>
      <c r="W24" s="8">
        <f>INDEX(V_Döviz!V$2:V$28,MATCH(LARGE(V_Döviz!$AL$2:$AL$28,ROW()-3),V_Döviz!$AL$2:$AL$28,0))</f>
        <v>0</v>
      </c>
      <c r="X24" s="8">
        <f>INDEX(V_Döviz!W$2:W$28,MATCH(LARGE(V_Döviz!$AL$2:$AL$28,ROW()-3),V_Döviz!$AL$2:$AL$28,0))</f>
        <v>0.2858</v>
      </c>
      <c r="Y24" s="8">
        <f>INDEX(V_Döviz!X$2:X$28,MATCH(LARGE(V_Döviz!$AL$2:$AL$28,ROW()-3),V_Döviz!$AL$2:$AL$28,0))</f>
        <v>0</v>
      </c>
      <c r="Z24" s="8">
        <f>INDEX(V_Döviz!Y$2:Y$28,MATCH(LARGE(V_Döviz!$AL$2:$AL$28,ROW()-3),V_Döviz!$AL$2:$AL$28,0))</f>
        <v>0</v>
      </c>
      <c r="AA24" s="8">
        <f>INDEX(V_Döviz!Z$2:Z$28,MATCH(LARGE(V_Döviz!$AL$2:$AL$28,ROW()-3),V_Döviz!$AL$2:$AL$28,0))</f>
        <v>0.32769999999999999</v>
      </c>
      <c r="AB24" s="8">
        <f>INDEX(V_Döviz!AA$2:AA$28,MATCH(LARGE(V_Döviz!$AL$2:$AL$28,ROW()-3),V_Döviz!$AL$2:$AL$28,0))</f>
        <v>0</v>
      </c>
      <c r="AC24" s="8">
        <f>INDEX(V_Döviz!AB$2:AB$28,MATCH(LARGE(V_Döviz!$AL$2:$AL$28,ROW()-3),V_Döviz!$AL$2:$AL$28,0))</f>
        <v>0</v>
      </c>
      <c r="AD24" s="8">
        <f>INDEX(V_Döviz!AC$2:AC$28,MATCH(LARGE(V_Döviz!$AL$2:$AL$28,ROW()-3),V_Döviz!$AL$2:$AL$28,0))</f>
        <v>7.9000000000000008E-3</v>
      </c>
      <c r="AE24" s="8">
        <f>INDEX(V_Döviz!AD$2:AD$28,MATCH(LARGE(V_Döviz!$AL$2:$AL$28,ROW()-3),V_Döviz!$AL$2:$AL$28,0))</f>
        <v>0.66060000000000008</v>
      </c>
      <c r="AF24" s="9">
        <f>INDEX(V_Döviz!AE$2:AE$28,MATCH(LARGE(V_Döviz!$AL$2:$AL$28,ROW()-3),V_Döviz!$AL$2:$AL$28,0))</f>
        <v>82.373338718670482</v>
      </c>
      <c r="AG24" s="9">
        <f>INDEX(V_Döviz!AF$2:AF$28,MATCH(LARGE(V_Döviz!$AL$2:$AL$28,ROW()-3),V_Döviz!$AL$2:$AL$28,0))</f>
        <v>22.645485274975751</v>
      </c>
      <c r="AH24" s="9">
        <f>INDEX(V_Döviz!AG$2:AG$28,MATCH(LARGE(V_Döviz!$AL$2:$AL$28,ROW()-3),V_Döviz!$AL$2:$AL$28,0))</f>
        <v>23.717851915230568</v>
      </c>
      <c r="AI24" s="9">
        <f>INDEX(V_Döviz!AH$2:AH$28,MATCH(LARGE(V_Döviz!$AL$2:$AL$28,ROW()-3),V_Döviz!$AL$2:$AL$28,0))</f>
        <v>22.882077928332929</v>
      </c>
      <c r="AJ24" s="9">
        <f>INDEX(V_Döviz!AI$2:AI$28,MATCH(LARGE(V_Döviz!$AL$2:$AL$28,ROW()-3),V_Döviz!$AL$2:$AL$28,0))</f>
        <v>20.430503297763909</v>
      </c>
      <c r="AK24" s="9">
        <f>INDEX(V_Döviz!AJ$2:AJ$28,MATCH(LARGE(V_Döviz!$AL$2:$AL$28,ROW()-3),V_Döviz!$AL$2:$AL$28,0))</f>
        <v>20.411572449863051</v>
      </c>
    </row>
    <row r="25" spans="1:37" x14ac:dyDescent="0.2">
      <c r="A25">
        <v>22</v>
      </c>
      <c r="B25" s="5" t="str">
        <f>INDEX(V_Döviz!A$2:A$28,MATCH(LARGE(V_Döviz!$AL$2:$AL$28,ROW()-3),V_Döviz!$AL$2:$AL$28,0))</f>
        <v>OFK</v>
      </c>
      <c r="C25" s="5" t="str">
        <f>INDEX(V_Döviz!B$2:B$28,MATCH(LARGE(V_Döviz!$AL$2:$AL$28,ROW()-3),V_Döviz!$AL$2:$AL$28,0))</f>
        <v>Oyak Portföy Türkiye Finans Katılım Serbest (Döviz-abd Doları) Fon</v>
      </c>
      <c r="D25" s="5" t="str">
        <f>INDEX(V_Döviz!C$2:C$28,MATCH(LARGE(V_Döviz!$AL$2:$AL$28,ROW()-3),V_Döviz!$AL$2:$AL$28,0))</f>
        <v>Oyak Portföy</v>
      </c>
      <c r="E25" s="8">
        <f>INDEX(V_Döviz!D$2:D$28,MATCH(LARGE(V_Döviz!$AL$2:$AL$28,ROW()-3),V_Döviz!$AL$2:$AL$28,0))</f>
        <v>0.01</v>
      </c>
      <c r="F25" s="9">
        <f>INDEX(V_Döviz!E$2:E$28,MATCH(LARGE(V_Döviz!$AL$2:$AL$28,ROW()-3),V_Döviz!$AL$2:$AL$28,0))</f>
        <v>0.22534870493329251</v>
      </c>
      <c r="G25" s="9">
        <f>INDEX(V_Döviz!F$2:F$28,MATCH(LARGE(V_Döviz!$AL$2:$AL$28,ROW()-3),V_Döviz!$AL$2:$AL$28,0))</f>
        <v>0.40885905582814802</v>
      </c>
      <c r="H25" s="9">
        <f>INDEX(V_Döviz!G$2:G$28,MATCH(LARGE(V_Döviz!$AL$2:$AL$28,ROW()-3),V_Döviz!$AL$2:$AL$28,0))</f>
        <v>1.993807462358044</v>
      </c>
      <c r="I25" s="9">
        <f>INDEX(V_Döviz!H$2:H$28,MATCH(LARGE(V_Döviz!$AL$2:$AL$28,ROW()-3),V_Döviz!$AL$2:$AL$28,0))</f>
        <v>0.83468757091962331</v>
      </c>
      <c r="J25" s="9">
        <f>INDEX(V_Döviz!I$2:I$28,MATCH(LARGE(V_Döviz!$AL$2:$AL$28,ROW()-3),V_Döviz!$AL$2:$AL$28,0))</f>
        <v>10.49465640209959</v>
      </c>
      <c r="K25" s="9">
        <f>INDEX(V_Döviz!J$2:J$28,MATCH(LARGE(V_Döviz!$AL$2:$AL$28,ROW()-3),V_Döviz!$AL$2:$AL$28,0))</f>
        <v>19.537539725159899</v>
      </c>
      <c r="L25" s="10">
        <f>INDEX(V_Döviz!K$2:K$28,MATCH(LARGE(V_Döviz!$AL$2:$AL$28,ROW()-3),V_Döviz!$AL$2:$AL$28,0))</f>
        <v>271</v>
      </c>
      <c r="M25" s="10">
        <f>INDEX(V_Döviz!L$2:L$28,MATCH(LARGE(V_Döviz!$AL$2:$AL$28,ROW()-3),V_Döviz!$AL$2:$AL$28,0))</f>
        <v>271</v>
      </c>
      <c r="N25" s="8">
        <f>INDEX(V_Döviz!M$2:M$28,MATCH(LARGE(V_Döviz!$AL$2:$AL$28,ROW()-3),V_Döviz!$AL$2:$AL$28,0))</f>
        <v>0</v>
      </c>
      <c r="O25" s="11">
        <f>INDEX(V_Döviz!N$2:N$28,MATCH(LARGE(V_Döviz!$AL$2:$AL$28,ROW()-3),V_Döviz!$AL$2:$AL$28,0))</f>
        <v>1031419315</v>
      </c>
      <c r="P25" s="11">
        <f>INDEX(V_Döviz!O$2:O$28,MATCH(LARGE(V_Döviz!$AL$2:$AL$28,ROW()-3),V_Döviz!$AL$2:$AL$28,0))</f>
        <v>1049899300.4</v>
      </c>
      <c r="Q25" s="8">
        <f>INDEX(V_Döviz!P$2:P$28,MATCH(LARGE(V_Döviz!$AL$2:$AL$28,ROW()-3),V_Döviz!$AL$2:$AL$28,0))</f>
        <v>1.791704414610451E-2</v>
      </c>
      <c r="R25" s="9">
        <f>INDEX(V_Döviz!Q$2:Q$28,MATCH(LARGE(V_Döviz!$AL$2:$AL$28,ROW()-3),V_Döviz!$AL$2:$AL$28,0))</f>
        <v>8.029519201404578E-2</v>
      </c>
      <c r="S25" s="5" t="str">
        <f>INDEX(V_Döviz!R$2:R$28,MATCH(LARGE(V_Döviz!$AL$2:$AL$28,ROW()-3),V_Döviz!$AL$2:$AL$28,0))</f>
        <v>Görmüyor</v>
      </c>
      <c r="T25" s="8">
        <f>INDEX(V_Döviz!S$2:S$28,MATCH(LARGE(V_Döviz!$AL$2:$AL$28,ROW()-3),V_Döviz!$AL$2:$AL$28,0))</f>
        <v>0</v>
      </c>
      <c r="U25" s="8">
        <f>INDEX(V_Döviz!T$2:T$28,MATCH(LARGE(V_Döviz!$AL$2:$AL$28,ROW()-3),V_Döviz!$AL$2:$AL$28,0))</f>
        <v>0</v>
      </c>
      <c r="V25" s="8">
        <f>INDEX(V_Döviz!U$2:U$28,MATCH(LARGE(V_Döviz!$AL$2:$AL$28,ROW()-3),V_Döviz!$AL$2:$AL$28,0))</f>
        <v>0</v>
      </c>
      <c r="W25" s="8">
        <f>INDEX(V_Döviz!V$2:V$28,MATCH(LARGE(V_Döviz!$AL$2:$AL$28,ROW()-3),V_Döviz!$AL$2:$AL$28,0))</f>
        <v>0</v>
      </c>
      <c r="X25" s="8">
        <f>INDEX(V_Döviz!W$2:W$28,MATCH(LARGE(V_Döviz!$AL$2:$AL$28,ROW()-3),V_Döviz!$AL$2:$AL$28,0))</f>
        <v>0</v>
      </c>
      <c r="Y25" s="8">
        <f>INDEX(V_Döviz!X$2:X$28,MATCH(LARGE(V_Döviz!$AL$2:$AL$28,ROW()-3),V_Döviz!$AL$2:$AL$28,0))</f>
        <v>0</v>
      </c>
      <c r="Z25" s="8">
        <f>INDEX(V_Döviz!Y$2:Y$28,MATCH(LARGE(V_Döviz!$AL$2:$AL$28,ROW()-3),V_Döviz!$AL$2:$AL$28,0))</f>
        <v>0</v>
      </c>
      <c r="AA25" s="8">
        <f>INDEX(V_Döviz!Z$2:Z$28,MATCH(LARGE(V_Döviz!$AL$2:$AL$28,ROW()-3),V_Döviz!$AL$2:$AL$28,0))</f>
        <v>0</v>
      </c>
      <c r="AB25" s="8">
        <f>INDEX(V_Döviz!AA$2:AA$28,MATCH(LARGE(V_Döviz!$AL$2:$AL$28,ROW()-3),V_Döviz!$AL$2:$AL$28,0))</f>
        <v>0</v>
      </c>
      <c r="AC25" s="8">
        <f>INDEX(V_Döviz!AB$2:AB$28,MATCH(LARGE(V_Döviz!$AL$2:$AL$28,ROW()-3),V_Döviz!$AL$2:$AL$28,0))</f>
        <v>0</v>
      </c>
      <c r="AD25" s="8">
        <f>INDEX(V_Döviz!AC$2:AC$28,MATCH(LARGE(V_Döviz!$AL$2:$AL$28,ROW()-3),V_Döviz!$AL$2:$AL$28,0))</f>
        <v>0</v>
      </c>
      <c r="AE25" s="8">
        <f>INDEX(V_Döviz!AD$2:AD$28,MATCH(LARGE(V_Döviz!$AL$2:$AL$28,ROW()-3),V_Döviz!$AL$2:$AL$28,0))</f>
        <v>0</v>
      </c>
      <c r="AF25" s="9">
        <f>INDEX(V_Döviz!AE$2:AE$28,MATCH(LARGE(V_Döviz!$AL$2:$AL$28,ROW()-3),V_Döviz!$AL$2:$AL$28,0))</f>
        <v>82.25227730065177</v>
      </c>
      <c r="AG25" s="9">
        <f>INDEX(V_Döviz!AF$2:AF$28,MATCH(LARGE(V_Döviz!$AL$2:$AL$28,ROW()-3),V_Döviz!$AL$2:$AL$28,0))</f>
        <v>21.319079339610571</v>
      </c>
      <c r="AH25" s="9">
        <f>INDEX(V_Döviz!AG$2:AG$28,MATCH(LARGE(V_Döviz!$AL$2:$AL$28,ROW()-3),V_Döviz!$AL$2:$AL$28,0))</f>
        <v>22.741866367521439</v>
      </c>
      <c r="AI25" s="9">
        <f>INDEX(V_Döviz!AH$2:AH$28,MATCH(LARGE(V_Döviz!$AL$2:$AL$28,ROW()-3),V_Döviz!$AL$2:$AL$28,0))</f>
        <v>21.76149738469018</v>
      </c>
      <c r="AJ25" s="9">
        <f>INDEX(V_Döviz!AI$2:AI$28,MATCH(LARGE(V_Döviz!$AL$2:$AL$28,ROW()-3),V_Döviz!$AL$2:$AL$28,0))</f>
        <v>19.643844034699232</v>
      </c>
      <c r="AK25" s="9">
        <f>INDEX(V_Döviz!AJ$2:AJ$28,MATCH(LARGE(V_Döviz!$AL$2:$AL$28,ROW()-3),V_Döviz!$AL$2:$AL$28,0))</f>
        <v>19.537539725159899</v>
      </c>
    </row>
    <row r="26" spans="1:37" x14ac:dyDescent="0.2">
      <c r="A26">
        <v>23</v>
      </c>
      <c r="B26" s="5" t="str">
        <f>INDEX(V_Döviz!A$2:A$28,MATCH(LARGE(V_Döviz!$AL$2:$AL$28,ROW()-3),V_Döviz!$AL$2:$AL$28,0))</f>
        <v>YDZ</v>
      </c>
      <c r="C26" s="5" t="str">
        <f>INDEX(V_Döviz!B$2:B$28,MATCH(LARGE(V_Döviz!$AL$2:$AL$28,ROW()-3),V_Döviz!$AL$2:$AL$28,0))</f>
        <v>Yapı Kredi Portföy Odeabank Dördüncü Serbest (Döviz) Özel Fon</v>
      </c>
      <c r="D26" s="5" t="str">
        <f>INDEX(V_Döviz!C$2:C$28,MATCH(LARGE(V_Döviz!$AL$2:$AL$28,ROW()-3),V_Döviz!$AL$2:$AL$28,0))</f>
        <v>Yapı Kredi Portföy</v>
      </c>
      <c r="E26" s="8">
        <f>INDEX(V_Döviz!D$2:D$28,MATCH(LARGE(V_Döviz!$AL$2:$AL$28,ROW()-3),V_Döviz!$AL$2:$AL$28,0))</f>
        <v>1.2E-2</v>
      </c>
      <c r="F26" s="9">
        <f>INDEX(V_Döviz!E$2:E$28,MATCH(LARGE(V_Döviz!$AL$2:$AL$28,ROW()-3),V_Döviz!$AL$2:$AL$28,0))</f>
        <v>0.22447916855350411</v>
      </c>
      <c r="G26" s="9">
        <f>INDEX(V_Döviz!F$2:F$28,MATCH(LARGE(V_Döviz!$AL$2:$AL$28,ROW()-3),V_Döviz!$AL$2:$AL$28,0))</f>
        <v>0.46356088789687439</v>
      </c>
      <c r="H26" s="9">
        <f>INDEX(V_Döviz!G$2:G$28,MATCH(LARGE(V_Döviz!$AL$2:$AL$28,ROW()-3),V_Döviz!$AL$2:$AL$28,0))</f>
        <v>2.2512918478850619</v>
      </c>
      <c r="I26" s="9">
        <f>INDEX(V_Döviz!H$2:H$28,MATCH(LARGE(V_Döviz!$AL$2:$AL$28,ROW()-3),V_Döviz!$AL$2:$AL$28,0))</f>
        <v>0.94424943655855298</v>
      </c>
      <c r="J26" s="9">
        <f>INDEX(V_Döviz!I$2:I$28,MATCH(LARGE(V_Döviz!$AL$2:$AL$28,ROW()-3),V_Döviz!$AL$2:$AL$28,0))</f>
        <v>12.04321598393183</v>
      </c>
      <c r="K26" s="9">
        <f>INDEX(V_Döviz!J$2:J$28,MATCH(LARGE(V_Döviz!$AL$2:$AL$28,ROW()-3),V_Döviz!$AL$2:$AL$28,0))</f>
        <v>22.49754894598972</v>
      </c>
      <c r="L26" s="10">
        <f>INDEX(V_Döviz!K$2:K$28,MATCH(LARGE(V_Döviz!$AL$2:$AL$28,ROW()-3),V_Döviz!$AL$2:$AL$28,0))</f>
        <v>3085</v>
      </c>
      <c r="M26" s="10">
        <f>INDEX(V_Döviz!L$2:L$28,MATCH(LARGE(V_Döviz!$AL$2:$AL$28,ROW()-3),V_Döviz!$AL$2:$AL$28,0))</f>
        <v>2972</v>
      </c>
      <c r="N26" s="8">
        <f>INDEX(V_Döviz!M$2:M$28,MATCH(LARGE(V_Döviz!$AL$2:$AL$28,ROW()-3),V_Döviz!$AL$2:$AL$28,0))</f>
        <v>-3.6628849270664447E-2</v>
      </c>
      <c r="O26" s="11">
        <f>INDEX(V_Döviz!N$2:N$28,MATCH(LARGE(V_Döviz!$AL$2:$AL$28,ROW()-3),V_Döviz!$AL$2:$AL$28,0))</f>
        <v>12377682931.76</v>
      </c>
      <c r="P26" s="11">
        <f>INDEX(V_Döviz!O$2:O$28,MATCH(LARGE(V_Döviz!$AL$2:$AL$28,ROW()-3),V_Döviz!$AL$2:$AL$28,0))</f>
        <v>11697500350.25</v>
      </c>
      <c r="Q26" s="8">
        <f>INDEX(V_Döviz!P$2:P$28,MATCH(LARGE(V_Döviz!$AL$2:$AL$28,ROW()-3),V_Döviz!$AL$2:$AL$28,0))</f>
        <v>-5.4952335203603757E-2</v>
      </c>
      <c r="R26" s="9">
        <f>INDEX(V_Döviz!Q$2:Q$28,MATCH(LARGE(V_Döviz!$AL$2:$AL$28,ROW()-3),V_Döviz!$AL$2:$AL$28,0))</f>
        <v>7.5435521270618519E-2</v>
      </c>
      <c r="S26" s="5" t="str">
        <f>INDEX(V_Döviz!R$2:R$28,MATCH(LARGE(V_Döviz!$AL$2:$AL$28,ROW()-3),V_Döviz!$AL$2:$AL$28,0))</f>
        <v>Görmüyor</v>
      </c>
      <c r="T26" s="8">
        <f>INDEX(V_Döviz!S$2:S$28,MATCH(LARGE(V_Döviz!$AL$2:$AL$28,ROW()-3),V_Döviz!$AL$2:$AL$28,0))</f>
        <v>0</v>
      </c>
      <c r="U26" s="8">
        <f>INDEX(V_Döviz!T$2:T$28,MATCH(LARGE(V_Döviz!$AL$2:$AL$28,ROW()-3),V_Döviz!$AL$2:$AL$28,0))</f>
        <v>0</v>
      </c>
      <c r="V26" s="8">
        <f>INDEX(V_Döviz!U$2:U$28,MATCH(LARGE(V_Döviz!$AL$2:$AL$28,ROW()-3),V_Döviz!$AL$2:$AL$28,0))</f>
        <v>0</v>
      </c>
      <c r="W26" s="8">
        <f>INDEX(V_Döviz!V$2:V$28,MATCH(LARGE(V_Döviz!$AL$2:$AL$28,ROW()-3),V_Döviz!$AL$2:$AL$28,0))</f>
        <v>0</v>
      </c>
      <c r="X26" s="8">
        <f>INDEX(V_Döviz!W$2:W$28,MATCH(LARGE(V_Döviz!$AL$2:$AL$28,ROW()-3),V_Döviz!$AL$2:$AL$28,0))</f>
        <v>6.4699999999999994E-2</v>
      </c>
      <c r="Y26" s="8">
        <f>INDEX(V_Döviz!X$2:X$28,MATCH(LARGE(V_Döviz!$AL$2:$AL$28,ROW()-3),V_Döviz!$AL$2:$AL$28,0))</f>
        <v>0</v>
      </c>
      <c r="Z26" s="8">
        <f>INDEX(V_Döviz!Y$2:Y$28,MATCH(LARGE(V_Döviz!$AL$2:$AL$28,ROW()-3),V_Döviz!$AL$2:$AL$28,0))</f>
        <v>0</v>
      </c>
      <c r="AA26" s="8">
        <f>INDEX(V_Döviz!Z$2:Z$28,MATCH(LARGE(V_Döviz!$AL$2:$AL$28,ROW()-3),V_Döviz!$AL$2:$AL$28,0))</f>
        <v>8.1000000000000013E-3</v>
      </c>
      <c r="AB26" s="8">
        <f>INDEX(V_Döviz!AA$2:AA$28,MATCH(LARGE(V_Döviz!$AL$2:$AL$28,ROW()-3),V_Döviz!$AL$2:$AL$28,0))</f>
        <v>0</v>
      </c>
      <c r="AC26" s="8">
        <f>INDEX(V_Döviz!AB$2:AB$28,MATCH(LARGE(V_Döviz!$AL$2:$AL$28,ROW()-3),V_Döviz!$AL$2:$AL$28,0))</f>
        <v>0</v>
      </c>
      <c r="AD26" s="8">
        <f>INDEX(V_Döviz!AC$2:AC$28,MATCH(LARGE(V_Döviz!$AL$2:$AL$28,ROW()-3),V_Döviz!$AL$2:$AL$28,0))</f>
        <v>0</v>
      </c>
      <c r="AE26" s="8">
        <f>INDEX(V_Döviz!AD$2:AD$28,MATCH(LARGE(V_Döviz!$AL$2:$AL$28,ROW()-3),V_Döviz!$AL$2:$AL$28,0))</f>
        <v>7.279999999999999E-2</v>
      </c>
      <c r="AF26" s="9">
        <f>INDEX(V_Döviz!AE$2:AE$28,MATCH(LARGE(V_Döviz!$AL$2:$AL$28,ROW()-3),V_Döviz!$AL$2:$AL$28,0))</f>
        <v>81.934896522029007</v>
      </c>
      <c r="AG26" s="9">
        <f>INDEX(V_Döviz!AF$2:AF$28,MATCH(LARGE(V_Döviz!$AL$2:$AL$28,ROW()-3),V_Döviz!$AL$2:$AL$28,0))</f>
        <v>24.171389154622741</v>
      </c>
      <c r="AH26" s="9">
        <f>INDEX(V_Döviz!AG$2:AG$28,MATCH(LARGE(V_Döviz!$AL$2:$AL$28,ROW()-3),V_Döviz!$AL$2:$AL$28,0))</f>
        <v>25.678797639938988</v>
      </c>
      <c r="AI26" s="9">
        <f>INDEX(V_Döviz!AH$2:AH$28,MATCH(LARGE(V_Döviz!$AL$2:$AL$28,ROW()-3),V_Döviz!$AL$2:$AL$28,0))</f>
        <v>24.617931738847989</v>
      </c>
      <c r="AJ26" s="9">
        <f>INDEX(V_Döviz!AI$2:AI$28,MATCH(LARGE(V_Döviz!$AL$2:$AL$28,ROW()-3),V_Döviz!$AL$2:$AL$28,0))</f>
        <v>22.542429918641631</v>
      </c>
      <c r="AK26" s="9">
        <f>INDEX(V_Döviz!AJ$2:AJ$28,MATCH(LARGE(V_Döviz!$AL$2:$AL$28,ROW()-3),V_Döviz!$AL$2:$AL$28,0))</f>
        <v>22.49754894598972</v>
      </c>
    </row>
    <row r="27" spans="1:37" x14ac:dyDescent="0.2">
      <c r="A27">
        <v>24</v>
      </c>
      <c r="B27" s="5" t="str">
        <f>INDEX(V_Döviz!A$2:A$28,MATCH(LARGE(V_Döviz!$AL$2:$AL$28,ROW()-3),V_Döviz!$AL$2:$AL$28,0))</f>
        <v>YPL</v>
      </c>
      <c r="C27" s="5" t="str">
        <f>INDEX(V_Döviz!B$2:B$28,MATCH(LARGE(V_Döviz!$AL$2:$AL$28,ROW()-3),V_Döviz!$AL$2:$AL$28,0))</f>
        <v>Yapı Kredi Portföy Balat Serbest (Döviz) Fon</v>
      </c>
      <c r="D27" s="5" t="str">
        <f>INDEX(V_Döviz!C$2:C$28,MATCH(LARGE(V_Döviz!$AL$2:$AL$28,ROW()-3),V_Döviz!$AL$2:$AL$28,0))</f>
        <v>Yapı Kredi Portföy</v>
      </c>
      <c r="E27" s="8">
        <f>INDEX(V_Döviz!D$2:D$28,MATCH(LARGE(V_Döviz!$AL$2:$AL$28,ROW()-3),V_Döviz!$AL$2:$AL$28,0))</f>
        <v>1.4999999999999999E-2</v>
      </c>
      <c r="F27" s="9">
        <f>INDEX(V_Döviz!E$2:E$28,MATCH(LARGE(V_Döviz!$AL$2:$AL$28,ROW()-3),V_Döviz!$AL$2:$AL$28,0))</f>
        <v>0.2049311866483938</v>
      </c>
      <c r="G27" s="9">
        <f>INDEX(V_Döviz!F$2:F$28,MATCH(LARGE(V_Döviz!$AL$2:$AL$28,ROW()-3),V_Döviz!$AL$2:$AL$28,0))</f>
        <v>0.40798178308700811</v>
      </c>
      <c r="H27" s="9">
        <f>INDEX(V_Döviz!G$2:G$28,MATCH(LARGE(V_Döviz!$AL$2:$AL$28,ROW()-3),V_Döviz!$AL$2:$AL$28,0))</f>
        <v>2.9824964384719488</v>
      </c>
      <c r="I27" s="9">
        <f>INDEX(V_Döviz!H$2:H$28,MATCH(LARGE(V_Döviz!$AL$2:$AL$28,ROW()-3),V_Döviz!$AL$2:$AL$28,0))</f>
        <v>0.95918517649644652</v>
      </c>
      <c r="J27" s="9">
        <f>INDEX(V_Döviz!I$2:I$28,MATCH(LARGE(V_Döviz!$AL$2:$AL$28,ROW()-3),V_Döviz!$AL$2:$AL$28,0))</f>
        <v>11.556934871206421</v>
      </c>
      <c r="K27" s="9">
        <f>INDEX(V_Döviz!J$2:J$28,MATCH(LARGE(V_Döviz!$AL$2:$AL$28,ROW()-3),V_Döviz!$AL$2:$AL$28,0))</f>
        <v>27.2699111537062</v>
      </c>
      <c r="L27" s="10">
        <f>INDEX(V_Döviz!K$2:K$28,MATCH(LARGE(V_Döviz!$AL$2:$AL$28,ROW()-3),V_Döviz!$AL$2:$AL$28,0))</f>
        <v>1586</v>
      </c>
      <c r="M27" s="10">
        <f>INDEX(V_Döviz!L$2:L$28,MATCH(LARGE(V_Döviz!$AL$2:$AL$28,ROW()-3),V_Döviz!$AL$2:$AL$28,0))</f>
        <v>1584</v>
      </c>
      <c r="N27" s="8">
        <f>INDEX(V_Döviz!M$2:M$28,MATCH(LARGE(V_Döviz!$AL$2:$AL$28,ROW()-3),V_Döviz!$AL$2:$AL$28,0))</f>
        <v>-1.2610340479193289E-3</v>
      </c>
      <c r="O27" s="11">
        <f>INDEX(V_Döviz!N$2:N$28,MATCH(LARGE(V_Döviz!$AL$2:$AL$28,ROW()-3),V_Döviz!$AL$2:$AL$28,0))</f>
        <v>12986145997.809999</v>
      </c>
      <c r="P27" s="11">
        <f>INDEX(V_Döviz!O$2:O$28,MATCH(LARGE(V_Döviz!$AL$2:$AL$28,ROW()-3),V_Döviz!$AL$2:$AL$28,0))</f>
        <v>13302914742.76</v>
      </c>
      <c r="Q27" s="8">
        <f>INDEX(V_Döviz!P$2:P$28,MATCH(LARGE(V_Döviz!$AL$2:$AL$28,ROW()-3),V_Döviz!$AL$2:$AL$28,0))</f>
        <v>2.4392821781259899E-2</v>
      </c>
      <c r="R27" s="9">
        <f>INDEX(V_Döviz!Q$2:Q$28,MATCH(LARGE(V_Döviz!$AL$2:$AL$28,ROW()-3),V_Döviz!$AL$2:$AL$28,0))</f>
        <v>0.1198603765022969</v>
      </c>
      <c r="S27" s="5" t="str">
        <f>INDEX(V_Döviz!R$2:R$28,MATCH(LARGE(V_Döviz!$AL$2:$AL$28,ROW()-3),V_Döviz!$AL$2:$AL$28,0))</f>
        <v>Görüyor</v>
      </c>
      <c r="T27" s="8">
        <f>INDEX(V_Döviz!S$2:S$28,MATCH(LARGE(V_Döviz!$AL$2:$AL$28,ROW()-3),V_Döviz!$AL$2:$AL$28,0))</f>
        <v>0</v>
      </c>
      <c r="U27" s="8">
        <f>INDEX(V_Döviz!T$2:T$28,MATCH(LARGE(V_Döviz!$AL$2:$AL$28,ROW()-3),V_Döviz!$AL$2:$AL$28,0))</f>
        <v>0</v>
      </c>
      <c r="V27" s="8">
        <f>INDEX(V_Döviz!U$2:U$28,MATCH(LARGE(V_Döviz!$AL$2:$AL$28,ROW()-3),V_Döviz!$AL$2:$AL$28,0))</f>
        <v>0</v>
      </c>
      <c r="W27" s="8">
        <f>INDEX(V_Döviz!V$2:V$28,MATCH(LARGE(V_Döviz!$AL$2:$AL$28,ROW()-3),V_Döviz!$AL$2:$AL$28,0))</f>
        <v>1.61E-2</v>
      </c>
      <c r="X27" s="8">
        <f>INDEX(V_Döviz!W$2:W$28,MATCH(LARGE(V_Döviz!$AL$2:$AL$28,ROW()-3),V_Döviz!$AL$2:$AL$28,0))</f>
        <v>3.5000000000000003E-2</v>
      </c>
      <c r="Y27" s="8">
        <f>INDEX(V_Döviz!X$2:X$28,MATCH(LARGE(V_Döviz!$AL$2:$AL$28,ROW()-3),V_Döviz!$AL$2:$AL$28,0))</f>
        <v>0</v>
      </c>
      <c r="Z27" s="8">
        <f>INDEX(V_Döviz!Y$2:Y$28,MATCH(LARGE(V_Döviz!$AL$2:$AL$28,ROW()-3),V_Döviz!$AL$2:$AL$28,0))</f>
        <v>0</v>
      </c>
      <c r="AA27" s="8">
        <f>INDEX(V_Döviz!Z$2:Z$28,MATCH(LARGE(V_Döviz!$AL$2:$AL$28,ROW()-3),V_Döviz!$AL$2:$AL$28,0))</f>
        <v>4.5000000000000014E-3</v>
      </c>
      <c r="AB27" s="8">
        <f>INDEX(V_Döviz!AA$2:AA$28,MATCH(LARGE(V_Döviz!$AL$2:$AL$28,ROW()-3),V_Döviz!$AL$2:$AL$28,0))</f>
        <v>0</v>
      </c>
      <c r="AC27" s="8">
        <f>INDEX(V_Döviz!AB$2:AB$28,MATCH(LARGE(V_Döviz!$AL$2:$AL$28,ROW()-3),V_Döviz!$AL$2:$AL$28,0))</f>
        <v>0</v>
      </c>
      <c r="AD27" s="8">
        <f>INDEX(V_Döviz!AC$2:AC$28,MATCH(LARGE(V_Döviz!$AL$2:$AL$28,ROW()-3),V_Döviz!$AL$2:$AL$28,0))</f>
        <v>0</v>
      </c>
      <c r="AE27" s="8">
        <f>INDEX(V_Döviz!AD$2:AD$28,MATCH(LARGE(V_Döviz!$AL$2:$AL$28,ROW()-3),V_Döviz!$AL$2:$AL$28,0))</f>
        <v>5.5599999999999997E-2</v>
      </c>
      <c r="AF27" s="9">
        <f>INDEX(V_Döviz!AE$2:AE$28,MATCH(LARGE(V_Döviz!$AL$2:$AL$28,ROW()-3),V_Döviz!$AL$2:$AL$28,0))</f>
        <v>74.799883126663744</v>
      </c>
      <c r="AG27" s="9">
        <f>INDEX(V_Döviz!AF$2:AF$28,MATCH(LARGE(V_Döviz!$AL$2:$AL$28,ROW()-3),V_Döviz!$AL$2:$AL$28,0))</f>
        <v>21.27333583239399</v>
      </c>
      <c r="AH27" s="9">
        <f>INDEX(V_Döviz!AG$2:AG$28,MATCH(LARGE(V_Döviz!$AL$2:$AL$28,ROW()-3),V_Döviz!$AL$2:$AL$28,0))</f>
        <v>34.019100001320673</v>
      </c>
      <c r="AI27" s="9">
        <f>INDEX(V_Döviz!AH$2:AH$28,MATCH(LARGE(V_Döviz!$AL$2:$AL$28,ROW()-3),V_Döviz!$AL$2:$AL$28,0))</f>
        <v>25.00732781580021</v>
      </c>
      <c r="AJ27" s="9">
        <f>INDEX(V_Döviz!AI$2:AI$28,MATCH(LARGE(V_Döviz!$AL$2:$AL$28,ROW()-3),V_Döviz!$AL$2:$AL$28,0))</f>
        <v>21.6322114255915</v>
      </c>
      <c r="AK27" s="9">
        <f>INDEX(V_Döviz!AJ$2:AJ$28,MATCH(LARGE(V_Döviz!$AL$2:$AL$28,ROW()-3),V_Döviz!$AL$2:$AL$28,0))</f>
        <v>27.2699111537062</v>
      </c>
    </row>
    <row r="28" spans="1:37" x14ac:dyDescent="0.2">
      <c r="A28">
        <v>25</v>
      </c>
      <c r="B28" s="5" t="str">
        <f>INDEX(V_Döviz!A$2:A$28,MATCH(LARGE(V_Döviz!$AL$2:$AL$28,ROW()-3),V_Döviz!$AL$2:$AL$28,0))</f>
        <v>BSD</v>
      </c>
      <c r="C28" s="5" t="str">
        <f>INDEX(V_Döviz!B$2:B$28,MATCH(LARGE(V_Döviz!$AL$2:$AL$28,ROW()-3),V_Döviz!$AL$2:$AL$28,0))</f>
        <v>BV Portföy Serbest (Döviz) Fon</v>
      </c>
      <c r="D28" s="5" t="str">
        <f>INDEX(V_Döviz!C$2:C$28,MATCH(LARGE(V_Döviz!$AL$2:$AL$28,ROW()-3),V_Döviz!$AL$2:$AL$28,0))</f>
        <v>BV Portföy</v>
      </c>
      <c r="E28" s="8">
        <f>INDEX(V_Döviz!D$2:D$28,MATCH(LARGE(V_Döviz!$AL$2:$AL$28,ROW()-3),V_Döviz!$AL$2:$AL$28,0))</f>
        <v>0.01</v>
      </c>
      <c r="F28" s="9">
        <f>INDEX(V_Döviz!E$2:E$28,MATCH(LARGE(V_Döviz!$AL$2:$AL$28,ROW()-3),V_Döviz!$AL$2:$AL$28,0))</f>
        <v>0.2019623622632194</v>
      </c>
      <c r="G28" s="9">
        <f>INDEX(V_Döviz!F$2:F$28,MATCH(LARGE(V_Döviz!$AL$2:$AL$28,ROW()-3),V_Döviz!$AL$2:$AL$28,0))</f>
        <v>0.51679898572161154</v>
      </c>
      <c r="H28" s="9">
        <f>INDEX(V_Döviz!G$2:G$28,MATCH(LARGE(V_Döviz!$AL$2:$AL$28,ROW()-3),V_Döviz!$AL$2:$AL$28,0))</f>
        <v>2.2890103804163342</v>
      </c>
      <c r="I28" s="9">
        <f>INDEX(V_Döviz!H$2:H$28,MATCH(LARGE(V_Döviz!$AL$2:$AL$28,ROW()-3),V_Döviz!$AL$2:$AL$28,0))</f>
        <v>0.73548224262875994</v>
      </c>
      <c r="J28" s="9">
        <f>INDEX(V_Döviz!I$2:I$28,MATCH(LARGE(V_Döviz!$AL$2:$AL$28,ROW()-3),V_Döviz!$AL$2:$AL$28,0))</f>
        <v>12.441062936631139</v>
      </c>
      <c r="K28" s="9" t="str">
        <f>INDEX(V_Döviz!J$2:J$28,MATCH(LARGE(V_Döviz!$AL$2:$AL$28,ROW()-3),V_Döviz!$AL$2:$AL$28,0))</f>
        <v>-</v>
      </c>
      <c r="L28" s="10">
        <f>INDEX(V_Döviz!K$2:K$28,MATCH(LARGE(V_Döviz!$AL$2:$AL$28,ROW()-3),V_Döviz!$AL$2:$AL$28,0))</f>
        <v>91</v>
      </c>
      <c r="M28" s="10">
        <f>INDEX(V_Döviz!L$2:L$28,MATCH(LARGE(V_Döviz!$AL$2:$AL$28,ROW()-3),V_Döviz!$AL$2:$AL$28,0))</f>
        <v>98</v>
      </c>
      <c r="N28" s="8">
        <f>INDEX(V_Döviz!M$2:M$28,MATCH(LARGE(V_Döviz!$AL$2:$AL$28,ROW()-3),V_Döviz!$AL$2:$AL$28,0))</f>
        <v>7.6923076923076872E-2</v>
      </c>
      <c r="O28" s="11">
        <f>INDEX(V_Döviz!N$2:N$28,MATCH(LARGE(V_Döviz!$AL$2:$AL$28,ROW()-3),V_Döviz!$AL$2:$AL$28,0))</f>
        <v>233991975.91999999</v>
      </c>
      <c r="P28" s="11">
        <f>INDEX(V_Döviz!O$2:O$28,MATCH(LARGE(V_Döviz!$AL$2:$AL$28,ROW()-3),V_Döviz!$AL$2:$AL$28,0))</f>
        <v>313902618.11000001</v>
      </c>
      <c r="Q28" s="8">
        <f>INDEX(V_Döviz!P$2:P$28,MATCH(LARGE(V_Döviz!$AL$2:$AL$28,ROW()-3),V_Döviz!$AL$2:$AL$28,0))</f>
        <v>0.34151018160264113</v>
      </c>
      <c r="R28" s="9">
        <f>INDEX(V_Döviz!Q$2:Q$28,MATCH(LARGE(V_Döviz!$AL$2:$AL$28,ROW()-3),V_Döviz!$AL$2:$AL$28,0))</f>
        <v>0.13537827532073771</v>
      </c>
      <c r="S28" s="5" t="str">
        <f>INDEX(V_Döviz!R$2:R$28,MATCH(LARGE(V_Döviz!$AL$2:$AL$28,ROW()-3),V_Döviz!$AL$2:$AL$28,0))</f>
        <v>Görüyor</v>
      </c>
      <c r="T28" s="8">
        <f>INDEX(V_Döviz!S$2:S$28,MATCH(LARGE(V_Döviz!$AL$2:$AL$28,ROW()-3),V_Döviz!$AL$2:$AL$28,0))</f>
        <v>0</v>
      </c>
      <c r="U28" s="8">
        <f>INDEX(V_Döviz!T$2:T$28,MATCH(LARGE(V_Döviz!$AL$2:$AL$28,ROW()-3),V_Döviz!$AL$2:$AL$28,0))</f>
        <v>0</v>
      </c>
      <c r="V28" s="8">
        <f>INDEX(V_Döviz!U$2:U$28,MATCH(LARGE(V_Döviz!$AL$2:$AL$28,ROW()-3),V_Döviz!$AL$2:$AL$28,0))</f>
        <v>0</v>
      </c>
      <c r="W28" s="8">
        <f>INDEX(V_Döviz!V$2:V$28,MATCH(LARGE(V_Döviz!$AL$2:$AL$28,ROW()-3),V_Döviz!$AL$2:$AL$28,0))</f>
        <v>0.2319</v>
      </c>
      <c r="X28" s="8">
        <f>INDEX(V_Döviz!W$2:W$28,MATCH(LARGE(V_Döviz!$AL$2:$AL$28,ROW()-3),V_Döviz!$AL$2:$AL$28,0))</f>
        <v>0.3664</v>
      </c>
      <c r="Y28" s="8">
        <f>INDEX(V_Döviz!X$2:X$28,MATCH(LARGE(V_Döviz!$AL$2:$AL$28,ROW()-3),V_Döviz!$AL$2:$AL$28,0))</f>
        <v>0.11799999999999999</v>
      </c>
      <c r="Z28" s="8">
        <f>INDEX(V_Döviz!Y$2:Y$28,MATCH(LARGE(V_Döviz!$AL$2:$AL$28,ROW()-3),V_Döviz!$AL$2:$AL$28,0))</f>
        <v>-0.59560000000000002</v>
      </c>
      <c r="AA28" s="8">
        <f>INDEX(V_Döviz!Z$2:Z$28,MATCH(LARGE(V_Döviz!$AL$2:$AL$28,ROW()-3),V_Döviz!$AL$2:$AL$28,0))</f>
        <v>0</v>
      </c>
      <c r="AB28" s="8">
        <f>INDEX(V_Döviz!AA$2:AA$28,MATCH(LARGE(V_Döviz!$AL$2:$AL$28,ROW()-3),V_Döviz!$AL$2:$AL$28,0))</f>
        <v>0</v>
      </c>
      <c r="AC28" s="8">
        <f>INDEX(V_Döviz!AB$2:AB$28,MATCH(LARGE(V_Döviz!$AL$2:$AL$28,ROW()-3),V_Döviz!$AL$2:$AL$28,0))</f>
        <v>0.69200000000000006</v>
      </c>
      <c r="AD28" s="8">
        <f>INDEX(V_Döviz!AC$2:AC$28,MATCH(LARGE(V_Döviz!$AL$2:$AL$28,ROW()-3),V_Döviz!$AL$2:$AL$28,0))</f>
        <v>1E-4</v>
      </c>
      <c r="AE28" s="8">
        <f>INDEX(V_Döviz!AD$2:AD$28,MATCH(LARGE(V_Döviz!$AL$2:$AL$28,ROW()-3),V_Döviz!$AL$2:$AL$28,0))</f>
        <v>0.81280000000000008</v>
      </c>
      <c r="AF28" s="9">
        <f>INDEX(V_Döviz!AE$2:AE$28,MATCH(LARGE(V_Döviz!$AL$2:$AL$28,ROW()-3),V_Döviz!$AL$2:$AL$28,0))</f>
        <v>73.716262226075074</v>
      </c>
      <c r="AG28" s="9">
        <f>INDEX(V_Döviz!AF$2:AF$28,MATCH(LARGE(V_Döviz!$AL$2:$AL$28,ROW()-3),V_Döviz!$AL$2:$AL$28,0))</f>
        <v>26.947375684055459</v>
      </c>
      <c r="AH28" s="9">
        <f>INDEX(V_Döviz!AG$2:AG$28,MATCH(LARGE(V_Döviz!$AL$2:$AL$28,ROW()-3),V_Döviz!$AL$2:$AL$28,0))</f>
        <v>26.109024651623809</v>
      </c>
      <c r="AI28" s="9">
        <f>INDEX(V_Döviz!AH$2:AH$28,MATCH(LARGE(V_Döviz!$AL$2:$AL$28,ROW()-3),V_Döviz!$AL$2:$AL$28,0))</f>
        <v>19.175072754249811</v>
      </c>
      <c r="AJ28" s="9">
        <f>INDEX(V_Döviz!AI$2:AI$28,MATCH(LARGE(V_Döviz!$AL$2:$AL$28,ROW()-3),V_Döviz!$AL$2:$AL$28,0))</f>
        <v>23.287117804463421</v>
      </c>
      <c r="AK28" s="9" t="str">
        <f>INDEX(V_Döviz!AJ$2:AJ$28,MATCH(LARGE(V_Döviz!$AL$2:$AL$28,ROW()-3),V_Döviz!$AL$2:$AL$28,0))</f>
        <v>-</v>
      </c>
    </row>
    <row r="29" spans="1:37" x14ac:dyDescent="0.2">
      <c r="A29">
        <v>26</v>
      </c>
      <c r="B29" s="5" t="str">
        <f>INDEX(V_Döviz!A$2:A$28,MATCH(LARGE(V_Döviz!$AL$2:$AL$28,ROW()-3),V_Döviz!$AL$2:$AL$28,0))</f>
        <v>TRU</v>
      </c>
      <c r="C29" s="5" t="str">
        <f>INDEX(V_Döviz!B$2:B$28,MATCH(LARGE(V_Döviz!$AL$2:$AL$28,ROW()-3),V_Döviz!$AL$2:$AL$28,0))</f>
        <v>Tera Portföy Katılım Serbest (Döviz) Fon</v>
      </c>
      <c r="D29" s="5" t="str">
        <f>INDEX(V_Döviz!C$2:C$28,MATCH(LARGE(V_Döviz!$AL$2:$AL$28,ROW()-3),V_Döviz!$AL$2:$AL$28,0))</f>
        <v>Tera Portföy</v>
      </c>
      <c r="E29" s="8">
        <f>INDEX(V_Döviz!D$2:D$28,MATCH(LARGE(V_Döviz!$AL$2:$AL$28,ROW()-3),V_Döviz!$AL$2:$AL$28,0))</f>
        <v>0</v>
      </c>
      <c r="F29" s="9">
        <f>INDEX(V_Döviz!E$2:E$28,MATCH(LARGE(V_Döviz!$AL$2:$AL$28,ROW()-3),V_Döviz!$AL$2:$AL$28,0))</f>
        <v>0.155886390921256</v>
      </c>
      <c r="G29" s="9">
        <f>INDEX(V_Döviz!F$2:F$28,MATCH(LARGE(V_Döviz!$AL$2:$AL$28,ROW()-3),V_Döviz!$AL$2:$AL$28,0))</f>
        <v>0.27075303314736399</v>
      </c>
      <c r="H29" s="9">
        <f>INDEX(V_Döviz!G$2:G$28,MATCH(LARGE(V_Döviz!$AL$2:$AL$28,ROW()-3),V_Döviz!$AL$2:$AL$28,0))</f>
        <v>2.1637895287733411</v>
      </c>
      <c r="I29" s="9">
        <f>INDEX(V_Döviz!H$2:H$28,MATCH(LARGE(V_Döviz!$AL$2:$AL$28,ROW()-3),V_Döviz!$AL$2:$AL$28,0))</f>
        <v>1.1074640956235231</v>
      </c>
      <c r="J29" s="9">
        <f>INDEX(V_Döviz!I$2:I$28,MATCH(LARGE(V_Döviz!$AL$2:$AL$28,ROW()-3),V_Döviz!$AL$2:$AL$28,0))</f>
        <v>13.415096181112981</v>
      </c>
      <c r="K29" s="9">
        <f>INDEX(V_Döviz!J$2:J$28,MATCH(LARGE(V_Döviz!$AL$2:$AL$28,ROW()-3),V_Döviz!$AL$2:$AL$28,0))</f>
        <v>23.50399097532441</v>
      </c>
      <c r="L29" s="10">
        <f>INDEX(V_Döviz!K$2:K$28,MATCH(LARGE(V_Döviz!$AL$2:$AL$28,ROW()-3),V_Döviz!$AL$2:$AL$28,0))</f>
        <v>281</v>
      </c>
      <c r="M29" s="10">
        <f>INDEX(V_Döviz!L$2:L$28,MATCH(LARGE(V_Döviz!$AL$2:$AL$28,ROW()-3),V_Döviz!$AL$2:$AL$28,0))</f>
        <v>261</v>
      </c>
      <c r="N29" s="8">
        <f>INDEX(V_Döviz!M$2:M$28,MATCH(LARGE(V_Döviz!$AL$2:$AL$28,ROW()-3),V_Döviz!$AL$2:$AL$28,0))</f>
        <v>-7.1174377224199281E-2</v>
      </c>
      <c r="O29" s="11">
        <f>INDEX(V_Döviz!N$2:N$28,MATCH(LARGE(V_Döviz!$AL$2:$AL$28,ROW()-3),V_Döviz!$AL$2:$AL$28,0))</f>
        <v>302185523.32999998</v>
      </c>
      <c r="P29" s="11">
        <f>INDEX(V_Döviz!O$2:O$28,MATCH(LARGE(V_Döviz!$AL$2:$AL$28,ROW()-3),V_Döviz!$AL$2:$AL$28,0))</f>
        <v>299725079.97000003</v>
      </c>
      <c r="Q29" s="8">
        <f>INDEX(V_Döviz!P$2:P$28,MATCH(LARGE(V_Döviz!$AL$2:$AL$28,ROW()-3),V_Döviz!$AL$2:$AL$28,0))</f>
        <v>-8.142161586321417E-3</v>
      </c>
      <c r="R29" s="9">
        <f>INDEX(V_Döviz!Q$2:Q$28,MATCH(LARGE(V_Döviz!$AL$2:$AL$28,ROW()-3),V_Döviz!$AL$2:$AL$28,0))</f>
        <v>0.2349080374490369</v>
      </c>
      <c r="S29" s="5" t="str">
        <f>INDEX(V_Döviz!R$2:R$28,MATCH(LARGE(V_Döviz!$AL$2:$AL$28,ROW()-3),V_Döviz!$AL$2:$AL$28,0))</f>
        <v>Görüyor</v>
      </c>
      <c r="T29" s="8">
        <f>INDEX(V_Döviz!S$2:S$28,MATCH(LARGE(V_Döviz!$AL$2:$AL$28,ROW()-3),V_Döviz!$AL$2:$AL$28,0))</f>
        <v>1.67E-2</v>
      </c>
      <c r="U29" s="8">
        <f>INDEX(V_Döviz!T$2:T$28,MATCH(LARGE(V_Döviz!$AL$2:$AL$28,ROW()-3),V_Döviz!$AL$2:$AL$28,0))</f>
        <v>1.43E-2</v>
      </c>
      <c r="V29" s="8">
        <f>INDEX(V_Döviz!U$2:U$28,MATCH(LARGE(V_Döviz!$AL$2:$AL$28,ROW()-3),V_Döviz!$AL$2:$AL$28,0))</f>
        <v>0</v>
      </c>
      <c r="W29" s="8">
        <f>INDEX(V_Döviz!V$2:V$28,MATCH(LARGE(V_Döviz!$AL$2:$AL$28,ROW()-3),V_Döviz!$AL$2:$AL$28,0))</f>
        <v>0</v>
      </c>
      <c r="X29" s="8">
        <f>INDEX(V_Döviz!W$2:W$28,MATCH(LARGE(V_Döviz!$AL$2:$AL$28,ROW()-3),V_Döviz!$AL$2:$AL$28,0))</f>
        <v>0</v>
      </c>
      <c r="Y29" s="8">
        <f>INDEX(V_Döviz!X$2:X$28,MATCH(LARGE(V_Döviz!$AL$2:$AL$28,ROW()-3),V_Döviz!$AL$2:$AL$28,0))</f>
        <v>0</v>
      </c>
      <c r="Z29" s="8">
        <f>INDEX(V_Döviz!Y$2:Y$28,MATCH(LARGE(V_Döviz!$AL$2:$AL$28,ROW()-3),V_Döviz!$AL$2:$AL$28,0))</f>
        <v>0</v>
      </c>
      <c r="AA29" s="8">
        <f>INDEX(V_Döviz!Z$2:Z$28,MATCH(LARGE(V_Döviz!$AL$2:$AL$28,ROW()-3),V_Döviz!$AL$2:$AL$28,0))</f>
        <v>2.9899999999999999E-2</v>
      </c>
      <c r="AB29" s="8">
        <f>INDEX(V_Döviz!AA$2:AA$28,MATCH(LARGE(V_Döviz!$AL$2:$AL$28,ROW()-3),V_Döviz!$AL$2:$AL$28,0))</f>
        <v>0</v>
      </c>
      <c r="AC29" s="8">
        <f>INDEX(V_Döviz!AB$2:AB$28,MATCH(LARGE(V_Döviz!$AL$2:$AL$28,ROW()-3),V_Döviz!$AL$2:$AL$28,0))</f>
        <v>0</v>
      </c>
      <c r="AD29" s="8">
        <f>INDEX(V_Döviz!AC$2:AC$28,MATCH(LARGE(V_Döviz!$AL$2:$AL$28,ROW()-3),V_Döviz!$AL$2:$AL$28,0))</f>
        <v>0</v>
      </c>
      <c r="AE29" s="8">
        <f>INDEX(V_Döviz!AD$2:AD$28,MATCH(LARGE(V_Döviz!$AL$2:$AL$28,ROW()-3),V_Döviz!$AL$2:$AL$28,0))</f>
        <v>6.0900000000000003E-2</v>
      </c>
      <c r="AF29" s="9">
        <f>INDEX(V_Döviz!AE$2:AE$28,MATCH(LARGE(V_Döviz!$AL$2:$AL$28,ROW()-3),V_Döviz!$AL$2:$AL$28,0))</f>
        <v>56.898532686258442</v>
      </c>
      <c r="AG29" s="9">
        <f>INDEX(V_Döviz!AF$2:AF$28,MATCH(LARGE(V_Döviz!$AL$2:$AL$28,ROW()-3),V_Döviz!$AL$2:$AL$28,0))</f>
        <v>14.11783672839826</v>
      </c>
      <c r="AH29" s="9">
        <f>INDEX(V_Döviz!AG$2:AG$28,MATCH(LARGE(V_Döviz!$AL$2:$AL$28,ROW()-3),V_Döviz!$AL$2:$AL$28,0))</f>
        <v>24.68072431257092</v>
      </c>
      <c r="AI29" s="9">
        <f>INDEX(V_Döviz!AH$2:AH$28,MATCH(LARGE(V_Döviz!$AL$2:$AL$28,ROW()-3),V_Döviz!$AL$2:$AL$28,0))</f>
        <v>28.873171064470409</v>
      </c>
      <c r="AJ29" s="9">
        <f>INDEX(V_Döviz!AI$2:AI$28,MATCH(LARGE(V_Döviz!$AL$2:$AL$28,ROW()-3),V_Döviz!$AL$2:$AL$28,0))</f>
        <v>25.110308236442251</v>
      </c>
      <c r="AK29" s="9">
        <f>INDEX(V_Döviz!AJ$2:AJ$28,MATCH(LARGE(V_Döviz!$AL$2:$AL$28,ROW()-3),V_Döviz!$AL$2:$AL$28,0))</f>
        <v>23.50399097532441</v>
      </c>
    </row>
    <row r="30" spans="1:37" x14ac:dyDescent="0.2">
      <c r="A30">
        <v>27</v>
      </c>
      <c r="B30" s="5" t="str">
        <f>INDEX(V_Döviz!A$2:A$28,MATCH(LARGE(V_Döviz!$AL$2:$AL$28,ROW()-3),V_Döviz!$AL$2:$AL$28,0))</f>
        <v>BIS</v>
      </c>
      <c r="C30" s="5" t="str">
        <f>INDEX(V_Döviz!B$2:B$28,MATCH(LARGE(V_Döviz!$AL$2:$AL$28,ROW()-3),V_Döviz!$AL$2:$AL$28,0))</f>
        <v>BV Portföy Birinci Serbest Fon</v>
      </c>
      <c r="D30" s="5" t="str">
        <f>INDEX(V_Döviz!C$2:C$28,MATCH(LARGE(V_Döviz!$AL$2:$AL$28,ROW()-3),V_Döviz!$AL$2:$AL$28,0))</f>
        <v>BV Portföy</v>
      </c>
      <c r="E30" s="8">
        <f>INDEX(V_Döviz!D$2:D$28,MATCH(LARGE(V_Döviz!$AL$2:$AL$28,ROW()-3),V_Döviz!$AL$2:$AL$28,0))</f>
        <v>3.15E-2</v>
      </c>
      <c r="F30" s="9">
        <f>INDEX(V_Döviz!E$2:E$28,MATCH(LARGE(V_Döviz!$AL$2:$AL$28,ROW()-3),V_Döviz!$AL$2:$AL$28,0))</f>
        <v>0.1169107679869885</v>
      </c>
      <c r="G30" s="9">
        <f>INDEX(V_Döviz!F$2:F$28,MATCH(LARGE(V_Döviz!$AL$2:$AL$28,ROW()-3),V_Döviz!$AL$2:$AL$28,0))</f>
        <v>0.70176524950549268</v>
      </c>
      <c r="H30" s="9">
        <f>INDEX(V_Döviz!G$2:G$28,MATCH(LARGE(V_Döviz!$AL$2:$AL$28,ROW()-3),V_Döviz!$AL$2:$AL$28,0))</f>
        <v>2.641906459720289</v>
      </c>
      <c r="I30" s="9">
        <f>INDEX(V_Döviz!H$2:H$28,MATCH(LARGE(V_Döviz!$AL$2:$AL$28,ROW()-3),V_Döviz!$AL$2:$AL$28,0))</f>
        <v>1.267489218763473</v>
      </c>
      <c r="J30" s="9">
        <f>INDEX(V_Döviz!I$2:I$28,MATCH(LARGE(V_Döviz!$AL$2:$AL$28,ROW()-3),V_Döviz!$AL$2:$AL$28,0))</f>
        <v>14.70626398612216</v>
      </c>
      <c r="K30" s="9">
        <f>INDEX(V_Döviz!J$2:J$28,MATCH(LARGE(V_Döviz!$AL$2:$AL$28,ROW()-3),V_Döviz!$AL$2:$AL$28,0))</f>
        <v>26.50553073072572</v>
      </c>
      <c r="L30" s="10">
        <f>INDEX(V_Döviz!K$2:K$28,MATCH(LARGE(V_Döviz!$AL$2:$AL$28,ROW()-3),V_Döviz!$AL$2:$AL$28,0))</f>
        <v>68</v>
      </c>
      <c r="M30" s="10">
        <f>INDEX(V_Döviz!L$2:L$28,MATCH(LARGE(V_Döviz!$AL$2:$AL$28,ROW()-3),V_Döviz!$AL$2:$AL$28,0))</f>
        <v>62</v>
      </c>
      <c r="N30" s="8">
        <f>INDEX(V_Döviz!M$2:M$28,MATCH(LARGE(V_Döviz!$AL$2:$AL$28,ROW()-3),V_Döviz!$AL$2:$AL$28,0))</f>
        <v>-8.8235294117647078E-2</v>
      </c>
      <c r="O30" s="11">
        <f>INDEX(V_Döviz!N$2:N$28,MATCH(LARGE(V_Döviz!$AL$2:$AL$28,ROW()-3),V_Döviz!$AL$2:$AL$28,0))</f>
        <v>850926693.66999996</v>
      </c>
      <c r="P30" s="11">
        <f>INDEX(V_Döviz!O$2:O$28,MATCH(LARGE(V_Döviz!$AL$2:$AL$28,ROW()-3),V_Döviz!$AL$2:$AL$28,0))</f>
        <v>762515120.87</v>
      </c>
      <c r="Q30" s="8">
        <f>INDEX(V_Döviz!P$2:P$28,MATCH(LARGE(V_Döviz!$AL$2:$AL$28,ROW()-3),V_Döviz!$AL$2:$AL$28,0))</f>
        <v>-0.1039003400148204</v>
      </c>
      <c r="R30" s="9">
        <f>INDEX(V_Döviz!Q$2:Q$28,MATCH(LARGE(V_Döviz!$AL$2:$AL$28,ROW()-3),V_Döviz!$AL$2:$AL$28,0))</f>
        <v>9.4308138648477868E-2</v>
      </c>
      <c r="S30" s="5" t="str">
        <f>INDEX(V_Döviz!R$2:R$28,MATCH(LARGE(V_Döviz!$AL$2:$AL$28,ROW()-3),V_Döviz!$AL$2:$AL$28,0))</f>
        <v>Görüyor</v>
      </c>
      <c r="T30" s="8">
        <f>INDEX(V_Döviz!S$2:S$28,MATCH(LARGE(V_Döviz!$AL$2:$AL$28,ROW()-3),V_Döviz!$AL$2:$AL$28,0))</f>
        <v>0</v>
      </c>
      <c r="U30" s="8">
        <f>INDEX(V_Döviz!T$2:T$28,MATCH(LARGE(V_Döviz!$AL$2:$AL$28,ROW()-3),V_Döviz!$AL$2:$AL$28,0))</f>
        <v>0</v>
      </c>
      <c r="V30" s="8">
        <f>INDEX(V_Döviz!U$2:U$28,MATCH(LARGE(V_Döviz!$AL$2:$AL$28,ROW()-3),V_Döviz!$AL$2:$AL$28,0))</f>
        <v>0</v>
      </c>
      <c r="W30" s="8">
        <f>INDEX(V_Döviz!V$2:V$28,MATCH(LARGE(V_Döviz!$AL$2:$AL$28,ROW()-3),V_Döviz!$AL$2:$AL$28,0))</f>
        <v>9.2799999999999994E-2</v>
      </c>
      <c r="X30" s="8">
        <f>INDEX(V_Döviz!W$2:W$28,MATCH(LARGE(V_Döviz!$AL$2:$AL$28,ROW()-3),V_Döviz!$AL$2:$AL$28,0))</f>
        <v>0</v>
      </c>
      <c r="Y30" s="8">
        <f>INDEX(V_Döviz!X$2:X$28,MATCH(LARGE(V_Döviz!$AL$2:$AL$28,ROW()-3),V_Döviz!$AL$2:$AL$28,0))</f>
        <v>0</v>
      </c>
      <c r="Z30" s="8">
        <f>INDEX(V_Döviz!Y$2:Y$28,MATCH(LARGE(V_Döviz!$AL$2:$AL$28,ROW()-3),V_Döviz!$AL$2:$AL$28,0))</f>
        <v>0.57050000000000001</v>
      </c>
      <c r="AA30" s="8">
        <f>INDEX(V_Döviz!Z$2:Z$28,MATCH(LARGE(V_Döviz!$AL$2:$AL$28,ROW()-3),V_Döviz!$AL$2:$AL$28,0))</f>
        <v>0.14510000000000001</v>
      </c>
      <c r="AB30" s="8">
        <f>INDEX(V_Döviz!AA$2:AA$28,MATCH(LARGE(V_Döviz!$AL$2:$AL$28,ROW()-3),V_Döviz!$AL$2:$AL$28,0))</f>
        <v>0</v>
      </c>
      <c r="AC30" s="8">
        <f>INDEX(V_Döviz!AB$2:AB$28,MATCH(LARGE(V_Döviz!$AL$2:$AL$28,ROW()-3),V_Döviz!$AL$2:$AL$28,0))</f>
        <v>0.14779999999999999</v>
      </c>
      <c r="AD30" s="8">
        <f>INDEX(V_Döviz!AC$2:AC$28,MATCH(LARGE(V_Döviz!$AL$2:$AL$28,ROW()-3),V_Döviz!$AL$2:$AL$28,0))</f>
        <v>4.3799999999999999E-2</v>
      </c>
      <c r="AE30" s="8">
        <f>INDEX(V_Döviz!AD$2:AD$28,MATCH(LARGE(V_Döviz!$AL$2:$AL$28,ROW()-3),V_Döviz!$AL$2:$AL$28,0))</f>
        <v>1</v>
      </c>
      <c r="AF30" s="9">
        <f>INDEX(V_Döviz!AE$2:AE$28,MATCH(LARGE(V_Döviz!$AL$2:$AL$28,ROW()-3),V_Döviz!$AL$2:$AL$28,0))</f>
        <v>42.672430315250807</v>
      </c>
      <c r="AG30" s="9">
        <f>INDEX(V_Döviz!AF$2:AF$28,MATCH(LARGE(V_Döviz!$AL$2:$AL$28,ROW()-3),V_Döviz!$AL$2:$AL$28,0))</f>
        <v>36.592045152786397</v>
      </c>
      <c r="AH30" s="9">
        <f>INDEX(V_Döviz!AG$2:AG$28,MATCH(LARGE(V_Döviz!$AL$2:$AL$28,ROW()-3),V_Döviz!$AL$2:$AL$28,0))</f>
        <v>30.134245556184549</v>
      </c>
      <c r="AI30" s="9">
        <f>INDEX(V_Döviz!AH$2:AH$28,MATCH(LARGE(V_Döviz!$AL$2:$AL$28,ROW()-3),V_Döviz!$AL$2:$AL$28,0))</f>
        <v>33.045254632047701</v>
      </c>
      <c r="AJ30" s="9">
        <f>INDEX(V_Döviz!AI$2:AI$28,MATCH(LARGE(V_Döviz!$AL$2:$AL$28,ROW()-3),V_Döviz!$AL$2:$AL$28,0))</f>
        <v>27.527109512485069</v>
      </c>
      <c r="AK30" s="9">
        <f>INDEX(V_Döviz!AJ$2:AJ$28,MATCH(LARGE(V_Döviz!$AL$2:$AL$28,ROW()-3),V_Döviz!$AL$2:$AL$28,0))</f>
        <v>26.50553073072572</v>
      </c>
    </row>
  </sheetData>
  <conditionalFormatting sqref="B4:AK30">
    <cfRule type="expression" dxfId="0" priority="1">
      <formula>OR($B4="BAI",$B4="BHI",$B4="BIS",$B4="BSD",$B4="BTE",$B4="BTK",$B4="BV1",$B4="BVD",$B4="BVF",$B4="BVV",$B4="BVZ",$B4="MTD",$B4="RUT",$B4="SPR")</formula>
    </cfRule>
  </conditionalFormatting>
  <dataValidations count="1">
    <dataValidation type="list" sqref="E2" xr:uid="{00000000-0002-0000-1600-000000000000}">
      <formula1>"Günlük%,Haftalık,Aylık,Ay Başından Bu güne,Yılbaşına Göre,Yıllık"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5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3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10" x14ac:dyDescent="0.2">
      <c r="A2" t="s">
        <v>48</v>
      </c>
      <c r="B2">
        <v>5</v>
      </c>
      <c r="C2">
        <v>2</v>
      </c>
      <c r="D2">
        <v>4</v>
      </c>
      <c r="E2">
        <v>4</v>
      </c>
      <c r="F2">
        <v>5</v>
      </c>
      <c r="G2">
        <v>13</v>
      </c>
      <c r="H2" t="s">
        <v>711</v>
      </c>
      <c r="J2">
        <f>IF(ISNUMBER(INDEX($A$2:$H$15,1,MATCH('Takip Tablosu'!$B$1,$A$1:$H$1,0))),INDEX($A$2:$H$15,1,MATCH('Takip Tablosu'!$B$1,$A$1:$H$1,0)),999)*100+1</f>
        <v>201</v>
      </c>
    </row>
    <row r="3" spans="1:10" x14ac:dyDescent="0.2">
      <c r="A3" t="s">
        <v>93</v>
      </c>
      <c r="B3">
        <v>7</v>
      </c>
      <c r="C3">
        <v>7</v>
      </c>
      <c r="D3">
        <v>3</v>
      </c>
      <c r="E3">
        <v>1</v>
      </c>
      <c r="F3">
        <v>1</v>
      </c>
      <c r="G3">
        <v>24</v>
      </c>
      <c r="H3" t="s">
        <v>712</v>
      </c>
      <c r="J3">
        <f>IF(ISNUMBER(INDEX($A$2:$H$15,2,MATCH('Takip Tablosu'!$B$1,$A$1:$H$1,0))),INDEX($A$2:$H$15,2,MATCH('Takip Tablosu'!$B$1,$A$1:$H$1,0)),999)*100+2</f>
        <v>702</v>
      </c>
    </row>
    <row r="4" spans="1:10" x14ac:dyDescent="0.2">
      <c r="A4" t="s">
        <v>709</v>
      </c>
      <c r="B4">
        <v>27</v>
      </c>
      <c r="C4">
        <v>1</v>
      </c>
      <c r="D4">
        <v>2</v>
      </c>
      <c r="E4">
        <v>1</v>
      </c>
      <c r="F4">
        <v>2</v>
      </c>
      <c r="G4">
        <v>27</v>
      </c>
      <c r="H4" t="s">
        <v>713</v>
      </c>
      <c r="J4">
        <f>IF(ISNUMBER(INDEX($A$2:$H$15,3,MATCH('Takip Tablosu'!$B$1,$A$1:$H$1,0))),INDEX($A$2:$H$15,3,MATCH('Takip Tablosu'!$B$1,$A$1:$H$1,0)),999)*100+3</f>
        <v>103</v>
      </c>
    </row>
    <row r="5" spans="1:10" x14ac:dyDescent="0.2">
      <c r="A5" t="s">
        <v>705</v>
      </c>
      <c r="B5">
        <v>25</v>
      </c>
      <c r="C5">
        <v>3</v>
      </c>
      <c r="D5">
        <v>4</v>
      </c>
      <c r="E5">
        <v>3</v>
      </c>
      <c r="F5" t="s">
        <v>165</v>
      </c>
      <c r="G5">
        <v>27</v>
      </c>
      <c r="H5" t="s">
        <v>713</v>
      </c>
      <c r="J5">
        <f>IF(ISNUMBER(INDEX($A$2:$H$15,4,MATCH('Takip Tablosu'!$B$1,$A$1:$H$1,0))),INDEX($A$2:$H$15,4,MATCH('Takip Tablosu'!$B$1,$A$1:$H$1,0)),999)*100+4</f>
        <v>304</v>
      </c>
    </row>
    <row r="6" spans="1:10" x14ac:dyDescent="0.2">
      <c r="A6" t="s">
        <v>328</v>
      </c>
      <c r="B6">
        <v>23</v>
      </c>
      <c r="C6">
        <v>8</v>
      </c>
      <c r="D6">
        <v>11</v>
      </c>
      <c r="E6">
        <v>19</v>
      </c>
      <c r="F6">
        <v>7</v>
      </c>
      <c r="G6">
        <v>41</v>
      </c>
      <c r="H6" t="s">
        <v>714</v>
      </c>
      <c r="J6">
        <f>IF(ISNUMBER(INDEX($A$2:$H$15,5,MATCH('Takip Tablosu'!$B$1,$A$1:$H$1,0))),INDEX($A$2:$H$15,5,MATCH('Takip Tablosu'!$B$1,$A$1:$H$1,0)),999)*100+5</f>
        <v>805</v>
      </c>
    </row>
    <row r="7" spans="1:10" x14ac:dyDescent="0.2">
      <c r="A7" t="s">
        <v>163</v>
      </c>
      <c r="B7">
        <v>10</v>
      </c>
      <c r="C7">
        <v>7</v>
      </c>
      <c r="D7">
        <v>10</v>
      </c>
      <c r="E7">
        <v>7</v>
      </c>
      <c r="F7" t="s">
        <v>165</v>
      </c>
      <c r="G7">
        <v>61</v>
      </c>
      <c r="H7" t="s">
        <v>715</v>
      </c>
      <c r="J7">
        <f>IF(ISNUMBER(INDEX($A$2:$H$15,6,MATCH('Takip Tablosu'!$B$1,$A$1:$H$1,0))),INDEX($A$2:$H$15,6,MATCH('Takip Tablosu'!$B$1,$A$1:$H$1,0)),999)*100+6</f>
        <v>706</v>
      </c>
    </row>
    <row r="8" spans="1:10" x14ac:dyDescent="0.2">
      <c r="A8" t="s">
        <v>384</v>
      </c>
      <c r="B8">
        <v>8</v>
      </c>
      <c r="C8">
        <v>3</v>
      </c>
      <c r="D8">
        <v>6</v>
      </c>
      <c r="E8">
        <v>1</v>
      </c>
      <c r="F8" t="s">
        <v>165</v>
      </c>
      <c r="G8">
        <v>28</v>
      </c>
      <c r="H8" t="s">
        <v>716</v>
      </c>
      <c r="J8">
        <f>IF(ISNUMBER(INDEX($A$2:$H$15,7,MATCH('Takip Tablosu'!$B$1,$A$1:$H$1,0))),INDEX($A$2:$H$15,7,MATCH('Takip Tablosu'!$B$1,$A$1:$H$1,0)),999)*100+7</f>
        <v>307</v>
      </c>
    </row>
    <row r="9" spans="1:10" x14ac:dyDescent="0.2">
      <c r="A9" t="s">
        <v>579</v>
      </c>
      <c r="B9">
        <v>14</v>
      </c>
      <c r="C9">
        <v>14</v>
      </c>
      <c r="D9">
        <v>8</v>
      </c>
      <c r="E9">
        <v>3</v>
      </c>
      <c r="F9">
        <v>2</v>
      </c>
      <c r="G9">
        <v>18</v>
      </c>
      <c r="H9" t="s">
        <v>717</v>
      </c>
      <c r="J9">
        <f>IF(ISNUMBER(INDEX($A$2:$H$15,8,MATCH('Takip Tablosu'!$B$1,$A$1:$H$1,0))),INDEX($A$2:$H$15,8,MATCH('Takip Tablosu'!$B$1,$A$1:$H$1,0)),999)*100+8</f>
        <v>1408</v>
      </c>
    </row>
    <row r="10" spans="1:10" x14ac:dyDescent="0.2">
      <c r="A10" t="s">
        <v>543</v>
      </c>
      <c r="B10">
        <v>8</v>
      </c>
      <c r="C10">
        <v>7</v>
      </c>
      <c r="D10">
        <v>6</v>
      </c>
      <c r="E10">
        <v>4</v>
      </c>
      <c r="F10">
        <v>4</v>
      </c>
      <c r="G10">
        <v>9</v>
      </c>
      <c r="H10" t="s">
        <v>543</v>
      </c>
      <c r="J10">
        <f>IF(ISNUMBER(INDEX($A$2:$H$15,9,MATCH('Takip Tablosu'!$B$1,$A$1:$H$1,0))),INDEX($A$2:$H$15,9,MATCH('Takip Tablosu'!$B$1,$A$1:$H$1,0)),999)*100+9</f>
        <v>709</v>
      </c>
    </row>
    <row r="11" spans="1:10" x14ac:dyDescent="0.2">
      <c r="A11" t="s">
        <v>550</v>
      </c>
      <c r="B11">
        <v>2</v>
      </c>
      <c r="C11">
        <v>2</v>
      </c>
      <c r="D11">
        <v>1</v>
      </c>
      <c r="E11">
        <v>1</v>
      </c>
      <c r="F11">
        <v>1</v>
      </c>
      <c r="G11">
        <v>2</v>
      </c>
      <c r="H11" t="s">
        <v>718</v>
      </c>
      <c r="J11">
        <f>IF(ISNUMBER(INDEX($A$2:$H$15,10,MATCH('Takip Tablosu'!$B$1,$A$1:$H$1,0))),INDEX($A$2:$H$15,10,MATCH('Takip Tablosu'!$B$1,$A$1:$H$1,0)),999)*100+10</f>
        <v>210</v>
      </c>
    </row>
    <row r="12" spans="1:10" x14ac:dyDescent="0.2">
      <c r="A12" t="s">
        <v>587</v>
      </c>
      <c r="B12">
        <v>18</v>
      </c>
      <c r="C12">
        <v>17</v>
      </c>
      <c r="D12">
        <v>14</v>
      </c>
      <c r="E12">
        <v>2</v>
      </c>
      <c r="F12" t="s">
        <v>165</v>
      </c>
      <c r="G12">
        <v>18</v>
      </c>
      <c r="H12" t="s">
        <v>717</v>
      </c>
      <c r="J12">
        <f>IF(ISNUMBER(INDEX($A$2:$H$15,11,MATCH('Takip Tablosu'!$B$1,$A$1:$H$1,0))),INDEX($A$2:$H$15,11,MATCH('Takip Tablosu'!$B$1,$A$1:$H$1,0)),999)*100+11</f>
        <v>1711</v>
      </c>
    </row>
    <row r="13" spans="1:10" x14ac:dyDescent="0.2">
      <c r="A13" t="s">
        <v>575</v>
      </c>
      <c r="B13">
        <v>12</v>
      </c>
      <c r="C13">
        <v>12</v>
      </c>
      <c r="D13">
        <v>17</v>
      </c>
      <c r="E13">
        <v>17</v>
      </c>
      <c r="F13" t="s">
        <v>165</v>
      </c>
      <c r="G13">
        <v>18</v>
      </c>
      <c r="H13" t="s">
        <v>717</v>
      </c>
      <c r="J13">
        <f>IF(ISNUMBER(INDEX($A$2:$H$15,12,MATCH('Takip Tablosu'!$B$1,$A$1:$H$1,0))),INDEX($A$2:$H$15,12,MATCH('Takip Tablosu'!$B$1,$A$1:$H$1,0)),999)*100+12</f>
        <v>1212</v>
      </c>
    </row>
    <row r="14" spans="1:10" x14ac:dyDescent="0.2">
      <c r="A14" t="s">
        <v>590</v>
      </c>
      <c r="B14">
        <v>1</v>
      </c>
      <c r="C14">
        <v>1</v>
      </c>
      <c r="D14">
        <v>10</v>
      </c>
      <c r="E14">
        <v>57</v>
      </c>
      <c r="F14">
        <v>55</v>
      </c>
      <c r="G14">
        <v>58</v>
      </c>
      <c r="H14" t="s">
        <v>719</v>
      </c>
      <c r="J14">
        <f>IF(ISNUMBER(INDEX($A$2:$H$15,13,MATCH('Takip Tablosu'!$B$1,$A$1:$H$1,0))),INDEX($A$2:$H$15,13,MATCH('Takip Tablosu'!$B$1,$A$1:$H$1,0)),999)*100+13</f>
        <v>113</v>
      </c>
    </row>
    <row r="15" spans="1:10" x14ac:dyDescent="0.2">
      <c r="A15" t="s">
        <v>499</v>
      </c>
      <c r="B15">
        <v>35</v>
      </c>
      <c r="C15" t="s">
        <v>165</v>
      </c>
      <c r="D15" t="s">
        <v>165</v>
      </c>
      <c r="E15" t="s">
        <v>165</v>
      </c>
      <c r="F15" t="s">
        <v>165</v>
      </c>
      <c r="G15">
        <v>47</v>
      </c>
      <c r="H15" t="s">
        <v>720</v>
      </c>
      <c r="J15">
        <f>IF(ISNUMBER(INDEX($A$2:$H$15,14,MATCH('Takip Tablosu'!$B$1,$A$1:$H$1,0))),INDEX($A$2:$H$15,14,MATCH('Takip Tablosu'!$B$1,$A$1:$H$1,0)),999)*100+14</f>
        <v>99914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X32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6" customWidth="1"/>
    <col min="3" max="3" width="60" customWidth="1"/>
    <col min="4" max="24" width="8" customWidth="1"/>
  </cols>
  <sheetData>
    <row r="1" spans="1:24" x14ac:dyDescent="0.2">
      <c r="A1" s="1" t="s">
        <v>9</v>
      </c>
      <c r="B1" s="1" t="s">
        <v>3</v>
      </c>
      <c r="C1" s="1" t="s">
        <v>721</v>
      </c>
      <c r="D1" s="12">
        <v>46189</v>
      </c>
      <c r="E1" s="12">
        <v>46190</v>
      </c>
      <c r="F1" s="12">
        <v>46191</v>
      </c>
      <c r="G1" s="12">
        <v>46192</v>
      </c>
      <c r="H1" s="12">
        <v>46195</v>
      </c>
      <c r="I1" s="12">
        <v>46196</v>
      </c>
      <c r="J1" s="12">
        <v>46197</v>
      </c>
      <c r="K1" s="12">
        <v>46198</v>
      </c>
      <c r="L1" s="12">
        <v>46199</v>
      </c>
      <c r="M1" s="12">
        <v>46202</v>
      </c>
      <c r="N1" s="12">
        <v>46203</v>
      </c>
      <c r="O1" s="12">
        <v>46204</v>
      </c>
      <c r="P1" s="12">
        <v>46205</v>
      </c>
      <c r="Q1" s="12">
        <v>46206</v>
      </c>
      <c r="R1" s="12">
        <v>46209</v>
      </c>
      <c r="S1" s="12">
        <v>46210</v>
      </c>
      <c r="T1" s="12">
        <v>46211</v>
      </c>
      <c r="U1" s="12">
        <v>46212</v>
      </c>
      <c r="V1" s="12">
        <v>46213</v>
      </c>
      <c r="W1" s="12">
        <v>46216</v>
      </c>
      <c r="X1" s="12">
        <v>46217</v>
      </c>
    </row>
    <row r="2" spans="1:24" x14ac:dyDescent="0.2">
      <c r="A2" t="s">
        <v>711</v>
      </c>
      <c r="B2" t="s">
        <v>35</v>
      </c>
      <c r="C2" t="s">
        <v>36</v>
      </c>
      <c r="D2" s="13">
        <v>0.1242400757945239</v>
      </c>
      <c r="E2" s="13">
        <v>6.5694022473450353E-2</v>
      </c>
      <c r="F2" s="13">
        <v>0.2406360663212537</v>
      </c>
      <c r="G2" s="13">
        <v>0.34009319176002689</v>
      </c>
      <c r="H2" s="13">
        <v>-7.1825960518989707E-2</v>
      </c>
      <c r="I2" s="13">
        <v>0.18939531446255931</v>
      </c>
      <c r="J2" s="13">
        <v>0.13676154264421481</v>
      </c>
      <c r="K2" s="13">
        <v>0.17106157243389489</v>
      </c>
      <c r="L2" s="13">
        <v>0.17537810922467759</v>
      </c>
      <c r="M2" s="13">
        <v>9.6587506689504998E-2</v>
      </c>
      <c r="N2" s="13">
        <v>0.47844678950228481</v>
      </c>
      <c r="O2" s="13">
        <v>0.2831593382003561</v>
      </c>
      <c r="P2" s="13">
        <v>3.0943203072708592E-2</v>
      </c>
      <c r="Q2" s="13">
        <v>-7.6434414662984729E-2</v>
      </c>
      <c r="R2" s="13">
        <v>4.2279522404187198E-2</v>
      </c>
      <c r="S2" s="13">
        <v>0.24932896678886429</v>
      </c>
      <c r="T2" s="13">
        <v>0.101234739158218</v>
      </c>
      <c r="U2" s="13">
        <v>0.15850457773800561</v>
      </c>
      <c r="V2" s="13">
        <v>1.648527548441248E-2</v>
      </c>
      <c r="W2" s="13">
        <v>6.7622638695707948E-2</v>
      </c>
      <c r="X2" s="13">
        <v>0.4712247726233354</v>
      </c>
    </row>
    <row r="3" spans="1:24" x14ac:dyDescent="0.2">
      <c r="A3" t="s">
        <v>711</v>
      </c>
      <c r="B3" t="s">
        <v>39</v>
      </c>
      <c r="C3" t="s">
        <v>40</v>
      </c>
      <c r="D3" s="13">
        <v>0.23485164101904041</v>
      </c>
      <c r="E3" s="13">
        <v>0.25881099776663419</v>
      </c>
      <c r="F3" s="13">
        <v>0.17835918841846429</v>
      </c>
      <c r="G3" s="13">
        <v>0.24993562943584899</v>
      </c>
      <c r="H3" s="13">
        <v>-0.105019153500574</v>
      </c>
      <c r="I3" s="13">
        <v>1.7758371566589659E-2</v>
      </c>
      <c r="J3" s="13">
        <v>0.1904903358345589</v>
      </c>
      <c r="K3" s="13">
        <v>3.4117664644295331E-2</v>
      </c>
      <c r="L3" s="13">
        <v>0.22777404555880401</v>
      </c>
      <c r="M3" s="13">
        <v>1.429382290139003E-2</v>
      </c>
      <c r="N3" s="13">
        <v>0.50327043567031104</v>
      </c>
      <c r="O3" s="13">
        <v>0.55649966223167979</v>
      </c>
      <c r="P3" s="13">
        <v>0.14076130929763231</v>
      </c>
      <c r="Q3" s="13">
        <v>-0.1336241074896605</v>
      </c>
      <c r="R3" s="13">
        <v>0.59765802350613129</v>
      </c>
      <c r="S3" s="13">
        <v>9.9982693849676174E-2</v>
      </c>
      <c r="T3" s="13">
        <v>0.16372328153215759</v>
      </c>
      <c r="U3" s="13">
        <v>4.9852244700199222E-2</v>
      </c>
      <c r="V3" s="13">
        <v>3.5980599405438518E-2</v>
      </c>
      <c r="W3" s="13">
        <v>7.4360271221451946E-2</v>
      </c>
      <c r="X3" s="13">
        <v>0.29038707992716789</v>
      </c>
    </row>
    <row r="4" spans="1:24" x14ac:dyDescent="0.2">
      <c r="A4" t="s">
        <v>711</v>
      </c>
      <c r="B4" t="s">
        <v>42</v>
      </c>
      <c r="C4" t="s">
        <v>43</v>
      </c>
      <c r="D4" s="13">
        <v>3.2976764349523791E-2</v>
      </c>
      <c r="E4" s="13">
        <v>0.28446973064273351</v>
      </c>
      <c r="F4" s="13">
        <v>0.2480572053304986</v>
      </c>
      <c r="G4" s="13">
        <v>0.49680268930747401</v>
      </c>
      <c r="H4" s="13">
        <v>5.1106450997928647E-2</v>
      </c>
      <c r="I4" s="13">
        <v>7.7683165545039401E-2</v>
      </c>
      <c r="J4" s="13">
        <v>0.2278157877585674</v>
      </c>
      <c r="K4" s="13">
        <v>-4.3033912769008253E-2</v>
      </c>
      <c r="L4" s="13">
        <v>0.34683162548909691</v>
      </c>
      <c r="M4" s="13">
        <v>0.1206255044273075</v>
      </c>
      <c r="N4" s="13">
        <v>0.15998544925426289</v>
      </c>
      <c r="O4" s="13">
        <v>-7.0313118553866349E-2</v>
      </c>
      <c r="P4" s="13">
        <v>0.12524250743786161</v>
      </c>
      <c r="Q4" s="13">
        <v>0.21989845032936989</v>
      </c>
      <c r="R4" s="13">
        <v>7.0627454304039716E-2</v>
      </c>
      <c r="S4" s="13">
        <v>9.7722840650971143E-2</v>
      </c>
      <c r="T4" s="13">
        <v>0.26135226293166891</v>
      </c>
      <c r="U4" s="13">
        <v>6.2679328516135335E-2</v>
      </c>
      <c r="V4" s="13">
        <v>0.15793369956267339</v>
      </c>
      <c r="W4" s="13">
        <v>0.18568070691089569</v>
      </c>
      <c r="X4" s="13">
        <v>0.28554762647066129</v>
      </c>
    </row>
    <row r="5" spans="1:24" x14ac:dyDescent="0.2">
      <c r="A5" t="s">
        <v>711</v>
      </c>
      <c r="B5" t="s">
        <v>45</v>
      </c>
      <c r="C5" t="s">
        <v>46</v>
      </c>
      <c r="D5" s="13">
        <v>0.1534612276357317</v>
      </c>
      <c r="E5" s="13">
        <v>0.1113118891916232</v>
      </c>
      <c r="F5" s="13">
        <v>0.1096629603028809</v>
      </c>
      <c r="G5" s="13">
        <v>7.4976272067517336E-2</v>
      </c>
      <c r="H5" s="13">
        <v>0.24736350125917911</v>
      </c>
      <c r="I5" s="13">
        <v>0.16684170631526829</v>
      </c>
      <c r="J5" s="13">
        <v>8.2394451348921649E-2</v>
      </c>
      <c r="K5" s="13">
        <v>8.5744194116799122E-2</v>
      </c>
      <c r="L5" s="13">
        <v>5.1598091931892583E-2</v>
      </c>
      <c r="M5" s="13">
        <v>0.24025798470159729</v>
      </c>
      <c r="N5" s="13">
        <v>0.22027530271979681</v>
      </c>
      <c r="O5" s="13">
        <v>0.11903135434985219</v>
      </c>
      <c r="P5" s="13">
        <v>7.5071907992985132E-2</v>
      </c>
      <c r="Q5" s="13">
        <v>0.1107547580284418</v>
      </c>
      <c r="R5" s="13">
        <v>0.18312077714610631</v>
      </c>
      <c r="S5" s="13">
        <v>0.21065396474881931</v>
      </c>
      <c r="T5" s="13">
        <v>-6.0040789442006297E-2</v>
      </c>
      <c r="U5" s="13">
        <v>0.1141323491858692</v>
      </c>
      <c r="V5" s="13">
        <v>8.2061561389568105E-2</v>
      </c>
      <c r="W5" s="13">
        <v>0.30732601779890351</v>
      </c>
      <c r="X5" s="13">
        <v>0.2609060489499937</v>
      </c>
    </row>
    <row r="6" spans="1:24" x14ac:dyDescent="0.2">
      <c r="A6" s="14" t="s">
        <v>711</v>
      </c>
      <c r="B6" s="14" t="s">
        <v>48</v>
      </c>
      <c r="C6" s="14" t="s">
        <v>49</v>
      </c>
      <c r="D6" s="15">
        <v>0.133926544695151</v>
      </c>
      <c r="E6" s="15">
        <v>0.12608766719917061</v>
      </c>
      <c r="F6" s="15">
        <v>0.1138698371003555</v>
      </c>
      <c r="G6" s="15">
        <v>0.1039802685061986</v>
      </c>
      <c r="H6" s="15">
        <v>0.31009484764570328</v>
      </c>
      <c r="I6" s="15">
        <v>0.1131998089234587</v>
      </c>
      <c r="J6" s="15">
        <v>8.6266096453213592E-2</v>
      </c>
      <c r="K6" s="15">
        <v>8.4464595020650179E-2</v>
      </c>
      <c r="L6" s="15">
        <v>8.3802322967296838E-2</v>
      </c>
      <c r="M6" s="15">
        <v>0.29621577905860619</v>
      </c>
      <c r="N6" s="15">
        <v>0.1596456568209392</v>
      </c>
      <c r="O6" s="15">
        <v>0.13848858868137359</v>
      </c>
      <c r="P6" s="15">
        <v>9.420166670266461E-2</v>
      </c>
      <c r="Q6" s="15">
        <v>0.12029200367820179</v>
      </c>
      <c r="R6" s="15">
        <v>0.28631087269053168</v>
      </c>
      <c r="S6" s="15">
        <v>0.101254395711714</v>
      </c>
      <c r="T6" s="15">
        <v>0.1029024128503586</v>
      </c>
      <c r="U6" s="15">
        <v>9.9532507307564799E-2</v>
      </c>
      <c r="V6" s="15">
        <v>9.0862083422638129E-2</v>
      </c>
      <c r="W6" s="15">
        <v>0.32630390664105668</v>
      </c>
      <c r="X6" s="15">
        <v>0.2470981106840853</v>
      </c>
    </row>
    <row r="7" spans="1:24" x14ac:dyDescent="0.2">
      <c r="A7" t="s">
        <v>711</v>
      </c>
      <c r="B7" t="s">
        <v>51</v>
      </c>
      <c r="C7" t="s">
        <v>52</v>
      </c>
      <c r="D7" s="13">
        <v>0.26929328707634431</v>
      </c>
      <c r="E7" s="13">
        <v>8.4880428456535206E-2</v>
      </c>
      <c r="F7" s="13">
        <v>0.23711081549395721</v>
      </c>
      <c r="G7" s="13">
        <v>0.31268393891810131</v>
      </c>
      <c r="H7" s="13">
        <v>-0.13483359260371139</v>
      </c>
      <c r="I7" s="13">
        <v>0.1372930112651938</v>
      </c>
      <c r="J7" s="13">
        <v>0.15393422479594851</v>
      </c>
      <c r="K7" s="13">
        <v>0.11249965938684441</v>
      </c>
      <c r="L7" s="13">
        <v>0.12656570788660559</v>
      </c>
      <c r="M7" s="13">
        <v>9.546771087844963E-2</v>
      </c>
      <c r="N7" s="13">
        <v>0.10203685741998481</v>
      </c>
      <c r="O7" s="13">
        <v>-5.5035986558826799E-2</v>
      </c>
      <c r="P7" s="13">
        <v>0.13915226347023249</v>
      </c>
      <c r="Q7" s="13">
        <v>0.17665141969782641</v>
      </c>
      <c r="R7" s="13">
        <v>4.013875251591692E-2</v>
      </c>
      <c r="S7" s="13">
        <v>0.1594601539602003</v>
      </c>
      <c r="T7" s="13">
        <v>0.23983822172497499</v>
      </c>
      <c r="U7" s="13">
        <v>7.1009560953072537E-2</v>
      </c>
      <c r="V7" s="13">
        <v>-9.1407209503269193E-2</v>
      </c>
      <c r="W7" s="13">
        <v>-1.052208804421806E-2</v>
      </c>
      <c r="X7" s="13">
        <v>0.21290220743270799</v>
      </c>
    </row>
    <row r="8" spans="1:24" x14ac:dyDescent="0.2">
      <c r="A8" t="s">
        <v>711</v>
      </c>
      <c r="B8" t="s">
        <v>54</v>
      </c>
      <c r="C8" t="s">
        <v>55</v>
      </c>
      <c r="D8" s="13">
        <v>-0.20370908100059151</v>
      </c>
      <c r="E8" s="13">
        <v>0.170580985460278</v>
      </c>
      <c r="F8" s="13">
        <v>0.1812347988710217</v>
      </c>
      <c r="G8" s="13">
        <v>0.24140391474907211</v>
      </c>
      <c r="H8" s="13">
        <v>0.25538774933890901</v>
      </c>
      <c r="I8" s="13">
        <v>-4.1362317493054412E-2</v>
      </c>
      <c r="J8" s="13">
        <v>0.2391799622318613</v>
      </c>
      <c r="K8" s="13">
        <v>6.4923279311335236E-2</v>
      </c>
      <c r="L8" s="13">
        <v>0.15608299196572251</v>
      </c>
      <c r="M8" s="13">
        <v>0.33659752596733039</v>
      </c>
      <c r="N8" s="13">
        <v>8.6615158975966722E-2</v>
      </c>
      <c r="O8" s="13">
        <v>0.1594875247197258</v>
      </c>
      <c r="P8" s="13">
        <v>0.1356108189478844</v>
      </c>
      <c r="Q8" s="13">
        <v>0.15235978539847039</v>
      </c>
      <c r="R8" s="13">
        <v>8.7402734929442616E-2</v>
      </c>
      <c r="S8" s="13">
        <v>0.11733432595475431</v>
      </c>
      <c r="T8" s="13">
        <v>0.20889995298656319</v>
      </c>
      <c r="U8" s="13">
        <v>8.5865987894084839E-2</v>
      </c>
      <c r="V8" s="13">
        <v>0.151941391252608</v>
      </c>
      <c r="W8" s="13">
        <v>0.147352335023232</v>
      </c>
      <c r="X8" s="13">
        <v>0.16491231124302619</v>
      </c>
    </row>
    <row r="9" spans="1:24" x14ac:dyDescent="0.2">
      <c r="A9" t="s">
        <v>711</v>
      </c>
      <c r="B9" t="s">
        <v>57</v>
      </c>
      <c r="C9" t="s">
        <v>58</v>
      </c>
      <c r="D9" s="13">
        <v>0.2017600209555992</v>
      </c>
      <c r="E9" s="13">
        <v>0.2444254259705847</v>
      </c>
      <c r="F9" s="13">
        <v>0.16764438527907541</v>
      </c>
      <c r="G9" s="13">
        <v>0.16302474752860621</v>
      </c>
      <c r="H9" s="13">
        <v>0.1176447290086813</v>
      </c>
      <c r="I9" s="13">
        <v>0.26066536735769308</v>
      </c>
      <c r="J9" s="13">
        <v>0.16066584463625411</v>
      </c>
      <c r="K9" s="13">
        <v>0.15640715348828049</v>
      </c>
      <c r="L9" s="13">
        <v>0.1478661731238784</v>
      </c>
      <c r="M9" s="13">
        <v>0.14224759796090949</v>
      </c>
      <c r="N9" s="13">
        <v>0.24983592453078349</v>
      </c>
      <c r="O9" s="13">
        <v>0.21113140515469639</v>
      </c>
      <c r="P9" s="13">
        <v>9.7596562649071572E-2</v>
      </c>
      <c r="Q9" s="13">
        <v>0.14186454373608101</v>
      </c>
      <c r="R9" s="13">
        <v>0.18821539191762329</v>
      </c>
      <c r="S9" s="13">
        <v>0.1289462064123281</v>
      </c>
      <c r="T9" s="13">
        <v>0.26417218567149631</v>
      </c>
      <c r="U9" s="13">
        <v>0.1625626701175831</v>
      </c>
      <c r="V9" s="13">
        <v>8.498491170507716E-2</v>
      </c>
      <c r="W9" s="13">
        <v>0.18859441338086039</v>
      </c>
      <c r="X9" s="13">
        <v>0.13565284437269121</v>
      </c>
    </row>
    <row r="10" spans="1:24" x14ac:dyDescent="0.2">
      <c r="A10" t="s">
        <v>711</v>
      </c>
      <c r="B10" t="s">
        <v>60</v>
      </c>
      <c r="C10" t="s">
        <v>61</v>
      </c>
      <c r="D10" s="13">
        <v>0.10548188418648689</v>
      </c>
      <c r="E10" s="13">
        <v>0.15494782438956189</v>
      </c>
      <c r="F10" s="13">
        <v>0.1238285554855834</v>
      </c>
      <c r="G10" s="13">
        <v>0.13650789616348469</v>
      </c>
      <c r="H10" s="13">
        <v>0.21847395724188259</v>
      </c>
      <c r="I10" s="13">
        <v>0.28378616706135062</v>
      </c>
      <c r="J10" s="13">
        <v>0.1054872788501582</v>
      </c>
      <c r="K10" s="13">
        <v>0.1721092022735293</v>
      </c>
      <c r="L10" s="13">
        <v>0.20602876785704721</v>
      </c>
      <c r="M10" s="13">
        <v>0.23941292799161129</v>
      </c>
      <c r="N10" s="13">
        <v>0.38432901425677901</v>
      </c>
      <c r="O10" s="13">
        <v>4.2979715767321743E-2</v>
      </c>
      <c r="P10" s="13">
        <v>-6.3452336912417362E-2</v>
      </c>
      <c r="Q10" s="13">
        <v>9.1674331583235791E-2</v>
      </c>
      <c r="R10" s="13">
        <v>0.18701602298738521</v>
      </c>
      <c r="S10" s="13">
        <v>0.18684921784613009</v>
      </c>
      <c r="T10" s="13">
        <v>-0.17703924157577161</v>
      </c>
      <c r="U10" s="13">
        <v>3.3173984790990652E-2</v>
      </c>
      <c r="V10" s="13">
        <v>5.2508056904287947E-2</v>
      </c>
      <c r="W10" s="13">
        <v>0.30192223112242011</v>
      </c>
      <c r="X10" s="13">
        <v>0.13490678177421331</v>
      </c>
    </row>
    <row r="11" spans="1:24" x14ac:dyDescent="0.2">
      <c r="A11" t="s">
        <v>711</v>
      </c>
      <c r="B11" t="s">
        <v>63</v>
      </c>
      <c r="C11" t="s">
        <v>64</v>
      </c>
      <c r="D11" s="13">
        <v>2.8638012964221641E-2</v>
      </c>
      <c r="E11" s="13">
        <v>0.14212860115578871</v>
      </c>
      <c r="F11" s="13">
        <v>0.32461457680228462</v>
      </c>
      <c r="G11" s="13">
        <v>0.24524070239511089</v>
      </c>
      <c r="H11" s="13">
        <v>-0.18981329678169351</v>
      </c>
      <c r="I11" s="13">
        <v>0.19183801573563469</v>
      </c>
      <c r="J11" s="13">
        <v>0.32166965379349932</v>
      </c>
      <c r="K11" s="13">
        <v>-0.13079145664144359</v>
      </c>
      <c r="L11" s="13">
        <v>0.3367051604995952</v>
      </c>
      <c r="M11" s="13">
        <v>-5.9074236717471251E-2</v>
      </c>
      <c r="N11" s="13">
        <v>-0.14048929493982731</v>
      </c>
      <c r="O11" s="13">
        <v>0.1066303246431755</v>
      </c>
      <c r="P11" s="13">
        <v>0.23887101777717579</v>
      </c>
      <c r="Q11" s="13">
        <v>0.13919575104899271</v>
      </c>
      <c r="R11" s="13">
        <v>5.4969966130236081E-2</v>
      </c>
      <c r="S11" s="13">
        <v>0.16858611717600611</v>
      </c>
      <c r="T11" s="13">
        <v>0.1260457268827064</v>
      </c>
      <c r="U11" s="13">
        <v>6.092655095630839E-2</v>
      </c>
      <c r="V11" s="13">
        <v>0.1850594520171667</v>
      </c>
      <c r="W11" s="13">
        <v>0.15110988755426821</v>
      </c>
      <c r="X11" s="13">
        <v>0.13120766751562041</v>
      </c>
    </row>
    <row r="12" spans="1:24" x14ac:dyDescent="0.2">
      <c r="A12" t="s">
        <v>711</v>
      </c>
      <c r="B12" t="s">
        <v>66</v>
      </c>
      <c r="C12" t="s">
        <v>67</v>
      </c>
      <c r="D12" s="13">
        <v>0.1214210842362284</v>
      </c>
      <c r="E12" s="13">
        <v>0.1061004401133436</v>
      </c>
      <c r="F12" s="13">
        <v>0.1067142545211341</v>
      </c>
      <c r="G12" s="13">
        <v>0.1060822866512989</v>
      </c>
      <c r="H12" s="13">
        <v>0.3027468587872173</v>
      </c>
      <c r="I12" s="13">
        <v>0.1216115329771839</v>
      </c>
      <c r="J12" s="13">
        <v>0.10611214184574889</v>
      </c>
      <c r="K12" s="13">
        <v>0.106102648343831</v>
      </c>
      <c r="L12" s="13">
        <v>0.1061117705037917</v>
      </c>
      <c r="M12" s="13">
        <v>0.30280707540142338</v>
      </c>
      <c r="N12" s="13">
        <v>0.1216159411981277</v>
      </c>
      <c r="O12" s="13">
        <v>0.1057834946490477</v>
      </c>
      <c r="P12" s="13">
        <v>0.1061270727653385</v>
      </c>
      <c r="Q12" s="13">
        <v>0.1061259614532295</v>
      </c>
      <c r="R12" s="13">
        <v>0.30274853232292731</v>
      </c>
      <c r="S12" s="13">
        <v>0.12158631916765469</v>
      </c>
      <c r="T12" s="13">
        <v>0.1061838053767694</v>
      </c>
      <c r="U12" s="13">
        <v>0.10618186755742</v>
      </c>
      <c r="V12" s="13">
        <v>0.1061798164359917</v>
      </c>
      <c r="W12" s="13">
        <v>0.30302282759695492</v>
      </c>
      <c r="X12" s="13">
        <v>0.1216872348071663</v>
      </c>
    </row>
    <row r="13" spans="1:24" x14ac:dyDescent="0.2">
      <c r="A13" t="s">
        <v>711</v>
      </c>
      <c r="B13" t="s">
        <v>69</v>
      </c>
      <c r="C13" t="s">
        <v>70</v>
      </c>
      <c r="D13" s="13">
        <v>0.16875065636603459</v>
      </c>
      <c r="E13" s="13">
        <v>0.1590618088278539</v>
      </c>
      <c r="F13" s="13">
        <v>0.1929783336818591</v>
      </c>
      <c r="G13" s="13">
        <v>0.33802089590240231</v>
      </c>
      <c r="H13" s="13">
        <v>4.8748914854157548E-2</v>
      </c>
      <c r="I13" s="13">
        <v>4.6950956314639747E-2</v>
      </c>
      <c r="J13" s="13">
        <v>0.148606271694085</v>
      </c>
      <c r="K13" s="13">
        <v>-9.7925570386903082E-3</v>
      </c>
      <c r="L13" s="13">
        <v>0.2676458598029674</v>
      </c>
      <c r="M13" s="13">
        <v>8.6317983264838638E-2</v>
      </c>
      <c r="N13" s="13">
        <v>0.1714803913196894</v>
      </c>
      <c r="O13" s="13">
        <v>-7.0619448309938715E-2</v>
      </c>
      <c r="P13" s="13">
        <v>8.8948971709412739E-2</v>
      </c>
      <c r="Q13" s="13">
        <v>0.11203899023057851</v>
      </c>
      <c r="R13" s="13">
        <v>0.18133120983234721</v>
      </c>
      <c r="S13" s="13">
        <v>0.1091416118306876</v>
      </c>
      <c r="T13" s="13">
        <v>0.21685612192636761</v>
      </c>
      <c r="U13" s="13">
        <v>0.16065424281686</v>
      </c>
      <c r="V13" s="13">
        <v>8.8883738474909713E-2</v>
      </c>
      <c r="W13" s="13">
        <v>0.13425017830102079</v>
      </c>
      <c r="X13" s="13">
        <v>3.5155974795353373E-2</v>
      </c>
    </row>
    <row r="14" spans="1:24" x14ac:dyDescent="0.2">
      <c r="A14" t="s">
        <v>711</v>
      </c>
      <c r="B14" t="s">
        <v>72</v>
      </c>
      <c r="C14" t="s">
        <v>73</v>
      </c>
      <c r="D14" s="13">
        <v>5.0723226365745333E-2</v>
      </c>
      <c r="E14" s="13">
        <v>5.6292195403684353E-2</v>
      </c>
      <c r="F14" s="13">
        <v>5.4948930054843359E-2</v>
      </c>
      <c r="G14" s="13">
        <v>9.9833461411913405E-2</v>
      </c>
      <c r="H14" s="13">
        <v>0.28624385637723287</v>
      </c>
      <c r="I14" s="13">
        <v>9.5589011009411529E-2</v>
      </c>
      <c r="J14" s="13">
        <v>8.9009144436502652E-2</v>
      </c>
      <c r="K14" s="13">
        <v>8.8815653324414434E-2</v>
      </c>
      <c r="L14" s="13">
        <v>8.889676848480299E-2</v>
      </c>
      <c r="M14" s="13">
        <v>0.26664746199278611</v>
      </c>
      <c r="N14" s="13">
        <v>0.1135442786830865</v>
      </c>
      <c r="O14" s="13">
        <v>2.7890548981046589E-2</v>
      </c>
      <c r="P14" s="13">
        <v>0.1028354835728829</v>
      </c>
      <c r="Q14" s="13">
        <v>5.2256297951291941E-2</v>
      </c>
      <c r="R14" s="13">
        <v>0.38057262600899028</v>
      </c>
      <c r="S14" s="13">
        <v>3.162335442952191E-2</v>
      </c>
      <c r="T14" s="13">
        <v>8.4317356060892301E-2</v>
      </c>
      <c r="U14" s="13">
        <v>-8.2405550951736295E-2</v>
      </c>
      <c r="V14" s="13">
        <v>0.16274306205834591</v>
      </c>
      <c r="W14" s="13">
        <v>0.43936598237346303</v>
      </c>
      <c r="X14" s="13">
        <v>-3.5231897450027638E-2</v>
      </c>
    </row>
    <row r="15" spans="1:24" x14ac:dyDescent="0.2">
      <c r="A15" t="s">
        <v>712</v>
      </c>
      <c r="B15" t="s">
        <v>77</v>
      </c>
      <c r="C15" t="s">
        <v>78</v>
      </c>
      <c r="D15" s="13">
        <v>1.065641837739717</v>
      </c>
      <c r="E15" s="13">
        <v>-3.8949441522972972E-2</v>
      </c>
      <c r="F15" s="13">
        <v>-0.2382799494702548</v>
      </c>
      <c r="G15" s="13">
        <v>0.13352426782011759</v>
      </c>
      <c r="H15" s="13">
        <v>-0.22896256897342321</v>
      </c>
      <c r="I15" s="13">
        <v>0.24307380313963731</v>
      </c>
      <c r="J15" s="13">
        <v>-0.40607524796930639</v>
      </c>
      <c r="K15" s="13">
        <v>0.47490696856815617</v>
      </c>
      <c r="L15" s="13">
        <v>-0.95032775966628069</v>
      </c>
      <c r="M15" s="13">
        <v>0.85150357978334146</v>
      </c>
      <c r="N15" s="13">
        <v>-0.17999020613378439</v>
      </c>
      <c r="O15" s="13">
        <v>-0.19297066481557271</v>
      </c>
      <c r="P15" s="13">
        <v>-0.61003511120149012</v>
      </c>
      <c r="Q15" s="13">
        <v>-0.39734088000711321</v>
      </c>
      <c r="R15" s="13">
        <v>-1.1972631213264859</v>
      </c>
      <c r="S15" s="13">
        <v>3.6961411827718393E-2</v>
      </c>
      <c r="T15" s="13">
        <v>0.37222654570230329</v>
      </c>
      <c r="U15" s="13">
        <v>-0.80422818091709924</v>
      </c>
      <c r="V15" s="13">
        <v>0.40264609150617581</v>
      </c>
      <c r="W15" s="13">
        <v>-0.13965712310254341</v>
      </c>
      <c r="X15" s="13">
        <v>1.949213829983232</v>
      </c>
    </row>
    <row r="16" spans="1:24" x14ac:dyDescent="0.2">
      <c r="A16" t="s">
        <v>712</v>
      </c>
      <c r="B16" t="s">
        <v>80</v>
      </c>
      <c r="C16" t="s">
        <v>81</v>
      </c>
      <c r="D16" s="13">
        <v>-0.48192280989528552</v>
      </c>
      <c r="E16" s="13">
        <v>9.9480557930720082E-2</v>
      </c>
      <c r="F16" s="13">
        <v>0.1674203525539264</v>
      </c>
      <c r="G16" s="13">
        <v>-0.28866722233271691</v>
      </c>
      <c r="H16" s="13">
        <v>-0.30127088468003832</v>
      </c>
      <c r="I16" s="13">
        <v>-0.26449866060493932</v>
      </c>
      <c r="J16" s="13">
        <v>-0.18552339656167091</v>
      </c>
      <c r="K16" s="13">
        <v>-0.41170452129052348</v>
      </c>
      <c r="L16" s="13">
        <v>-0.1178286878199319</v>
      </c>
      <c r="M16" s="13">
        <v>7.3198166688115407E-2</v>
      </c>
      <c r="N16" s="13">
        <v>0.1073123376194918</v>
      </c>
      <c r="O16" s="13">
        <v>-0.2860084338971447</v>
      </c>
      <c r="P16" s="13">
        <v>0.2047576604854662</v>
      </c>
      <c r="Q16" s="13">
        <v>0.51624315421547884</v>
      </c>
      <c r="R16" s="13">
        <v>0.31686509900852311</v>
      </c>
      <c r="S16" s="13">
        <v>-0.18978467229570081</v>
      </c>
      <c r="T16" s="13">
        <v>8.7434729474500372E-2</v>
      </c>
      <c r="U16" s="13">
        <v>-0.28610691462969129</v>
      </c>
      <c r="V16" s="13">
        <v>-2.2820642551368842E-2</v>
      </c>
      <c r="W16" s="13">
        <v>0.49376214015184328</v>
      </c>
      <c r="X16" s="13">
        <v>1.4810440324462439</v>
      </c>
    </row>
    <row r="17" spans="1:24" x14ac:dyDescent="0.2">
      <c r="A17" t="s">
        <v>712</v>
      </c>
      <c r="B17" t="s">
        <v>83</v>
      </c>
      <c r="C17" t="s">
        <v>84</v>
      </c>
      <c r="D17" s="13">
        <v>-0.24562896487699831</v>
      </c>
      <c r="E17" s="13">
        <v>0.14347480466099241</v>
      </c>
      <c r="F17" s="13">
        <v>-3.8721418752829528E-3</v>
      </c>
      <c r="G17" s="13">
        <v>-4.8403647698980201E-3</v>
      </c>
      <c r="H17" s="13">
        <v>-0.33690569544887472</v>
      </c>
      <c r="I17" s="13">
        <v>-0.13696634125016649</v>
      </c>
      <c r="J17" s="13">
        <v>-1.9454495934012609E-2</v>
      </c>
      <c r="K17" s="13">
        <v>-0.42613636363635349</v>
      </c>
      <c r="L17" s="13">
        <v>-7.8166220467856817E-3</v>
      </c>
      <c r="M17" s="13">
        <v>0.23158553030155901</v>
      </c>
      <c r="N17" s="13">
        <v>-0.28466975383865112</v>
      </c>
      <c r="O17" s="13">
        <v>-0.68144266398131315</v>
      </c>
      <c r="P17" s="13">
        <v>9.4501210796771318E-2</v>
      </c>
      <c r="Q17" s="13">
        <v>0.21537735292382901</v>
      </c>
      <c r="R17" s="13">
        <v>0.26692574165121391</v>
      </c>
      <c r="S17" s="13">
        <v>9.6894482886877853E-2</v>
      </c>
      <c r="T17" s="13">
        <v>3.3244680851063357E-2</v>
      </c>
      <c r="U17" s="13">
        <v>-0.31474204836470232</v>
      </c>
      <c r="V17" s="13">
        <v>-5.294948227172469E-2</v>
      </c>
      <c r="W17" s="13">
        <v>0.23349357402138171</v>
      </c>
      <c r="X17" s="13">
        <v>1.398676689374367</v>
      </c>
    </row>
    <row r="18" spans="1:24" x14ac:dyDescent="0.2">
      <c r="A18" t="s">
        <v>712</v>
      </c>
      <c r="B18" t="s">
        <v>85</v>
      </c>
      <c r="C18" t="s">
        <v>86</v>
      </c>
      <c r="D18" s="13">
        <v>-0.29695944309181538</v>
      </c>
      <c r="E18" s="13">
        <v>0.1615941414501387</v>
      </c>
      <c r="F18" s="13">
        <v>0.45479667325887257</v>
      </c>
      <c r="G18" s="13">
        <v>0.16301774587601511</v>
      </c>
      <c r="H18" s="13">
        <v>-0.22888390027240299</v>
      </c>
      <c r="I18" s="13">
        <v>-0.1137569108152658</v>
      </c>
      <c r="J18" s="13">
        <v>0.43775850946761169</v>
      </c>
      <c r="K18" s="13">
        <v>-0.57408160402818709</v>
      </c>
      <c r="L18" s="13">
        <v>0.12720198849291989</v>
      </c>
      <c r="M18" s="13">
        <v>-0.10640462886226661</v>
      </c>
      <c r="N18" s="13">
        <v>-0.1366735240874162</v>
      </c>
      <c r="O18" s="13">
        <v>-0.40064293085163571</v>
      </c>
      <c r="P18" s="13">
        <v>0.3763765579902989</v>
      </c>
      <c r="Q18" s="13">
        <v>0.227557260332345</v>
      </c>
      <c r="R18" s="13">
        <v>5.6570319945037362E-2</v>
      </c>
      <c r="S18" s="13">
        <v>0.39842451562961401</v>
      </c>
      <c r="T18" s="13">
        <v>-5.9148563048971869E-2</v>
      </c>
      <c r="U18" s="13">
        <v>0.23304712184442081</v>
      </c>
      <c r="V18" s="13">
        <v>-0.48128120310396699</v>
      </c>
      <c r="W18" s="13">
        <v>0.2477043394937706</v>
      </c>
      <c r="X18" s="13">
        <v>0.41892707019557379</v>
      </c>
    </row>
    <row r="19" spans="1:24" x14ac:dyDescent="0.2">
      <c r="A19" t="s">
        <v>712</v>
      </c>
      <c r="B19" t="s">
        <v>88</v>
      </c>
      <c r="C19" t="s">
        <v>89</v>
      </c>
      <c r="D19" s="13">
        <v>0.24129020206109519</v>
      </c>
      <c r="E19" s="13">
        <v>0.33699315142949882</v>
      </c>
      <c r="F19" s="13">
        <v>9.9055873703757236E-2</v>
      </c>
      <c r="G19" s="13">
        <v>0.38036923647835058</v>
      </c>
      <c r="H19" s="13">
        <v>-0.13247073321011049</v>
      </c>
      <c r="I19" s="13">
        <v>-3.0848011845718841E-3</v>
      </c>
      <c r="J19" s="13">
        <v>0.26530108588351808</v>
      </c>
      <c r="K19" s="13">
        <v>-7.2303242877369556E-2</v>
      </c>
      <c r="L19" s="13">
        <v>0.118539957202457</v>
      </c>
      <c r="M19" s="13">
        <v>0.1768305809269011</v>
      </c>
      <c r="N19" s="13">
        <v>6.1397719074873791E-3</v>
      </c>
      <c r="O19" s="13">
        <v>2.455757985051488E-2</v>
      </c>
      <c r="P19" s="13">
        <v>-7.8258067486092209E-2</v>
      </c>
      <c r="Q19" s="13">
        <v>0.32249147701097769</v>
      </c>
      <c r="R19" s="13">
        <v>7.5006122948817477E-2</v>
      </c>
      <c r="S19" s="13">
        <v>0.1606069412790401</v>
      </c>
      <c r="T19" s="13">
        <v>0.20921780031153411</v>
      </c>
      <c r="U19" s="13">
        <v>-6.0957954251050772E-2</v>
      </c>
      <c r="V19" s="13">
        <v>2.2873175864224219E-2</v>
      </c>
      <c r="W19" s="13">
        <v>0.24392474921488549</v>
      </c>
      <c r="X19" s="13">
        <v>0.33762204580709548</v>
      </c>
    </row>
    <row r="20" spans="1:24" x14ac:dyDescent="0.2">
      <c r="A20" t="s">
        <v>712</v>
      </c>
      <c r="B20" t="s">
        <v>91</v>
      </c>
      <c r="C20" t="s">
        <v>92</v>
      </c>
      <c r="D20" s="13">
        <v>-0.4225360958116986</v>
      </c>
      <c r="E20" s="13">
        <v>0.28305421043137707</v>
      </c>
      <c r="F20" s="13">
        <v>0.22426967705417861</v>
      </c>
      <c r="G20" s="13">
        <v>-0.49629270790453323</v>
      </c>
      <c r="H20" s="13">
        <v>0.31052394925417109</v>
      </c>
      <c r="I20" s="13">
        <v>0.66615072886169191</v>
      </c>
      <c r="J20" s="13">
        <v>0.2092770106924213</v>
      </c>
      <c r="K20" s="13">
        <v>-0.18010966123180869</v>
      </c>
      <c r="L20" s="13">
        <v>0.26297256394505197</v>
      </c>
      <c r="M20" s="13">
        <v>0.26352823961639521</v>
      </c>
      <c r="N20" s="13">
        <v>0.18197265814232641</v>
      </c>
      <c r="O20" s="13">
        <v>0.30934954763053302</v>
      </c>
      <c r="P20" s="13">
        <v>-0.49448349002381148</v>
      </c>
      <c r="Q20" s="13">
        <v>0.1090027582977271</v>
      </c>
      <c r="R20" s="13">
        <v>0.15094868737304259</v>
      </c>
      <c r="S20" s="13">
        <v>0.15103091921331299</v>
      </c>
      <c r="T20" s="13">
        <v>0.1433186715713797</v>
      </c>
      <c r="U20" s="13">
        <v>6.7511059336844426E-2</v>
      </c>
      <c r="V20" s="13">
        <v>0.43195211121376248</v>
      </c>
      <c r="W20" s="13">
        <v>0.28603299766147838</v>
      </c>
      <c r="X20" s="13">
        <v>0.32713565098338998</v>
      </c>
    </row>
    <row r="21" spans="1:24" x14ac:dyDescent="0.2">
      <c r="A21" s="14" t="s">
        <v>712</v>
      </c>
      <c r="B21" s="14" t="s">
        <v>93</v>
      </c>
      <c r="C21" s="14" t="s">
        <v>94</v>
      </c>
      <c r="D21" s="15">
        <v>6.7994622243516822E-2</v>
      </c>
      <c r="E21" s="15">
        <v>0.21056743290321919</v>
      </c>
      <c r="F21" s="15">
        <v>0.16856229371626791</v>
      </c>
      <c r="G21" s="15">
        <v>0.27882037533513149</v>
      </c>
      <c r="H21" s="15">
        <v>6.8360657291099969E-2</v>
      </c>
      <c r="I21" s="15">
        <v>0.17238564964996431</v>
      </c>
      <c r="J21" s="15">
        <v>0.1122202090905855</v>
      </c>
      <c r="K21" s="15">
        <v>7.3740410374334431E-3</v>
      </c>
      <c r="L21" s="15">
        <v>0.17057956588084619</v>
      </c>
      <c r="M21" s="15">
        <v>0.23200429448073659</v>
      </c>
      <c r="N21" s="15">
        <v>0.1249806886700178</v>
      </c>
      <c r="O21" s="15">
        <v>0.1966514247277118</v>
      </c>
      <c r="P21" s="15">
        <v>4.9055207417825208E-2</v>
      </c>
      <c r="Q21" s="15">
        <v>0.16373461251557589</v>
      </c>
      <c r="R21" s="15">
        <v>0.1221770770325703</v>
      </c>
      <c r="S21" s="15">
        <v>0.17768129030248939</v>
      </c>
      <c r="T21" s="15">
        <v>0.16217855717040039</v>
      </c>
      <c r="U21" s="15">
        <v>8.1090990830823273E-2</v>
      </c>
      <c r="V21" s="15">
        <v>0.1524817039675552</v>
      </c>
      <c r="W21" s="15">
        <v>0.13393714154785741</v>
      </c>
      <c r="X21" s="15">
        <v>0.26088992353530133</v>
      </c>
    </row>
    <row r="22" spans="1:24" x14ac:dyDescent="0.2">
      <c r="A22" t="s">
        <v>712</v>
      </c>
      <c r="B22" t="s">
        <v>95</v>
      </c>
      <c r="C22" t="s">
        <v>96</v>
      </c>
      <c r="D22" s="13">
        <v>-3.9890162900291237E-2</v>
      </c>
      <c r="E22" s="13">
        <v>0.273481212148452</v>
      </c>
      <c r="F22" s="13">
        <v>0.1951380141126835</v>
      </c>
      <c r="G22" s="13">
        <v>0.31406302262810831</v>
      </c>
      <c r="H22" s="13">
        <v>3.2664977522212091E-2</v>
      </c>
      <c r="I22" s="13">
        <v>4.4621098560804207E-2</v>
      </c>
      <c r="J22" s="13">
        <v>0.24165035082883701</v>
      </c>
      <c r="K22" s="13">
        <v>-4.9276385934593492E-2</v>
      </c>
      <c r="L22" s="13">
        <v>0.30155582311108819</v>
      </c>
      <c r="M22" s="13">
        <v>5.3200306865552882E-2</v>
      </c>
      <c r="N22" s="13">
        <v>0.23330186680023959</v>
      </c>
      <c r="O22" s="13">
        <v>8.4569684458979388E-2</v>
      </c>
      <c r="P22" s="13">
        <v>6.8846848888370893E-2</v>
      </c>
      <c r="Q22" s="13">
        <v>0.23096283772439111</v>
      </c>
      <c r="R22" s="13">
        <v>9.3292333849648301E-2</v>
      </c>
      <c r="S22" s="13">
        <v>0.13002843983564991</v>
      </c>
      <c r="T22" s="13">
        <v>0.2089979940777642</v>
      </c>
      <c r="U22" s="13">
        <v>4.132160505123661E-2</v>
      </c>
      <c r="V22" s="13">
        <v>0.13658605373974009</v>
      </c>
      <c r="W22" s="13">
        <v>7.3599725963524598E-2</v>
      </c>
      <c r="X22" s="13">
        <v>0.24559570269322431</v>
      </c>
    </row>
    <row r="23" spans="1:24" x14ac:dyDescent="0.2">
      <c r="A23" t="s">
        <v>712</v>
      </c>
      <c r="B23" t="s">
        <v>98</v>
      </c>
      <c r="C23" t="s">
        <v>99</v>
      </c>
      <c r="D23" s="13">
        <v>6.5205641624177524E-2</v>
      </c>
      <c r="E23" s="13">
        <v>0.23775203150797619</v>
      </c>
      <c r="F23" s="13">
        <v>0.12835200554170981</v>
      </c>
      <c r="G23" s="13">
        <v>0.39527242998085299</v>
      </c>
      <c r="H23" s="13">
        <v>-4.4129076887300389E-2</v>
      </c>
      <c r="I23" s="13">
        <v>4.249133103928493E-2</v>
      </c>
      <c r="J23" s="13">
        <v>0.22416087104024651</v>
      </c>
      <c r="K23" s="13">
        <v>-6.0757639165731632E-2</v>
      </c>
      <c r="L23" s="13">
        <v>0.3774026757551896</v>
      </c>
      <c r="M23" s="13">
        <v>0.1000426400448839</v>
      </c>
      <c r="N23" s="13">
        <v>5.3197407811444997E-2</v>
      </c>
      <c r="O23" s="13">
        <v>0.175892408857381</v>
      </c>
      <c r="P23" s="13">
        <v>1.320325391236388E-2</v>
      </c>
      <c r="Q23" s="13">
        <v>0.20590416228531969</v>
      </c>
      <c r="R23" s="13">
        <v>-3.0150332178013879E-3</v>
      </c>
      <c r="S23" s="13">
        <v>0.13253436913771571</v>
      </c>
      <c r="T23" s="13">
        <v>0.21889630180458311</v>
      </c>
      <c r="U23" s="13">
        <v>2.305670512499081E-2</v>
      </c>
      <c r="V23" s="13">
        <v>0.18917812325114361</v>
      </c>
      <c r="W23" s="13">
        <v>7.7496744354599301E-2</v>
      </c>
      <c r="X23" s="13">
        <v>0.24435880886803929</v>
      </c>
    </row>
    <row r="24" spans="1:24" x14ac:dyDescent="0.2">
      <c r="A24" t="s">
        <v>712</v>
      </c>
      <c r="B24" t="s">
        <v>101</v>
      </c>
      <c r="C24" t="s">
        <v>102</v>
      </c>
      <c r="D24" s="13">
        <v>0.17048266126225009</v>
      </c>
      <c r="E24" s="13">
        <v>0.23004509371995499</v>
      </c>
      <c r="F24" s="13">
        <v>0.1044751467204952</v>
      </c>
      <c r="G24" s="13">
        <v>0.1248056852162671</v>
      </c>
      <c r="H24" s="13">
        <v>0.1845719602207696</v>
      </c>
      <c r="I24" s="13">
        <v>1.436634658269487E-2</v>
      </c>
      <c r="J24" s="13">
        <v>0.2154906008829949</v>
      </c>
      <c r="K24" s="13">
        <v>-0.1206372233293118</v>
      </c>
      <c r="L24" s="13">
        <v>0.1691803665460512</v>
      </c>
      <c r="M24" s="13">
        <v>0.14744435480542609</v>
      </c>
      <c r="N24" s="13">
        <v>0.26833739483578262</v>
      </c>
      <c r="O24" s="13">
        <v>-2.5131028207225898E-3</v>
      </c>
      <c r="P24" s="13">
        <v>7.767253604364921E-2</v>
      </c>
      <c r="Q24" s="13">
        <v>0.19074774056004881</v>
      </c>
      <c r="R24" s="13">
        <v>6.0728818931510282E-2</v>
      </c>
      <c r="S24" s="13">
        <v>0.12910740546301369</v>
      </c>
      <c r="T24" s="13">
        <v>0.22113839104229699</v>
      </c>
      <c r="U24" s="13">
        <v>5.4707582252477849E-2</v>
      </c>
      <c r="V24" s="13">
        <v>0.17115357928236821</v>
      </c>
      <c r="W24" s="13">
        <v>5.699695324434817E-2</v>
      </c>
      <c r="X24" s="13">
        <v>0.23000999017577239</v>
      </c>
    </row>
    <row r="25" spans="1:24" x14ac:dyDescent="0.2">
      <c r="A25" t="s">
        <v>712</v>
      </c>
      <c r="B25" t="s">
        <v>104</v>
      </c>
      <c r="C25" t="s">
        <v>105</v>
      </c>
      <c r="D25" s="13">
        <v>0.1437411897181162</v>
      </c>
      <c r="E25" s="13">
        <v>0.1019444606717768</v>
      </c>
      <c r="F25" s="13">
        <v>0.1371521308577206</v>
      </c>
      <c r="G25" s="13">
        <v>0.44283320001656801</v>
      </c>
      <c r="H25" s="13">
        <v>-0.3154146869174479</v>
      </c>
      <c r="I25" s="13">
        <v>0.24470685043658241</v>
      </c>
      <c r="J25" s="13">
        <v>3.6502030837093358E-2</v>
      </c>
      <c r="K25" s="13">
        <v>-0.11300065423254239</v>
      </c>
      <c r="L25" s="13">
        <v>7.2799796569911202E-2</v>
      </c>
      <c r="M25" s="13">
        <v>-4.5065946212341501E-3</v>
      </c>
      <c r="N25" s="13">
        <v>-9.3256045219125561E-2</v>
      </c>
      <c r="O25" s="13">
        <v>-0.36330936312771728</v>
      </c>
      <c r="P25" s="13">
        <v>0.15161744135163691</v>
      </c>
      <c r="Q25" s="13">
        <v>-4.4388806301021162E-2</v>
      </c>
      <c r="R25" s="13">
        <v>9.7827461511323932E-2</v>
      </c>
      <c r="S25" s="13">
        <v>0.1183243574921278</v>
      </c>
      <c r="T25" s="13">
        <v>0.17098482468458351</v>
      </c>
      <c r="U25" s="13">
        <v>8.1439136980776539E-4</v>
      </c>
      <c r="V25" s="13">
        <v>1.5126763316231079E-2</v>
      </c>
      <c r="W25" s="13">
        <v>-1.8069676881959928E-2</v>
      </c>
      <c r="X25" s="13">
        <v>0.20888717458740211</v>
      </c>
    </row>
    <row r="26" spans="1:24" x14ac:dyDescent="0.2">
      <c r="A26" t="s">
        <v>712</v>
      </c>
      <c r="B26" t="s">
        <v>106</v>
      </c>
      <c r="C26" t="s">
        <v>107</v>
      </c>
      <c r="D26" s="13">
        <v>2.3884217620540049E-2</v>
      </c>
      <c r="E26" s="13">
        <v>0.29197540028522712</v>
      </c>
      <c r="F26" s="13">
        <v>0.16407505148263721</v>
      </c>
      <c r="G26" s="13">
        <v>0.15881114185900549</v>
      </c>
      <c r="H26" s="13">
        <v>-7.924527133766901E-2</v>
      </c>
      <c r="I26" s="13">
        <v>0.17290133815239811</v>
      </c>
      <c r="J26" s="13">
        <v>-2.2954159032462229E-2</v>
      </c>
      <c r="K26" s="13">
        <v>-2.9489805738480701E-2</v>
      </c>
      <c r="L26" s="13">
        <v>0.32805912903086648</v>
      </c>
      <c r="M26" s="13">
        <v>-0.3450114524063741</v>
      </c>
      <c r="N26" s="13">
        <v>0.18647940095513069</v>
      </c>
      <c r="O26" s="13">
        <v>-0.46188131946282018</v>
      </c>
      <c r="P26" s="13">
        <v>0.31826905769600788</v>
      </c>
      <c r="Q26" s="13">
        <v>9.7686997386303709E-2</v>
      </c>
      <c r="R26" s="13">
        <v>-1.583031550059788E-2</v>
      </c>
      <c r="S26" s="13">
        <v>0.19105854263168351</v>
      </c>
      <c r="T26" s="13">
        <v>0.28043668733006571</v>
      </c>
      <c r="U26" s="13">
        <v>-0.18640077636795649</v>
      </c>
      <c r="V26" s="13">
        <v>0.2788733011776845</v>
      </c>
      <c r="W26" s="13">
        <v>4.777830864788335E-2</v>
      </c>
      <c r="X26" s="13">
        <v>0.20658773185648899</v>
      </c>
    </row>
    <row r="27" spans="1:24" x14ac:dyDescent="0.2">
      <c r="A27" t="s">
        <v>712</v>
      </c>
      <c r="B27" t="s">
        <v>108</v>
      </c>
      <c r="C27" t="s">
        <v>109</v>
      </c>
      <c r="D27" s="13">
        <v>0.1206384003815231</v>
      </c>
      <c r="E27" s="13">
        <v>0.4388963032887494</v>
      </c>
      <c r="F27" s="13">
        <v>-5.8335809004239618E-2</v>
      </c>
      <c r="G27" s="13">
        <v>0.45247450372107872</v>
      </c>
      <c r="H27" s="13">
        <v>-0.52995681793480687</v>
      </c>
      <c r="I27" s="13">
        <v>0.27233999281692789</v>
      </c>
      <c r="J27" s="13">
        <v>0.35132728134827929</v>
      </c>
      <c r="K27" s="13">
        <v>-0.20415622950644699</v>
      </c>
      <c r="L27" s="13">
        <v>0.20974478358151141</v>
      </c>
      <c r="M27" s="13">
        <v>-0.1013203356632464</v>
      </c>
      <c r="N27" s="13">
        <v>-0.14957889237368069</v>
      </c>
      <c r="O27" s="13">
        <v>-0.51811349568454679</v>
      </c>
      <c r="P27" s="13">
        <v>0.17587896147455151</v>
      </c>
      <c r="Q27" s="13">
        <v>0.1676757310332011</v>
      </c>
      <c r="R27" s="13">
        <v>-0.2415649304940759</v>
      </c>
      <c r="S27" s="13">
        <v>0.21184732490671099</v>
      </c>
      <c r="T27" s="13">
        <v>0.1538383450039538</v>
      </c>
      <c r="U27" s="13">
        <v>4.7390733089902597E-2</v>
      </c>
      <c r="V27" s="13">
        <v>0.17702481904129369</v>
      </c>
      <c r="W27" s="13">
        <v>-8.0475234230803494E-2</v>
      </c>
      <c r="X27" s="13">
        <v>0.18778321590600111</v>
      </c>
    </row>
    <row r="28" spans="1:24" x14ac:dyDescent="0.2">
      <c r="A28" t="s">
        <v>712</v>
      </c>
      <c r="B28" t="s">
        <v>110</v>
      </c>
      <c r="C28" t="s">
        <v>111</v>
      </c>
      <c r="D28" s="13">
        <v>-0.21374523865440589</v>
      </c>
      <c r="E28" s="13">
        <v>-3.5765144405863758E-2</v>
      </c>
      <c r="F28" s="13">
        <v>9.2771990676832061E-2</v>
      </c>
      <c r="G28" s="13">
        <v>0.60700538049855979</v>
      </c>
      <c r="H28" s="13">
        <v>-0.55175323888336791</v>
      </c>
      <c r="I28" s="13">
        <v>-5.4766323895427682E-2</v>
      </c>
      <c r="J28" s="13">
        <v>0.24995237369787041</v>
      </c>
      <c r="K28" s="13">
        <v>-0.59602280719546208</v>
      </c>
      <c r="L28" s="13">
        <v>5.5107116327168797E-2</v>
      </c>
      <c r="M28" s="13">
        <v>-0.23346329097724269</v>
      </c>
      <c r="N28" s="13">
        <v>-0.29844617973605603</v>
      </c>
      <c r="O28" s="13">
        <v>-2.541320009847714</v>
      </c>
      <c r="P28" s="13">
        <v>2.8283997241307372E-2</v>
      </c>
      <c r="Q28" s="13">
        <v>0.12537646086241419</v>
      </c>
      <c r="R28" s="13">
        <v>-0.28462328989661279</v>
      </c>
      <c r="S28" s="13">
        <v>-0.126163694072956</v>
      </c>
      <c r="T28" s="13">
        <v>0.25372846323117321</v>
      </c>
      <c r="U28" s="13">
        <v>-0.19802731481438629</v>
      </c>
      <c r="V28" s="13">
        <v>-0.15360570065680029</v>
      </c>
      <c r="W28" s="13">
        <v>-0.45205406943071852</v>
      </c>
      <c r="X28" s="13">
        <v>0.1643043511113218</v>
      </c>
    </row>
    <row r="29" spans="1:24" x14ac:dyDescent="0.2">
      <c r="A29" t="s">
        <v>712</v>
      </c>
      <c r="B29" t="s">
        <v>112</v>
      </c>
      <c r="C29" t="s">
        <v>113</v>
      </c>
      <c r="D29" s="13">
        <v>7.67183735704835E-2</v>
      </c>
      <c r="E29" s="13">
        <v>0.1904498493387807</v>
      </c>
      <c r="F29" s="13">
        <v>9.2869771687165148E-2</v>
      </c>
      <c r="G29" s="13">
        <v>0.33725724015012393</v>
      </c>
      <c r="H29" s="13">
        <v>-1.40217022584932E-2</v>
      </c>
      <c r="I29" s="13">
        <v>7.8182945709315277E-2</v>
      </c>
      <c r="J29" s="13">
        <v>0.25925503971393482</v>
      </c>
      <c r="K29" s="13">
        <v>-4.2483742940502278E-2</v>
      </c>
      <c r="L29" s="13">
        <v>8.9400336449485529E-2</v>
      </c>
      <c r="M29" s="13">
        <v>0.32779865572079009</v>
      </c>
      <c r="N29" s="13">
        <v>0.18168629017973889</v>
      </c>
      <c r="O29" s="13">
        <v>4.9414409714354512E-2</v>
      </c>
      <c r="P29" s="13">
        <v>-0.20913026367571641</v>
      </c>
      <c r="Q29" s="13">
        <v>0.2118558843642315</v>
      </c>
      <c r="R29" s="13">
        <v>6.6783206050402555E-2</v>
      </c>
      <c r="S29" s="13">
        <v>-4.5541155164385838E-2</v>
      </c>
      <c r="T29" s="13">
        <v>0.43700869964828909</v>
      </c>
      <c r="U29" s="13">
        <v>6.3383768740910007E-2</v>
      </c>
      <c r="V29" s="13">
        <v>0.13338177410679999</v>
      </c>
      <c r="W29" s="13">
        <v>0.15189255781202779</v>
      </c>
      <c r="X29" s="13">
        <v>0.13229940186147979</v>
      </c>
    </row>
    <row r="30" spans="1:24" x14ac:dyDescent="0.2">
      <c r="A30" t="s">
        <v>712</v>
      </c>
      <c r="B30" t="s">
        <v>114</v>
      </c>
      <c r="C30" t="s">
        <v>115</v>
      </c>
      <c r="D30" s="13">
        <v>0.11757797677245389</v>
      </c>
      <c r="E30" s="13">
        <v>9.5515013355518263E-2</v>
      </c>
      <c r="F30" s="13">
        <v>9.5492966894616949E-2</v>
      </c>
      <c r="G30" s="13">
        <v>9.5470896563520924E-2</v>
      </c>
      <c r="H30" s="13">
        <v>0.26062212757036463</v>
      </c>
      <c r="I30" s="13">
        <v>0.1214083923809284</v>
      </c>
      <c r="J30" s="13">
        <v>9.5566169438621174E-2</v>
      </c>
      <c r="K30" s="13">
        <v>9.5543565326194901E-2</v>
      </c>
      <c r="L30" s="13">
        <v>9.5589510936910926E-2</v>
      </c>
      <c r="M30" s="13">
        <v>0.2593660534639497</v>
      </c>
      <c r="N30" s="13">
        <v>0.1228562506704778</v>
      </c>
      <c r="O30" s="13">
        <v>9.5407279206871642E-2</v>
      </c>
      <c r="P30" s="13">
        <v>9.5589062484013887E-2</v>
      </c>
      <c r="Q30" s="13">
        <v>9.5634007834632939E-2</v>
      </c>
      <c r="R30" s="13">
        <v>0.25818287976666632</v>
      </c>
      <c r="S30" s="13">
        <v>0.1231932505031175</v>
      </c>
      <c r="T30" s="13">
        <v>8.8942519540924359E-2</v>
      </c>
      <c r="U30" s="13">
        <v>9.5297956817241847E-2</v>
      </c>
      <c r="V30" s="13">
        <v>9.534255993082219E-2</v>
      </c>
      <c r="W30" s="13">
        <v>0.24668106146543689</v>
      </c>
      <c r="X30" s="13">
        <v>0.1244868961694401</v>
      </c>
    </row>
    <row r="31" spans="1:24" x14ac:dyDescent="0.2">
      <c r="A31" t="s">
        <v>712</v>
      </c>
      <c r="B31" t="s">
        <v>117</v>
      </c>
      <c r="C31" t="s">
        <v>118</v>
      </c>
      <c r="D31" s="13">
        <v>0.19434008022607421</v>
      </c>
      <c r="E31" s="13">
        <v>0.16069751653411399</v>
      </c>
      <c r="F31" s="13">
        <v>0.18557503059533079</v>
      </c>
      <c r="G31" s="13">
        <v>0.41809255630784747</v>
      </c>
      <c r="H31" s="13">
        <v>6.4869315625504242E-2</v>
      </c>
      <c r="I31" s="13">
        <v>0.120989495095114</v>
      </c>
      <c r="J31" s="13">
        <v>0.35073401879577298</v>
      </c>
      <c r="K31" s="13">
        <v>5.6121903033989888E-2</v>
      </c>
      <c r="L31" s="13">
        <v>0.31457884934500407</v>
      </c>
      <c r="M31" s="13">
        <v>-2.2594943315357159E-3</v>
      </c>
      <c r="N31" s="13">
        <v>0.25090501157620793</v>
      </c>
      <c r="O31" s="13">
        <v>9.9456875936665412E-2</v>
      </c>
      <c r="P31" s="13">
        <v>5.8669775424768922E-2</v>
      </c>
      <c r="Q31" s="13">
        <v>0.18205491313725289</v>
      </c>
      <c r="R31" s="13">
        <v>2.031108225797329E-2</v>
      </c>
      <c r="S31" s="13">
        <v>0.20250022299697079</v>
      </c>
      <c r="T31" s="13">
        <v>0.2364041567231023</v>
      </c>
      <c r="U31" s="13">
        <v>0.13355928082687821</v>
      </c>
      <c r="V31" s="13">
        <v>0.1170269309758165</v>
      </c>
      <c r="W31" s="13">
        <v>6.7256593800646414E-2</v>
      </c>
      <c r="X31" s="13">
        <v>0.10277911719205329</v>
      </c>
    </row>
    <row r="32" spans="1:24" x14ac:dyDescent="0.2">
      <c r="A32" t="s">
        <v>712</v>
      </c>
      <c r="B32" t="s">
        <v>119</v>
      </c>
      <c r="C32" t="s">
        <v>120</v>
      </c>
      <c r="D32" s="13">
        <v>-0.14954456929218149</v>
      </c>
      <c r="E32" s="13">
        <v>0.36080169732739531</v>
      </c>
      <c r="F32" s="13">
        <v>1.2763726544129379E-3</v>
      </c>
      <c r="G32" s="13">
        <v>0.49267355624842413</v>
      </c>
      <c r="H32" s="13">
        <v>6.6034647248924827E-2</v>
      </c>
      <c r="I32" s="13">
        <v>-6.4816217334362491E-2</v>
      </c>
      <c r="J32" s="13">
        <v>0.30102040227233401</v>
      </c>
      <c r="K32" s="13">
        <v>-0.23194758846821761</v>
      </c>
      <c r="L32" s="13">
        <v>0.40139748042757878</v>
      </c>
      <c r="M32" s="13">
        <v>0.2195532459717153</v>
      </c>
      <c r="N32" s="13">
        <v>-0.13827145050024911</v>
      </c>
      <c r="O32" s="13">
        <v>0.1904073726068711</v>
      </c>
      <c r="P32" s="13">
        <v>-9.4689342791576259E-2</v>
      </c>
      <c r="Q32" s="13">
        <v>0.13038382089254341</v>
      </c>
      <c r="R32" s="13">
        <v>0.18462438997970401</v>
      </c>
      <c r="S32" s="13">
        <v>5.2584297837965373E-2</v>
      </c>
      <c r="T32" s="13">
        <v>0.189050196806928</v>
      </c>
      <c r="U32" s="13">
        <v>5.4956947625384167E-2</v>
      </c>
      <c r="V32" s="13">
        <v>0.17793409866624371</v>
      </c>
      <c r="W32" s="13">
        <v>0.11935362175901081</v>
      </c>
      <c r="X32" s="13">
        <v>7.7396941100094097E-2</v>
      </c>
    </row>
    <row r="33" spans="1:24" x14ac:dyDescent="0.2">
      <c r="A33" t="s">
        <v>712</v>
      </c>
      <c r="B33" t="s">
        <v>122</v>
      </c>
      <c r="C33" t="s">
        <v>123</v>
      </c>
      <c r="D33" s="13">
        <v>6.0858413527320472E-2</v>
      </c>
      <c r="E33" s="13">
        <v>0.19050342721662619</v>
      </c>
      <c r="F33" s="13">
        <v>9.602426651600382E-2</v>
      </c>
      <c r="G33" s="13">
        <v>0.33832509039635189</v>
      </c>
      <c r="H33" s="13">
        <v>-2.0169502402656029E-2</v>
      </c>
      <c r="I33" s="13">
        <v>5.0564925495333313E-2</v>
      </c>
      <c r="J33" s="13">
        <v>0.25505360970250468</v>
      </c>
      <c r="K33" s="13">
        <v>-4.9757806163952527E-2</v>
      </c>
      <c r="L33" s="13">
        <v>8.3297618798727768E-2</v>
      </c>
      <c r="M33" s="13">
        <v>0.1930896365436752</v>
      </c>
      <c r="N33" s="13">
        <v>0.21174169597930609</v>
      </c>
      <c r="O33" s="13">
        <v>0.28833544952699958</v>
      </c>
      <c r="P33" s="13">
        <v>-0.35382419255088893</v>
      </c>
      <c r="Q33" s="13">
        <v>0.14995615165023229</v>
      </c>
      <c r="R33" s="13">
        <v>8.8994498580907688E-3</v>
      </c>
      <c r="S33" s="13">
        <v>-0.13887102661932491</v>
      </c>
      <c r="T33" s="13">
        <v>0.6006166174500116</v>
      </c>
      <c r="U33" s="13">
        <v>8.9289524353874938E-2</v>
      </c>
      <c r="V33" s="13">
        <v>4.26346949519818E-2</v>
      </c>
      <c r="W33" s="13">
        <v>0.1740820497257323</v>
      </c>
      <c r="X33" s="13">
        <v>2.3914022963911211E-2</v>
      </c>
    </row>
    <row r="34" spans="1:24" x14ac:dyDescent="0.2">
      <c r="A34" t="s">
        <v>712</v>
      </c>
      <c r="B34" t="s">
        <v>125</v>
      </c>
      <c r="C34" t="s">
        <v>126</v>
      </c>
      <c r="D34" s="13">
        <v>0.19713063747361931</v>
      </c>
      <c r="E34" s="13">
        <v>0.1530304497084467</v>
      </c>
      <c r="F34" s="13">
        <v>0.1100433109653132</v>
      </c>
      <c r="G34" s="13">
        <v>0.29783014768958171</v>
      </c>
      <c r="H34" s="13">
        <v>-0.12781256132373689</v>
      </c>
      <c r="I34" s="13">
        <v>-0.14236047005646851</v>
      </c>
      <c r="J34" s="13">
        <v>0.44016457165259038</v>
      </c>
      <c r="K34" s="13">
        <v>1.5154909044667869E-2</v>
      </c>
      <c r="L34" s="13">
        <v>0.1184860396392429</v>
      </c>
      <c r="M34" s="13">
        <v>1.8899893318957691E-2</v>
      </c>
      <c r="N34" s="13">
        <v>0.3320880952433436</v>
      </c>
      <c r="O34" s="13">
        <v>0.15795359239587639</v>
      </c>
      <c r="P34" s="13">
        <v>-0.1037896822919326</v>
      </c>
      <c r="Q34" s="13">
        <v>0.17426547470063</v>
      </c>
      <c r="R34" s="13">
        <v>-0.19194576486165629</v>
      </c>
      <c r="S34" s="13">
        <v>4.8244198010083388E-2</v>
      </c>
      <c r="T34" s="13">
        <v>0.561523957939003</v>
      </c>
      <c r="U34" s="13">
        <v>-0.1905640461856484</v>
      </c>
      <c r="V34" s="13">
        <v>0.1003341787281453</v>
      </c>
      <c r="W34" s="13">
        <v>0.18254223163913791</v>
      </c>
      <c r="X34" s="13">
        <v>-4.3452795657938907E-2</v>
      </c>
    </row>
    <row r="35" spans="1:24" x14ac:dyDescent="0.2">
      <c r="A35" t="s">
        <v>712</v>
      </c>
      <c r="B35" t="s">
        <v>128</v>
      </c>
      <c r="C35" t="s">
        <v>129</v>
      </c>
      <c r="D35" s="13">
        <v>0.21463063898647941</v>
      </c>
      <c r="E35" s="13">
        <v>0.2116432979217375</v>
      </c>
      <c r="F35" s="13">
        <v>0.1227693783775408</v>
      </c>
      <c r="G35" s="13">
        <v>0.3353487200356442</v>
      </c>
      <c r="H35" s="13">
        <v>3.3606271625585833E-2</v>
      </c>
      <c r="I35" s="13">
        <v>7.7471186028343908E-2</v>
      </c>
      <c r="J35" s="13">
        <v>0.15554589858022269</v>
      </c>
      <c r="K35" s="13">
        <v>-9.0485840097709325E-2</v>
      </c>
      <c r="L35" s="13">
        <v>0.20991097942872899</v>
      </c>
      <c r="M35" s="13">
        <v>-4.1846156214164756E-3</v>
      </c>
      <c r="N35" s="13">
        <v>0.36888689857461632</v>
      </c>
      <c r="O35" s="13">
        <v>-2.2045158068473292E-3</v>
      </c>
      <c r="P35" s="13">
        <v>3.757344554247144E-2</v>
      </c>
      <c r="Q35" s="13">
        <v>8.8772250551416576E-2</v>
      </c>
      <c r="R35" s="13">
        <v>0.1018084765727956</v>
      </c>
      <c r="S35" s="13">
        <v>-4.2078204255169283E-3</v>
      </c>
      <c r="T35" s="13">
        <v>0.40669339382648501</v>
      </c>
      <c r="U35" s="13">
        <v>3.333712741593331E-3</v>
      </c>
      <c r="V35" s="13">
        <v>9.5674366175191317E-2</v>
      </c>
      <c r="W35" s="13">
        <v>9.334678186729839E-2</v>
      </c>
      <c r="X35" s="13">
        <v>-0.1909400219222257</v>
      </c>
    </row>
    <row r="36" spans="1:24" x14ac:dyDescent="0.2">
      <c r="A36" t="s">
        <v>712</v>
      </c>
      <c r="B36" t="s">
        <v>131</v>
      </c>
      <c r="C36" t="s">
        <v>132</v>
      </c>
      <c r="D36" s="13">
        <v>0.2404894289432358</v>
      </c>
      <c r="E36" s="13">
        <v>0.16259422422963971</v>
      </c>
      <c r="F36" s="13">
        <v>0.281872972344277</v>
      </c>
      <c r="G36" s="13">
        <v>0.32260663475289769</v>
      </c>
      <c r="H36" s="13">
        <v>4.8820968589291518E-2</v>
      </c>
      <c r="I36" s="13">
        <v>-7.2610419846097507E-2</v>
      </c>
      <c r="J36" s="13">
        <v>0.1836828819469449</v>
      </c>
      <c r="K36" s="13">
        <v>6.7585490801613801E-2</v>
      </c>
      <c r="L36" s="13">
        <v>0.1559125407434081</v>
      </c>
      <c r="M36" s="13">
        <v>0.19090388171227879</v>
      </c>
      <c r="N36" s="13">
        <v>-8.9464364969371601E-2</v>
      </c>
      <c r="O36" s="13">
        <v>0.18278528273776301</v>
      </c>
      <c r="P36" s="13">
        <v>-2.0774707109860732E-2</v>
      </c>
      <c r="Q36" s="13">
        <v>-9.3621970044299729E-2</v>
      </c>
      <c r="R36" s="13">
        <v>0.34861606808596068</v>
      </c>
      <c r="S36" s="13">
        <v>0.1823909194525131</v>
      </c>
      <c r="T36" s="13">
        <v>3.9424018727562959E-2</v>
      </c>
      <c r="U36" s="13">
        <v>0.38905536114184353</v>
      </c>
      <c r="V36" s="13">
        <v>-2.0435405988838968E-3</v>
      </c>
      <c r="W36" s="13">
        <v>5.9659420519109219E-3</v>
      </c>
      <c r="X36" s="13">
        <v>-0.24379801514072821</v>
      </c>
    </row>
    <row r="37" spans="1:24" x14ac:dyDescent="0.2">
      <c r="A37" t="s">
        <v>712</v>
      </c>
      <c r="B37" t="s">
        <v>133</v>
      </c>
      <c r="C37" t="s">
        <v>134</v>
      </c>
      <c r="D37" s="13">
        <v>4.0925750214060308E-2</v>
      </c>
      <c r="E37" s="13">
        <v>-2.7918774515473639</v>
      </c>
      <c r="F37" s="13">
        <v>-4.4300444261115786</v>
      </c>
      <c r="G37" s="13">
        <v>-0.17945886250689819</v>
      </c>
      <c r="H37" s="13">
        <v>-3.4136164789785211</v>
      </c>
      <c r="I37" s="13">
        <v>0.72333648241160731</v>
      </c>
      <c r="J37" s="13">
        <v>-0.2230360523968189</v>
      </c>
      <c r="K37" s="13">
        <v>-1.4675376611642641</v>
      </c>
      <c r="L37" s="13">
        <v>-1.4673401508430219</v>
      </c>
      <c r="M37" s="13">
        <v>-0.37457340380229193</v>
      </c>
      <c r="N37" s="13">
        <v>-1.5843812359665139</v>
      </c>
      <c r="O37" s="13">
        <v>-0.495091475645415</v>
      </c>
      <c r="P37" s="13">
        <v>0.75330552903218884</v>
      </c>
      <c r="Q37" s="13">
        <v>-0.30722350829120998</v>
      </c>
      <c r="R37" s="13">
        <v>1.850301180411118</v>
      </c>
      <c r="S37" s="13">
        <v>1.270215266591102E-2</v>
      </c>
      <c r="T37" s="13">
        <v>-0.91341535183517841</v>
      </c>
      <c r="U37" s="13">
        <v>-2.7544261862517239</v>
      </c>
      <c r="V37" s="13">
        <v>-0.61432540803344482</v>
      </c>
      <c r="W37" s="13">
        <v>2.288812533064255</v>
      </c>
      <c r="X37" s="13">
        <v>-0.26980356248984538</v>
      </c>
    </row>
    <row r="38" spans="1:24" x14ac:dyDescent="0.2">
      <c r="A38" t="s">
        <v>712</v>
      </c>
      <c r="B38" t="s">
        <v>136</v>
      </c>
      <c r="C38" t="s">
        <v>137</v>
      </c>
      <c r="D38" s="13">
        <v>0.31291220820679477</v>
      </c>
      <c r="E38" s="13">
        <v>-0.2435070445291343</v>
      </c>
      <c r="F38" s="13">
        <v>0</v>
      </c>
      <c r="G38" s="13">
        <v>-0.2274968338946359</v>
      </c>
      <c r="H38" s="13">
        <v>0.7527992098916414</v>
      </c>
      <c r="I38" s="13">
        <v>-0.21683427376089079</v>
      </c>
      <c r="J38" s="13">
        <v>-0.40903361144996042</v>
      </c>
      <c r="K38" s="13">
        <v>0.32610480178592027</v>
      </c>
      <c r="L38" s="13">
        <v>-0.25958770166767398</v>
      </c>
      <c r="M38" s="13">
        <v>0.19116384606954201</v>
      </c>
      <c r="N38" s="13">
        <v>0.30461267713297602</v>
      </c>
      <c r="O38" s="13">
        <v>0.28519402677709138</v>
      </c>
      <c r="P38" s="13">
        <v>-0.66684769906472097</v>
      </c>
      <c r="Q38" s="13">
        <v>-9.5068023278743752E-2</v>
      </c>
      <c r="R38" s="13">
        <v>-0.67427753061679585</v>
      </c>
      <c r="S38" s="13">
        <v>-0.27384455552342812</v>
      </c>
      <c r="T38" s="13">
        <v>-1.5049208851403151E-2</v>
      </c>
      <c r="U38" s="13">
        <v>-1.5419857086598101</v>
      </c>
      <c r="V38" s="13">
        <v>0.26958524219742319</v>
      </c>
      <c r="W38" s="13">
        <v>0.38658259730874889</v>
      </c>
      <c r="X38" s="13">
        <v>-0.63918789780206264</v>
      </c>
    </row>
    <row r="39" spans="1:24" x14ac:dyDescent="0.2">
      <c r="A39" t="s">
        <v>715</v>
      </c>
      <c r="B39" t="s">
        <v>140</v>
      </c>
      <c r="C39" t="s">
        <v>141</v>
      </c>
      <c r="D39" s="13">
        <v>0.14395791364245619</v>
      </c>
      <c r="E39" s="13">
        <v>0.13100441182181119</v>
      </c>
      <c r="F39" s="13">
        <v>0.1356367446906814</v>
      </c>
      <c r="G39" s="13">
        <v>0.1209585537057745</v>
      </c>
      <c r="H39" s="13">
        <v>0.37588748359362878</v>
      </c>
      <c r="I39" s="13">
        <v>0.1413292381382325</v>
      </c>
      <c r="J39" s="13">
        <v>0.13166438146512419</v>
      </c>
      <c r="K39" s="13">
        <v>0.11778787301759409</v>
      </c>
      <c r="L39" s="13">
        <v>0.1323554584654385</v>
      </c>
      <c r="M39" s="13">
        <v>0.3855180088737642</v>
      </c>
      <c r="N39" s="13">
        <v>0.12596267004367781</v>
      </c>
      <c r="O39" s="13">
        <v>0.1343081359346909</v>
      </c>
      <c r="P39" s="13">
        <v>0.12725308907211019</v>
      </c>
      <c r="Q39" s="13">
        <v>0.12880790255163091</v>
      </c>
      <c r="R39" s="13">
        <v>0.37614482147070311</v>
      </c>
      <c r="S39" s="13">
        <v>0.1223666391168665</v>
      </c>
      <c r="T39" s="13">
        <v>0.1258294138463123</v>
      </c>
      <c r="U39" s="13">
        <v>0.12360014484602561</v>
      </c>
      <c r="V39" s="13">
        <v>0.12985349109708719</v>
      </c>
      <c r="W39" s="13">
        <v>0.38538996826513738</v>
      </c>
      <c r="X39" s="13">
        <v>0.12845696957064501</v>
      </c>
    </row>
    <row r="40" spans="1:24" x14ac:dyDescent="0.2">
      <c r="A40" t="s">
        <v>715</v>
      </c>
      <c r="B40" t="s">
        <v>143</v>
      </c>
      <c r="C40" t="s">
        <v>144</v>
      </c>
      <c r="D40" s="13">
        <v>0.15588222541147451</v>
      </c>
      <c r="E40" s="13">
        <v>0.118333138249338</v>
      </c>
      <c r="F40" s="13">
        <v>0.10580807312394749</v>
      </c>
      <c r="G40" s="13">
        <v>0.1237744542538444</v>
      </c>
      <c r="H40" s="13">
        <v>0.3617565003787071</v>
      </c>
      <c r="I40" s="13">
        <v>0.12237979342970549</v>
      </c>
      <c r="J40" s="13">
        <v>0.12360834600160241</v>
      </c>
      <c r="K40" s="13">
        <v>0.12049111245695519</v>
      </c>
      <c r="L40" s="13">
        <v>0.1278545186895963</v>
      </c>
      <c r="M40" s="13">
        <v>0.37752887311670591</v>
      </c>
      <c r="N40" s="13">
        <v>0.1222130505440067</v>
      </c>
      <c r="O40" s="13">
        <v>0.13115429440986309</v>
      </c>
      <c r="P40" s="13">
        <v>0.13549552423963721</v>
      </c>
      <c r="Q40" s="13">
        <v>0.12556467419215789</v>
      </c>
      <c r="R40" s="13">
        <v>0.33052859451807581</v>
      </c>
      <c r="S40" s="13">
        <v>0.12040329888345359</v>
      </c>
      <c r="T40" s="13">
        <v>0.1199458732523251</v>
      </c>
      <c r="U40" s="13">
        <v>0.1170959577954989</v>
      </c>
      <c r="V40" s="13">
        <v>0.1248082522114391</v>
      </c>
      <c r="W40" s="13">
        <v>0.37027192038840973</v>
      </c>
      <c r="X40" s="13">
        <v>0.12305486415860049</v>
      </c>
    </row>
    <row r="41" spans="1:24" x14ac:dyDescent="0.2">
      <c r="A41" t="s">
        <v>715</v>
      </c>
      <c r="B41" t="s">
        <v>145</v>
      </c>
      <c r="C41" t="s">
        <v>146</v>
      </c>
      <c r="D41" s="13">
        <v>0.15011352435432279</v>
      </c>
      <c r="E41" s="13">
        <v>0.10346948103654439</v>
      </c>
      <c r="F41" s="13">
        <v>7.1678897011673293E-2</v>
      </c>
      <c r="G41" s="13">
        <v>0.1031465189913261</v>
      </c>
      <c r="H41" s="13">
        <v>0.30564584971408681</v>
      </c>
      <c r="I41" s="13">
        <v>0.1155582028560698</v>
      </c>
      <c r="J41" s="13">
        <v>0.1016013825556161</v>
      </c>
      <c r="K41" s="13">
        <v>9.3226724006556516E-2</v>
      </c>
      <c r="L41" s="13">
        <v>0.1249265681984468</v>
      </c>
      <c r="M41" s="13">
        <v>0.31738215944463471</v>
      </c>
      <c r="N41" s="13">
        <v>0.1206394081599171</v>
      </c>
      <c r="O41" s="13">
        <v>0.1069150300595734</v>
      </c>
      <c r="P41" s="13">
        <v>0.1138368877022788</v>
      </c>
      <c r="Q41" s="13">
        <v>0.1078507439411291</v>
      </c>
      <c r="R41" s="13">
        <v>0.3109440246617412</v>
      </c>
      <c r="S41" s="13">
        <v>0.10759210267003989</v>
      </c>
      <c r="T41" s="13">
        <v>0.1102068556768421</v>
      </c>
      <c r="U41" s="13">
        <v>0.1022855646890974</v>
      </c>
      <c r="V41" s="13">
        <v>8.5885531194795917E-2</v>
      </c>
      <c r="W41" s="13">
        <v>0.33319057370297939</v>
      </c>
      <c r="X41" s="13">
        <v>0.1211616169122465</v>
      </c>
    </row>
    <row r="42" spans="1:24" x14ac:dyDescent="0.2">
      <c r="A42" t="s">
        <v>715</v>
      </c>
      <c r="B42" t="s">
        <v>148</v>
      </c>
      <c r="C42" t="s">
        <v>149</v>
      </c>
      <c r="D42" s="13">
        <v>0.13850387461487029</v>
      </c>
      <c r="E42" s="13">
        <v>0.1131830007576662</v>
      </c>
      <c r="F42" s="13">
        <v>0.1041409407735117</v>
      </c>
      <c r="G42" s="13">
        <v>0.1067570233356907</v>
      </c>
      <c r="H42" s="13">
        <v>0.34538075292298581</v>
      </c>
      <c r="I42" s="13">
        <v>0.12247368209579169</v>
      </c>
      <c r="J42" s="13">
        <v>0.115050149775886</v>
      </c>
      <c r="K42" s="13">
        <v>0.1153688898331007</v>
      </c>
      <c r="L42" s="13">
        <v>0.1228182432637004</v>
      </c>
      <c r="M42" s="13">
        <v>0.3472082502198548</v>
      </c>
      <c r="N42" s="13">
        <v>0.1174859257240923</v>
      </c>
      <c r="O42" s="13">
        <v>0.11774610129298151</v>
      </c>
      <c r="P42" s="13">
        <v>0.1205397377347595</v>
      </c>
      <c r="Q42" s="13">
        <v>9.9820065769073985E-2</v>
      </c>
      <c r="R42" s="13">
        <v>0.33769108555037342</v>
      </c>
      <c r="S42" s="13">
        <v>0.1131485594377146</v>
      </c>
      <c r="T42" s="13">
        <v>0.11692049628393431</v>
      </c>
      <c r="U42" s="13">
        <v>0.1149349343031902</v>
      </c>
      <c r="V42" s="13">
        <v>0.1128575896298001</v>
      </c>
      <c r="W42" s="13">
        <v>0.24179347295369971</v>
      </c>
      <c r="X42" s="13">
        <v>0.11829853288718439</v>
      </c>
    </row>
    <row r="43" spans="1:24" x14ac:dyDescent="0.2">
      <c r="A43" t="s">
        <v>715</v>
      </c>
      <c r="B43" t="s">
        <v>150</v>
      </c>
      <c r="C43" t="s">
        <v>151</v>
      </c>
      <c r="D43" s="13">
        <v>0.13056197233896061</v>
      </c>
      <c r="E43" s="13">
        <v>0.1058884130809901</v>
      </c>
      <c r="F43" s="13">
        <v>9.5433482089202215E-2</v>
      </c>
      <c r="G43" s="13">
        <v>9.6038235947415451E-2</v>
      </c>
      <c r="H43" s="13">
        <v>0.31250056313947278</v>
      </c>
      <c r="I43" s="13">
        <v>0.1126106474034216</v>
      </c>
      <c r="J43" s="13">
        <v>0.106690592155867</v>
      </c>
      <c r="K43" s="13">
        <v>9.9048387749345324E-2</v>
      </c>
      <c r="L43" s="13">
        <v>0.110359859095488</v>
      </c>
      <c r="M43" s="13">
        <v>0.32493948909169118</v>
      </c>
      <c r="N43" s="13">
        <v>0.1084802575610055</v>
      </c>
      <c r="O43" s="13">
        <v>0.10701421436782881</v>
      </c>
      <c r="P43" s="13">
        <v>0.1118559419498011</v>
      </c>
      <c r="Q43" s="13">
        <v>0.110436195044028</v>
      </c>
      <c r="R43" s="13">
        <v>0.30084122947517938</v>
      </c>
      <c r="S43" s="13">
        <v>0.107530986900839</v>
      </c>
      <c r="T43" s="13">
        <v>0.1073649691669898</v>
      </c>
      <c r="U43" s="13">
        <v>8.3559493122864481E-2</v>
      </c>
      <c r="V43" s="13">
        <v>9.5841772845917106E-2</v>
      </c>
      <c r="W43" s="13">
        <v>0.32736830785666798</v>
      </c>
      <c r="X43" s="13">
        <v>0.1172511569483614</v>
      </c>
    </row>
    <row r="44" spans="1:24" x14ac:dyDescent="0.2">
      <c r="A44" t="s">
        <v>715</v>
      </c>
      <c r="B44" t="s">
        <v>153</v>
      </c>
      <c r="C44" t="s">
        <v>154</v>
      </c>
      <c r="D44" s="13">
        <v>0.1390770998149771</v>
      </c>
      <c r="E44" s="13">
        <v>0.1173244616392788</v>
      </c>
      <c r="F44" s="13">
        <v>9.2294207460108524E-2</v>
      </c>
      <c r="G44" s="13">
        <v>0.106946770049654</v>
      </c>
      <c r="H44" s="13">
        <v>0.33837416749669108</v>
      </c>
      <c r="I44" s="13">
        <v>0.1228147972507809</v>
      </c>
      <c r="J44" s="13">
        <v>0.1166781371273906</v>
      </c>
      <c r="K44" s="13">
        <v>0.103995987839367</v>
      </c>
      <c r="L44" s="13">
        <v>0.12014185943436401</v>
      </c>
      <c r="M44" s="13">
        <v>0.36335079455682712</v>
      </c>
      <c r="N44" s="13">
        <v>0.1199205510108881</v>
      </c>
      <c r="O44" s="13">
        <v>0.12545431363968351</v>
      </c>
      <c r="P44" s="13">
        <v>0.1206636891724067</v>
      </c>
      <c r="Q44" s="13">
        <v>0.13394874025400849</v>
      </c>
      <c r="R44" s="13">
        <v>0.33531267462518782</v>
      </c>
      <c r="S44" s="13">
        <v>0.12034136231833251</v>
      </c>
      <c r="T44" s="13">
        <v>0.1214514461247873</v>
      </c>
      <c r="U44" s="13">
        <v>0.11882983779309959</v>
      </c>
      <c r="V44" s="13">
        <v>0.1186888000844766</v>
      </c>
      <c r="W44" s="13">
        <v>0.35968351697388551</v>
      </c>
      <c r="X44" s="13">
        <v>0.11716495311326899</v>
      </c>
    </row>
    <row r="45" spans="1:24" x14ac:dyDescent="0.2">
      <c r="A45" t="s">
        <v>715</v>
      </c>
      <c r="B45" t="s">
        <v>156</v>
      </c>
      <c r="C45" t="s">
        <v>157</v>
      </c>
      <c r="D45" s="13">
        <v>0.17079178943049109</v>
      </c>
      <c r="E45" s="13">
        <v>0.12521836861845159</v>
      </c>
      <c r="F45" s="13">
        <v>0.1301659152792789</v>
      </c>
      <c r="G45" s="13">
        <v>7.6787617148843523E-2</v>
      </c>
      <c r="H45" s="13">
        <v>0.30265321793792038</v>
      </c>
      <c r="I45" s="13">
        <v>0.10836257193991281</v>
      </c>
      <c r="J45" s="13">
        <v>0.1112161586993787</v>
      </c>
      <c r="K45" s="13">
        <v>0.1054602530521143</v>
      </c>
      <c r="L45" s="13">
        <v>0.11646082509924049</v>
      </c>
      <c r="M45" s="13">
        <v>0.33131071579068921</v>
      </c>
      <c r="N45" s="13">
        <v>0.1103599859625604</v>
      </c>
      <c r="O45" s="13">
        <v>0.1238150683379402</v>
      </c>
      <c r="P45" s="13">
        <v>0.1014292429881269</v>
      </c>
      <c r="Q45" s="13">
        <v>0.108609808458171</v>
      </c>
      <c r="R45" s="13">
        <v>0.30402937358275928</v>
      </c>
      <c r="S45" s="13">
        <v>0.10762510197583899</v>
      </c>
      <c r="T45" s="13">
        <v>0.1100771993494121</v>
      </c>
      <c r="U45" s="13">
        <v>0.1087034975404855</v>
      </c>
      <c r="V45" s="13">
        <v>0.10880394315977431</v>
      </c>
      <c r="W45" s="13">
        <v>0.33716768824865179</v>
      </c>
      <c r="X45" s="13">
        <v>0.1164870157809972</v>
      </c>
    </row>
    <row r="46" spans="1:24" x14ac:dyDescent="0.2">
      <c r="A46" t="s">
        <v>715</v>
      </c>
      <c r="B46" t="s">
        <v>159</v>
      </c>
      <c r="C46" t="s">
        <v>160</v>
      </c>
      <c r="D46" s="13">
        <v>0.13509262655306831</v>
      </c>
      <c r="E46" s="13">
        <v>0.107425526494942</v>
      </c>
      <c r="F46" s="13">
        <v>0.1035528081188897</v>
      </c>
      <c r="G46" s="13">
        <v>9.1553242475073127E-2</v>
      </c>
      <c r="H46" s="13">
        <v>0.31992975023646952</v>
      </c>
      <c r="I46" s="13">
        <v>0.119880201224043</v>
      </c>
      <c r="J46" s="13">
        <v>0.1081844203344673</v>
      </c>
      <c r="K46" s="13">
        <v>9.4884490733959659E-2</v>
      </c>
      <c r="L46" s="13">
        <v>0.1173541346396023</v>
      </c>
      <c r="M46" s="13">
        <v>0.32710831386479899</v>
      </c>
      <c r="N46" s="13">
        <v>0.1108108733490987</v>
      </c>
      <c r="O46" s="13">
        <v>0.11764062760255541</v>
      </c>
      <c r="P46" s="13">
        <v>0.1035772728047446</v>
      </c>
      <c r="Q46" s="13">
        <v>0.10857679831695061</v>
      </c>
      <c r="R46" s="13">
        <v>0.32316478057889952</v>
      </c>
      <c r="S46" s="13">
        <v>0.1056128635192</v>
      </c>
      <c r="T46" s="13">
        <v>0.1087784480674259</v>
      </c>
      <c r="U46" s="13">
        <v>0.10909670871288581</v>
      </c>
      <c r="V46" s="13">
        <v>0.10082128473567489</v>
      </c>
      <c r="W46" s="13">
        <v>0.33491581281734911</v>
      </c>
      <c r="X46" s="13">
        <v>0.1151607176609115</v>
      </c>
    </row>
    <row r="47" spans="1:24" x14ac:dyDescent="0.2">
      <c r="A47" t="s">
        <v>715</v>
      </c>
      <c r="B47" t="s">
        <v>161</v>
      </c>
      <c r="C47" t="s">
        <v>162</v>
      </c>
      <c r="D47" s="13">
        <v>0.12586497127391461</v>
      </c>
      <c r="E47" s="13">
        <v>0.1098184251379974</v>
      </c>
      <c r="F47" s="13">
        <v>0.11769166787269909</v>
      </c>
      <c r="G47" s="13">
        <v>7.5909181798650138E-2</v>
      </c>
      <c r="H47" s="13">
        <v>0.3277133521151665</v>
      </c>
      <c r="I47" s="13">
        <v>0.10873413298904119</v>
      </c>
      <c r="J47" s="13">
        <v>0.1123909584218374</v>
      </c>
      <c r="K47" s="13">
        <v>0.10625018506453809</v>
      </c>
      <c r="L47" s="13">
        <v>0.1223364835632568</v>
      </c>
      <c r="M47" s="13">
        <v>0.31913103667615678</v>
      </c>
      <c r="N47" s="13">
        <v>0.1052563769259551</v>
      </c>
      <c r="O47" s="13">
        <v>0.1267494119310042</v>
      </c>
      <c r="P47" s="13">
        <v>9.7277247040139514E-2</v>
      </c>
      <c r="Q47" s="13">
        <v>5.9758882311666817E-2</v>
      </c>
      <c r="R47" s="13">
        <v>0.30402450896811478</v>
      </c>
      <c r="S47" s="13">
        <v>8.414958199385314E-2</v>
      </c>
      <c r="T47" s="13">
        <v>5.1730282053319421E-2</v>
      </c>
      <c r="U47" s="13">
        <v>9.281993958487611E-2</v>
      </c>
      <c r="V47" s="13">
        <v>0.1176954130247321</v>
      </c>
      <c r="W47" s="13">
        <v>0.33311247270548788</v>
      </c>
      <c r="X47" s="13">
        <v>0.11512433791591729</v>
      </c>
    </row>
    <row r="48" spans="1:24" x14ac:dyDescent="0.2">
      <c r="A48" s="14" t="s">
        <v>715</v>
      </c>
      <c r="B48" s="14" t="s">
        <v>163</v>
      </c>
      <c r="C48" s="14" t="s">
        <v>164</v>
      </c>
      <c r="D48" s="15">
        <v>0.13981335869022171</v>
      </c>
      <c r="E48" s="15">
        <v>0.1160314357691927</v>
      </c>
      <c r="F48" s="15">
        <v>0.12980459392744059</v>
      </c>
      <c r="G48" s="15">
        <v>9.8821129202186775E-2</v>
      </c>
      <c r="H48" s="15">
        <v>0.27933765735490562</v>
      </c>
      <c r="I48" s="15">
        <v>0.1161420865349205</v>
      </c>
      <c r="J48" s="15">
        <v>0.1154031482099693</v>
      </c>
      <c r="K48" s="15">
        <v>0.1022192516192844</v>
      </c>
      <c r="L48" s="15">
        <v>0.1212566986978247</v>
      </c>
      <c r="M48" s="15">
        <v>0.33525372851221918</v>
      </c>
      <c r="N48" s="15">
        <v>0.1123780945236241</v>
      </c>
      <c r="O48" s="15">
        <v>0.12559029687568829</v>
      </c>
      <c r="P48" s="15">
        <v>0.1026812376232478</v>
      </c>
      <c r="Q48" s="15">
        <v>0.1032487854623287</v>
      </c>
      <c r="R48" s="15">
        <v>0.32944290465424242</v>
      </c>
      <c r="S48" s="15">
        <v>8.9478597344827548E-2</v>
      </c>
      <c r="T48" s="15">
        <v>8.9621729364686153E-2</v>
      </c>
      <c r="U48" s="15">
        <v>0.11183396557297159</v>
      </c>
      <c r="V48" s="15">
        <v>0.1161625533494082</v>
      </c>
      <c r="W48" s="15">
        <v>0.35171613601567842</v>
      </c>
      <c r="X48" s="15">
        <v>0.1142912868962398</v>
      </c>
    </row>
    <row r="49" spans="1:24" x14ac:dyDescent="0.2">
      <c r="A49" t="s">
        <v>715</v>
      </c>
      <c r="B49" t="s">
        <v>166</v>
      </c>
      <c r="C49" t="s">
        <v>167</v>
      </c>
      <c r="D49" s="13">
        <v>0.13622530082291201</v>
      </c>
      <c r="E49" s="13">
        <v>0.11495330706146061</v>
      </c>
      <c r="F49" s="13">
        <v>9.955935239827074E-2</v>
      </c>
      <c r="G49" s="13">
        <v>0.1053025560449949</v>
      </c>
      <c r="H49" s="13">
        <v>0.3411022789655993</v>
      </c>
      <c r="I49" s="13">
        <v>0.11764883902156691</v>
      </c>
      <c r="J49" s="13">
        <v>0.1157158132979674</v>
      </c>
      <c r="K49" s="13">
        <v>0.1084584371606301</v>
      </c>
      <c r="L49" s="13">
        <v>0.12021649336357849</v>
      </c>
      <c r="M49" s="13">
        <v>0.34811979538311721</v>
      </c>
      <c r="N49" s="13">
        <v>0.11552792933424701</v>
      </c>
      <c r="O49" s="13">
        <v>0.1133331615454258</v>
      </c>
      <c r="P49" s="13">
        <v>0.11605955352640419</v>
      </c>
      <c r="Q49" s="13">
        <v>0.1127464224512931</v>
      </c>
      <c r="R49" s="13">
        <v>0.33099472108011341</v>
      </c>
      <c r="S49" s="13">
        <v>0.11317865893527571</v>
      </c>
      <c r="T49" s="13">
        <v>0.1154679123317681</v>
      </c>
      <c r="U49" s="13">
        <v>0.1138953750491556</v>
      </c>
      <c r="V49" s="13">
        <v>0.1146006092244356</v>
      </c>
      <c r="W49" s="13">
        <v>0.35202475615603301</v>
      </c>
      <c r="X49" s="13">
        <v>0.1141602046666801</v>
      </c>
    </row>
    <row r="50" spans="1:24" x14ac:dyDescent="0.2">
      <c r="A50" t="s">
        <v>715</v>
      </c>
      <c r="B50" t="s">
        <v>169</v>
      </c>
      <c r="C50" t="s">
        <v>170</v>
      </c>
      <c r="D50" s="13">
        <v>0.13152126260411731</v>
      </c>
      <c r="E50" s="13">
        <v>0.1090590670275393</v>
      </c>
      <c r="F50" s="13">
        <v>0.1160969170701964</v>
      </c>
      <c r="G50" s="13">
        <v>8.9751634194579211E-2</v>
      </c>
      <c r="H50" s="13">
        <v>0.31107160995429428</v>
      </c>
      <c r="I50" s="13">
        <v>0.1099613948484235</v>
      </c>
      <c r="J50" s="13">
        <v>0.1106308328131078</v>
      </c>
      <c r="K50" s="13">
        <v>0.1026151065223857</v>
      </c>
      <c r="L50" s="13">
        <v>0.1135494452636276</v>
      </c>
      <c r="M50" s="13">
        <v>0.3158450232748633</v>
      </c>
      <c r="N50" s="13">
        <v>0.1075674062907206</v>
      </c>
      <c r="O50" s="13">
        <v>0.1137263821677115</v>
      </c>
      <c r="P50" s="13">
        <v>0.10262918742751651</v>
      </c>
      <c r="Q50" s="13">
        <v>8.9219330855017098E-2</v>
      </c>
      <c r="R50" s="13">
        <v>0.31355315938039752</v>
      </c>
      <c r="S50" s="13">
        <v>9.743549770053761E-2</v>
      </c>
      <c r="T50" s="13">
        <v>9.6561928123639618E-2</v>
      </c>
      <c r="U50" s="13">
        <v>9.5690802013415066E-2</v>
      </c>
      <c r="V50" s="13">
        <v>0.1018171643531129</v>
      </c>
      <c r="W50" s="13">
        <v>0.32532823988882242</v>
      </c>
      <c r="X50" s="13">
        <v>0.1137665232331386</v>
      </c>
    </row>
    <row r="51" spans="1:24" x14ac:dyDescent="0.2">
      <c r="A51" t="s">
        <v>715</v>
      </c>
      <c r="B51" t="s">
        <v>171</v>
      </c>
      <c r="C51" t="s">
        <v>172</v>
      </c>
      <c r="D51" s="13">
        <v>0.132415654703677</v>
      </c>
      <c r="E51" s="13">
        <v>0.1089570149474417</v>
      </c>
      <c r="F51" s="13">
        <v>9.5982254427950942E-2</v>
      </c>
      <c r="G51" s="13">
        <v>6.3027067223697664E-2</v>
      </c>
      <c r="H51" s="13">
        <v>0.28315092398334413</v>
      </c>
      <c r="I51" s="13">
        <v>0.1134023460993117</v>
      </c>
      <c r="J51" s="13">
        <v>0.1164757422809526</v>
      </c>
      <c r="K51" s="13">
        <v>0.1009758087457735</v>
      </c>
      <c r="L51" s="13">
        <v>0.1133184223090833</v>
      </c>
      <c r="M51" s="13">
        <v>0.32421660114865247</v>
      </c>
      <c r="N51" s="13">
        <v>0.1072854685469915</v>
      </c>
      <c r="O51" s="13">
        <v>0.11383670354860879</v>
      </c>
      <c r="P51" s="13">
        <v>0.1094013466863997</v>
      </c>
      <c r="Q51" s="13">
        <v>8.9083837690928647E-2</v>
      </c>
      <c r="R51" s="13">
        <v>0.30845902069298597</v>
      </c>
      <c r="S51" s="13">
        <v>0.1026654367719759</v>
      </c>
      <c r="T51" s="13">
        <v>9.3007864635619164E-2</v>
      </c>
      <c r="U51" s="13">
        <v>0.1026632042997688</v>
      </c>
      <c r="V51" s="13">
        <v>0.1070054674069176</v>
      </c>
      <c r="W51" s="13">
        <v>0.31798999006749101</v>
      </c>
      <c r="X51" s="13">
        <v>0.1135899737390256</v>
      </c>
    </row>
    <row r="52" spans="1:24" x14ac:dyDescent="0.2">
      <c r="A52" t="s">
        <v>715</v>
      </c>
      <c r="B52" t="s">
        <v>173</v>
      </c>
      <c r="C52" t="s">
        <v>174</v>
      </c>
      <c r="D52" s="13">
        <v>0.14119038040836249</v>
      </c>
      <c r="E52" s="13">
        <v>0.10964496288350389</v>
      </c>
      <c r="F52" s="13">
        <v>8.2620727320414922E-2</v>
      </c>
      <c r="G52" s="13">
        <v>0.11794751979892221</v>
      </c>
      <c r="H52" s="13">
        <v>0.3271923739874838</v>
      </c>
      <c r="I52" s="13">
        <v>0.13338573582726279</v>
      </c>
      <c r="J52" s="13">
        <v>0.1131827914096384</v>
      </c>
      <c r="K52" s="13">
        <v>8.8811652088760518E-2</v>
      </c>
      <c r="L52" s="13">
        <v>0.11863022064899641</v>
      </c>
      <c r="M52" s="13">
        <v>0.34844262753208621</v>
      </c>
      <c r="N52" s="13">
        <v>0.1193778243159471</v>
      </c>
      <c r="O52" s="13">
        <v>0.14665355191141319</v>
      </c>
      <c r="P52" s="13">
        <v>9.1153917065800449E-2</v>
      </c>
      <c r="Q52" s="13">
        <v>0.1157546582660762</v>
      </c>
      <c r="R52" s="13">
        <v>0.32946654717422857</v>
      </c>
      <c r="S52" s="13">
        <v>0.1130573474646734</v>
      </c>
      <c r="T52" s="13">
        <v>0.1131136395233545</v>
      </c>
      <c r="U52" s="13">
        <v>0.110045685235205</v>
      </c>
      <c r="V52" s="13">
        <v>0.1109998403049817</v>
      </c>
      <c r="W52" s="13">
        <v>0.3476653276587971</v>
      </c>
      <c r="X52" s="13">
        <v>0.11265914474585249</v>
      </c>
    </row>
    <row r="53" spans="1:24" x14ac:dyDescent="0.2">
      <c r="A53" t="s">
        <v>715</v>
      </c>
      <c r="B53" t="s">
        <v>175</v>
      </c>
      <c r="C53" t="s">
        <v>176</v>
      </c>
      <c r="D53" s="13">
        <v>0.12234089931768551</v>
      </c>
      <c r="E53" s="13">
        <v>0.1078159493371089</v>
      </c>
      <c r="F53" s="13">
        <v>9.8048043541321128E-2</v>
      </c>
      <c r="G53" s="13">
        <v>9.0426279358402084E-2</v>
      </c>
      <c r="H53" s="13">
        <v>0.31109552500601101</v>
      </c>
      <c r="I53" s="13">
        <v>0.1082763794111985</v>
      </c>
      <c r="J53" s="13">
        <v>0.10353807744414301</v>
      </c>
      <c r="K53" s="13">
        <v>9.8463962189843102E-2</v>
      </c>
      <c r="L53" s="13">
        <v>0.114012438038924</v>
      </c>
      <c r="M53" s="13">
        <v>0.31377483783539001</v>
      </c>
      <c r="N53" s="13">
        <v>0.107771587015093</v>
      </c>
      <c r="O53" s="13">
        <v>0.10515869905158851</v>
      </c>
      <c r="P53" s="13">
        <v>0.1077164915862738</v>
      </c>
      <c r="Q53" s="13">
        <v>0.1030230724168746</v>
      </c>
      <c r="R53" s="13">
        <v>0.30851959794049311</v>
      </c>
      <c r="S53" s="13">
        <v>0.10381231840779211</v>
      </c>
      <c r="T53" s="13">
        <v>0.1038199516467664</v>
      </c>
      <c r="U53" s="13">
        <v>0.1022726291148857</v>
      </c>
      <c r="V53" s="13">
        <v>9.6185320118213902E-2</v>
      </c>
      <c r="W53" s="13">
        <v>0.32126750663656889</v>
      </c>
      <c r="X53" s="13">
        <v>0.1125131976720484</v>
      </c>
    </row>
    <row r="54" spans="1:24" x14ac:dyDescent="0.2">
      <c r="A54" t="s">
        <v>715</v>
      </c>
      <c r="B54" t="s">
        <v>177</v>
      </c>
      <c r="C54" t="s">
        <v>178</v>
      </c>
      <c r="D54" s="13">
        <v>0.13666064728492519</v>
      </c>
      <c r="E54" s="13">
        <v>0.1206352568180247</v>
      </c>
      <c r="F54" s="13">
        <v>6.398776152634067E-2</v>
      </c>
      <c r="G54" s="13">
        <v>0.1077297017526346</v>
      </c>
      <c r="H54" s="13">
        <v>0.30321242076818411</v>
      </c>
      <c r="I54" s="13">
        <v>0.1055879940661253</v>
      </c>
      <c r="J54" s="13">
        <v>0.1198414646468304</v>
      </c>
      <c r="K54" s="13">
        <v>8.7425032339649711E-2</v>
      </c>
      <c r="L54" s="13">
        <v>0.11601322697059049</v>
      </c>
      <c r="M54" s="13">
        <v>0.3208992552169887</v>
      </c>
      <c r="N54" s="13">
        <v>0.109648896893999</v>
      </c>
      <c r="O54" s="13">
        <v>0.11196183334352131</v>
      </c>
      <c r="P54" s="13">
        <v>0.10384165108505709</v>
      </c>
      <c r="Q54" s="13">
        <v>9.433221808712311E-2</v>
      </c>
      <c r="R54" s="13">
        <v>0.28938813850676309</v>
      </c>
      <c r="S54" s="13">
        <v>0.1044973339980215</v>
      </c>
      <c r="T54" s="13">
        <v>9.962627897512899E-2</v>
      </c>
      <c r="U54" s="13">
        <v>0.12602051869106121</v>
      </c>
      <c r="V54" s="13">
        <v>0.1018570860114032</v>
      </c>
      <c r="W54" s="13">
        <v>0.33650962419142783</v>
      </c>
      <c r="X54" s="13">
        <v>0.1124527767723649</v>
      </c>
    </row>
    <row r="55" spans="1:24" x14ac:dyDescent="0.2">
      <c r="A55" t="s">
        <v>715</v>
      </c>
      <c r="B55" t="s">
        <v>179</v>
      </c>
      <c r="C55" t="s">
        <v>180</v>
      </c>
      <c r="D55" s="13">
        <v>0.129512417555433</v>
      </c>
      <c r="E55" s="13">
        <v>0.1032528278131828</v>
      </c>
      <c r="F55" s="13">
        <v>9.9488483366250158E-2</v>
      </c>
      <c r="G55" s="13">
        <v>5.941112084222322E-2</v>
      </c>
      <c r="H55" s="13">
        <v>0.30541677006046258</v>
      </c>
      <c r="I55" s="13">
        <v>0.11110827124882761</v>
      </c>
      <c r="J55" s="13">
        <v>0.10019475355222961</v>
      </c>
      <c r="K55" s="13">
        <v>9.3718254294805625E-2</v>
      </c>
      <c r="L55" s="13">
        <v>0.11543355250964731</v>
      </c>
      <c r="M55" s="13">
        <v>0.31252618691399731</v>
      </c>
      <c r="N55" s="13">
        <v>0.1030210491822503</v>
      </c>
      <c r="O55" s="13">
        <v>0.1043497140545302</v>
      </c>
      <c r="P55" s="13">
        <v>0.11229070896499049</v>
      </c>
      <c r="Q55" s="13">
        <v>9.7514862248004874E-2</v>
      </c>
      <c r="R55" s="13">
        <v>0.30055469969201282</v>
      </c>
      <c r="S55" s="13">
        <v>0.10147695308675431</v>
      </c>
      <c r="T55" s="13">
        <v>0.1063596923355892</v>
      </c>
      <c r="U55" s="13">
        <v>0.10081577535654419</v>
      </c>
      <c r="V55" s="13">
        <v>9.1569168601712825E-2</v>
      </c>
      <c r="W55" s="13">
        <v>0.31822242336647649</v>
      </c>
      <c r="X55" s="13">
        <v>0.1123600277667558</v>
      </c>
    </row>
    <row r="56" spans="1:24" x14ac:dyDescent="0.2">
      <c r="A56" t="s">
        <v>715</v>
      </c>
      <c r="B56" t="s">
        <v>181</v>
      </c>
      <c r="C56" t="s">
        <v>182</v>
      </c>
      <c r="D56" s="13">
        <v>0.12528412402712519</v>
      </c>
      <c r="E56" s="13">
        <v>0.1169818857553739</v>
      </c>
      <c r="F56" s="13">
        <v>8.8989891189639181E-2</v>
      </c>
      <c r="G56" s="13">
        <v>0.10920961265030731</v>
      </c>
      <c r="H56" s="13">
        <v>0.32695030190261759</v>
      </c>
      <c r="I56" s="13">
        <v>0.12208677855058971</v>
      </c>
      <c r="J56" s="13">
        <v>0.1142654108736485</v>
      </c>
      <c r="K56" s="13">
        <v>8.9775247121437474E-2</v>
      </c>
      <c r="L56" s="13">
        <v>0.1161291439942147</v>
      </c>
      <c r="M56" s="13">
        <v>0.34616237309692538</v>
      </c>
      <c r="N56" s="13">
        <v>0.1176357972127562</v>
      </c>
      <c r="O56" s="13">
        <v>0.12606180562919619</v>
      </c>
      <c r="P56" s="13">
        <v>0.1020982641484869</v>
      </c>
      <c r="Q56" s="13">
        <v>0.1171395348416482</v>
      </c>
      <c r="R56" s="13">
        <v>0.32513232208151172</v>
      </c>
      <c r="S56" s="13">
        <v>0.1135175450323045</v>
      </c>
      <c r="T56" s="13">
        <v>0.11055635609127371</v>
      </c>
      <c r="U56" s="13">
        <v>0.11285941659811009</v>
      </c>
      <c r="V56" s="13">
        <v>0.1113415399494944</v>
      </c>
      <c r="W56" s="13">
        <v>0.35776075108249211</v>
      </c>
      <c r="X56" s="13">
        <v>0.11225003270611821</v>
      </c>
    </row>
    <row r="57" spans="1:24" x14ac:dyDescent="0.2">
      <c r="A57" t="s">
        <v>715</v>
      </c>
      <c r="B57" t="s">
        <v>183</v>
      </c>
      <c r="C57" t="s">
        <v>184</v>
      </c>
      <c r="D57" s="13">
        <v>0.13031478342344641</v>
      </c>
      <c r="E57" s="13">
        <v>0.10276476923796191</v>
      </c>
      <c r="F57" s="13">
        <v>9.3477214928872066E-2</v>
      </c>
      <c r="G57" s="13">
        <v>8.7139271762892712E-2</v>
      </c>
      <c r="H57" s="13">
        <v>0.3066834401673324</v>
      </c>
      <c r="I57" s="13">
        <v>0.1134028646412544</v>
      </c>
      <c r="J57" s="13">
        <v>0.106634909189518</v>
      </c>
      <c r="K57" s="13">
        <v>9.2468975906090378E-2</v>
      </c>
      <c r="L57" s="13">
        <v>0.1112483965317379</v>
      </c>
      <c r="M57" s="13">
        <v>0.31804073911334552</v>
      </c>
      <c r="N57" s="13">
        <v>0.10708179562470831</v>
      </c>
      <c r="O57" s="13">
        <v>0.1076628620339637</v>
      </c>
      <c r="P57" s="13">
        <v>0.10791187567413819</v>
      </c>
      <c r="Q57" s="13">
        <v>0.10850701599458561</v>
      </c>
      <c r="R57" s="13">
        <v>0.30337939897526761</v>
      </c>
      <c r="S57" s="13">
        <v>0.1025314714415471</v>
      </c>
      <c r="T57" s="13">
        <v>0.1045671701209505</v>
      </c>
      <c r="U57" s="13">
        <v>0.10219873877859161</v>
      </c>
      <c r="V57" s="13">
        <v>9.8803810605407882E-2</v>
      </c>
      <c r="W57" s="13">
        <v>0.31921629791362699</v>
      </c>
      <c r="X57" s="13">
        <v>0.112237450662378</v>
      </c>
    </row>
    <row r="58" spans="1:24" x14ac:dyDescent="0.2">
      <c r="A58" t="s">
        <v>715</v>
      </c>
      <c r="B58" t="s">
        <v>185</v>
      </c>
      <c r="C58" t="s">
        <v>186</v>
      </c>
      <c r="D58" s="13">
        <v>0.17533278097958679</v>
      </c>
      <c r="E58" s="13">
        <v>9.6849488198391676E-2</v>
      </c>
      <c r="F58" s="13">
        <v>8.3060276371638153E-2</v>
      </c>
      <c r="G58" s="13">
        <v>0.1097458796423201</v>
      </c>
      <c r="H58" s="13">
        <v>0.31409496916723351</v>
      </c>
      <c r="I58" s="13">
        <v>0.1100745487407684</v>
      </c>
      <c r="J58" s="13">
        <v>0.1100665690206393</v>
      </c>
      <c r="K58" s="13">
        <v>0.10938092160033271</v>
      </c>
      <c r="L58" s="13">
        <v>0.1100510345316108</v>
      </c>
      <c r="M58" s="13">
        <v>0.34743576539872922</v>
      </c>
      <c r="N58" s="13">
        <v>0.1102231772302398</v>
      </c>
      <c r="O58" s="13">
        <v>0.1117170051228467</v>
      </c>
      <c r="P58" s="13">
        <v>0.1348071290025343</v>
      </c>
      <c r="Q58" s="13">
        <v>0.1146645279330283</v>
      </c>
      <c r="R58" s="13">
        <v>0.29091521950408428</v>
      </c>
      <c r="S58" s="13">
        <v>0.11014465233447621</v>
      </c>
      <c r="T58" s="13">
        <v>0.11026835974869981</v>
      </c>
      <c r="U58" s="13">
        <v>0.10763396091642009</v>
      </c>
      <c r="V58" s="13">
        <v>0.1120499950905796</v>
      </c>
      <c r="W58" s="13">
        <v>0.3244570304126837</v>
      </c>
      <c r="X58" s="13">
        <v>0.1121819116399303</v>
      </c>
    </row>
    <row r="59" spans="1:24" x14ac:dyDescent="0.2">
      <c r="A59" t="s">
        <v>715</v>
      </c>
      <c r="B59" t="s">
        <v>188</v>
      </c>
      <c r="C59" t="s">
        <v>189</v>
      </c>
      <c r="D59" s="13">
        <v>0.13534248346827041</v>
      </c>
      <c r="E59" s="13">
        <v>0.1163454565810129</v>
      </c>
      <c r="F59" s="13">
        <v>9.574759569597191E-2</v>
      </c>
      <c r="G59" s="13">
        <v>0.1071291655097006</v>
      </c>
      <c r="H59" s="13">
        <v>0.31879769578424533</v>
      </c>
      <c r="I59" s="13">
        <v>0.12839245856439699</v>
      </c>
      <c r="J59" s="13">
        <v>0.1096494260981018</v>
      </c>
      <c r="K59" s="13">
        <v>8.9866085027612286E-2</v>
      </c>
      <c r="L59" s="13">
        <v>0.11290462089996731</v>
      </c>
      <c r="M59" s="13">
        <v>0.33458641433476988</v>
      </c>
      <c r="N59" s="13">
        <v>0.11393562030559411</v>
      </c>
      <c r="O59" s="13">
        <v>0.1244888454151383</v>
      </c>
      <c r="P59" s="13">
        <v>9.9567778057529921E-2</v>
      </c>
      <c r="Q59" s="13">
        <v>0.1188694800327683</v>
      </c>
      <c r="R59" s="13">
        <v>0.30420719646988559</v>
      </c>
      <c r="S59" s="13">
        <v>0.1069359984072094</v>
      </c>
      <c r="T59" s="13">
        <v>0.1035070006286887</v>
      </c>
      <c r="U59" s="13">
        <v>0.11027213766463539</v>
      </c>
      <c r="V59" s="13">
        <v>0.10460009324970709</v>
      </c>
      <c r="W59" s="13">
        <v>0.32191403057684198</v>
      </c>
      <c r="X59" s="13">
        <v>0.1120286410718485</v>
      </c>
    </row>
    <row r="60" spans="1:24" x14ac:dyDescent="0.2">
      <c r="A60" t="s">
        <v>715</v>
      </c>
      <c r="B60" t="s">
        <v>191</v>
      </c>
      <c r="C60" t="s">
        <v>192</v>
      </c>
      <c r="D60" s="13">
        <v>0.13531981478309699</v>
      </c>
      <c r="E60" s="13">
        <v>0.1070742347828446</v>
      </c>
      <c r="F60" s="13">
        <v>9.6554741744325767E-2</v>
      </c>
      <c r="G60" s="13">
        <v>9.5583158707568394E-2</v>
      </c>
      <c r="H60" s="13">
        <v>0.30016212724994767</v>
      </c>
      <c r="I60" s="13">
        <v>0.1189763905508734</v>
      </c>
      <c r="J60" s="13">
        <v>0.10788994933854661</v>
      </c>
      <c r="K60" s="13">
        <v>8.5054940669393453E-2</v>
      </c>
      <c r="L60" s="13">
        <v>0.1137255716392227</v>
      </c>
      <c r="M60" s="13">
        <v>0.31956762013503059</v>
      </c>
      <c r="N60" s="13">
        <v>0.1079201924076845</v>
      </c>
      <c r="O60" s="13">
        <v>0.1172230025613397</v>
      </c>
      <c r="P60" s="13">
        <v>9.9012250161201187E-2</v>
      </c>
      <c r="Q60" s="13">
        <v>0.1092200341572758</v>
      </c>
      <c r="R60" s="13">
        <v>0.30786664863073909</v>
      </c>
      <c r="S60" s="13">
        <v>9.8051571390866954E-2</v>
      </c>
      <c r="T60" s="13">
        <v>9.9801033608160061E-2</v>
      </c>
      <c r="U60" s="13">
        <v>9.9844926939485212E-2</v>
      </c>
      <c r="V60" s="13">
        <v>0.1020987859474021</v>
      </c>
      <c r="W60" s="13">
        <v>0.33288813319123373</v>
      </c>
      <c r="X60" s="13">
        <v>0.1118239115710962</v>
      </c>
    </row>
    <row r="61" spans="1:24" x14ac:dyDescent="0.2">
      <c r="A61" t="s">
        <v>715</v>
      </c>
      <c r="B61" t="s">
        <v>193</v>
      </c>
      <c r="C61" t="s">
        <v>194</v>
      </c>
      <c r="D61" s="13">
        <v>0.1227355752573711</v>
      </c>
      <c r="E61" s="13">
        <v>0.1059692238318144</v>
      </c>
      <c r="F61" s="13">
        <v>9.3322633382575404E-2</v>
      </c>
      <c r="G61" s="13">
        <v>8.1593399739654515E-2</v>
      </c>
      <c r="H61" s="13">
        <v>0.31027136036005931</v>
      </c>
      <c r="I61" s="13">
        <v>0.12342256172224179</v>
      </c>
      <c r="J61" s="13">
        <v>0.1022954674640086</v>
      </c>
      <c r="K61" s="13">
        <v>8.8918749945299247E-2</v>
      </c>
      <c r="L61" s="13">
        <v>0.1084146159611388</v>
      </c>
      <c r="M61" s="13">
        <v>0.32265968621951752</v>
      </c>
      <c r="N61" s="13">
        <v>0.11152784931649511</v>
      </c>
      <c r="O61" s="13">
        <v>0.1227082186969541</v>
      </c>
      <c r="P61" s="13">
        <v>9.9686802017484588E-2</v>
      </c>
      <c r="Q61" s="13">
        <v>0.1143376634143989</v>
      </c>
      <c r="R61" s="13">
        <v>0.32090649222964451</v>
      </c>
      <c r="S61" s="13">
        <v>0.1111060984049672</v>
      </c>
      <c r="T61" s="13">
        <v>0.11467422596096449</v>
      </c>
      <c r="U61" s="13">
        <v>0.1093712065454167</v>
      </c>
      <c r="V61" s="13">
        <v>0.1076253775857072</v>
      </c>
      <c r="W61" s="13">
        <v>0.33887047951701721</v>
      </c>
      <c r="X61" s="13">
        <v>0.1111943415175842</v>
      </c>
    </row>
    <row r="62" spans="1:24" x14ac:dyDescent="0.2">
      <c r="A62" t="s">
        <v>715</v>
      </c>
      <c r="B62" t="s">
        <v>196</v>
      </c>
      <c r="C62" t="s">
        <v>197</v>
      </c>
      <c r="D62" s="13">
        <v>0.14104158386145649</v>
      </c>
      <c r="E62" s="13">
        <v>0.10522101390466609</v>
      </c>
      <c r="F62" s="13">
        <v>8.9674620352941936E-2</v>
      </c>
      <c r="G62" s="13">
        <v>5.3393696433512439E-2</v>
      </c>
      <c r="H62" s="13">
        <v>0.30823153935295439</v>
      </c>
      <c r="I62" s="13">
        <v>0.12129533779114959</v>
      </c>
      <c r="J62" s="13">
        <v>0.1051127802093932</v>
      </c>
      <c r="K62" s="13">
        <v>8.0308591129640838E-2</v>
      </c>
      <c r="L62" s="13">
        <v>0.11637547052250059</v>
      </c>
      <c r="M62" s="13">
        <v>0.32724701041533238</v>
      </c>
      <c r="N62" s="13">
        <v>0.108000264874053</v>
      </c>
      <c r="O62" s="13">
        <v>0.1126207344203545</v>
      </c>
      <c r="P62" s="13">
        <v>0.11151360969041681</v>
      </c>
      <c r="Q62" s="13">
        <v>0.1147106387943353</v>
      </c>
      <c r="R62" s="13">
        <v>0.29691069967319178</v>
      </c>
      <c r="S62" s="13">
        <v>0.1027481635302863</v>
      </c>
      <c r="T62" s="13">
        <v>0.10895461184707859</v>
      </c>
      <c r="U62" s="13">
        <v>0.1088783456923315</v>
      </c>
      <c r="V62" s="13">
        <v>9.7473920653867729E-2</v>
      </c>
      <c r="W62" s="13">
        <v>0.33077611402043677</v>
      </c>
      <c r="X62" s="13">
        <v>0.1109474304473945</v>
      </c>
    </row>
    <row r="63" spans="1:24" x14ac:dyDescent="0.2">
      <c r="A63" t="s">
        <v>715</v>
      </c>
      <c r="B63" t="s">
        <v>198</v>
      </c>
      <c r="C63" t="s">
        <v>199</v>
      </c>
      <c r="D63" s="13">
        <v>0.12407606459918789</v>
      </c>
      <c r="E63" s="13">
        <v>0.1020536643229653</v>
      </c>
      <c r="F63" s="13">
        <v>0.10128761047301089</v>
      </c>
      <c r="G63" s="13">
        <v>9.8539759801052895E-2</v>
      </c>
      <c r="H63" s="13">
        <v>0.30523860805911068</v>
      </c>
      <c r="I63" s="13">
        <v>0.11263412352866541</v>
      </c>
      <c r="J63" s="13">
        <v>0.1059280215803815</v>
      </c>
      <c r="K63" s="13">
        <v>9.0042129200584853E-2</v>
      </c>
      <c r="L63" s="13">
        <v>0.11031729354906709</v>
      </c>
      <c r="M63" s="13">
        <v>0.31943642755942753</v>
      </c>
      <c r="N63" s="13">
        <v>0.10657565236722449</v>
      </c>
      <c r="O63" s="13">
        <v>0.1221376040129174</v>
      </c>
      <c r="P63" s="13">
        <v>0.1011135537826169</v>
      </c>
      <c r="Q63" s="13">
        <v>0.1068765966320884</v>
      </c>
      <c r="R63" s="13">
        <v>0.30856964299663669</v>
      </c>
      <c r="S63" s="13">
        <v>0.1018911516944998</v>
      </c>
      <c r="T63" s="13">
        <v>0.10502907749458951</v>
      </c>
      <c r="U63" s="13">
        <v>9.8442407953114319E-2</v>
      </c>
      <c r="V63" s="13">
        <v>9.7051573206008435E-2</v>
      </c>
      <c r="W63" s="13">
        <v>0.32706988048374352</v>
      </c>
      <c r="X63" s="13">
        <v>0.1108154600452327</v>
      </c>
    </row>
    <row r="64" spans="1:24" x14ac:dyDescent="0.2">
      <c r="A64" t="s">
        <v>715</v>
      </c>
      <c r="B64" t="s">
        <v>200</v>
      </c>
      <c r="C64" t="s">
        <v>201</v>
      </c>
      <c r="D64" s="13">
        <v>0.14099039418995479</v>
      </c>
      <c r="E64" s="13">
        <v>0.10491907479712741</v>
      </c>
      <c r="F64" s="13">
        <v>9.4514752475816088E-2</v>
      </c>
      <c r="G64" s="13">
        <v>8.654683059508006E-2</v>
      </c>
      <c r="H64" s="13">
        <v>0.30801838122331843</v>
      </c>
      <c r="I64" s="13">
        <v>0.1195380494860343</v>
      </c>
      <c r="J64" s="13">
        <v>0.1078822660602663</v>
      </c>
      <c r="K64" s="13">
        <v>9.9111048322431117E-2</v>
      </c>
      <c r="L64" s="13">
        <v>0.1154814246488334</v>
      </c>
      <c r="M64" s="13">
        <v>0.3271924058698028</v>
      </c>
      <c r="N64" s="13">
        <v>0.111371312458175</v>
      </c>
      <c r="O64" s="13">
        <v>0.10910611112997511</v>
      </c>
      <c r="P64" s="13">
        <v>0.116156090658226</v>
      </c>
      <c r="Q64" s="13">
        <v>0.10101583338062441</v>
      </c>
      <c r="R64" s="13">
        <v>0.30839432854574689</v>
      </c>
      <c r="S64" s="13">
        <v>0.1043937292615205</v>
      </c>
      <c r="T64" s="13">
        <v>0.10333832782545289</v>
      </c>
      <c r="U64" s="13">
        <v>0.1052388859674291</v>
      </c>
      <c r="V64" s="13">
        <v>0.11031506326752979</v>
      </c>
      <c r="W64" s="13">
        <v>0.3189768375143176</v>
      </c>
      <c r="X64" s="13">
        <v>0.11055264607757739</v>
      </c>
    </row>
    <row r="65" spans="1:24" x14ac:dyDescent="0.2">
      <c r="A65" t="s">
        <v>715</v>
      </c>
      <c r="B65" t="s">
        <v>202</v>
      </c>
      <c r="C65" t="s">
        <v>203</v>
      </c>
      <c r="D65" s="13">
        <v>0.1385067508785198</v>
      </c>
      <c r="E65" s="13">
        <v>0.1067998424965966</v>
      </c>
      <c r="F65" s="13">
        <v>9.1357995891705457E-2</v>
      </c>
      <c r="G65" s="13">
        <v>9.4176278808788538E-2</v>
      </c>
      <c r="H65" s="13">
        <v>0.29675217376916591</v>
      </c>
      <c r="I65" s="13">
        <v>0.1178275153629782</v>
      </c>
      <c r="J65" s="13">
        <v>0.1069189684048233</v>
      </c>
      <c r="K65" s="13">
        <v>8.4410123834022244E-2</v>
      </c>
      <c r="L65" s="13">
        <v>0.1126279666820551</v>
      </c>
      <c r="M65" s="13">
        <v>0.31913086672017421</v>
      </c>
      <c r="N65" s="13">
        <v>0.1073162829570595</v>
      </c>
      <c r="O65" s="13">
        <v>0.11402871555465929</v>
      </c>
      <c r="P65" s="13">
        <v>0.1016896975133408</v>
      </c>
      <c r="Q65" s="13">
        <v>0.1097597196779265</v>
      </c>
      <c r="R65" s="13">
        <v>0.30153729381057198</v>
      </c>
      <c r="S65" s="13">
        <v>9.6199594597301541E-2</v>
      </c>
      <c r="T65" s="13">
        <v>9.8847444308236554E-2</v>
      </c>
      <c r="U65" s="13">
        <v>9.8302250128190494E-2</v>
      </c>
      <c r="V65" s="13">
        <v>0.1022323477667397</v>
      </c>
      <c r="W65" s="13">
        <v>0.33061808557186539</v>
      </c>
      <c r="X65" s="13">
        <v>0.1104743382529749</v>
      </c>
    </row>
    <row r="66" spans="1:24" x14ac:dyDescent="0.2">
      <c r="A66" t="s">
        <v>715</v>
      </c>
      <c r="B66" t="s">
        <v>204</v>
      </c>
      <c r="C66" t="s">
        <v>205</v>
      </c>
      <c r="D66" s="13">
        <v>0.12926619991013849</v>
      </c>
      <c r="E66" s="13">
        <v>0.109729235696765</v>
      </c>
      <c r="F66" s="13">
        <v>9.5604869115595292E-2</v>
      </c>
      <c r="G66" s="13">
        <v>9.8141987157918109E-2</v>
      </c>
      <c r="H66" s="13">
        <v>0.31719106952379228</v>
      </c>
      <c r="I66" s="13">
        <v>0.11319374969342989</v>
      </c>
      <c r="J66" s="13">
        <v>0.10876300863638109</v>
      </c>
      <c r="K66" s="13">
        <v>9.7560313517397468E-2</v>
      </c>
      <c r="L66" s="13">
        <v>0.1109632559795459</v>
      </c>
      <c r="M66" s="13">
        <v>0.33040700807629442</v>
      </c>
      <c r="N66" s="13">
        <v>0.1094934256899105</v>
      </c>
      <c r="O66" s="13">
        <v>0.1113964584017246</v>
      </c>
      <c r="P66" s="13">
        <v>0.10933360382703319</v>
      </c>
      <c r="Q66" s="13">
        <v>0.11127330256226479</v>
      </c>
      <c r="R66" s="13">
        <v>0.30687315217317052</v>
      </c>
      <c r="S66" s="13">
        <v>0.10745970971464119</v>
      </c>
      <c r="T66" s="13">
        <v>0.10900735368677419</v>
      </c>
      <c r="U66" s="13">
        <v>0.10736928043337809</v>
      </c>
      <c r="V66" s="13">
        <v>0.1065256038862428</v>
      </c>
      <c r="W66" s="13">
        <v>0.33354902837168238</v>
      </c>
      <c r="X66" s="13">
        <v>0.1097455543177972</v>
      </c>
    </row>
    <row r="67" spans="1:24" x14ac:dyDescent="0.2">
      <c r="A67" t="s">
        <v>715</v>
      </c>
      <c r="B67" t="s">
        <v>206</v>
      </c>
      <c r="C67" t="s">
        <v>207</v>
      </c>
      <c r="D67" s="13">
        <v>0.1287437454742246</v>
      </c>
      <c r="E67" s="13">
        <v>0.1103192564029243</v>
      </c>
      <c r="F67" s="13">
        <v>0.10380352043619651</v>
      </c>
      <c r="G67" s="13">
        <v>9.6186868428294048E-2</v>
      </c>
      <c r="H67" s="13">
        <v>0.31048018803203631</v>
      </c>
      <c r="I67" s="13">
        <v>0.12904591813773791</v>
      </c>
      <c r="J67" s="13">
        <v>0.10889776898606041</v>
      </c>
      <c r="K67" s="13">
        <v>9.3873832148472225E-2</v>
      </c>
      <c r="L67" s="13">
        <v>0.1150662768524935</v>
      </c>
      <c r="M67" s="13">
        <v>0.32056473024102422</v>
      </c>
      <c r="N67" s="13">
        <v>0.1090087035080511</v>
      </c>
      <c r="O67" s="13">
        <v>0.1188066002169252</v>
      </c>
      <c r="P67" s="13">
        <v>9.8038571454450718E-2</v>
      </c>
      <c r="Q67" s="13">
        <v>0.1062205127597471</v>
      </c>
      <c r="R67" s="13">
        <v>0.31517248836077089</v>
      </c>
      <c r="S67" s="13">
        <v>9.7610955131655075E-2</v>
      </c>
      <c r="T67" s="13">
        <v>9.9809508153847482E-2</v>
      </c>
      <c r="U67" s="13">
        <v>0.10169909575166169</v>
      </c>
      <c r="V67" s="13">
        <v>0.1046956291721024</v>
      </c>
      <c r="W67" s="13">
        <v>0.32727233460192462</v>
      </c>
      <c r="X67" s="13">
        <v>0.109436638734528</v>
      </c>
    </row>
    <row r="68" spans="1:24" x14ac:dyDescent="0.2">
      <c r="A68" t="s">
        <v>715</v>
      </c>
      <c r="B68" t="s">
        <v>208</v>
      </c>
      <c r="C68" t="s">
        <v>209</v>
      </c>
      <c r="D68" s="13">
        <v>0.14208335320806681</v>
      </c>
      <c r="E68" s="13">
        <v>0.104437406020419</v>
      </c>
      <c r="F68" s="13">
        <v>8.6591724195317354E-2</v>
      </c>
      <c r="G68" s="13">
        <v>6.6637256774626508E-2</v>
      </c>
      <c r="H68" s="13">
        <v>0.27730092921056659</v>
      </c>
      <c r="I68" s="13">
        <v>0.11484020446848039</v>
      </c>
      <c r="J68" s="13">
        <v>0.10984706864742839</v>
      </c>
      <c r="K68" s="13">
        <v>8.6236293446373402E-2</v>
      </c>
      <c r="L68" s="13">
        <v>0.1143117931130089</v>
      </c>
      <c r="M68" s="13">
        <v>0.31414656863955059</v>
      </c>
      <c r="N68" s="13">
        <v>0.1073401603586488</v>
      </c>
      <c r="O68" s="13">
        <v>0.114827653614058</v>
      </c>
      <c r="P68" s="13">
        <v>9.9661676555973244E-2</v>
      </c>
      <c r="Q68" s="13">
        <v>7.8601582956339122E-2</v>
      </c>
      <c r="R68" s="13">
        <v>0.29818236792846792</v>
      </c>
      <c r="S68" s="13">
        <v>8.5572023715774215E-2</v>
      </c>
      <c r="T68" s="13">
        <v>8.6833892142856861E-2</v>
      </c>
      <c r="U68" s="13">
        <v>8.4948336266177371E-2</v>
      </c>
      <c r="V68" s="13">
        <v>0.10554624773928541</v>
      </c>
      <c r="W68" s="13">
        <v>0.32510386673865188</v>
      </c>
      <c r="X68" s="13">
        <v>0.10887813979767461</v>
      </c>
    </row>
    <row r="69" spans="1:24" x14ac:dyDescent="0.2">
      <c r="A69" t="s">
        <v>715</v>
      </c>
      <c r="B69" t="s">
        <v>210</v>
      </c>
      <c r="C69" t="s">
        <v>211</v>
      </c>
      <c r="D69" s="13">
        <v>0.13605059732957339</v>
      </c>
      <c r="E69" s="13">
        <v>0.1066714575250982</v>
      </c>
      <c r="F69" s="13">
        <v>9.2256613593422188E-2</v>
      </c>
      <c r="G69" s="13">
        <v>9.525330374877683E-2</v>
      </c>
      <c r="H69" s="13">
        <v>0.30983841940421808</v>
      </c>
      <c r="I69" s="13">
        <v>0.11719076983176541</v>
      </c>
      <c r="J69" s="13">
        <v>0.107577826704941</v>
      </c>
      <c r="K69" s="13">
        <v>9.2985445272208977E-2</v>
      </c>
      <c r="L69" s="13">
        <v>0.10903123522376661</v>
      </c>
      <c r="M69" s="13">
        <v>0.3270152977589591</v>
      </c>
      <c r="N69" s="13">
        <v>0.10994214882897869</v>
      </c>
      <c r="O69" s="13">
        <v>0.1139708323190325</v>
      </c>
      <c r="P69" s="13">
        <v>0.1047227472175338</v>
      </c>
      <c r="Q69" s="13">
        <v>0.1076494602345601</v>
      </c>
      <c r="R69" s="13">
        <v>0.30247299939063499</v>
      </c>
      <c r="S69" s="13">
        <v>0.1052851495708884</v>
      </c>
      <c r="T69" s="13">
        <v>0.10654745068747749</v>
      </c>
      <c r="U69" s="13">
        <v>0.103965216914248</v>
      </c>
      <c r="V69" s="13">
        <v>0.10440530082975739</v>
      </c>
      <c r="W69" s="13">
        <v>0.32794514173088979</v>
      </c>
      <c r="X69" s="13">
        <v>0.1088667759881812</v>
      </c>
    </row>
    <row r="70" spans="1:24" x14ac:dyDescent="0.2">
      <c r="A70" t="s">
        <v>715</v>
      </c>
      <c r="B70" t="s">
        <v>212</v>
      </c>
      <c r="C70" t="s">
        <v>213</v>
      </c>
      <c r="D70" s="13">
        <v>0.12165694255508171</v>
      </c>
      <c r="E70" s="13">
        <v>0.1079223090806769</v>
      </c>
      <c r="F70" s="13">
        <v>0.1082490680421655</v>
      </c>
      <c r="G70" s="13">
        <v>0.1016401607160322</v>
      </c>
      <c r="H70" s="13">
        <v>0.31992330356718218</v>
      </c>
      <c r="I70" s="13">
        <v>0.11260779609010289</v>
      </c>
      <c r="J70" s="13">
        <v>0.11111140100159569</v>
      </c>
      <c r="K70" s="13">
        <v>9.935827584397483E-2</v>
      </c>
      <c r="L70" s="13">
        <v>0.1137743434299399</v>
      </c>
      <c r="M70" s="13">
        <v>0.32474656602448082</v>
      </c>
      <c r="N70" s="13">
        <v>0.1077688510434216</v>
      </c>
      <c r="O70" s="13">
        <v>0.1143689993497565</v>
      </c>
      <c r="P70" s="13">
        <v>0.10765917433173119</v>
      </c>
      <c r="Q70" s="13">
        <v>0.1012135125529445</v>
      </c>
      <c r="R70" s="13">
        <v>0.30551125265096962</v>
      </c>
      <c r="S70" s="13">
        <v>9.7876249425854489E-2</v>
      </c>
      <c r="T70" s="13">
        <v>9.9708522074215544E-2</v>
      </c>
      <c r="U70" s="13">
        <v>0.1027069434965666</v>
      </c>
      <c r="V70" s="13">
        <v>0.1463423159541177</v>
      </c>
      <c r="W70" s="13">
        <v>0.29585931448505848</v>
      </c>
      <c r="X70" s="13">
        <v>0.1088540189226217</v>
      </c>
    </row>
    <row r="71" spans="1:24" x14ac:dyDescent="0.2">
      <c r="A71" t="s">
        <v>715</v>
      </c>
      <c r="B71" t="s">
        <v>214</v>
      </c>
      <c r="C71" t="s">
        <v>215</v>
      </c>
      <c r="D71" s="13">
        <v>0.14579650638559821</v>
      </c>
      <c r="E71" s="13">
        <v>0.10136299141889631</v>
      </c>
      <c r="F71" s="13">
        <v>9.421379586740386E-2</v>
      </c>
      <c r="G71" s="13">
        <v>9.6934316846586377E-2</v>
      </c>
      <c r="H71" s="13">
        <v>0.2821695235274424</v>
      </c>
      <c r="I71" s="13">
        <v>0.13959195316453071</v>
      </c>
      <c r="J71" s="13">
        <v>0.1081844772615526</v>
      </c>
      <c r="K71" s="13">
        <v>8.1260889160961192E-2</v>
      </c>
      <c r="L71" s="13">
        <v>0.1139618948525767</v>
      </c>
      <c r="M71" s="13">
        <v>0.3145071060344673</v>
      </c>
      <c r="N71" s="13">
        <v>0.11019584274218901</v>
      </c>
      <c r="O71" s="13">
        <v>0.11111077684282659</v>
      </c>
      <c r="P71" s="13">
        <v>0.1078822130578638</v>
      </c>
      <c r="Q71" s="13">
        <v>0.1080661364755153</v>
      </c>
      <c r="R71" s="13">
        <v>0.32378180344931901</v>
      </c>
      <c r="S71" s="13">
        <v>0.10162324874249951</v>
      </c>
      <c r="T71" s="13">
        <v>0.1083212626178609</v>
      </c>
      <c r="U71" s="13">
        <v>0.11005992814454579</v>
      </c>
      <c r="V71" s="13">
        <v>0.100901492600558</v>
      </c>
      <c r="W71" s="13">
        <v>0.32409379406683758</v>
      </c>
      <c r="X71" s="13">
        <v>0.10828661241237821</v>
      </c>
    </row>
    <row r="72" spans="1:24" x14ac:dyDescent="0.2">
      <c r="A72" t="s">
        <v>715</v>
      </c>
      <c r="B72" t="s">
        <v>216</v>
      </c>
      <c r="C72" t="s">
        <v>217</v>
      </c>
      <c r="D72" s="13">
        <v>0.12782537652780149</v>
      </c>
      <c r="E72" s="13">
        <v>0.10620463210173629</v>
      </c>
      <c r="F72" s="13">
        <v>9.5525871179602539E-2</v>
      </c>
      <c r="G72" s="13">
        <v>9.9077747219111778E-2</v>
      </c>
      <c r="H72" s="13">
        <v>0.31028786705649131</v>
      </c>
      <c r="I72" s="13">
        <v>0.11197329570673541</v>
      </c>
      <c r="J72" s="13">
        <v>0.10812643359547899</v>
      </c>
      <c r="K72" s="13">
        <v>9.5428855305623728E-2</v>
      </c>
      <c r="L72" s="13">
        <v>0.1125132063946266</v>
      </c>
      <c r="M72" s="13">
        <v>0.31821743887054937</v>
      </c>
      <c r="N72" s="13">
        <v>0.108033533402474</v>
      </c>
      <c r="O72" s="13">
        <v>0.1112787339013543</v>
      </c>
      <c r="P72" s="13">
        <v>0.1037783289737249</v>
      </c>
      <c r="Q72" s="13">
        <v>0.10379363135788471</v>
      </c>
      <c r="R72" s="13">
        <v>0.31222696140231759</v>
      </c>
      <c r="S72" s="13">
        <v>0.1030386317127929</v>
      </c>
      <c r="T72" s="13">
        <v>0.10397338803429521</v>
      </c>
      <c r="U72" s="13">
        <v>0.1035335435483065</v>
      </c>
      <c r="V72" s="13">
        <v>0.102866930243195</v>
      </c>
      <c r="W72" s="13">
        <v>0.32500145655744989</v>
      </c>
      <c r="X72" s="13">
        <v>0.1081978011735707</v>
      </c>
    </row>
    <row r="73" spans="1:24" x14ac:dyDescent="0.2">
      <c r="A73" t="s">
        <v>715</v>
      </c>
      <c r="B73" t="s">
        <v>218</v>
      </c>
      <c r="C73" t="s">
        <v>219</v>
      </c>
      <c r="D73" s="13">
        <v>0.1123450366409262</v>
      </c>
      <c r="E73" s="13">
        <v>0.105567398561246</v>
      </c>
      <c r="F73" s="13">
        <v>0.11151041880852471</v>
      </c>
      <c r="G73" s="13">
        <v>0.1052435196977841</v>
      </c>
      <c r="H73" s="13">
        <v>0.31064921544543539</v>
      </c>
      <c r="I73" s="13">
        <v>0.10179602273945321</v>
      </c>
      <c r="J73" s="13">
        <v>0.1160713508661759</v>
      </c>
      <c r="K73" s="13">
        <v>0.10227381603222779</v>
      </c>
      <c r="L73" s="13">
        <v>0.1057373210078261</v>
      </c>
      <c r="M73" s="13">
        <v>0.32027140941672799</v>
      </c>
      <c r="N73" s="13">
        <v>9.8464698864009215E-2</v>
      </c>
      <c r="O73" s="13">
        <v>0.1210161071236726</v>
      </c>
      <c r="P73" s="13">
        <v>0.10691465865619861</v>
      </c>
      <c r="Q73" s="13">
        <v>0.1069128948455678</v>
      </c>
      <c r="R73" s="13">
        <v>0.32193092672496698</v>
      </c>
      <c r="S73" s="13">
        <v>9.3433515654317567E-2</v>
      </c>
      <c r="T73" s="13">
        <v>0.11429702576100099</v>
      </c>
      <c r="U73" s="13">
        <v>9.5753179841517877E-2</v>
      </c>
      <c r="V73" s="13">
        <v>0.10644978166913791</v>
      </c>
      <c r="W73" s="13">
        <v>0.30197137960896742</v>
      </c>
      <c r="X73" s="13">
        <v>0.10814677952117881</v>
      </c>
    </row>
    <row r="74" spans="1:24" x14ac:dyDescent="0.2">
      <c r="A74" t="s">
        <v>715</v>
      </c>
      <c r="B74" t="s">
        <v>220</v>
      </c>
      <c r="C74" t="s">
        <v>221</v>
      </c>
      <c r="D74" s="13">
        <v>0.13404768040750081</v>
      </c>
      <c r="E74" s="13">
        <v>0.1101733140944194</v>
      </c>
      <c r="F74" s="13">
        <v>9.3628787752741971E-2</v>
      </c>
      <c r="G74" s="13">
        <v>0.10281757695298489</v>
      </c>
      <c r="H74" s="13">
        <v>0.31156410914305882</v>
      </c>
      <c r="I74" s="13">
        <v>0.16187965157026249</v>
      </c>
      <c r="J74" s="13">
        <v>0.1130499824334219</v>
      </c>
      <c r="K74" s="13">
        <v>9.4523520247591364E-2</v>
      </c>
      <c r="L74" s="13">
        <v>0.113720127185668</v>
      </c>
      <c r="M74" s="13">
        <v>0.33282813038062459</v>
      </c>
      <c r="N74" s="13">
        <v>0.1111219985010736</v>
      </c>
      <c r="O74" s="13">
        <v>0.11017859778754691</v>
      </c>
      <c r="P74" s="13">
        <v>0.1133603795168137</v>
      </c>
      <c r="Q74" s="13">
        <v>0.12088639819505249</v>
      </c>
      <c r="R74" s="13">
        <v>0.31381969234387519</v>
      </c>
      <c r="S74" s="13">
        <v>0.1077745643093042</v>
      </c>
      <c r="T74" s="13">
        <v>0.1094961601526334</v>
      </c>
      <c r="U74" s="13">
        <v>0.1079079056504728</v>
      </c>
      <c r="V74" s="13">
        <v>0.10627229177231361</v>
      </c>
      <c r="W74" s="13">
        <v>0.33208525518961812</v>
      </c>
      <c r="X74" s="13">
        <v>0.10789453094437459</v>
      </c>
    </row>
    <row r="75" spans="1:24" x14ac:dyDescent="0.2">
      <c r="A75" t="s">
        <v>715</v>
      </c>
      <c r="B75" t="s">
        <v>222</v>
      </c>
      <c r="C75" t="s">
        <v>223</v>
      </c>
      <c r="D75" s="13">
        <v>0.12914850806788891</v>
      </c>
      <c r="E75" s="13">
        <v>0.1064105731700682</v>
      </c>
      <c r="F75" s="13">
        <v>0.1070855619598854</v>
      </c>
      <c r="G75" s="13">
        <v>5.6144899925181242E-2</v>
      </c>
      <c r="H75" s="13">
        <v>0.31328699564392443</v>
      </c>
      <c r="I75" s="13">
        <v>0.11799811830497391</v>
      </c>
      <c r="J75" s="13">
        <v>0.10320309857700941</v>
      </c>
      <c r="K75" s="13">
        <v>9.9737133003152678E-2</v>
      </c>
      <c r="L75" s="13">
        <v>0.11025942811551109</v>
      </c>
      <c r="M75" s="13">
        <v>0.32069927528364239</v>
      </c>
      <c r="N75" s="13">
        <v>0.1024187457064452</v>
      </c>
      <c r="O75" s="13">
        <v>0.1045521933957794</v>
      </c>
      <c r="P75" s="13">
        <v>0.11427716048446609</v>
      </c>
      <c r="Q75" s="13">
        <v>0.10907437062688261</v>
      </c>
      <c r="R75" s="13">
        <v>0.31191190388772938</v>
      </c>
      <c r="S75" s="13">
        <v>0.10780630749824829</v>
      </c>
      <c r="T75" s="13">
        <v>0.11237812367506091</v>
      </c>
      <c r="U75" s="13">
        <v>0.10719320974270639</v>
      </c>
      <c r="V75" s="13">
        <v>0.10170572180159269</v>
      </c>
      <c r="W75" s="13">
        <v>0.31895717742789209</v>
      </c>
      <c r="X75" s="13">
        <v>0.1077519482805656</v>
      </c>
    </row>
    <row r="76" spans="1:24" x14ac:dyDescent="0.2">
      <c r="A76" t="s">
        <v>715</v>
      </c>
      <c r="B76" t="s">
        <v>224</v>
      </c>
      <c r="C76" t="s">
        <v>225</v>
      </c>
      <c r="D76" s="13">
        <v>0.13425139199623179</v>
      </c>
      <c r="E76" s="13">
        <v>0.1055524195631152</v>
      </c>
      <c r="F76" s="13">
        <v>0.1042903977696463</v>
      </c>
      <c r="G76" s="13">
        <v>8.2045784479456429E-2</v>
      </c>
      <c r="H76" s="13">
        <v>0.31074499611449807</v>
      </c>
      <c r="I76" s="13">
        <v>0.1137021025445772</v>
      </c>
      <c r="J76" s="13">
        <v>0.1068452933028485</v>
      </c>
      <c r="K76" s="13">
        <v>0.10454497972423039</v>
      </c>
      <c r="L76" s="13">
        <v>0.1126738916202852</v>
      </c>
      <c r="M76" s="13">
        <v>0.32002057794724431</v>
      </c>
      <c r="N76" s="13">
        <v>0.1088829287642756</v>
      </c>
      <c r="O76" s="13">
        <v>0.1107852833779344</v>
      </c>
      <c r="P76" s="13">
        <v>0.1062869028894298</v>
      </c>
      <c r="Q76" s="13">
        <v>8.6260866265641667E-2</v>
      </c>
      <c r="R76" s="13">
        <v>0.29595775032751348</v>
      </c>
      <c r="S76" s="13">
        <v>0.1022929747785284</v>
      </c>
      <c r="T76" s="13">
        <v>9.845343933878592E-2</v>
      </c>
      <c r="U76" s="13">
        <v>0.10275111114144141</v>
      </c>
      <c r="V76" s="13">
        <v>0.10803076513514751</v>
      </c>
      <c r="W76" s="13">
        <v>0.31743886949586742</v>
      </c>
      <c r="X76" s="13">
        <v>0.1076859714961742</v>
      </c>
    </row>
    <row r="77" spans="1:24" x14ac:dyDescent="0.2">
      <c r="A77" t="s">
        <v>715</v>
      </c>
      <c r="B77" t="s">
        <v>226</v>
      </c>
      <c r="C77" t="s">
        <v>227</v>
      </c>
      <c r="D77" s="13">
        <v>0.1345171639749454</v>
      </c>
      <c r="E77" s="13">
        <v>0.1030501810627138</v>
      </c>
      <c r="F77" s="13">
        <v>9.6253920818112348E-2</v>
      </c>
      <c r="G77" s="13">
        <v>8.6924275747968238E-2</v>
      </c>
      <c r="H77" s="13">
        <v>0.31039574188804758</v>
      </c>
      <c r="I77" s="13">
        <v>0.116423584830927</v>
      </c>
      <c r="J77" s="13">
        <v>0.1104623248179504</v>
      </c>
      <c r="K77" s="13">
        <v>9.4847191227120931E-2</v>
      </c>
      <c r="L77" s="13">
        <v>0.1122958947021635</v>
      </c>
      <c r="M77" s="13">
        <v>0.3209909566956215</v>
      </c>
      <c r="N77" s="13">
        <v>0.10720443011760231</v>
      </c>
      <c r="O77" s="13">
        <v>0.1128308136763234</v>
      </c>
      <c r="P77" s="13">
        <v>0.10412788763334289</v>
      </c>
      <c r="Q77" s="13">
        <v>0.1012630489939603</v>
      </c>
      <c r="R77" s="13">
        <v>0.3064741909307056</v>
      </c>
      <c r="S77" s="13">
        <v>0.1028111374756335</v>
      </c>
      <c r="T77" s="13">
        <v>0.1050989971355332</v>
      </c>
      <c r="U77" s="13">
        <v>0.10887672106691949</v>
      </c>
      <c r="V77" s="13">
        <v>0.10222571417883849</v>
      </c>
      <c r="W77" s="13">
        <v>0.31942679859702228</v>
      </c>
      <c r="X77" s="13">
        <v>0.10750675264281639</v>
      </c>
    </row>
    <row r="78" spans="1:24" x14ac:dyDescent="0.2">
      <c r="A78" t="s">
        <v>715</v>
      </c>
      <c r="B78" t="s">
        <v>229</v>
      </c>
      <c r="C78" t="s">
        <v>230</v>
      </c>
      <c r="D78" s="13">
        <v>0.1368120504420256</v>
      </c>
      <c r="E78" s="13">
        <v>0.1041823739873049</v>
      </c>
      <c r="F78" s="13">
        <v>8.5358895355480691E-2</v>
      </c>
      <c r="G78" s="13">
        <v>9.1671151407890505E-2</v>
      </c>
      <c r="H78" s="13">
        <v>0.30984721798208442</v>
      </c>
      <c r="I78" s="13">
        <v>0.1194678004751371</v>
      </c>
      <c r="J78" s="13">
        <v>0.1038991678992351</v>
      </c>
      <c r="K78" s="13">
        <v>9.7899245359989173E-2</v>
      </c>
      <c r="L78" s="13">
        <v>0.1104817274995451</v>
      </c>
      <c r="M78" s="13">
        <v>0.32519957484338219</v>
      </c>
      <c r="N78" s="13">
        <v>0.10864958929552861</v>
      </c>
      <c r="O78" s="13">
        <v>0.1022269257616282</v>
      </c>
      <c r="P78" s="13">
        <v>0.1111201086907654</v>
      </c>
      <c r="Q78" s="13">
        <v>0.1078511115405245</v>
      </c>
      <c r="R78" s="13">
        <v>0.30794230795128108</v>
      </c>
      <c r="S78" s="13">
        <v>0.10695665794009381</v>
      </c>
      <c r="T78" s="13">
        <v>0.1104186969699716</v>
      </c>
      <c r="U78" s="13">
        <v>0.1076176314297017</v>
      </c>
      <c r="V78" s="13">
        <v>0.1003648821047198</v>
      </c>
      <c r="W78" s="13">
        <v>0.31950874972705989</v>
      </c>
      <c r="X78" s="13">
        <v>0.10749631314299619</v>
      </c>
    </row>
    <row r="79" spans="1:24" x14ac:dyDescent="0.2">
      <c r="A79" t="s">
        <v>715</v>
      </c>
      <c r="B79" t="s">
        <v>231</v>
      </c>
      <c r="C79" t="s">
        <v>232</v>
      </c>
      <c r="D79" s="13">
        <v>0.1321784564666473</v>
      </c>
      <c r="E79" s="13">
        <v>0.1063796744937173</v>
      </c>
      <c r="F79" s="13">
        <v>9.2304589632385969E-2</v>
      </c>
      <c r="G79" s="13">
        <v>9.5319280843164655E-2</v>
      </c>
      <c r="H79" s="13">
        <v>0.31278307255173671</v>
      </c>
      <c r="I79" s="13">
        <v>0.1242600353485335</v>
      </c>
      <c r="J79" s="13">
        <v>0.1063764183522498</v>
      </c>
      <c r="K79" s="13">
        <v>9.7023085334102532E-2</v>
      </c>
      <c r="L79" s="13">
        <v>0.1084682134285142</v>
      </c>
      <c r="M79" s="13">
        <v>0.3265889513036635</v>
      </c>
      <c r="N79" s="13">
        <v>0.1072320348044498</v>
      </c>
      <c r="O79" s="13">
        <v>0.11170790677743619</v>
      </c>
      <c r="P79" s="13">
        <v>0.1062333771514101</v>
      </c>
      <c r="Q79" s="13">
        <v>0.1068840994632891</v>
      </c>
      <c r="R79" s="13">
        <v>0.30505708380681451</v>
      </c>
      <c r="S79" s="13">
        <v>0.10492461394584481</v>
      </c>
      <c r="T79" s="13">
        <v>0.10557416395136079</v>
      </c>
      <c r="U79" s="13">
        <v>0.10470409711684781</v>
      </c>
      <c r="V79" s="13">
        <v>0.1053525140596312</v>
      </c>
      <c r="W79" s="13">
        <v>0.32632479538450282</v>
      </c>
      <c r="X79" s="13">
        <v>0.10716334108129549</v>
      </c>
    </row>
    <row r="80" spans="1:24" x14ac:dyDescent="0.2">
      <c r="A80" t="s">
        <v>715</v>
      </c>
      <c r="B80" t="s">
        <v>233</v>
      </c>
      <c r="C80" t="s">
        <v>234</v>
      </c>
      <c r="D80" s="13">
        <v>0.14275261535257039</v>
      </c>
      <c r="E80" s="13">
        <v>0.1049083107331983</v>
      </c>
      <c r="F80" s="13">
        <v>0.10220076573923539</v>
      </c>
      <c r="G80" s="13">
        <v>0.10273452505382701</v>
      </c>
      <c r="H80" s="13">
        <v>0.30988460495662279</v>
      </c>
      <c r="I80" s="13">
        <v>0.1100225128853882</v>
      </c>
      <c r="J80" s="13">
        <v>0.1101555084313421</v>
      </c>
      <c r="K80" s="13">
        <v>9.8959007045085201E-2</v>
      </c>
      <c r="L80" s="13">
        <v>0.1126282587552874</v>
      </c>
      <c r="M80" s="13">
        <v>0.32754950785316428</v>
      </c>
      <c r="N80" s="13">
        <v>0.10776156565823761</v>
      </c>
      <c r="O80" s="13">
        <v>0.1120555472956086</v>
      </c>
      <c r="P80" s="13">
        <v>0.1126013685009752</v>
      </c>
      <c r="Q80" s="13">
        <v>0.1126004373271927</v>
      </c>
      <c r="R80" s="13">
        <v>0.3028881109719217</v>
      </c>
      <c r="S80" s="13">
        <v>9.9948377393377363E-2</v>
      </c>
      <c r="T80" s="13">
        <v>9.9848580357475569E-2</v>
      </c>
      <c r="U80" s="13">
        <v>0.1022479130805332</v>
      </c>
      <c r="V80" s="13">
        <v>0.1118793483787295</v>
      </c>
      <c r="W80" s="13">
        <v>0.32429116633854171</v>
      </c>
      <c r="X80" s="13">
        <v>0.1070434064327275</v>
      </c>
    </row>
    <row r="81" spans="1:24" x14ac:dyDescent="0.2">
      <c r="A81" t="s">
        <v>715</v>
      </c>
      <c r="B81" t="s">
        <v>236</v>
      </c>
      <c r="C81" t="s">
        <v>237</v>
      </c>
      <c r="D81" s="13">
        <v>0.13173609255172641</v>
      </c>
      <c r="E81" s="13">
        <v>0.1052724449541964</v>
      </c>
      <c r="F81" s="13">
        <v>0.1104231555625779</v>
      </c>
      <c r="G81" s="13">
        <v>5.5594190351659911E-2</v>
      </c>
      <c r="H81" s="13">
        <v>0.3094656415123298</v>
      </c>
      <c r="I81" s="13">
        <v>0.1183844041914739</v>
      </c>
      <c r="J81" s="13">
        <v>0.1043852393533662</v>
      </c>
      <c r="K81" s="13">
        <v>9.7530391166533725E-2</v>
      </c>
      <c r="L81" s="13">
        <v>0.1104737287922708</v>
      </c>
      <c r="M81" s="13">
        <v>0.3195054760110283</v>
      </c>
      <c r="N81" s="13">
        <v>0.101820510374484</v>
      </c>
      <c r="O81" s="13">
        <v>0.10754436067956789</v>
      </c>
      <c r="P81" s="13">
        <v>0.1109083918130027</v>
      </c>
      <c r="Q81" s="13">
        <v>0.10750654974582829</v>
      </c>
      <c r="R81" s="13">
        <v>0.31044717976087538</v>
      </c>
      <c r="S81" s="13">
        <v>0.10435941085040761</v>
      </c>
      <c r="T81" s="13">
        <v>0.1083823670761319</v>
      </c>
      <c r="U81" s="13">
        <v>0.1055062671635021</v>
      </c>
      <c r="V81" s="13">
        <v>0.1041581902514466</v>
      </c>
      <c r="W81" s="13">
        <v>0.31895603353437879</v>
      </c>
      <c r="X81" s="13">
        <v>0.1069818225977404</v>
      </c>
    </row>
    <row r="82" spans="1:24" x14ac:dyDescent="0.2">
      <c r="A82" t="s">
        <v>715</v>
      </c>
      <c r="B82" t="s">
        <v>238</v>
      </c>
      <c r="C82" t="s">
        <v>239</v>
      </c>
      <c r="D82" s="13">
        <v>0.14724216858348349</v>
      </c>
      <c r="E82" s="13">
        <v>9.7081845291602242E-2</v>
      </c>
      <c r="F82" s="13">
        <v>8.4951824134127385E-2</v>
      </c>
      <c r="G82" s="13">
        <v>7.3414216171086011E-2</v>
      </c>
      <c r="H82" s="13">
        <v>0.29867146733313371</v>
      </c>
      <c r="I82" s="13">
        <v>0.12509463191781031</v>
      </c>
      <c r="J82" s="13">
        <v>0.11063827415438431</v>
      </c>
      <c r="K82" s="13">
        <v>8.0903558782252638E-2</v>
      </c>
      <c r="L82" s="13">
        <v>0.11864955424274461</v>
      </c>
      <c r="M82" s="13">
        <v>0.31670104438936703</v>
      </c>
      <c r="N82" s="13">
        <v>0.1097398818617146</v>
      </c>
      <c r="O82" s="13">
        <v>0.1223970103246375</v>
      </c>
      <c r="P82" s="13">
        <v>9.5929398725580484E-2</v>
      </c>
      <c r="Q82" s="13">
        <v>9.5268130964187847E-2</v>
      </c>
      <c r="R82" s="13">
        <v>0.2903239928890855</v>
      </c>
      <c r="S82" s="13">
        <v>9.9903104472209847E-2</v>
      </c>
      <c r="T82" s="13">
        <v>0.1048339148187472</v>
      </c>
      <c r="U82" s="13">
        <v>0.1027689121296582</v>
      </c>
      <c r="V82" s="13">
        <v>0.1017896020405251</v>
      </c>
      <c r="W82" s="13">
        <v>0.31498556266249528</v>
      </c>
      <c r="X82" s="13">
        <v>0.10696322215744131</v>
      </c>
    </row>
    <row r="83" spans="1:24" x14ac:dyDescent="0.2">
      <c r="A83" t="s">
        <v>715</v>
      </c>
      <c r="B83" t="s">
        <v>240</v>
      </c>
      <c r="C83" t="s">
        <v>241</v>
      </c>
      <c r="D83" s="13">
        <v>0.13015116813035471</v>
      </c>
      <c r="E83" s="13">
        <v>0.1058489437643528</v>
      </c>
      <c r="F83" s="13">
        <v>0.1072828851414354</v>
      </c>
      <c r="G83" s="13">
        <v>0.1004684329799277</v>
      </c>
      <c r="H83" s="13">
        <v>0.30643483890790968</v>
      </c>
      <c r="I83" s="13">
        <v>0.11068461438905609</v>
      </c>
      <c r="J83" s="13">
        <v>0.10903387400427179</v>
      </c>
      <c r="K83" s="13">
        <v>9.165710970593377E-2</v>
      </c>
      <c r="L83" s="13">
        <v>0.1120153725314932</v>
      </c>
      <c r="M83" s="13">
        <v>0.32065405920049811</v>
      </c>
      <c r="N83" s="13">
        <v>0.1063499491853248</v>
      </c>
      <c r="O83" s="13">
        <v>0.1128450071871123</v>
      </c>
      <c r="P83" s="13">
        <v>0.10550012142747089</v>
      </c>
      <c r="Q83" s="13">
        <v>0.11323887448735361</v>
      </c>
      <c r="R83" s="13">
        <v>0.29677552410973812</v>
      </c>
      <c r="S83" s="13">
        <v>9.4591417841582981E-2</v>
      </c>
      <c r="T83" s="13">
        <v>9.6489581990022444E-2</v>
      </c>
      <c r="U83" s="13">
        <v>9.9677527569164148E-2</v>
      </c>
      <c r="V83" s="13">
        <v>0.12517990494851361</v>
      </c>
      <c r="W83" s="13">
        <v>0.30675812812688269</v>
      </c>
      <c r="X83" s="13">
        <v>0.1068572331043738</v>
      </c>
    </row>
    <row r="84" spans="1:24" x14ac:dyDescent="0.2">
      <c r="A84" t="s">
        <v>715</v>
      </c>
      <c r="B84" t="s">
        <v>242</v>
      </c>
      <c r="C84" t="s">
        <v>243</v>
      </c>
      <c r="D84" s="13">
        <v>0.13157816486371041</v>
      </c>
      <c r="E84" s="13">
        <v>0.1169036663306144</v>
      </c>
      <c r="F84" s="13">
        <v>8.9478645995288986E-2</v>
      </c>
      <c r="G84" s="13">
        <v>0.1161688577568709</v>
      </c>
      <c r="H84" s="13">
        <v>0.3139629135008315</v>
      </c>
      <c r="I84" s="13">
        <v>0.12516260072639171</v>
      </c>
      <c r="J84" s="13">
        <v>0.1122844933444833</v>
      </c>
      <c r="K84" s="13">
        <v>9.8273660990688683E-2</v>
      </c>
      <c r="L84" s="13">
        <v>0.111117156302698</v>
      </c>
      <c r="M84" s="13">
        <v>0.31976209034612069</v>
      </c>
      <c r="N84" s="13">
        <v>0.10746773893637319</v>
      </c>
      <c r="O84" s="13">
        <v>0.1135926528467168</v>
      </c>
      <c r="P84" s="13">
        <v>0.1039678717362769</v>
      </c>
      <c r="Q84" s="13">
        <v>0.1028869644405184</v>
      </c>
      <c r="R84" s="13">
        <v>0.30406717177682291</v>
      </c>
      <c r="S84" s="13">
        <v>0.10387466049361919</v>
      </c>
      <c r="T84" s="13">
        <v>0.1005241582251237</v>
      </c>
      <c r="U84" s="13">
        <v>0.1036626669831842</v>
      </c>
      <c r="V84" s="13">
        <v>0.1114765278635854</v>
      </c>
      <c r="W84" s="13">
        <v>0.33043871782636458</v>
      </c>
      <c r="X84" s="13">
        <v>0.106321181333624</v>
      </c>
    </row>
    <row r="85" spans="1:24" x14ac:dyDescent="0.2">
      <c r="A85" t="s">
        <v>715</v>
      </c>
      <c r="B85" t="s">
        <v>244</v>
      </c>
      <c r="C85" t="s">
        <v>245</v>
      </c>
      <c r="D85" s="13">
        <v>0.13092734249693369</v>
      </c>
      <c r="E85" s="13">
        <v>0.10394961285971061</v>
      </c>
      <c r="F85" s="13">
        <v>9.2636939013690522E-2</v>
      </c>
      <c r="G85" s="13">
        <v>7.1805131732216587E-2</v>
      </c>
      <c r="H85" s="13">
        <v>0.3047514537667162</v>
      </c>
      <c r="I85" s="13">
        <v>0.1173117220351738</v>
      </c>
      <c r="J85" s="13">
        <v>0.1029626079098067</v>
      </c>
      <c r="K85" s="13">
        <v>9.7564943508188229E-2</v>
      </c>
      <c r="L85" s="13">
        <v>0.10949309184535851</v>
      </c>
      <c r="M85" s="13">
        <v>0.31852400163072669</v>
      </c>
      <c r="N85" s="13">
        <v>0.1051005817681139</v>
      </c>
      <c r="O85" s="13">
        <v>0.103307507958772</v>
      </c>
      <c r="P85" s="13">
        <v>0.1109754810826091</v>
      </c>
      <c r="Q85" s="13">
        <v>0.1038361038702806</v>
      </c>
      <c r="R85" s="13">
        <v>0.30231900211066248</v>
      </c>
      <c r="S85" s="13">
        <v>0.1054912330290092</v>
      </c>
      <c r="T85" s="13">
        <v>0.1045149503960507</v>
      </c>
      <c r="U85" s="13">
        <v>0.1056425488254131</v>
      </c>
      <c r="V85" s="13">
        <v>0.10265835576055431</v>
      </c>
      <c r="W85" s="13">
        <v>0.31585217487759548</v>
      </c>
      <c r="X85" s="13">
        <v>0.1061581195694217</v>
      </c>
    </row>
    <row r="86" spans="1:24" x14ac:dyDescent="0.2">
      <c r="A86" t="s">
        <v>715</v>
      </c>
      <c r="B86" t="s">
        <v>246</v>
      </c>
      <c r="C86" t="s">
        <v>247</v>
      </c>
      <c r="D86" s="13">
        <v>0.12539439251950671</v>
      </c>
      <c r="E86" s="13">
        <v>0.1064929456147778</v>
      </c>
      <c r="F86" s="13">
        <v>9.2010517251384094E-2</v>
      </c>
      <c r="G86" s="13">
        <v>0.10532252195702969</v>
      </c>
      <c r="H86" s="13">
        <v>0.30091781302024062</v>
      </c>
      <c r="I86" s="13">
        <v>0.1078989394373675</v>
      </c>
      <c r="J86" s="13">
        <v>0.10665777681424519</v>
      </c>
      <c r="K86" s="13">
        <v>9.5477713751401794E-2</v>
      </c>
      <c r="L86" s="13">
        <v>0.1067826909306069</v>
      </c>
      <c r="M86" s="13">
        <v>0.32982709393989401</v>
      </c>
      <c r="N86" s="13">
        <v>0.10645360140357769</v>
      </c>
      <c r="O86" s="13">
        <v>0.1045810279661996</v>
      </c>
      <c r="P86" s="13">
        <v>0.1198839758352888</v>
      </c>
      <c r="Q86" s="13">
        <v>0.12574939041083419</v>
      </c>
      <c r="R86" s="13">
        <v>0.2910687445506932</v>
      </c>
      <c r="S86" s="13">
        <v>0.1060983345990474</v>
      </c>
      <c r="T86" s="13">
        <v>0.1067582793077282</v>
      </c>
      <c r="U86" s="13">
        <v>0.1025182040259809</v>
      </c>
      <c r="V86" s="13">
        <v>0.1049601372658637</v>
      </c>
      <c r="W86" s="13">
        <v>0.31769710108926491</v>
      </c>
      <c r="X86" s="13">
        <v>0.1060531026372491</v>
      </c>
    </row>
    <row r="87" spans="1:24" x14ac:dyDescent="0.2">
      <c r="A87" t="s">
        <v>715</v>
      </c>
      <c r="B87" t="s">
        <v>249</v>
      </c>
      <c r="C87" t="s">
        <v>250</v>
      </c>
      <c r="D87" s="13">
        <v>0.15036183902070729</v>
      </c>
      <c r="E87" s="13">
        <v>0.11974749540475391</v>
      </c>
      <c r="F87" s="13">
        <v>0.10565864382865441</v>
      </c>
      <c r="G87" s="13">
        <v>9.4675551855205597E-2</v>
      </c>
      <c r="H87" s="13">
        <v>0.31050188435182152</v>
      </c>
      <c r="I87" s="13">
        <v>0.1183426157472356</v>
      </c>
      <c r="J87" s="13">
        <v>0.1190722688783286</v>
      </c>
      <c r="K87" s="13">
        <v>8.72302890487342E-2</v>
      </c>
      <c r="L87" s="13">
        <v>0.1220810507539305</v>
      </c>
      <c r="M87" s="13">
        <v>0.32663311138894091</v>
      </c>
      <c r="N87" s="13">
        <v>0.1150562215126438</v>
      </c>
      <c r="O87" s="13">
        <v>0.1327746945022579</v>
      </c>
      <c r="P87" s="13">
        <v>8.5311227097517595E-2</v>
      </c>
      <c r="Q87" s="13">
        <v>0.103749902465422</v>
      </c>
      <c r="R87" s="13">
        <v>0.28754307904934612</v>
      </c>
      <c r="S87" s="13">
        <v>9.1177492184790765E-2</v>
      </c>
      <c r="T87" s="13">
        <v>9.553937170010407E-2</v>
      </c>
      <c r="U87" s="13">
        <v>0.1020289693789866</v>
      </c>
      <c r="V87" s="13">
        <v>0.1127748820941354</v>
      </c>
      <c r="W87" s="13">
        <v>0.34445681850456822</v>
      </c>
      <c r="X87" s="13">
        <v>0.1059298362476868</v>
      </c>
    </row>
    <row r="88" spans="1:24" x14ac:dyDescent="0.2">
      <c r="A88" t="s">
        <v>715</v>
      </c>
      <c r="B88" t="s">
        <v>251</v>
      </c>
      <c r="C88" t="s">
        <v>252</v>
      </c>
      <c r="D88" s="13">
        <v>0.13617213474688139</v>
      </c>
      <c r="E88" s="13">
        <v>0.1027775539226727</v>
      </c>
      <c r="F88" s="13">
        <v>8.422595023998003E-2</v>
      </c>
      <c r="G88" s="13">
        <v>9.2422908259370828E-2</v>
      </c>
      <c r="H88" s="13">
        <v>0.30864616474146622</v>
      </c>
      <c r="I88" s="13">
        <v>0.1108009425204726</v>
      </c>
      <c r="J88" s="13">
        <v>0.1049868285704303</v>
      </c>
      <c r="K88" s="13">
        <v>9.9262800446719979E-2</v>
      </c>
      <c r="L88" s="13">
        <v>0.1083745445397355</v>
      </c>
      <c r="M88" s="13">
        <v>0.31748849755861558</v>
      </c>
      <c r="N88" s="13">
        <v>0.1146267504026577</v>
      </c>
      <c r="O88" s="13">
        <v>0.10198170059696481</v>
      </c>
      <c r="P88" s="13">
        <v>0.1090926102814249</v>
      </c>
      <c r="Q88" s="13">
        <v>0.10329493205321059</v>
      </c>
      <c r="R88" s="13">
        <v>0.29140966591882922</v>
      </c>
      <c r="S88" s="13">
        <v>0.1055242664469658</v>
      </c>
      <c r="T88" s="13">
        <v>0.1077399332940043</v>
      </c>
      <c r="U88" s="13">
        <v>0.1059580947729621</v>
      </c>
      <c r="V88" s="13">
        <v>0.1034456922547555</v>
      </c>
      <c r="W88" s="13">
        <v>0.31591692584320707</v>
      </c>
      <c r="X88" s="13">
        <v>0.1057018647097951</v>
      </c>
    </row>
    <row r="89" spans="1:24" x14ac:dyDescent="0.2">
      <c r="A89" t="s">
        <v>715</v>
      </c>
      <c r="B89" t="s">
        <v>254</v>
      </c>
      <c r="C89" t="s">
        <v>255</v>
      </c>
      <c r="D89" s="13">
        <v>0.14205744914967949</v>
      </c>
      <c r="E89" s="13">
        <v>0.10417038279049159</v>
      </c>
      <c r="F89" s="13">
        <v>0.1076905432540798</v>
      </c>
      <c r="G89" s="13">
        <v>8.7639072009682017E-2</v>
      </c>
      <c r="H89" s="13">
        <v>0.32035052525543062</v>
      </c>
      <c r="I89" s="13">
        <v>0.120674487874739</v>
      </c>
      <c r="J89" s="13">
        <v>0.1095191758354819</v>
      </c>
      <c r="K89" s="13">
        <v>9.2613216977976975E-2</v>
      </c>
      <c r="L89" s="13">
        <v>0.1133462172199229</v>
      </c>
      <c r="M89" s="13">
        <v>0.32504145653144972</v>
      </c>
      <c r="N89" s="13">
        <v>0.1073066167153414</v>
      </c>
      <c r="O89" s="13">
        <v>0.10846971219740099</v>
      </c>
      <c r="P89" s="13">
        <v>0.1021600216193574</v>
      </c>
      <c r="Q89" s="13">
        <v>0.1081778316860182</v>
      </c>
      <c r="R89" s="13">
        <v>0.30651593203350203</v>
      </c>
      <c r="S89" s="13">
        <v>9.7336580708584641E-2</v>
      </c>
      <c r="T89" s="13">
        <v>0.1007314716375385</v>
      </c>
      <c r="U89" s="13">
        <v>0.1034611854703771</v>
      </c>
      <c r="V89" s="13">
        <v>0.10962262506297731</v>
      </c>
      <c r="W89" s="13">
        <v>0.32435450081134132</v>
      </c>
      <c r="X89" s="13">
        <v>0.10568118870639689</v>
      </c>
    </row>
    <row r="90" spans="1:24" x14ac:dyDescent="0.2">
      <c r="A90" t="s">
        <v>715</v>
      </c>
      <c r="B90" t="s">
        <v>256</v>
      </c>
      <c r="C90" t="s">
        <v>257</v>
      </c>
      <c r="D90" s="13">
        <v>0.1221384701284078</v>
      </c>
      <c r="E90" s="13">
        <v>0.1075499036532257</v>
      </c>
      <c r="F90" s="13">
        <v>8.5549581453636669E-2</v>
      </c>
      <c r="G90" s="13">
        <v>0.1038638340166598</v>
      </c>
      <c r="H90" s="13">
        <v>0.29885719391959942</v>
      </c>
      <c r="I90" s="13">
        <v>0.11829574927242351</v>
      </c>
      <c r="J90" s="13">
        <v>0.1122234581633741</v>
      </c>
      <c r="K90" s="13">
        <v>8.5925077283199869E-2</v>
      </c>
      <c r="L90" s="13">
        <v>0.10756083601413111</v>
      </c>
      <c r="M90" s="13">
        <v>0.32184293276291692</v>
      </c>
      <c r="N90" s="13">
        <v>0.108083145416038</v>
      </c>
      <c r="O90" s="13">
        <v>0.1104202348761074</v>
      </c>
      <c r="P90" s="13">
        <v>0.1029452135377751</v>
      </c>
      <c r="Q90" s="13">
        <v>0.11165414638445451</v>
      </c>
      <c r="R90" s="13">
        <v>0.30279313212346892</v>
      </c>
      <c r="S90" s="13">
        <v>0.1024145448161207</v>
      </c>
      <c r="T90" s="13">
        <v>0.1032841434480236</v>
      </c>
      <c r="U90" s="13">
        <v>0.1031775773710164</v>
      </c>
      <c r="V90" s="13">
        <v>0.1050159711789567</v>
      </c>
      <c r="W90" s="13">
        <v>0.32637361036236268</v>
      </c>
      <c r="X90" s="13">
        <v>0.1055327224053659</v>
      </c>
    </row>
    <row r="91" spans="1:24" x14ac:dyDescent="0.2">
      <c r="A91" t="s">
        <v>715</v>
      </c>
      <c r="B91" t="s">
        <v>258</v>
      </c>
      <c r="C91" t="s">
        <v>259</v>
      </c>
      <c r="D91" s="13">
        <v>0.14376243272227199</v>
      </c>
      <c r="E91" s="13">
        <v>9.8707815485266082E-2</v>
      </c>
      <c r="F91" s="13">
        <v>8.9049513119632273E-2</v>
      </c>
      <c r="G91" s="13">
        <v>0.10312873320292849</v>
      </c>
      <c r="H91" s="13">
        <v>0.29845720423764538</v>
      </c>
      <c r="I91" s="13">
        <v>0.11927632373451851</v>
      </c>
      <c r="J91" s="13">
        <v>0.1074296776883754</v>
      </c>
      <c r="K91" s="13">
        <v>9.1468177025699759E-2</v>
      </c>
      <c r="L91" s="13">
        <v>0.1101742072725065</v>
      </c>
      <c r="M91" s="13">
        <v>0.31778694223960618</v>
      </c>
      <c r="N91" s="13">
        <v>0.1087132242012068</v>
      </c>
      <c r="O91" s="13">
        <v>0.1139189172276511</v>
      </c>
      <c r="P91" s="13">
        <v>9.9543471436280839E-2</v>
      </c>
      <c r="Q91" s="13">
        <v>0.1085874083901484</v>
      </c>
      <c r="R91" s="13">
        <v>0.30379128846758091</v>
      </c>
      <c r="S91" s="13">
        <v>9.9072878711270462E-2</v>
      </c>
      <c r="T91" s="13">
        <v>9.9308632034245115E-2</v>
      </c>
      <c r="U91" s="13">
        <v>0.10144256684245791</v>
      </c>
      <c r="V91" s="13">
        <v>0.10961277678729341</v>
      </c>
      <c r="W91" s="13">
        <v>0.31917901784117569</v>
      </c>
      <c r="X91" s="13">
        <v>0.10545863865198959</v>
      </c>
    </row>
    <row r="92" spans="1:24" x14ac:dyDescent="0.2">
      <c r="A92" t="s">
        <v>715</v>
      </c>
      <c r="B92" t="s">
        <v>260</v>
      </c>
      <c r="C92" t="s">
        <v>261</v>
      </c>
      <c r="D92" s="13">
        <v>0.1441579902238255</v>
      </c>
      <c r="E92" s="13">
        <v>0.101832700124338</v>
      </c>
      <c r="F92" s="13">
        <v>6.3400576368866091E-2</v>
      </c>
      <c r="G92" s="13">
        <v>0.1056966764587219</v>
      </c>
      <c r="H92" s="13">
        <v>0.29805487547003301</v>
      </c>
      <c r="I92" s="13">
        <v>0.1244897783565513</v>
      </c>
      <c r="J92" s="13">
        <v>0.1131620337079475</v>
      </c>
      <c r="K92" s="13">
        <v>8.899648592652909E-2</v>
      </c>
      <c r="L92" s="13">
        <v>0.1100745361859445</v>
      </c>
      <c r="M92" s="13">
        <v>0.32671898739959898</v>
      </c>
      <c r="N92" s="13">
        <v>0.11215740751284731</v>
      </c>
      <c r="O92" s="13">
        <v>0.1103256882559966</v>
      </c>
      <c r="P92" s="13">
        <v>0.1056596056510761</v>
      </c>
      <c r="Q92" s="13">
        <v>0.1044131583278096</v>
      </c>
      <c r="R92" s="13">
        <v>0.30100846338296788</v>
      </c>
      <c r="S92" s="13">
        <v>0.1065344923080191</v>
      </c>
      <c r="T92" s="13">
        <v>0.1069856853717521</v>
      </c>
      <c r="U92" s="13">
        <v>0.10630738342845</v>
      </c>
      <c r="V92" s="13">
        <v>0.10534944184512619</v>
      </c>
      <c r="W92" s="13">
        <v>0.32753395632316717</v>
      </c>
      <c r="X92" s="13">
        <v>0.1051754747620981</v>
      </c>
    </row>
    <row r="93" spans="1:24" x14ac:dyDescent="0.2">
      <c r="A93" t="s">
        <v>715</v>
      </c>
      <c r="B93" t="s">
        <v>263</v>
      </c>
      <c r="C93" t="s">
        <v>264</v>
      </c>
      <c r="D93" s="13">
        <v>0.13311735805372479</v>
      </c>
      <c r="E93" s="13">
        <v>0.10096216947508289</v>
      </c>
      <c r="F93" s="13">
        <v>7.6406852492572064E-2</v>
      </c>
      <c r="G93" s="13">
        <v>9.3769636038487647E-2</v>
      </c>
      <c r="H93" s="13">
        <v>0.29641584440809332</v>
      </c>
      <c r="I93" s="13">
        <v>0.1181339749091181</v>
      </c>
      <c r="J93" s="13">
        <v>0.1036698852898699</v>
      </c>
      <c r="K93" s="13">
        <v>9.4281553912090033E-2</v>
      </c>
      <c r="L93" s="13">
        <v>0.1094286082490514</v>
      </c>
      <c r="M93" s="13">
        <v>0.32135783067959173</v>
      </c>
      <c r="N93" s="13">
        <v>0.1072913152398325</v>
      </c>
      <c r="O93" s="13">
        <v>0.1012649690852241</v>
      </c>
      <c r="P93" s="13">
        <v>0.1168493139009241</v>
      </c>
      <c r="Q93" s="13">
        <v>0.1101252829650123</v>
      </c>
      <c r="R93" s="13">
        <v>0.31472563250356522</v>
      </c>
      <c r="S93" s="13">
        <v>0.1039873455151108</v>
      </c>
      <c r="T93" s="13">
        <v>0.1081941873953163</v>
      </c>
      <c r="U93" s="13">
        <v>0.1037066308799295</v>
      </c>
      <c r="V93" s="13">
        <v>0.1016676471937483</v>
      </c>
      <c r="W93" s="13">
        <v>0.31572796823584598</v>
      </c>
      <c r="X93" s="13">
        <v>0.1050116041729776</v>
      </c>
    </row>
    <row r="94" spans="1:24" x14ac:dyDescent="0.2">
      <c r="A94" t="s">
        <v>715</v>
      </c>
      <c r="B94" t="s">
        <v>266</v>
      </c>
      <c r="C94" t="s">
        <v>267</v>
      </c>
      <c r="D94" s="13">
        <v>0.1220594085073357</v>
      </c>
      <c r="E94" s="13">
        <v>0.11018392130925921</v>
      </c>
      <c r="F94" s="13">
        <v>0.1042526165063951</v>
      </c>
      <c r="G94" s="13">
        <v>3.6836567337417143E-2</v>
      </c>
      <c r="H94" s="13">
        <v>0.29088768703346979</v>
      </c>
      <c r="I94" s="13">
        <v>0.12601074520357519</v>
      </c>
      <c r="J94" s="13">
        <v>0.1060494304036652</v>
      </c>
      <c r="K94" s="13">
        <v>7.9359722962424328E-2</v>
      </c>
      <c r="L94" s="13">
        <v>0.11803827639931259</v>
      </c>
      <c r="M94" s="13">
        <v>0.31885716834023642</v>
      </c>
      <c r="N94" s="13">
        <v>9.9094627033746718E-2</v>
      </c>
      <c r="O94" s="13">
        <v>0.11171804308847121</v>
      </c>
      <c r="P94" s="13">
        <v>0.1109002466144426</v>
      </c>
      <c r="Q94" s="13">
        <v>0.1010843722175636</v>
      </c>
      <c r="R94" s="13">
        <v>0.29049701272239048</v>
      </c>
      <c r="S94" s="13">
        <v>8.8827708727867716E-2</v>
      </c>
      <c r="T94" s="13">
        <v>9.8441428268913889E-2</v>
      </c>
      <c r="U94" s="13">
        <v>9.8298725328960224E-2</v>
      </c>
      <c r="V94" s="13">
        <v>0.10471232992268489</v>
      </c>
      <c r="W94" s="13">
        <v>0.32814319042195889</v>
      </c>
      <c r="X94" s="13">
        <v>0.1048084529660764</v>
      </c>
    </row>
    <row r="95" spans="1:24" x14ac:dyDescent="0.2">
      <c r="A95" t="s">
        <v>715</v>
      </c>
      <c r="B95" t="s">
        <v>268</v>
      </c>
      <c r="C95" t="s">
        <v>269</v>
      </c>
      <c r="D95" s="13">
        <v>0.1384905713430529</v>
      </c>
      <c r="E95" s="13">
        <v>0.1032337380644011</v>
      </c>
      <c r="F95" s="13">
        <v>5.8263615825127069E-2</v>
      </c>
      <c r="G95" s="13">
        <v>0.1089611235763011</v>
      </c>
      <c r="H95" s="13">
        <v>0.2921136402359803</v>
      </c>
      <c r="I95" s="13">
        <v>0.1149172787346275</v>
      </c>
      <c r="J95" s="13">
        <v>0.1097282281621315</v>
      </c>
      <c r="K95" s="13">
        <v>8.8898078361543398E-2</v>
      </c>
      <c r="L95" s="13">
        <v>0.107464930951795</v>
      </c>
      <c r="M95" s="13">
        <v>0.32477892337210429</v>
      </c>
      <c r="N95" s="13">
        <v>0.1102409925195502</v>
      </c>
      <c r="O95" s="13">
        <v>0.10580019905912511</v>
      </c>
      <c r="P95" s="13">
        <v>0.1109528080722955</v>
      </c>
      <c r="Q95" s="13">
        <v>0.1155559164828901</v>
      </c>
      <c r="R95" s="13">
        <v>0.29247911789522801</v>
      </c>
      <c r="S95" s="13">
        <v>0.10557278456257981</v>
      </c>
      <c r="T95" s="13">
        <v>0.1052793304506139</v>
      </c>
      <c r="U95" s="13">
        <v>0.1035478322019001</v>
      </c>
      <c r="V95" s="13">
        <v>0.1048780866589105</v>
      </c>
      <c r="W95" s="13">
        <v>0.32171497700148599</v>
      </c>
      <c r="X95" s="13">
        <v>0.1042512704029885</v>
      </c>
    </row>
    <row r="96" spans="1:24" x14ac:dyDescent="0.2">
      <c r="A96" t="s">
        <v>715</v>
      </c>
      <c r="B96" t="s">
        <v>270</v>
      </c>
      <c r="C96" t="s">
        <v>271</v>
      </c>
      <c r="D96" s="13">
        <v>0.1408095498297568</v>
      </c>
      <c r="E96" s="13">
        <v>9.8637956725222686E-2</v>
      </c>
      <c r="F96" s="13">
        <v>9.015431063399415E-2</v>
      </c>
      <c r="G96" s="13">
        <v>8.1694212279281864E-2</v>
      </c>
      <c r="H96" s="13">
        <v>0.30557997404663251</v>
      </c>
      <c r="I96" s="13">
        <v>0.1126784074785059</v>
      </c>
      <c r="J96" s="13">
        <v>0.102130142982193</v>
      </c>
      <c r="K96" s="13">
        <v>9.5779457388545097E-2</v>
      </c>
      <c r="L96" s="13">
        <v>0.10816882657624929</v>
      </c>
      <c r="M96" s="13">
        <v>0.31584415584415831</v>
      </c>
      <c r="N96" s="13">
        <v>0.1035689873024381</v>
      </c>
      <c r="O96" s="13">
        <v>0.105531069588416</v>
      </c>
      <c r="P96" s="13">
        <v>0.10541981892595589</v>
      </c>
      <c r="Q96" s="13">
        <v>0.1053088025769755</v>
      </c>
      <c r="R96" s="13">
        <v>0.29496699669966381</v>
      </c>
      <c r="S96" s="13">
        <v>0.10694527281327471</v>
      </c>
      <c r="T96" s="13">
        <v>0.1088854648176651</v>
      </c>
      <c r="U96" s="13">
        <v>0.1005582006238681</v>
      </c>
      <c r="V96" s="13">
        <v>0.1004571826885625</v>
      </c>
      <c r="W96" s="13">
        <v>0.30106910252734043</v>
      </c>
      <c r="X96" s="13">
        <v>0.1041390153758037</v>
      </c>
    </row>
    <row r="97" spans="1:24" x14ac:dyDescent="0.2">
      <c r="A97" t="s">
        <v>715</v>
      </c>
      <c r="B97" t="s">
        <v>272</v>
      </c>
      <c r="C97" t="s">
        <v>273</v>
      </c>
      <c r="D97" s="13">
        <v>0.1278572795269772</v>
      </c>
      <c r="E97" s="13">
        <v>0.1009159305700003</v>
      </c>
      <c r="F97" s="13">
        <v>8.9517539008632241E-2</v>
      </c>
      <c r="G97" s="13">
        <v>9.126623457966776E-2</v>
      </c>
      <c r="H97" s="13">
        <v>0.30209147543338588</v>
      </c>
      <c r="I97" s="13">
        <v>0.1119317095549688</v>
      </c>
      <c r="J97" s="13">
        <v>0.1035952565277887</v>
      </c>
      <c r="K97" s="13">
        <v>9.0283324133477727E-2</v>
      </c>
      <c r="L97" s="13">
        <v>0.10847359164498641</v>
      </c>
      <c r="M97" s="13">
        <v>0.3149263680856107</v>
      </c>
      <c r="N97" s="13">
        <v>0.10523047082755529</v>
      </c>
      <c r="O97" s="13">
        <v>0.11507525835048329</v>
      </c>
      <c r="P97" s="13">
        <v>9.87034951516641E-2</v>
      </c>
      <c r="Q97" s="13">
        <v>0.10426243025869469</v>
      </c>
      <c r="R97" s="13">
        <v>0.30125228824384731</v>
      </c>
      <c r="S97" s="13">
        <v>0.1039454118605176</v>
      </c>
      <c r="T97" s="13">
        <v>0.1053821184520576</v>
      </c>
      <c r="U97" s="13">
        <v>0.1032540238479651</v>
      </c>
      <c r="V97" s="13">
        <v>0.1003006807854145</v>
      </c>
      <c r="W97" s="13">
        <v>0.31524371229283421</v>
      </c>
      <c r="X97" s="13">
        <v>0.1038391871278854</v>
      </c>
    </row>
    <row r="98" spans="1:24" x14ac:dyDescent="0.2">
      <c r="A98" t="s">
        <v>715</v>
      </c>
      <c r="B98" t="s">
        <v>275</v>
      </c>
      <c r="C98" t="s">
        <v>276</v>
      </c>
      <c r="D98" s="13">
        <v>0.1337006988826106</v>
      </c>
      <c r="E98" s="13">
        <v>9.032621269124963E-2</v>
      </c>
      <c r="F98" s="13">
        <v>0.1579991368603206</v>
      </c>
      <c r="G98" s="13">
        <v>9.8720117946271557E-2</v>
      </c>
      <c r="H98" s="13">
        <v>0.27929641554780282</v>
      </c>
      <c r="I98" s="13">
        <v>8.1258081470902965E-2</v>
      </c>
      <c r="J98" s="13">
        <v>0.13097060008053771</v>
      </c>
      <c r="K98" s="13">
        <v>8.2131658415951492E-2</v>
      </c>
      <c r="L98" s="13">
        <v>9.4000146284978214E-2</v>
      </c>
      <c r="M98" s="13">
        <v>0.29093005673659361</v>
      </c>
      <c r="N98" s="13">
        <v>6.7417196749719466E-2</v>
      </c>
      <c r="O98" s="13">
        <v>0.14706570708560299</v>
      </c>
      <c r="P98" s="13">
        <v>0.1011489514185504</v>
      </c>
      <c r="Q98" s="13">
        <v>0.1005279413003102</v>
      </c>
      <c r="R98" s="13">
        <v>0.30642389835306982</v>
      </c>
      <c r="S98" s="13">
        <v>0.1002791759539656</v>
      </c>
      <c r="T98" s="13">
        <v>0.1169347297735657</v>
      </c>
      <c r="U98" s="13">
        <v>7.7891874655944271E-2</v>
      </c>
      <c r="V98" s="13">
        <v>0.1021237944874631</v>
      </c>
      <c r="W98" s="13">
        <v>0.26757878609731112</v>
      </c>
      <c r="X98" s="13">
        <v>0.1034056343633516</v>
      </c>
    </row>
    <row r="99" spans="1:24" x14ac:dyDescent="0.2">
      <c r="A99" t="s">
        <v>715</v>
      </c>
      <c r="B99" t="s">
        <v>278</v>
      </c>
      <c r="C99" t="s">
        <v>279</v>
      </c>
      <c r="D99" s="13">
        <v>0.1244768999249191</v>
      </c>
      <c r="E99" s="13">
        <v>0.10112907279173911</v>
      </c>
      <c r="F99" s="13">
        <v>9.1710651684029365E-2</v>
      </c>
      <c r="G99" s="13">
        <v>0.10450028134689759</v>
      </c>
      <c r="H99" s="13">
        <v>0.31208679744245682</v>
      </c>
      <c r="I99" s="13">
        <v>0.11324520490971771</v>
      </c>
      <c r="J99" s="13">
        <v>0.1220750901585133</v>
      </c>
      <c r="K99" s="13">
        <v>9.292335369541771E-2</v>
      </c>
      <c r="L99" s="13">
        <v>0.1103246538406433</v>
      </c>
      <c r="M99" s="13">
        <v>0.32317845077491908</v>
      </c>
      <c r="N99" s="13">
        <v>0.1052486649039563</v>
      </c>
      <c r="O99" s="13">
        <v>0.1091955480438056</v>
      </c>
      <c r="P99" s="13">
        <v>9.2238138309519435E-2</v>
      </c>
      <c r="Q99" s="13">
        <v>9.0902594579778118E-2</v>
      </c>
      <c r="R99" s="13">
        <v>0.27674379379063468</v>
      </c>
      <c r="S99" s="13">
        <v>9.1963679686357658E-2</v>
      </c>
      <c r="T99" s="13">
        <v>9.4013152357041996E-2</v>
      </c>
      <c r="U99" s="13">
        <v>8.7943507696386369E-2</v>
      </c>
      <c r="V99" s="13">
        <v>9.2629354186124502E-2</v>
      </c>
      <c r="W99" s="13">
        <v>0.27384757168289481</v>
      </c>
      <c r="X99" s="13">
        <v>9.2497230683608045E-2</v>
      </c>
    </row>
    <row r="100" spans="1:24" x14ac:dyDescent="0.2">
      <c r="A100" t="s">
        <v>714</v>
      </c>
      <c r="B100" t="s">
        <v>282</v>
      </c>
      <c r="C100" t="s">
        <v>283</v>
      </c>
      <c r="D100" s="13">
        <v>2.5295428511189488</v>
      </c>
      <c r="E100" s="13">
        <v>1.0129968324158909</v>
      </c>
      <c r="F100" s="13">
        <v>1.0340545337525819</v>
      </c>
      <c r="G100" s="13">
        <v>2.3431153027912992</v>
      </c>
      <c r="H100" s="13">
        <v>0.77036828237897481</v>
      </c>
      <c r="I100" s="13">
        <v>0.1901197588496828</v>
      </c>
      <c r="J100" s="13">
        <v>0.20420750567824439</v>
      </c>
      <c r="K100" s="13">
        <v>7.8491786821088816E-2</v>
      </c>
      <c r="L100" s="13">
        <v>-1.2999484895415141E-3</v>
      </c>
      <c r="M100" s="13">
        <v>9.2270459965670959E-2</v>
      </c>
      <c r="N100" s="13">
        <v>0.20206650065899279</v>
      </c>
      <c r="O100" s="13">
        <v>-1.7903043274325459E-2</v>
      </c>
      <c r="P100" s="13">
        <v>0.5697590191588775</v>
      </c>
      <c r="Q100" s="13">
        <v>0.67639458884327652</v>
      </c>
      <c r="R100" s="13">
        <v>7.2341200794578953E-2</v>
      </c>
      <c r="S100" s="13">
        <v>5.3843506779616126E-3</v>
      </c>
      <c r="T100" s="13">
        <v>0.51249861733586588</v>
      </c>
      <c r="U100" s="13">
        <v>0.25043469406209612</v>
      </c>
      <c r="V100" s="13">
        <v>1.0821886174982249</v>
      </c>
      <c r="W100" s="13">
        <v>1.1008795469931389</v>
      </c>
      <c r="X100" s="13">
        <v>0.1225582818338289</v>
      </c>
    </row>
    <row r="101" spans="1:24" x14ac:dyDescent="0.2">
      <c r="A101" t="s">
        <v>714</v>
      </c>
      <c r="B101" t="s">
        <v>284</v>
      </c>
      <c r="C101" t="s">
        <v>285</v>
      </c>
      <c r="D101" s="13">
        <v>2.6132380018982331</v>
      </c>
      <c r="E101" s="13">
        <v>-1.298895511825471</v>
      </c>
      <c r="F101" s="13">
        <v>-0.16604685849302969</v>
      </c>
      <c r="G101" s="13">
        <v>1.67970341212953</v>
      </c>
      <c r="H101" s="13">
        <v>-0.16017476734059291</v>
      </c>
      <c r="I101" s="13">
        <v>0.80450041286397322</v>
      </c>
      <c r="J101" s="13">
        <v>0.41954639253458659</v>
      </c>
      <c r="K101" s="13">
        <v>2.0197611265504459E-2</v>
      </c>
      <c r="L101" s="13">
        <v>0.13222773241432509</v>
      </c>
      <c r="M101" s="13">
        <v>1.0144799472524559</v>
      </c>
      <c r="N101" s="13">
        <v>-1.73427940341857</v>
      </c>
      <c r="O101" s="13">
        <v>-0.93446368216388853</v>
      </c>
      <c r="P101" s="13">
        <v>1.2503801731493349</v>
      </c>
      <c r="Q101" s="13">
        <v>-0.582804213344712</v>
      </c>
      <c r="R101" s="13">
        <v>0.16119803815830561</v>
      </c>
      <c r="S101" s="13">
        <v>0.48904866238206329</v>
      </c>
      <c r="T101" s="13">
        <v>1.865276273390903</v>
      </c>
      <c r="U101" s="13">
        <v>-1.9706383570600281</v>
      </c>
      <c r="V101" s="13">
        <v>-0.18543539174659121</v>
      </c>
      <c r="W101" s="13">
        <v>-0.27605468065429178</v>
      </c>
      <c r="X101" s="13">
        <v>0.1095349119596634</v>
      </c>
    </row>
    <row r="102" spans="1:24" x14ac:dyDescent="0.2">
      <c r="A102" t="s">
        <v>714</v>
      </c>
      <c r="B102" t="s">
        <v>286</v>
      </c>
      <c r="C102" t="s">
        <v>287</v>
      </c>
      <c r="D102" s="13">
        <v>0.42764656631959502</v>
      </c>
      <c r="E102" s="13">
        <v>1.7478108116475429E-2</v>
      </c>
      <c r="F102" s="13">
        <v>-0.28675743545323318</v>
      </c>
      <c r="G102" s="13">
        <v>0.66052015064719249</v>
      </c>
      <c r="H102" s="13">
        <v>-0.12626688203769551</v>
      </c>
      <c r="I102" s="13">
        <v>0.23531687106053131</v>
      </c>
      <c r="J102" s="13">
        <v>0.158180126955898</v>
      </c>
      <c r="K102" s="13">
        <v>0.21242693702854251</v>
      </c>
      <c r="L102" s="13">
        <v>2.6706734509507331E-2</v>
      </c>
      <c r="M102" s="13">
        <v>-0.1095715629354843</v>
      </c>
      <c r="N102" s="13">
        <v>0.45054322274760139</v>
      </c>
      <c r="O102" s="13">
        <v>-0.30312414155425632</v>
      </c>
      <c r="P102" s="13">
        <v>0.6742232204792753</v>
      </c>
      <c r="Q102" s="13">
        <v>0.69492551963485916</v>
      </c>
      <c r="R102" s="13">
        <v>0.44255548414577911</v>
      </c>
      <c r="S102" s="13">
        <v>0.2062279681391388</v>
      </c>
      <c r="T102" s="13">
        <v>1.2984351045293829</v>
      </c>
      <c r="U102" s="13">
        <v>0.1276302930519391</v>
      </c>
      <c r="V102" s="13">
        <v>-0.1228577910789674</v>
      </c>
      <c r="W102" s="13">
        <v>0.51124606623444979</v>
      </c>
      <c r="X102" s="13">
        <v>-7.8076558962125731E-2</v>
      </c>
    </row>
    <row r="103" spans="1:24" x14ac:dyDescent="0.2">
      <c r="A103" t="s">
        <v>714</v>
      </c>
      <c r="B103" t="s">
        <v>288</v>
      </c>
      <c r="C103" t="s">
        <v>289</v>
      </c>
      <c r="D103" s="13">
        <v>3.3244517237246858</v>
      </c>
      <c r="E103" s="13">
        <v>1.540486236145</v>
      </c>
      <c r="F103" s="13">
        <v>-0.52368938678005739</v>
      </c>
      <c r="G103" s="13">
        <v>2.4263840172210842</v>
      </c>
      <c r="H103" s="13">
        <v>-1.1015304909858139</v>
      </c>
      <c r="I103" s="13">
        <v>0.43147113178894081</v>
      </c>
      <c r="J103" s="13">
        <v>-1.651086967154336</v>
      </c>
      <c r="K103" s="13">
        <v>-1.591202347611631</v>
      </c>
      <c r="L103" s="13">
        <v>-0.18429786827115491</v>
      </c>
      <c r="M103" s="13">
        <v>-0.21100390423428589</v>
      </c>
      <c r="N103" s="13">
        <v>0.32989801768483762</v>
      </c>
      <c r="O103" s="13">
        <v>-0.15890242574180261</v>
      </c>
      <c r="P103" s="13">
        <v>1.860578374745536</v>
      </c>
      <c r="Q103" s="13">
        <v>0.89507081849580228</v>
      </c>
      <c r="R103" s="13">
        <v>0.72771909951774294</v>
      </c>
      <c r="S103" s="13">
        <v>-0.21061133364469459</v>
      </c>
      <c r="T103" s="13">
        <v>1.0122458400765311</v>
      </c>
      <c r="U103" s="13">
        <v>-0.87369832018430182</v>
      </c>
      <c r="V103" s="13">
        <v>0.23552942328626261</v>
      </c>
      <c r="W103" s="13">
        <v>2.221618467090769</v>
      </c>
      <c r="X103" s="13">
        <v>-0.13050304697044271</v>
      </c>
    </row>
    <row r="104" spans="1:24" x14ac:dyDescent="0.2">
      <c r="A104" t="s">
        <v>714</v>
      </c>
      <c r="B104" t="s">
        <v>290</v>
      </c>
      <c r="C104" t="s">
        <v>291</v>
      </c>
      <c r="D104" s="13">
        <v>3.622664092702732</v>
      </c>
      <c r="E104" s="13">
        <v>1.3915394094854869</v>
      </c>
      <c r="F104" s="13">
        <v>0.65809746110017109</v>
      </c>
      <c r="G104" s="13">
        <v>1.324954211176022</v>
      </c>
      <c r="H104" s="13">
        <v>6.9063417868719945E-2</v>
      </c>
      <c r="I104" s="13">
        <v>0.48567678135538189</v>
      </c>
      <c r="J104" s="13">
        <v>-1.7146861447285391</v>
      </c>
      <c r="K104" s="13">
        <v>-1.8195365591717969</v>
      </c>
      <c r="L104" s="13">
        <v>-1.858069657640671</v>
      </c>
      <c r="M104" s="13">
        <v>-0.30063456400144523</v>
      </c>
      <c r="N104" s="13">
        <v>-0.13402373179121069</v>
      </c>
      <c r="O104" s="13">
        <v>-9.8350305368577473E-2</v>
      </c>
      <c r="P104" s="13">
        <v>1.1933448360857519</v>
      </c>
      <c r="Q104" s="13">
        <v>0.87357815801281102</v>
      </c>
      <c r="R104" s="13">
        <v>1.230151658497691</v>
      </c>
      <c r="S104" s="13">
        <v>0.80124573555504508</v>
      </c>
      <c r="T104" s="13">
        <v>1.1479923858420451</v>
      </c>
      <c r="U104" s="13">
        <v>-1.0265950826376271</v>
      </c>
      <c r="V104" s="13">
        <v>-0.52793512926777586</v>
      </c>
      <c r="W104" s="13">
        <v>1.132907647376147</v>
      </c>
      <c r="X104" s="13">
        <v>-0.44334956849314539</v>
      </c>
    </row>
    <row r="105" spans="1:24" x14ac:dyDescent="0.2">
      <c r="A105" t="s">
        <v>714</v>
      </c>
      <c r="B105" t="s">
        <v>292</v>
      </c>
      <c r="C105" t="s">
        <v>293</v>
      </c>
      <c r="D105" s="13">
        <v>3.1480180766187078</v>
      </c>
      <c r="E105" s="13">
        <v>0.30477358777512009</v>
      </c>
      <c r="F105" s="13">
        <v>-1.410057615257398</v>
      </c>
      <c r="G105" s="13">
        <v>1.859521033452616</v>
      </c>
      <c r="H105" s="13">
        <v>-0.74815450937896211</v>
      </c>
      <c r="I105" s="13">
        <v>-0.436899191687945</v>
      </c>
      <c r="J105" s="13">
        <v>-0.61479081003141811</v>
      </c>
      <c r="K105" s="13">
        <v>-0.78929684691936286</v>
      </c>
      <c r="L105" s="13">
        <v>-0.44680192465139662</v>
      </c>
      <c r="M105" s="13">
        <v>0.31527261808739221</v>
      </c>
      <c r="N105" s="13">
        <v>-1.1954298558881531</v>
      </c>
      <c r="O105" s="13">
        <v>-0.46595184335168632</v>
      </c>
      <c r="P105" s="13">
        <v>0.75167610007180752</v>
      </c>
      <c r="Q105" s="13">
        <v>-0.27853998255608081</v>
      </c>
      <c r="R105" s="13">
        <v>-9.9120022095955385E-2</v>
      </c>
      <c r="S105" s="13">
        <v>0.9610432272501912</v>
      </c>
      <c r="T105" s="13">
        <v>5.9663675017351807E-2</v>
      </c>
      <c r="U105" s="13">
        <v>-2.2223145928460202</v>
      </c>
      <c r="V105" s="13">
        <v>-9.5895456270889134E-2</v>
      </c>
      <c r="W105" s="13">
        <v>1.317276922254274</v>
      </c>
      <c r="X105" s="13">
        <v>-0.48826720336290208</v>
      </c>
    </row>
    <row r="106" spans="1:24" x14ac:dyDescent="0.2">
      <c r="A106" t="s">
        <v>714</v>
      </c>
      <c r="B106" t="s">
        <v>294</v>
      </c>
      <c r="C106" t="s">
        <v>295</v>
      </c>
      <c r="D106" s="13">
        <v>3.035579214534923</v>
      </c>
      <c r="E106" s="13">
        <v>2.3559937440165161E-2</v>
      </c>
      <c r="F106" s="13">
        <v>-0.69598421254543075</v>
      </c>
      <c r="G106" s="13">
        <v>2.7649636064073668</v>
      </c>
      <c r="H106" s="13">
        <v>0.53431019141376712</v>
      </c>
      <c r="I106" s="13">
        <v>0.3933702371772041</v>
      </c>
      <c r="J106" s="13">
        <v>-0.78113261862344796</v>
      </c>
      <c r="K106" s="13">
        <v>0.18015839813956269</v>
      </c>
      <c r="L106" s="13">
        <v>-0.65693704176044143</v>
      </c>
      <c r="M106" s="13">
        <v>1.1655133856148361</v>
      </c>
      <c r="N106" s="13">
        <v>-0.54235963172187818</v>
      </c>
      <c r="O106" s="13">
        <v>-1.216491520967844</v>
      </c>
      <c r="P106" s="13">
        <v>0.59654388232566191</v>
      </c>
      <c r="Q106" s="13">
        <v>0.31956195187436981</v>
      </c>
      <c r="R106" s="13">
        <v>-0.53370581518488169</v>
      </c>
      <c r="S106" s="13">
        <v>-7.7840547187479903E-2</v>
      </c>
      <c r="T106" s="13">
        <v>0.21845679337939569</v>
      </c>
      <c r="U106" s="13">
        <v>-1.636838177479971</v>
      </c>
      <c r="V106" s="13">
        <v>-1.1375745361292819</v>
      </c>
      <c r="W106" s="13">
        <v>0.53563643841250119</v>
      </c>
      <c r="X106" s="13">
        <v>-0.49833832680717949</v>
      </c>
    </row>
    <row r="107" spans="1:24" x14ac:dyDescent="0.2">
      <c r="A107" t="s">
        <v>714</v>
      </c>
      <c r="B107" t="s">
        <v>296</v>
      </c>
      <c r="C107" t="s">
        <v>297</v>
      </c>
      <c r="D107" s="13">
        <v>4.1515291528046117</v>
      </c>
      <c r="E107" s="13">
        <v>0.21695686239053821</v>
      </c>
      <c r="F107" s="13">
        <v>-0.51191512163123454</v>
      </c>
      <c r="G107" s="13">
        <v>1.8362657821106909</v>
      </c>
      <c r="H107" s="13">
        <v>-0.4376218006952648</v>
      </c>
      <c r="I107" s="13">
        <v>-0.124300656466203</v>
      </c>
      <c r="J107" s="13">
        <v>-0.91898209205654169</v>
      </c>
      <c r="K107" s="13">
        <v>-0.96889939385698121</v>
      </c>
      <c r="L107" s="13">
        <v>-1.15616588198526</v>
      </c>
      <c r="M107" s="13">
        <v>-0.74610893926621014</v>
      </c>
      <c r="N107" s="13">
        <v>-0.63011416131100173</v>
      </c>
      <c r="O107" s="13">
        <v>-0.36843320045535372</v>
      </c>
      <c r="P107" s="13">
        <v>0.95463593734816943</v>
      </c>
      <c r="Q107" s="13">
        <v>-2.585571160109712E-2</v>
      </c>
      <c r="R107" s="13">
        <v>-0.86499827978682164</v>
      </c>
      <c r="S107" s="13">
        <v>0.41215722012732942</v>
      </c>
      <c r="T107" s="13">
        <v>-4.7642553408400179E-2</v>
      </c>
      <c r="U107" s="13">
        <v>-2.3877511801904121</v>
      </c>
      <c r="V107" s="13">
        <v>-1.2298963471007009</v>
      </c>
      <c r="W107" s="13">
        <v>1.5071945635197981</v>
      </c>
      <c r="X107" s="13">
        <v>-0.54188226856239918</v>
      </c>
    </row>
    <row r="108" spans="1:24" x14ac:dyDescent="0.2">
      <c r="A108" t="s">
        <v>714</v>
      </c>
      <c r="B108" t="s">
        <v>298</v>
      </c>
      <c r="C108" t="s">
        <v>299</v>
      </c>
      <c r="D108" s="13">
        <v>2.9116262868720488</v>
      </c>
      <c r="E108" s="13">
        <v>0.31049310816715359</v>
      </c>
      <c r="F108" s="13">
        <v>-0.63392710450264067</v>
      </c>
      <c r="G108" s="13">
        <v>1.431290910563066</v>
      </c>
      <c r="H108" s="13">
        <v>-0.50219798199906407</v>
      </c>
      <c r="I108" s="13">
        <v>5.3260787990594423E-2</v>
      </c>
      <c r="J108" s="13">
        <v>-0.90906047397273371</v>
      </c>
      <c r="K108" s="13">
        <v>-1.5508771358554769</v>
      </c>
      <c r="L108" s="13">
        <v>-0.66693146267066128</v>
      </c>
      <c r="M108" s="13">
        <v>-0.31579839911917151</v>
      </c>
      <c r="N108" s="13">
        <v>-0.21063693735157149</v>
      </c>
      <c r="O108" s="13">
        <v>-0.46151898147291931</v>
      </c>
      <c r="P108" s="13">
        <v>-0.13289405293506201</v>
      </c>
      <c r="Q108" s="13">
        <v>-0.34902157399294698</v>
      </c>
      <c r="R108" s="13">
        <v>0.46492174699863659</v>
      </c>
      <c r="S108" s="13">
        <v>-1.233475280615937</v>
      </c>
      <c r="T108" s="13">
        <v>-0.33803615963605699</v>
      </c>
      <c r="U108" s="13">
        <v>-2.318993782982981</v>
      </c>
      <c r="V108" s="13">
        <v>-0.72421227877914607</v>
      </c>
      <c r="W108" s="13">
        <v>1.445571711402782</v>
      </c>
      <c r="X108" s="13">
        <v>-0.58292447327690233</v>
      </c>
    </row>
    <row r="109" spans="1:24" x14ac:dyDescent="0.2">
      <c r="A109" t="s">
        <v>714</v>
      </c>
      <c r="B109" t="s">
        <v>300</v>
      </c>
      <c r="C109" t="s">
        <v>301</v>
      </c>
      <c r="D109" s="13">
        <v>3.7918973935165972</v>
      </c>
      <c r="E109" s="13">
        <v>-0.44622124615697478</v>
      </c>
      <c r="F109" s="13">
        <v>-0.87647715605748688</v>
      </c>
      <c r="G109" s="13">
        <v>1.891423852795127</v>
      </c>
      <c r="H109" s="13">
        <v>-0.65497418069216939</v>
      </c>
      <c r="I109" s="13">
        <v>0.1944551943537709</v>
      </c>
      <c r="J109" s="13">
        <v>-1.664915240906051</v>
      </c>
      <c r="K109" s="13">
        <v>-0.43596975453327191</v>
      </c>
      <c r="L109" s="13">
        <v>-1.5638983446942809</v>
      </c>
      <c r="M109" s="13">
        <v>0.73972418553307495</v>
      </c>
      <c r="N109" s="13">
        <v>-0.87596562336009764</v>
      </c>
      <c r="O109" s="13">
        <v>-0.21589582060055351</v>
      </c>
      <c r="P109" s="13">
        <v>0.52360171631671282</v>
      </c>
      <c r="Q109" s="13">
        <v>9.0553355641609379E-2</v>
      </c>
      <c r="R109" s="13">
        <v>-1.336118825673493</v>
      </c>
      <c r="S109" s="13">
        <v>-0.91119107464749938</v>
      </c>
      <c r="T109" s="13">
        <v>-5.9362525634154562E-2</v>
      </c>
      <c r="U109" s="13">
        <v>-2.4366693588151578</v>
      </c>
      <c r="V109" s="13">
        <v>0.15633058228829991</v>
      </c>
      <c r="W109" s="13">
        <v>2.1551641544044209</v>
      </c>
      <c r="X109" s="13">
        <v>-0.70346150091471493</v>
      </c>
    </row>
    <row r="110" spans="1:24" x14ac:dyDescent="0.2">
      <c r="A110" t="s">
        <v>714</v>
      </c>
      <c r="B110" t="s">
        <v>302</v>
      </c>
      <c r="C110" t="s">
        <v>303</v>
      </c>
      <c r="D110" s="13">
        <v>2.821474960386805</v>
      </c>
      <c r="E110" s="13">
        <v>5.5638780991107417E-2</v>
      </c>
      <c r="F110" s="13">
        <v>-1.167441628032351</v>
      </c>
      <c r="G110" s="13">
        <v>1.5069364773717231</v>
      </c>
      <c r="H110" s="13">
        <v>-0.50750345265990759</v>
      </c>
      <c r="I110" s="13">
        <v>2.3027683585929989E-2</v>
      </c>
      <c r="J110" s="13">
        <v>-1.4672430190342149</v>
      </c>
      <c r="K110" s="13">
        <v>-0.99191506812990049</v>
      </c>
      <c r="L110" s="13">
        <v>-0.77778831479777821</v>
      </c>
      <c r="M110" s="13">
        <v>0.63632699654092573</v>
      </c>
      <c r="N110" s="13">
        <v>-0.63019922273106488</v>
      </c>
      <c r="O110" s="13">
        <v>-0.63357078872121608</v>
      </c>
      <c r="P110" s="13">
        <v>0.67300376815164764</v>
      </c>
      <c r="Q110" s="13">
        <v>8.1657956474190385E-2</v>
      </c>
      <c r="R110" s="13">
        <v>-0.26617661567759349</v>
      </c>
      <c r="S110" s="13">
        <v>0.15629605385940601</v>
      </c>
      <c r="T110" s="13">
        <v>0.28726279559712081</v>
      </c>
      <c r="U110" s="13">
        <v>-2.372590546932607</v>
      </c>
      <c r="V110" s="13">
        <v>-0.29801402821164608</v>
      </c>
      <c r="W110" s="13">
        <v>1.487294158452146</v>
      </c>
      <c r="X110" s="13">
        <v>-0.71860248453846642</v>
      </c>
    </row>
    <row r="111" spans="1:24" x14ac:dyDescent="0.2">
      <c r="A111" t="s">
        <v>714</v>
      </c>
      <c r="B111" t="s">
        <v>304</v>
      </c>
      <c r="C111" t="s">
        <v>305</v>
      </c>
      <c r="D111" s="13">
        <v>4.0249741874226252</v>
      </c>
      <c r="E111" s="13">
        <v>0.22926319045970531</v>
      </c>
      <c r="F111" s="13">
        <v>-0.89266302766851657</v>
      </c>
      <c r="G111" s="13">
        <v>1.730034956630178</v>
      </c>
      <c r="H111" s="13">
        <v>-1.311678151088991</v>
      </c>
      <c r="I111" s="13">
        <v>-5.1024993014081588E-2</v>
      </c>
      <c r="J111" s="13">
        <v>-1.3427840368503421</v>
      </c>
      <c r="K111" s="13">
        <v>-1.4292847958253809</v>
      </c>
      <c r="L111" s="13">
        <v>0.20713517675829959</v>
      </c>
      <c r="M111" s="13">
        <v>2.0158831369165849E-2</v>
      </c>
      <c r="N111" s="13">
        <v>-1.0988455550837939</v>
      </c>
      <c r="O111" s="13">
        <v>-0.44469003935196932</v>
      </c>
      <c r="P111" s="13">
        <v>0.68878380953785179</v>
      </c>
      <c r="Q111" s="13">
        <v>0.89074667348147951</v>
      </c>
      <c r="R111" s="13">
        <v>0.93941671772650448</v>
      </c>
      <c r="S111" s="13">
        <v>0.94068644077343055</v>
      </c>
      <c r="T111" s="13">
        <v>1.8385457286793641</v>
      </c>
      <c r="U111" s="13">
        <v>-1.375321884492942</v>
      </c>
      <c r="V111" s="13">
        <v>-0.65848681359785832</v>
      </c>
      <c r="W111" s="13">
        <v>2.0541689190448631</v>
      </c>
      <c r="X111" s="13">
        <v>-0.74278373425389344</v>
      </c>
    </row>
    <row r="112" spans="1:24" x14ac:dyDescent="0.2">
      <c r="A112" t="s">
        <v>714</v>
      </c>
      <c r="B112" t="s">
        <v>307</v>
      </c>
      <c r="C112" t="s">
        <v>308</v>
      </c>
      <c r="D112" s="13">
        <v>3.4566733642941379</v>
      </c>
      <c r="E112" s="13">
        <v>-0.75497518143446962</v>
      </c>
      <c r="F112" s="13">
        <v>-0.48662867529741799</v>
      </c>
      <c r="G112" s="13">
        <v>1.1717564636945621</v>
      </c>
      <c r="H112" s="13">
        <v>-0.74825571787814349</v>
      </c>
      <c r="I112" s="13">
        <v>2.4591163203835361E-2</v>
      </c>
      <c r="J112" s="13">
        <v>-0.97028334870193911</v>
      </c>
      <c r="K112" s="13">
        <v>-0.2181874853892318</v>
      </c>
      <c r="L112" s="13">
        <v>-0.66068787998821987</v>
      </c>
      <c r="M112" s="13">
        <v>0.73739541976196588</v>
      </c>
      <c r="N112" s="13">
        <v>-9.7956548086741702E-2</v>
      </c>
      <c r="O112" s="13">
        <v>-0.81044969396987243</v>
      </c>
      <c r="P112" s="13">
        <v>-0.31562409643486328</v>
      </c>
      <c r="Q112" s="13">
        <v>-0.36590734368723288</v>
      </c>
      <c r="R112" s="13">
        <v>-0.16295078757401221</v>
      </c>
      <c r="S112" s="13">
        <v>-0.74956414604665511</v>
      </c>
      <c r="T112" s="13">
        <v>0.49329043541463952</v>
      </c>
      <c r="U112" s="13">
        <v>-2.0561419859246199</v>
      </c>
      <c r="V112" s="13">
        <v>1.2503298258548229E-2</v>
      </c>
      <c r="W112" s="13">
        <v>1.5752332996921139</v>
      </c>
      <c r="X112" s="13">
        <v>-0.78651833097937995</v>
      </c>
    </row>
    <row r="113" spans="1:24" x14ac:dyDescent="0.2">
      <c r="A113" t="s">
        <v>714</v>
      </c>
      <c r="B113" t="s">
        <v>309</v>
      </c>
      <c r="C113" t="s">
        <v>310</v>
      </c>
      <c r="D113" s="13">
        <v>4.3430872187664624</v>
      </c>
      <c r="E113" s="13">
        <v>1.859028371284932E-2</v>
      </c>
      <c r="F113" s="13">
        <v>-0.35907743021524879</v>
      </c>
      <c r="G113" s="13">
        <v>2.3264830157060161</v>
      </c>
      <c r="H113" s="13">
        <v>-0.78313802099371221</v>
      </c>
      <c r="I113" s="13">
        <v>0.33141983155886567</v>
      </c>
      <c r="J113" s="13">
        <v>-1.2635899019715511</v>
      </c>
      <c r="K113" s="13">
        <v>-1.0624571407947481</v>
      </c>
      <c r="L113" s="13">
        <v>-0.93625757393820397</v>
      </c>
      <c r="M113" s="13">
        <v>-6.7306659574584149E-2</v>
      </c>
      <c r="N113" s="13">
        <v>-0.40656855931222591</v>
      </c>
      <c r="O113" s="13">
        <v>-0.91203872618795812</v>
      </c>
      <c r="P113" s="13">
        <v>1.084522425322376</v>
      </c>
      <c r="Q113" s="13">
        <v>0.1141532598579742</v>
      </c>
      <c r="R113" s="13">
        <v>-0.88307687104218768</v>
      </c>
      <c r="S113" s="13">
        <v>4.2499794480921338E-2</v>
      </c>
      <c r="T113" s="13">
        <v>0.40688410909022199</v>
      </c>
      <c r="U113" s="13">
        <v>-2.4810816430944289</v>
      </c>
      <c r="V113" s="13">
        <v>-0.60434314234154574</v>
      </c>
      <c r="W113" s="13">
        <v>1.016212565096386</v>
      </c>
      <c r="X113" s="13">
        <v>-0.79477223958711596</v>
      </c>
    </row>
    <row r="114" spans="1:24" x14ac:dyDescent="0.2">
      <c r="A114" t="s">
        <v>714</v>
      </c>
      <c r="B114" t="s">
        <v>311</v>
      </c>
      <c r="C114" t="s">
        <v>312</v>
      </c>
      <c r="D114" s="13">
        <v>3.6460033351579662</v>
      </c>
      <c r="E114" s="13">
        <v>0.69160182899519196</v>
      </c>
      <c r="F114" s="13">
        <v>-0.88795399408921893</v>
      </c>
      <c r="G114" s="13">
        <v>2.3927340058740749</v>
      </c>
      <c r="H114" s="13">
        <v>-0.17333984082233969</v>
      </c>
      <c r="I114" s="13">
        <v>0.1234285384799749</v>
      </c>
      <c r="J114" s="13">
        <v>-1.267857078583756</v>
      </c>
      <c r="K114" s="13">
        <v>-0.63948680652136103</v>
      </c>
      <c r="L114" s="13">
        <v>-0.9601143747485219</v>
      </c>
      <c r="M114" s="13">
        <v>0.69763062437291357</v>
      </c>
      <c r="N114" s="13">
        <v>-0.90457924464905082</v>
      </c>
      <c r="O114" s="13">
        <v>-0.2561610126651237</v>
      </c>
      <c r="P114" s="13">
        <v>0.6535854459374546</v>
      </c>
      <c r="Q114" s="13">
        <v>0.22920471080700719</v>
      </c>
      <c r="R114" s="13">
        <v>-0.61311479038741457</v>
      </c>
      <c r="S114" s="13">
        <v>1.961251364988037E-2</v>
      </c>
      <c r="T114" s="13">
        <v>-0.2147056349249499</v>
      </c>
      <c r="U114" s="13">
        <v>-1.705719391926785</v>
      </c>
      <c r="V114" s="13">
        <v>-1.539373567223423</v>
      </c>
      <c r="W114" s="13">
        <v>1.6265317991642549</v>
      </c>
      <c r="X114" s="13">
        <v>-0.79608982560521735</v>
      </c>
    </row>
    <row r="115" spans="1:24" x14ac:dyDescent="0.2">
      <c r="A115" t="s">
        <v>714</v>
      </c>
      <c r="B115" t="s">
        <v>313</v>
      </c>
      <c r="C115" t="s">
        <v>314</v>
      </c>
      <c r="D115" s="13">
        <v>4.0888202663801776</v>
      </c>
      <c r="E115" s="13">
        <v>0.3065889558431234</v>
      </c>
      <c r="F115" s="13">
        <v>-0.89950439411481398</v>
      </c>
      <c r="G115" s="13">
        <v>2.1308396354855041</v>
      </c>
      <c r="H115" s="13">
        <v>-0.43405156308382598</v>
      </c>
      <c r="I115" s="13">
        <v>-1.2470056228608421E-2</v>
      </c>
      <c r="J115" s="13">
        <v>-1.542648415108405</v>
      </c>
      <c r="K115" s="13">
        <v>-0.4886927993754564</v>
      </c>
      <c r="L115" s="13">
        <v>-1.723553137933731</v>
      </c>
      <c r="M115" s="13">
        <v>0.69338339997020437</v>
      </c>
      <c r="N115" s="13">
        <v>-0.36767196466993562</v>
      </c>
      <c r="O115" s="13">
        <v>-0.33729829489115293</v>
      </c>
      <c r="P115" s="13">
        <v>0.20215425449832131</v>
      </c>
      <c r="Q115" s="13">
        <v>-3.9717052475962689E-3</v>
      </c>
      <c r="R115" s="13">
        <v>-1.15386673021648</v>
      </c>
      <c r="S115" s="13">
        <v>-0.22739890261374021</v>
      </c>
      <c r="T115" s="13">
        <v>0.30016356119573212</v>
      </c>
      <c r="U115" s="13">
        <v>-2.7797581294117468</v>
      </c>
      <c r="V115" s="13">
        <v>-0.34887053270397089</v>
      </c>
      <c r="W115" s="13">
        <v>1.6802973285932721</v>
      </c>
      <c r="X115" s="13">
        <v>-0.80632113176110076</v>
      </c>
    </row>
    <row r="116" spans="1:24" x14ac:dyDescent="0.2">
      <c r="A116" t="s">
        <v>714</v>
      </c>
      <c r="B116" t="s">
        <v>315</v>
      </c>
      <c r="C116" t="s">
        <v>316</v>
      </c>
      <c r="D116" s="13">
        <v>3.1974081846532831</v>
      </c>
      <c r="E116" s="13">
        <v>0.52558512599019114</v>
      </c>
      <c r="F116" s="13">
        <v>-1.146779063319481</v>
      </c>
      <c r="G116" s="13">
        <v>2.1771583840797248</v>
      </c>
      <c r="H116" s="13">
        <v>-0.69236018577213398</v>
      </c>
      <c r="I116" s="13">
        <v>-0.49510633672604781</v>
      </c>
      <c r="J116" s="13">
        <v>-1.0116680576693351</v>
      </c>
      <c r="K116" s="13">
        <v>-1.070198119321264</v>
      </c>
      <c r="L116" s="13">
        <v>3.1834121666518563E-2</v>
      </c>
      <c r="M116" s="13">
        <v>-1.887722287652327E-2</v>
      </c>
      <c r="N116" s="13">
        <v>-0.31771519084632383</v>
      </c>
      <c r="O116" s="13">
        <v>-1.0157721251009</v>
      </c>
      <c r="P116" s="13">
        <v>0.68057450038567779</v>
      </c>
      <c r="Q116" s="13">
        <v>3.7927876484644678E-2</v>
      </c>
      <c r="R116" s="13">
        <v>0.90311462317682611</v>
      </c>
      <c r="S116" s="13">
        <v>0.59335512245759503</v>
      </c>
      <c r="T116" s="13">
        <v>8.133077690768431E-2</v>
      </c>
      <c r="U116" s="13">
        <v>-1.48146676961296</v>
      </c>
      <c r="V116" s="13">
        <v>-0.29970726462521519</v>
      </c>
      <c r="W116" s="13">
        <v>1.502704041613345</v>
      </c>
      <c r="X116" s="13">
        <v>-0.82182138727699972</v>
      </c>
    </row>
    <row r="117" spans="1:24" x14ac:dyDescent="0.2">
      <c r="A117" t="s">
        <v>714</v>
      </c>
      <c r="B117" t="s">
        <v>317</v>
      </c>
      <c r="C117" t="s">
        <v>318</v>
      </c>
      <c r="D117" s="13">
        <v>3.380953054135083</v>
      </c>
      <c r="E117" s="13">
        <v>0.38319701299016629</v>
      </c>
      <c r="F117" s="13">
        <v>-0.70792657328367925</v>
      </c>
      <c r="G117" s="13">
        <v>2.5004910932827862</v>
      </c>
      <c r="H117" s="13">
        <v>-0.66540444446607783</v>
      </c>
      <c r="I117" s="13">
        <v>0.1025892296620645</v>
      </c>
      <c r="J117" s="13">
        <v>-0.92162261380323018</v>
      </c>
      <c r="K117" s="13">
        <v>-0.80884954768526418</v>
      </c>
      <c r="L117" s="13">
        <v>-0.47614333856915708</v>
      </c>
      <c r="M117" s="13">
        <v>-0.32572434099780168</v>
      </c>
      <c r="N117" s="13">
        <v>-0.7790338047827805</v>
      </c>
      <c r="O117" s="13">
        <v>-0.534228648090318</v>
      </c>
      <c r="P117" s="13">
        <v>0.94084354779733204</v>
      </c>
      <c r="Q117" s="13">
        <v>0.5481566413829464</v>
      </c>
      <c r="R117" s="13">
        <v>0.139785128140546</v>
      </c>
      <c r="S117" s="13">
        <v>0.212482136734371</v>
      </c>
      <c r="T117" s="13">
        <v>-0.21502852062376121</v>
      </c>
      <c r="U117" s="13">
        <v>-2.201283440662138</v>
      </c>
      <c r="V117" s="13">
        <v>-1.0552627824414571</v>
      </c>
      <c r="W117" s="13">
        <v>1.576174775901396</v>
      </c>
      <c r="X117" s="13">
        <v>-0.8430808992268779</v>
      </c>
    </row>
    <row r="118" spans="1:24" x14ac:dyDescent="0.2">
      <c r="A118" t="s">
        <v>714</v>
      </c>
      <c r="B118" t="s">
        <v>319</v>
      </c>
      <c r="C118" t="s">
        <v>320</v>
      </c>
      <c r="D118" s="13">
        <v>3.7141098090654578</v>
      </c>
      <c r="E118" s="13">
        <v>1.7635651509584349E-2</v>
      </c>
      <c r="F118" s="13">
        <v>-0.77242589943106177</v>
      </c>
      <c r="G118" s="13">
        <v>2.1427360738871299</v>
      </c>
      <c r="H118" s="13">
        <v>-1.107973223371717</v>
      </c>
      <c r="I118" s="13">
        <v>-0.1102804264572432</v>
      </c>
      <c r="J118" s="13">
        <v>-1.8456069675673701</v>
      </c>
      <c r="K118" s="13">
        <v>-1.359526768541286</v>
      </c>
      <c r="L118" s="13">
        <v>-0.70486670048492961</v>
      </c>
      <c r="M118" s="13">
        <v>0.19954913899749019</v>
      </c>
      <c r="N118" s="13">
        <v>-0.97638630283602978</v>
      </c>
      <c r="O118" s="13">
        <v>-0.58203713787260414</v>
      </c>
      <c r="P118" s="13">
        <v>1.614102590327771</v>
      </c>
      <c r="Q118" s="13">
        <v>0.59727550553032582</v>
      </c>
      <c r="R118" s="13">
        <v>-0.20530026500587001</v>
      </c>
      <c r="S118" s="13">
        <v>8.6974027930852849E-2</v>
      </c>
      <c r="T118" s="13">
        <v>-1.8645525665572649E-2</v>
      </c>
      <c r="U118" s="13">
        <v>-2.3030128858681831</v>
      </c>
      <c r="V118" s="13">
        <v>-0.5788038454400235</v>
      </c>
      <c r="W118" s="13">
        <v>1.8253644819964829</v>
      </c>
      <c r="X118" s="13">
        <v>-0.90202298075449105</v>
      </c>
    </row>
    <row r="119" spans="1:24" x14ac:dyDescent="0.2">
      <c r="A119" t="s">
        <v>714</v>
      </c>
      <c r="B119" t="s">
        <v>321</v>
      </c>
      <c r="C119" t="s">
        <v>322</v>
      </c>
      <c r="D119" s="13">
        <v>2.865708350630936</v>
      </c>
      <c r="E119" s="13">
        <v>-0.46236039583765759</v>
      </c>
      <c r="F119" s="13">
        <v>-1.2039957995374051</v>
      </c>
      <c r="G119" s="13">
        <v>1.336178774011842</v>
      </c>
      <c r="H119" s="13">
        <v>0.32076513103518328</v>
      </c>
      <c r="I119" s="13">
        <v>-0.30982080017676328</v>
      </c>
      <c r="J119" s="13">
        <v>-1.306303968961708</v>
      </c>
      <c r="K119" s="13">
        <v>-1.092888044937357</v>
      </c>
      <c r="L119" s="13">
        <v>-0.8340641902964796</v>
      </c>
      <c r="M119" s="13">
        <v>-0.47966984746672381</v>
      </c>
      <c r="N119" s="13">
        <v>-4.2395184643706507E-2</v>
      </c>
      <c r="O119" s="13">
        <v>-0.43274453646076072</v>
      </c>
      <c r="P119" s="13">
        <v>0.23197114775848071</v>
      </c>
      <c r="Q119" s="13">
        <v>-0.1133994185355314</v>
      </c>
      <c r="R119" s="13">
        <v>1.0537046349444299</v>
      </c>
      <c r="S119" s="13">
        <v>-6.0890654425715951E-2</v>
      </c>
      <c r="T119" s="13">
        <v>0.60949841868676025</v>
      </c>
      <c r="U119" s="13">
        <v>-1.447131008976821</v>
      </c>
      <c r="V119" s="13">
        <v>-0.5442117444574901</v>
      </c>
      <c r="W119" s="13">
        <v>1.778288252366234</v>
      </c>
      <c r="X119" s="13">
        <v>-0.91096220331146061</v>
      </c>
    </row>
    <row r="120" spans="1:24" x14ac:dyDescent="0.2">
      <c r="A120" t="s">
        <v>714</v>
      </c>
      <c r="B120" t="s">
        <v>324</v>
      </c>
      <c r="C120" t="s">
        <v>325</v>
      </c>
      <c r="D120" s="13">
        <v>4.0019423991691561</v>
      </c>
      <c r="E120" s="13">
        <v>8.6964969662362002E-2</v>
      </c>
      <c r="F120" s="13">
        <v>-1.5077106259213879</v>
      </c>
      <c r="G120" s="13">
        <v>1.110538377872117</v>
      </c>
      <c r="H120" s="13">
        <v>-0.21496597996486511</v>
      </c>
      <c r="I120" s="13">
        <v>0.28599557065025483</v>
      </c>
      <c r="J120" s="13">
        <v>-1.377376155389143</v>
      </c>
      <c r="K120" s="13">
        <v>-2.316534834513984</v>
      </c>
      <c r="L120" s="13">
        <v>-0.97206894924762866</v>
      </c>
      <c r="M120" s="13">
        <v>-0.44866745579997808</v>
      </c>
      <c r="N120" s="13">
        <v>-0.14146592511007361</v>
      </c>
      <c r="O120" s="13">
        <v>-0.68953411942794807</v>
      </c>
      <c r="P120" s="13">
        <v>0.38633318165806058</v>
      </c>
      <c r="Q120" s="13">
        <v>0.98634057532163144</v>
      </c>
      <c r="R120" s="13">
        <v>0.52810675397965134</v>
      </c>
      <c r="S120" s="13">
        <v>-1.016532412310323</v>
      </c>
      <c r="T120" s="13">
        <v>-0.47909616033412478</v>
      </c>
      <c r="U120" s="13">
        <v>-4.0852103100429531</v>
      </c>
      <c r="V120" s="13">
        <v>-0.77573873525557113</v>
      </c>
      <c r="W120" s="13">
        <v>1.2888146604881581</v>
      </c>
      <c r="X120" s="13">
        <v>-0.92677085444905494</v>
      </c>
    </row>
    <row r="121" spans="1:24" x14ac:dyDescent="0.2">
      <c r="A121" t="s">
        <v>714</v>
      </c>
      <c r="B121" t="s">
        <v>326</v>
      </c>
      <c r="C121" t="s">
        <v>327</v>
      </c>
      <c r="D121" s="13">
        <v>3.0555026198936459</v>
      </c>
      <c r="E121" s="13">
        <v>-0.20911030343495621</v>
      </c>
      <c r="F121" s="13">
        <v>-0.86828564080375648</v>
      </c>
      <c r="G121" s="13">
        <v>2.3951971988254832</v>
      </c>
      <c r="H121" s="13">
        <v>-1.00473219033772</v>
      </c>
      <c r="I121" s="13">
        <v>-0.5057648213979804</v>
      </c>
      <c r="J121" s="13">
        <v>-1.6378555035996281</v>
      </c>
      <c r="K121" s="13">
        <v>-0.72085227155872511</v>
      </c>
      <c r="L121" s="13">
        <v>-0.82529782358877757</v>
      </c>
      <c r="M121" s="13">
        <v>0.58760532974433399</v>
      </c>
      <c r="N121" s="13">
        <v>-0.93983416870094816</v>
      </c>
      <c r="O121" s="13">
        <v>-0.55781711666539335</v>
      </c>
      <c r="P121" s="13">
        <v>1.3324145184525851</v>
      </c>
      <c r="Q121" s="13">
        <v>-0.19648077600488151</v>
      </c>
      <c r="R121" s="13">
        <v>-0.51195712123200954</v>
      </c>
      <c r="S121" s="13">
        <v>-2.0385472293105171E-3</v>
      </c>
      <c r="T121" s="13">
        <v>0.16900467318166079</v>
      </c>
      <c r="U121" s="13">
        <v>-2.597246216883597</v>
      </c>
      <c r="V121" s="13">
        <v>-0.28700458336743401</v>
      </c>
      <c r="W121" s="13">
        <v>2.0461297397475149</v>
      </c>
      <c r="X121" s="13">
        <v>-0.95412499707673293</v>
      </c>
    </row>
    <row r="122" spans="1:24" x14ac:dyDescent="0.2">
      <c r="A122" s="14" t="s">
        <v>714</v>
      </c>
      <c r="B122" s="14" t="s">
        <v>328</v>
      </c>
      <c r="C122" s="14" t="s">
        <v>329</v>
      </c>
      <c r="D122" s="15">
        <v>3.628226196230067</v>
      </c>
      <c r="E122" s="15">
        <v>2.705138083307634E-2</v>
      </c>
      <c r="F122" s="15">
        <v>-0.98800984279626691</v>
      </c>
      <c r="G122" s="15">
        <v>2.4342048255864279</v>
      </c>
      <c r="H122" s="15">
        <v>-0.54396298550719591</v>
      </c>
      <c r="I122" s="15">
        <v>0.16826020794002969</v>
      </c>
      <c r="J122" s="15">
        <v>-1.411626878133809</v>
      </c>
      <c r="K122" s="15">
        <v>-1.115913310761252</v>
      </c>
      <c r="L122" s="15">
        <v>-1.069367171696445</v>
      </c>
      <c r="M122" s="15">
        <v>-0.42801948640214249</v>
      </c>
      <c r="N122" s="15">
        <v>-0.2115018295773208</v>
      </c>
      <c r="O122" s="15">
        <v>-0.32893680791965529</v>
      </c>
      <c r="P122" s="15">
        <v>0.77851266395629892</v>
      </c>
      <c r="Q122" s="15">
        <v>0.32165604281249038</v>
      </c>
      <c r="R122" s="15">
        <v>1.136905232198071</v>
      </c>
      <c r="S122" s="15">
        <v>-0.58823937064624854</v>
      </c>
      <c r="T122" s="15">
        <v>0.54285898974741897</v>
      </c>
      <c r="U122" s="15">
        <v>-2.341998905772924</v>
      </c>
      <c r="V122" s="15">
        <v>-0.62555184360946203</v>
      </c>
      <c r="W122" s="15">
        <v>2.6652637595313329</v>
      </c>
      <c r="X122" s="15">
        <v>-0.9602731961110833</v>
      </c>
    </row>
    <row r="123" spans="1:24" x14ac:dyDescent="0.2">
      <c r="A123" t="s">
        <v>714</v>
      </c>
      <c r="B123" t="s">
        <v>330</v>
      </c>
      <c r="C123" t="s">
        <v>331</v>
      </c>
      <c r="D123" s="13">
        <v>3.0349359355834382</v>
      </c>
      <c r="E123" s="13">
        <v>-5.7016269418486143E-2</v>
      </c>
      <c r="F123" s="13">
        <v>-1.0080650766703281</v>
      </c>
      <c r="G123" s="13">
        <v>2.561601232145017</v>
      </c>
      <c r="H123" s="13">
        <v>-0.12934608181389701</v>
      </c>
      <c r="I123" s="13">
        <v>0.28676053432357129</v>
      </c>
      <c r="J123" s="13">
        <v>-1.7435969011343699</v>
      </c>
      <c r="K123" s="13">
        <v>-1.493023836385132</v>
      </c>
      <c r="L123" s="13">
        <v>-1.167268225122764</v>
      </c>
      <c r="M123" s="13">
        <v>0.21359014782267319</v>
      </c>
      <c r="N123" s="13">
        <v>-8.0484132565494804E-2</v>
      </c>
      <c r="O123" s="13">
        <v>-0.81788594723729569</v>
      </c>
      <c r="P123" s="13">
        <v>0.84043183601019145</v>
      </c>
      <c r="Q123" s="13">
        <v>0.23518079022104571</v>
      </c>
      <c r="R123" s="13">
        <v>8.05100797589553E-2</v>
      </c>
      <c r="S123" s="13">
        <v>0.50860187725600969</v>
      </c>
      <c r="T123" s="13">
        <v>0.28059211581579202</v>
      </c>
      <c r="U123" s="13">
        <v>-1.549604147762085</v>
      </c>
      <c r="V123" s="13">
        <v>-0.44074094502767341</v>
      </c>
      <c r="W123" s="13">
        <v>1.7616078106448501</v>
      </c>
      <c r="X123" s="13">
        <v>-0.99356364701693733</v>
      </c>
    </row>
    <row r="124" spans="1:24" x14ac:dyDescent="0.2">
      <c r="A124" t="s">
        <v>714</v>
      </c>
      <c r="B124" t="s">
        <v>332</v>
      </c>
      <c r="C124" t="s">
        <v>333</v>
      </c>
      <c r="D124" s="13">
        <v>3.4324087886719701</v>
      </c>
      <c r="E124" s="13">
        <v>0.3194191279101366</v>
      </c>
      <c r="F124" s="13">
        <v>-0.50266892173551625</v>
      </c>
      <c r="G124" s="13">
        <v>2.1982544511907292</v>
      </c>
      <c r="H124" s="13">
        <v>-0.94598656230462375</v>
      </c>
      <c r="I124" s="13">
        <v>-0.29470496062004031</v>
      </c>
      <c r="J124" s="13">
        <v>-0.9474978327816852</v>
      </c>
      <c r="K124" s="13">
        <v>-1.0318443669492641</v>
      </c>
      <c r="L124" s="13">
        <v>-0.73464918206747054</v>
      </c>
      <c r="M124" s="13">
        <v>9.7444635542065505E-2</v>
      </c>
      <c r="N124" s="13">
        <v>-0.80369454596288525</v>
      </c>
      <c r="O124" s="13">
        <v>-0.26332465543690292</v>
      </c>
      <c r="P124" s="13">
        <v>0.96566022893180836</v>
      </c>
      <c r="Q124" s="13">
        <v>3.3979008818807437E-2</v>
      </c>
      <c r="R124" s="13">
        <v>-0.37871689811406212</v>
      </c>
      <c r="S124" s="13">
        <v>-2.4919556770919279E-2</v>
      </c>
      <c r="T124" s="13">
        <v>0.1015793908309304</v>
      </c>
      <c r="U124" s="13">
        <v>-2.0302054964100091</v>
      </c>
      <c r="V124" s="13">
        <v>-0.65525987979039302</v>
      </c>
      <c r="W124" s="13">
        <v>1.720647165250822</v>
      </c>
      <c r="X124" s="13">
        <v>-0.99606237085068106</v>
      </c>
    </row>
    <row r="125" spans="1:24" x14ac:dyDescent="0.2">
      <c r="A125" t="s">
        <v>714</v>
      </c>
      <c r="B125" t="s">
        <v>334</v>
      </c>
      <c r="C125" t="s">
        <v>335</v>
      </c>
      <c r="D125" s="13">
        <v>4.0439340988517092</v>
      </c>
      <c r="E125" s="13">
        <v>-0.25866722648750778</v>
      </c>
      <c r="F125" s="13">
        <v>-0.62316302215275066</v>
      </c>
      <c r="G125" s="13">
        <v>2.229164460446897</v>
      </c>
      <c r="H125" s="13">
        <v>-0.51498716231714869</v>
      </c>
      <c r="I125" s="13">
        <v>-0.36667088127448899</v>
      </c>
      <c r="J125" s="13">
        <v>-1.3048671245147749</v>
      </c>
      <c r="K125" s="13">
        <v>-0.53020905817929842</v>
      </c>
      <c r="L125" s="13">
        <v>-0.93452258746414829</v>
      </c>
      <c r="M125" s="13">
        <v>0.1189726900108878</v>
      </c>
      <c r="N125" s="13">
        <v>-0.69995476743561769</v>
      </c>
      <c r="O125" s="13">
        <v>-0.93341774497389673</v>
      </c>
      <c r="P125" s="13">
        <v>0.28367688890618142</v>
      </c>
      <c r="Q125" s="13">
        <v>8.0044140846613487E-2</v>
      </c>
      <c r="R125" s="13">
        <v>-0.70351446630741998</v>
      </c>
      <c r="S125" s="13">
        <v>6.6470643435834198E-2</v>
      </c>
      <c r="T125" s="13">
        <v>0.27586530270944382</v>
      </c>
      <c r="U125" s="13">
        <v>-2.3684087472918058</v>
      </c>
      <c r="V125" s="13">
        <v>-0.19796447814807161</v>
      </c>
      <c r="W125" s="13">
        <v>1.4780807345613269</v>
      </c>
      <c r="X125" s="13">
        <v>-1.0049261083743819</v>
      </c>
    </row>
    <row r="126" spans="1:24" x14ac:dyDescent="0.2">
      <c r="A126" t="s">
        <v>714</v>
      </c>
      <c r="B126" t="s">
        <v>336</v>
      </c>
      <c r="C126" t="s">
        <v>337</v>
      </c>
      <c r="D126" s="13">
        <v>3.7623327397308119</v>
      </c>
      <c r="E126" s="13">
        <v>0.45786510437419992</v>
      </c>
      <c r="F126" s="13">
        <v>-0.54166266873773017</v>
      </c>
      <c r="G126" s="13">
        <v>2.4928937150332731</v>
      </c>
      <c r="H126" s="13">
        <v>-0.80314700938206585</v>
      </c>
      <c r="I126" s="13">
        <v>0.1672842367528071</v>
      </c>
      <c r="J126" s="13">
        <v>-0.92956157864296785</v>
      </c>
      <c r="K126" s="13">
        <v>-0.82118332180776132</v>
      </c>
      <c r="L126" s="13">
        <v>-0.99794439551796899</v>
      </c>
      <c r="M126" s="13">
        <v>7.8733444049738921E-3</v>
      </c>
      <c r="N126" s="13">
        <v>-0.51221076478245031</v>
      </c>
      <c r="O126" s="13">
        <v>-0.77733839969224006</v>
      </c>
      <c r="P126" s="13">
        <v>1.194605353135425</v>
      </c>
      <c r="Q126" s="13">
        <v>0.22689528439905349</v>
      </c>
      <c r="R126" s="13">
        <v>-0.63634512772242635</v>
      </c>
      <c r="S126" s="13">
        <v>0.21506771461119459</v>
      </c>
      <c r="T126" s="13">
        <v>-0.26447889486358461</v>
      </c>
      <c r="U126" s="13">
        <v>-2.314613820304412</v>
      </c>
      <c r="V126" s="13">
        <v>-0.72663758780449061</v>
      </c>
      <c r="W126" s="13">
        <v>1.365373374833911</v>
      </c>
      <c r="X126" s="13">
        <v>-1.018770251658252</v>
      </c>
    </row>
    <row r="127" spans="1:24" x14ac:dyDescent="0.2">
      <c r="A127" t="s">
        <v>714</v>
      </c>
      <c r="B127" t="s">
        <v>338</v>
      </c>
      <c r="C127" t="s">
        <v>339</v>
      </c>
      <c r="D127" s="13">
        <v>3.541605737633335</v>
      </c>
      <c r="E127" s="13">
        <v>0.28083453806342362</v>
      </c>
      <c r="F127" s="13">
        <v>-0.56666006147967352</v>
      </c>
      <c r="G127" s="13">
        <v>2.104779732833006</v>
      </c>
      <c r="H127" s="13">
        <v>-0.4197692532061148</v>
      </c>
      <c r="I127" s="13">
        <v>0.1616202672825251</v>
      </c>
      <c r="J127" s="13">
        <v>-1.834354435084262</v>
      </c>
      <c r="K127" s="13">
        <v>-1.397383327976609</v>
      </c>
      <c r="L127" s="13">
        <v>-0.64621353123899272</v>
      </c>
      <c r="M127" s="13">
        <v>4.3452460862991593E-2</v>
      </c>
      <c r="N127" s="13">
        <v>-0.99352545748192522</v>
      </c>
      <c r="O127" s="13">
        <v>-0.45965470979763001</v>
      </c>
      <c r="P127" s="13">
        <v>1.088921345340754</v>
      </c>
      <c r="Q127" s="13">
        <v>0.57719372830398186</v>
      </c>
      <c r="R127" s="13">
        <v>-3.3671254365164049E-2</v>
      </c>
      <c r="S127" s="13">
        <v>0.62817763562050821</v>
      </c>
      <c r="T127" s="13">
        <v>6.8082987115158922E-2</v>
      </c>
      <c r="U127" s="13">
        <v>-2.1668723511310661</v>
      </c>
      <c r="V127" s="13">
        <v>-0.37267878917796038</v>
      </c>
      <c r="W127" s="13">
        <v>1.6761981637640979</v>
      </c>
      <c r="X127" s="13">
        <v>-1.0330832249555</v>
      </c>
    </row>
    <row r="128" spans="1:24" x14ac:dyDescent="0.2">
      <c r="A128" t="s">
        <v>714</v>
      </c>
      <c r="B128" t="s">
        <v>340</v>
      </c>
      <c r="C128" t="s">
        <v>341</v>
      </c>
      <c r="D128" s="13">
        <v>3.8289264250042749</v>
      </c>
      <c r="E128" s="13">
        <v>0.21384241321302791</v>
      </c>
      <c r="F128" s="13">
        <v>-0.60926239188024978</v>
      </c>
      <c r="G128" s="13">
        <v>2.2577953476853319</v>
      </c>
      <c r="H128" s="13">
        <v>-1.020425339268749</v>
      </c>
      <c r="I128" s="13">
        <v>-0.25026765440321341</v>
      </c>
      <c r="J128" s="13">
        <v>-1.0301222263444429</v>
      </c>
      <c r="K128" s="13">
        <v>-0.9371017259815595</v>
      </c>
      <c r="L128" s="13">
        <v>-0.51110942122625236</v>
      </c>
      <c r="M128" s="13">
        <v>0.40516025625974011</v>
      </c>
      <c r="N128" s="13">
        <v>-0.68054465397137109</v>
      </c>
      <c r="O128" s="13">
        <v>-0.22285668842129119</v>
      </c>
      <c r="P128" s="13">
        <v>0.866858567789075</v>
      </c>
      <c r="Q128" s="13">
        <v>0.32353568068039801</v>
      </c>
      <c r="R128" s="13">
        <v>-0.21100484580505169</v>
      </c>
      <c r="S128" s="13">
        <v>0.66499060232123597</v>
      </c>
      <c r="T128" s="13">
        <v>0.56859581722912278</v>
      </c>
      <c r="U128" s="13">
        <v>-2.1158511876978041</v>
      </c>
      <c r="V128" s="13">
        <v>-0.47481554456275671</v>
      </c>
      <c r="W128" s="13">
        <v>1.105747030815696</v>
      </c>
      <c r="X128" s="13">
        <v>-1.08701425848583</v>
      </c>
    </row>
    <row r="129" spans="1:24" x14ac:dyDescent="0.2">
      <c r="A129" t="s">
        <v>714</v>
      </c>
      <c r="B129" t="s">
        <v>342</v>
      </c>
      <c r="C129" t="s">
        <v>343</v>
      </c>
      <c r="D129" s="13">
        <v>2.7315208932852109</v>
      </c>
      <c r="E129" s="13">
        <v>-0.59817300818175712</v>
      </c>
      <c r="F129" s="13">
        <v>-1.1088011088011049</v>
      </c>
      <c r="G129" s="13">
        <v>1.377428455433827</v>
      </c>
      <c r="H129" s="13">
        <v>-0.18078339471041541</v>
      </c>
      <c r="I129" s="13">
        <v>0.19561245480215211</v>
      </c>
      <c r="J129" s="13">
        <v>-0.73877743078624158</v>
      </c>
      <c r="K129" s="13">
        <v>-0.85385867941919491</v>
      </c>
      <c r="L129" s="13">
        <v>-0.82208092919957565</v>
      </c>
      <c r="M129" s="13">
        <v>1.126576184338846</v>
      </c>
      <c r="N129" s="13">
        <v>-0.29811140129153418</v>
      </c>
      <c r="O129" s="13">
        <v>-0.83636547402464734</v>
      </c>
      <c r="P129" s="13">
        <v>8.3303115536526029E-2</v>
      </c>
      <c r="Q129" s="13">
        <v>-0.35408628894851862</v>
      </c>
      <c r="R129" s="13">
        <v>-0.46350708789142381</v>
      </c>
      <c r="S129" s="13">
        <v>-9.412037271672169E-3</v>
      </c>
      <c r="T129" s="13">
        <v>0.34926552869032351</v>
      </c>
      <c r="U129" s="13">
        <v>-1.9437924977074419</v>
      </c>
      <c r="V129" s="13">
        <v>-0.3806373970556387</v>
      </c>
      <c r="W129" s="13">
        <v>1.2712442023112169</v>
      </c>
      <c r="X129" s="13">
        <v>-1.096543867722477</v>
      </c>
    </row>
    <row r="130" spans="1:24" x14ac:dyDescent="0.2">
      <c r="A130" t="s">
        <v>714</v>
      </c>
      <c r="B130" t="s">
        <v>344</v>
      </c>
      <c r="C130" t="s">
        <v>345</v>
      </c>
      <c r="D130" s="13">
        <v>3.7902290479823191</v>
      </c>
      <c r="E130" s="13">
        <v>0.2156240389139974</v>
      </c>
      <c r="F130" s="13">
        <v>-0.75445042662384276</v>
      </c>
      <c r="G130" s="13">
        <v>2.2249787993095178</v>
      </c>
      <c r="H130" s="13">
        <v>-1.019851736304223</v>
      </c>
      <c r="I130" s="13">
        <v>-0.53182878751333318</v>
      </c>
      <c r="J130" s="13">
        <v>-1.3441324816796829</v>
      </c>
      <c r="K130" s="13">
        <v>-0.82690753528541494</v>
      </c>
      <c r="L130" s="13">
        <v>-0.57006528378971133</v>
      </c>
      <c r="M130" s="13">
        <v>0.66724108903326584</v>
      </c>
      <c r="N130" s="13">
        <v>-0.5433588532904654</v>
      </c>
      <c r="O130" s="13">
        <v>-0.616891798170216</v>
      </c>
      <c r="P130" s="13">
        <v>1.298555860491613</v>
      </c>
      <c r="Q130" s="13">
        <v>-0.17432408830813101</v>
      </c>
      <c r="R130" s="13">
        <v>-0.84695856797925018</v>
      </c>
      <c r="S130" s="13">
        <v>9.8491929611688178E-2</v>
      </c>
      <c r="T130" s="13">
        <v>0.30836452398530501</v>
      </c>
      <c r="U130" s="13">
        <v>-2.3299063589232061</v>
      </c>
      <c r="V130" s="13">
        <v>-0.8533253692060816</v>
      </c>
      <c r="W130" s="13">
        <v>1.317611413074893</v>
      </c>
      <c r="X130" s="13">
        <v>-1.1260575684642891</v>
      </c>
    </row>
    <row r="131" spans="1:24" x14ac:dyDescent="0.2">
      <c r="A131" t="s">
        <v>714</v>
      </c>
      <c r="B131" t="s">
        <v>346</v>
      </c>
      <c r="C131" t="s">
        <v>347</v>
      </c>
      <c r="D131" s="13">
        <v>3.6806079907977018</v>
      </c>
      <c r="E131" s="13">
        <v>0.193211737466914</v>
      </c>
      <c r="F131" s="13">
        <v>-0.61094612311888286</v>
      </c>
      <c r="G131" s="13">
        <v>2.3804782141857221</v>
      </c>
      <c r="H131" s="13">
        <v>-0.82615609265085377</v>
      </c>
      <c r="I131" s="13">
        <v>-0.34878915712710512</v>
      </c>
      <c r="J131" s="13">
        <v>-1.224480641773817</v>
      </c>
      <c r="K131" s="13">
        <v>-1.014996532342838</v>
      </c>
      <c r="L131" s="13">
        <v>-0.70062522041778319</v>
      </c>
      <c r="M131" s="13">
        <v>-0.20702910733636501</v>
      </c>
      <c r="N131" s="13">
        <v>-0.87541597631476398</v>
      </c>
      <c r="O131" s="13">
        <v>-0.17183627135667351</v>
      </c>
      <c r="P131" s="13">
        <v>1.061776061776065</v>
      </c>
      <c r="Q131" s="13">
        <v>0.5452178418128284</v>
      </c>
      <c r="R131" s="13">
        <v>-0.19559487106782791</v>
      </c>
      <c r="S131" s="13">
        <v>-0.28442443150292762</v>
      </c>
      <c r="T131" s="13">
        <v>0.27217788933791009</v>
      </c>
      <c r="U131" s="13">
        <v>-2.4238725310479441</v>
      </c>
      <c r="V131" s="13">
        <v>-0.98089368731458793</v>
      </c>
      <c r="W131" s="13">
        <v>2.043743806033782</v>
      </c>
      <c r="X131" s="13">
        <v>-1.1514291341356839</v>
      </c>
    </row>
    <row r="132" spans="1:24" x14ac:dyDescent="0.2">
      <c r="A132" t="s">
        <v>714</v>
      </c>
      <c r="B132" t="s">
        <v>348</v>
      </c>
      <c r="C132" t="s">
        <v>349</v>
      </c>
      <c r="D132" s="13">
        <v>4.0327100344913047</v>
      </c>
      <c r="E132" s="13">
        <v>0.73882144490484691</v>
      </c>
      <c r="F132" s="13">
        <v>-1.062636140858952</v>
      </c>
      <c r="G132" s="13">
        <v>2.3301915340655071</v>
      </c>
      <c r="H132" s="13">
        <v>-1.0263812729835899</v>
      </c>
      <c r="I132" s="13">
        <v>-0.27530000396135401</v>
      </c>
      <c r="J132" s="13">
        <v>-1.1518972717171061</v>
      </c>
      <c r="K132" s="13">
        <v>-0.43052255234318221</v>
      </c>
      <c r="L132" s="13">
        <v>-1.203447328734941</v>
      </c>
      <c r="M132" s="13">
        <v>0.50465155574803688</v>
      </c>
      <c r="N132" s="13">
        <v>-0.96124352826377768</v>
      </c>
      <c r="O132" s="13">
        <v>-0.50522914913265771</v>
      </c>
      <c r="P132" s="13">
        <v>0.58989667709898885</v>
      </c>
      <c r="Q132" s="13">
        <v>-0.63932666819063177</v>
      </c>
      <c r="R132" s="13">
        <v>-0.73855879468514019</v>
      </c>
      <c r="S132" s="13">
        <v>0.163098418797647</v>
      </c>
      <c r="T132" s="13">
        <v>0.22620039689442711</v>
      </c>
      <c r="U132" s="13">
        <v>-2.5862600298739991</v>
      </c>
      <c r="V132" s="13">
        <v>-0.33753694730285222</v>
      </c>
      <c r="W132" s="13">
        <v>1.1621684316133201</v>
      </c>
      <c r="X132" s="13">
        <v>-1.2105074850245809</v>
      </c>
    </row>
    <row r="133" spans="1:24" x14ac:dyDescent="0.2">
      <c r="A133" t="s">
        <v>714</v>
      </c>
      <c r="B133" t="s">
        <v>350</v>
      </c>
      <c r="C133" t="s">
        <v>351</v>
      </c>
      <c r="D133" s="13">
        <v>2.3483258425731619</v>
      </c>
      <c r="E133" s="13">
        <v>-1.0448056766423131</v>
      </c>
      <c r="F133" s="13">
        <v>-1.852235847828299</v>
      </c>
      <c r="G133" s="13">
        <v>1.0430894708396869</v>
      </c>
      <c r="H133" s="13">
        <v>0.39094980379570382</v>
      </c>
      <c r="I133" s="13">
        <v>-0.86531335822955802</v>
      </c>
      <c r="J133" s="13">
        <v>-1.815601173593651</v>
      </c>
      <c r="K133" s="13">
        <v>-0.98106785366837146</v>
      </c>
      <c r="L133" s="13">
        <v>-0.82092440057692784</v>
      </c>
      <c r="M133" s="13">
        <v>0.63656102498359513</v>
      </c>
      <c r="N133" s="13">
        <v>0.53862992385669273</v>
      </c>
      <c r="O133" s="13">
        <v>-0.63027261732160333</v>
      </c>
      <c r="P133" s="13">
        <v>0.1063416945120466</v>
      </c>
      <c r="Q133" s="13">
        <v>0.1102563586201422</v>
      </c>
      <c r="R133" s="13">
        <v>0.58826635553967943</v>
      </c>
      <c r="S133" s="13">
        <v>-0.97541830871663571</v>
      </c>
      <c r="T133" s="13">
        <v>-0.55044852530031774</v>
      </c>
      <c r="U133" s="13">
        <v>-2.20420813756026</v>
      </c>
      <c r="V133" s="13">
        <v>-0.93558371780646521</v>
      </c>
      <c r="W133" s="13">
        <v>2.1051293942561999</v>
      </c>
      <c r="X133" s="13">
        <v>-1.261619589553431</v>
      </c>
    </row>
    <row r="134" spans="1:24" x14ac:dyDescent="0.2">
      <c r="A134" t="s">
        <v>714</v>
      </c>
      <c r="B134" t="s">
        <v>353</v>
      </c>
      <c r="C134" t="s">
        <v>354</v>
      </c>
      <c r="D134" s="13">
        <v>3.7159767411375721</v>
      </c>
      <c r="E134" s="13">
        <v>0.21996292298864789</v>
      </c>
      <c r="F134" s="13">
        <v>-0.61522969511197401</v>
      </c>
      <c r="G134" s="13">
        <v>2.690958297759849</v>
      </c>
      <c r="H134" s="13">
        <v>-1.096382120853356</v>
      </c>
      <c r="I134" s="13">
        <v>-0.39079037813648521</v>
      </c>
      <c r="J134" s="13">
        <v>-1.206694254109586</v>
      </c>
      <c r="K134" s="13">
        <v>-1.1552712544711019</v>
      </c>
      <c r="L134" s="13">
        <v>-0.63842945965175701</v>
      </c>
      <c r="M134" s="13">
        <v>6.3755599956305531E-2</v>
      </c>
      <c r="N134" s="13">
        <v>-0.91243553550562906</v>
      </c>
      <c r="O134" s="13">
        <v>-0.42516847829831012</v>
      </c>
      <c r="P134" s="13">
        <v>1.1390518803694241</v>
      </c>
      <c r="Q134" s="13">
        <v>5.9061522663683703E-2</v>
      </c>
      <c r="R134" s="13">
        <v>-0.35049826020259189</v>
      </c>
      <c r="S134" s="13">
        <v>0.41708965198272718</v>
      </c>
      <c r="T134" s="13">
        <v>0.35100199506137297</v>
      </c>
      <c r="U134" s="13">
        <v>-2.1682213000576041</v>
      </c>
      <c r="V134" s="13">
        <v>-0.45960559796439648</v>
      </c>
      <c r="W134" s="13">
        <v>1.6796044958540479</v>
      </c>
      <c r="X134" s="13">
        <v>-1.320368288966689</v>
      </c>
    </row>
    <row r="135" spans="1:24" x14ac:dyDescent="0.2">
      <c r="A135" t="s">
        <v>714</v>
      </c>
      <c r="B135" t="s">
        <v>355</v>
      </c>
      <c r="C135" t="s">
        <v>356</v>
      </c>
      <c r="D135" s="13">
        <v>1.7716736513938121</v>
      </c>
      <c r="E135" s="13">
        <v>0.30914217729771648</v>
      </c>
      <c r="F135" s="13">
        <v>-1.0208497045072651</v>
      </c>
      <c r="G135" s="13">
        <v>1.7523774948756901</v>
      </c>
      <c r="H135" s="13">
        <v>-1.324125786430119</v>
      </c>
      <c r="I135" s="13">
        <v>4.0721768738816166E-3</v>
      </c>
      <c r="J135" s="13">
        <v>-1.5842360370293409</v>
      </c>
      <c r="K135" s="13">
        <v>-0.94841054050172069</v>
      </c>
      <c r="L135" s="13">
        <v>-1.137155985411997</v>
      </c>
      <c r="M135" s="13">
        <v>8.8079668222396101E-2</v>
      </c>
      <c r="N135" s="13">
        <v>-8.076528938885108E-2</v>
      </c>
      <c r="O135" s="13">
        <v>-0.44236283409351262</v>
      </c>
      <c r="P135" s="13">
        <v>1.5302001529593929</v>
      </c>
      <c r="Q135" s="13">
        <v>0.82400433957248165</v>
      </c>
      <c r="R135" s="13">
        <v>-0.75458529925339635</v>
      </c>
      <c r="S135" s="13">
        <v>7.9089338821392019E-2</v>
      </c>
      <c r="T135" s="13">
        <v>-0.63987429091416637</v>
      </c>
      <c r="U135" s="13">
        <v>-2.402552530303681</v>
      </c>
      <c r="V135" s="13">
        <v>-0.95914720608586412</v>
      </c>
      <c r="W135" s="13">
        <v>1.4815699177887161</v>
      </c>
      <c r="X135" s="13">
        <v>-1.367564242954999</v>
      </c>
    </row>
    <row r="136" spans="1:24" x14ac:dyDescent="0.2">
      <c r="A136" t="s">
        <v>714</v>
      </c>
      <c r="B136" t="s">
        <v>358</v>
      </c>
      <c r="C136" t="s">
        <v>359</v>
      </c>
      <c r="D136" s="13">
        <v>4.558324951738002</v>
      </c>
      <c r="E136" s="13">
        <v>0.77674487336494291</v>
      </c>
      <c r="F136" s="13">
        <v>-0.95396688420257281</v>
      </c>
      <c r="G136" s="13">
        <v>3.0189636043100432</v>
      </c>
      <c r="H136" s="13">
        <v>-1.137222707673635</v>
      </c>
      <c r="I136" s="13">
        <v>0.12514445635676269</v>
      </c>
      <c r="J136" s="13">
        <v>-1.3019448517387009</v>
      </c>
      <c r="K136" s="13">
        <v>-0.67347999229021571</v>
      </c>
      <c r="L136" s="13">
        <v>-1.1524520884967031</v>
      </c>
      <c r="M136" s="13">
        <v>-0.1315075727352899</v>
      </c>
      <c r="N136" s="13">
        <v>-1.1538014983210829</v>
      </c>
      <c r="O136" s="13">
        <v>-0.73877446590763229</v>
      </c>
      <c r="P136" s="13">
        <v>1.109467585608948</v>
      </c>
      <c r="Q136" s="13">
        <v>0.33053800346936058</v>
      </c>
      <c r="R136" s="13">
        <v>-0.91980095618182656</v>
      </c>
      <c r="S136" s="13">
        <v>0.27987744142361493</v>
      </c>
      <c r="T136" s="13">
        <v>-0.12804022892639599</v>
      </c>
      <c r="U136" s="13">
        <v>-2.665754939331344</v>
      </c>
      <c r="V136" s="13">
        <v>-0.99776209042158337</v>
      </c>
      <c r="W136" s="13">
        <v>1.5200002415670431</v>
      </c>
      <c r="X136" s="13">
        <v>-1.4696994213051151</v>
      </c>
    </row>
    <row r="137" spans="1:24" x14ac:dyDescent="0.2">
      <c r="A137" t="s">
        <v>714</v>
      </c>
      <c r="B137" t="s">
        <v>360</v>
      </c>
      <c r="C137" t="s">
        <v>361</v>
      </c>
      <c r="D137" s="13">
        <v>4.1126219891061364</v>
      </c>
      <c r="E137" s="13">
        <v>0.93659058173782839</v>
      </c>
      <c r="F137" s="13">
        <v>-0.37997432077566667</v>
      </c>
      <c r="G137" s="13">
        <v>2.6362553123044701</v>
      </c>
      <c r="H137" s="13">
        <v>-0.7763516217953681</v>
      </c>
      <c r="I137" s="13">
        <v>0.35201464578966668</v>
      </c>
      <c r="J137" s="13">
        <v>-1.4292200429455</v>
      </c>
      <c r="K137" s="13">
        <v>-1.0701433308451971</v>
      </c>
      <c r="L137" s="13">
        <v>-1.2732431391619059</v>
      </c>
      <c r="M137" s="13">
        <v>3.3178174217618477E-2</v>
      </c>
      <c r="N137" s="13">
        <v>-0.43775120323205069</v>
      </c>
      <c r="O137" s="13">
        <v>-0.12676647463718549</v>
      </c>
      <c r="P137" s="13">
        <v>0.93071114333862504</v>
      </c>
      <c r="Q137" s="13">
        <v>0.88080637503200609</v>
      </c>
      <c r="R137" s="13">
        <v>0.84925441154344306</v>
      </c>
      <c r="S137" s="13">
        <v>-5.1052860008160561E-2</v>
      </c>
      <c r="T137" s="13">
        <v>0.13220850912722959</v>
      </c>
      <c r="U137" s="13">
        <v>-2.05241911923284</v>
      </c>
      <c r="V137" s="13">
        <v>-0.32597978630852792</v>
      </c>
      <c r="W137" s="13">
        <v>2.078193054563426</v>
      </c>
      <c r="X137" s="13">
        <v>-1.560193657384767</v>
      </c>
    </row>
    <row r="138" spans="1:24" x14ac:dyDescent="0.2">
      <c r="A138" t="s">
        <v>714</v>
      </c>
      <c r="B138" t="s">
        <v>362</v>
      </c>
      <c r="C138" t="s">
        <v>363</v>
      </c>
      <c r="D138" s="13">
        <v>3.59406407167433</v>
      </c>
      <c r="E138" s="13">
        <v>-0.16420909755500149</v>
      </c>
      <c r="F138" s="13">
        <v>-0.47122829924586268</v>
      </c>
      <c r="G138" s="13">
        <v>2.06686171604118</v>
      </c>
      <c r="H138" s="13">
        <v>-0.76659374388240442</v>
      </c>
      <c r="I138" s="13">
        <v>-0.62213756006320731</v>
      </c>
      <c r="J138" s="13">
        <v>-1.0664448223572041</v>
      </c>
      <c r="K138" s="13">
        <v>-0.16202104309535059</v>
      </c>
      <c r="L138" s="13">
        <v>-0.80510603117965873</v>
      </c>
      <c r="M138" s="13">
        <v>0.28461496211065201</v>
      </c>
      <c r="N138" s="13">
        <v>-0.39613087370925498</v>
      </c>
      <c r="O138" s="13">
        <v>-6.3805700921515385E-2</v>
      </c>
      <c r="P138" s="13">
        <v>0.7124279427547453</v>
      </c>
      <c r="Q138" s="13">
        <v>0.16102301808036401</v>
      </c>
      <c r="R138" s="13">
        <v>-0.46192817083471338</v>
      </c>
      <c r="S138" s="13">
        <v>-7.4994893787327932E-2</v>
      </c>
      <c r="T138" s="13">
        <v>0.40897930914258751</v>
      </c>
      <c r="U138" s="13">
        <v>-2.3437065266507791</v>
      </c>
      <c r="V138" s="13">
        <v>-0.33387554975194972</v>
      </c>
      <c r="W138" s="13">
        <v>1.183086279674517</v>
      </c>
      <c r="X138" s="13">
        <v>-1.60212794589305</v>
      </c>
    </row>
    <row r="139" spans="1:24" x14ac:dyDescent="0.2">
      <c r="A139" t="s">
        <v>714</v>
      </c>
      <c r="B139" t="s">
        <v>364</v>
      </c>
      <c r="C139" t="s">
        <v>365</v>
      </c>
      <c r="D139" s="13">
        <v>3.491071462938899</v>
      </c>
      <c r="E139" s="13">
        <v>0.40516142223336882</v>
      </c>
      <c r="F139" s="13">
        <v>-0.29063778650142419</v>
      </c>
      <c r="G139" s="13">
        <v>2.3771611951194371</v>
      </c>
      <c r="H139" s="13">
        <v>-0.77843017880125931</v>
      </c>
      <c r="I139" s="13">
        <v>-0.1768111191681743</v>
      </c>
      <c r="J139" s="13">
        <v>-1.5406521174386349</v>
      </c>
      <c r="K139" s="13">
        <v>-1.2128501212254279</v>
      </c>
      <c r="L139" s="13">
        <v>-0.61646515505747734</v>
      </c>
      <c r="M139" s="13">
        <v>4.5269448871310132E-2</v>
      </c>
      <c r="N139" s="13">
        <v>-1.035494033482298</v>
      </c>
      <c r="O139" s="13">
        <v>-0.34373418972230008</v>
      </c>
      <c r="P139" s="13">
        <v>1.024175064245014</v>
      </c>
      <c r="Q139" s="13">
        <v>0.42507992905427278</v>
      </c>
      <c r="R139" s="13">
        <v>-0.32596869434696751</v>
      </c>
      <c r="S139" s="13">
        <v>0.45309569448210851</v>
      </c>
      <c r="T139" s="13">
        <v>0.26299102162974369</v>
      </c>
      <c r="U139" s="13">
        <v>-2.4118820103592791</v>
      </c>
      <c r="V139" s="13">
        <v>-0.49234186808770902</v>
      </c>
      <c r="W139" s="13">
        <v>1.793370649975023</v>
      </c>
      <c r="X139" s="13">
        <v>-1.738890228753309</v>
      </c>
    </row>
    <row r="140" spans="1:24" x14ac:dyDescent="0.2">
      <c r="A140" t="s">
        <v>714</v>
      </c>
      <c r="B140" t="s">
        <v>366</v>
      </c>
      <c r="C140" t="s">
        <v>367</v>
      </c>
      <c r="D140" s="13">
        <v>2.866427364937163</v>
      </c>
      <c r="E140" s="13">
        <v>-0.35132658031772351</v>
      </c>
      <c r="F140" s="13">
        <v>-1.370053937516658</v>
      </c>
      <c r="G140" s="13">
        <v>1.460408340061714</v>
      </c>
      <c r="H140" s="13">
        <v>-0.62976676301034207</v>
      </c>
      <c r="I140" s="13">
        <v>-4.4399263408934082E-2</v>
      </c>
      <c r="J140" s="13">
        <v>-1.188333882891468</v>
      </c>
      <c r="K140" s="13">
        <v>-0.14685838879416879</v>
      </c>
      <c r="L140" s="13">
        <v>-0.94106219418246262</v>
      </c>
      <c r="M140" s="13">
        <v>2.4509656432125659E-2</v>
      </c>
      <c r="N140" s="13">
        <v>-2.220225557728606E-2</v>
      </c>
      <c r="O140" s="13">
        <v>-0.46385797181625049</v>
      </c>
      <c r="P140" s="13">
        <v>0.30977773768787742</v>
      </c>
      <c r="Q140" s="13">
        <v>0.26696827471357493</v>
      </c>
      <c r="R140" s="13">
        <v>-0.80217845097831919</v>
      </c>
      <c r="S140" s="13">
        <v>0.33528480116293841</v>
      </c>
      <c r="T140" s="13">
        <v>0.41356439053676919</v>
      </c>
      <c r="U140" s="13">
        <v>-2.969136242075765</v>
      </c>
      <c r="V140" s="13">
        <v>-0.35204252451739299</v>
      </c>
      <c r="W140" s="13">
        <v>0.84927121753821666</v>
      </c>
      <c r="X140" s="13">
        <v>-1.8582194379905601</v>
      </c>
    </row>
    <row r="141" spans="1:24" x14ac:dyDescent="0.2">
      <c r="A141" t="s">
        <v>716</v>
      </c>
      <c r="B141" t="s">
        <v>370</v>
      </c>
      <c r="C141" t="s">
        <v>371</v>
      </c>
      <c r="D141" s="13">
        <v>0.33912862847793601</v>
      </c>
      <c r="E141" s="13">
        <v>-0.26831571699729162</v>
      </c>
      <c r="F141" s="13">
        <v>-2.892124907142302E-2</v>
      </c>
      <c r="G141" s="13">
        <v>-6.6724759201775008E-2</v>
      </c>
      <c r="H141" s="13">
        <v>-0.35660881938551769</v>
      </c>
      <c r="I141" s="13">
        <v>-8.1417388879911901E-2</v>
      </c>
      <c r="J141" s="13">
        <v>-0.25547201356265198</v>
      </c>
      <c r="K141" s="13">
        <v>-0.27822444143533742</v>
      </c>
      <c r="L141" s="13">
        <v>-0.34206168190149538</v>
      </c>
      <c r="M141" s="13">
        <v>0.16901581699455551</v>
      </c>
      <c r="N141" s="13">
        <v>-0.44951541600544148</v>
      </c>
      <c r="O141" s="13">
        <v>-0.21669898767058271</v>
      </c>
      <c r="P141" s="13">
        <v>0.27612751076340197</v>
      </c>
      <c r="Q141" s="13">
        <v>0.1876479520531715</v>
      </c>
      <c r="R141" s="13">
        <v>-0.8472711267605737</v>
      </c>
      <c r="S141" s="13">
        <v>0.1141973430323517</v>
      </c>
      <c r="T141" s="13">
        <v>2.7056664044455839E-2</v>
      </c>
      <c r="U141" s="13">
        <v>-0.83698062575741083</v>
      </c>
      <c r="V141" s="13">
        <v>-0.39330291534434009</v>
      </c>
      <c r="W141" s="13">
        <v>0.46663690871144858</v>
      </c>
      <c r="X141" s="13">
        <v>0.78172093883364102</v>
      </c>
    </row>
    <row r="142" spans="1:24" x14ac:dyDescent="0.2">
      <c r="A142" t="s">
        <v>716</v>
      </c>
      <c r="B142" t="s">
        <v>372</v>
      </c>
      <c r="C142" t="s">
        <v>373</v>
      </c>
      <c r="D142" s="13">
        <v>2.001735304053565</v>
      </c>
      <c r="E142" s="13">
        <v>0.14457790399546869</v>
      </c>
      <c r="F142" s="13">
        <v>-0.79371248556661111</v>
      </c>
      <c r="G142" s="13">
        <v>0.42959206205612782</v>
      </c>
      <c r="H142" s="13">
        <v>-4.6030947833242131E-2</v>
      </c>
      <c r="I142" s="13">
        <v>0.15738622494450019</v>
      </c>
      <c r="J142" s="13">
        <v>-1.427852836364407</v>
      </c>
      <c r="K142" s="13">
        <v>-0.45812082775116281</v>
      </c>
      <c r="L142" s="13">
        <v>-0.10202445987688161</v>
      </c>
      <c r="M142" s="13">
        <v>-3.6717167227173768E-2</v>
      </c>
      <c r="N142" s="13">
        <v>0.44785367895818767</v>
      </c>
      <c r="O142" s="13">
        <v>0.474793681414587</v>
      </c>
      <c r="P142" s="13">
        <v>0.73662212689071804</v>
      </c>
      <c r="Q142" s="13">
        <v>0.34847839398399749</v>
      </c>
      <c r="R142" s="13">
        <v>-0.46626076442953801</v>
      </c>
      <c r="S142" s="13">
        <v>0.4797662261096125</v>
      </c>
      <c r="T142" s="13">
        <v>-0.22435252400132549</v>
      </c>
      <c r="U142" s="13">
        <v>-0.92613241704937455</v>
      </c>
      <c r="V142" s="13">
        <v>-0.7096230302387263</v>
      </c>
      <c r="W142" s="13">
        <v>1.2460769045829381</v>
      </c>
      <c r="X142" s="13">
        <v>0.38193686774687929</v>
      </c>
    </row>
    <row r="143" spans="1:24" x14ac:dyDescent="0.2">
      <c r="A143" t="s">
        <v>716</v>
      </c>
      <c r="B143" t="s">
        <v>374</v>
      </c>
      <c r="C143" t="s">
        <v>375</v>
      </c>
      <c r="D143" s="13">
        <v>0.65333858052905036</v>
      </c>
      <c r="E143" s="13">
        <v>-7.1966203922935179E-2</v>
      </c>
      <c r="F143" s="13">
        <v>9.8362291233433652E-2</v>
      </c>
      <c r="G143" s="13">
        <v>-0.23421793168746369</v>
      </c>
      <c r="H143" s="13">
        <v>0.52635440259869437</v>
      </c>
      <c r="I143" s="13">
        <v>0.3635064945147759</v>
      </c>
      <c r="J143" s="13">
        <v>0.2351681607065004</v>
      </c>
      <c r="K143" s="13">
        <v>-0.13613926336619731</v>
      </c>
      <c r="L143" s="13">
        <v>-0.1860942465346849</v>
      </c>
      <c r="M143" s="13">
        <v>8.9349314007858283E-2</v>
      </c>
      <c r="N143" s="13">
        <v>0.53778329932221425</v>
      </c>
      <c r="O143" s="13">
        <v>0.15465511908445689</v>
      </c>
      <c r="P143" s="13">
        <v>0.35969012258041388</v>
      </c>
      <c r="Q143" s="13">
        <v>0.20407882066018071</v>
      </c>
      <c r="R143" s="13">
        <v>0.34162857212702852</v>
      </c>
      <c r="S143" s="13">
        <v>5.1922502999635078E-2</v>
      </c>
      <c r="T143" s="13">
        <v>0.20940846673738189</v>
      </c>
      <c r="U143" s="13">
        <v>0.2537720304040425</v>
      </c>
      <c r="V143" s="13">
        <v>0.18693117781791721</v>
      </c>
      <c r="W143" s="13">
        <v>0.40431226091295352</v>
      </c>
      <c r="X143" s="13">
        <v>0.26760274921542321</v>
      </c>
    </row>
    <row r="144" spans="1:24" x14ac:dyDescent="0.2">
      <c r="A144" t="s">
        <v>716</v>
      </c>
      <c r="B144" t="s">
        <v>376</v>
      </c>
      <c r="C144" t="s">
        <v>377</v>
      </c>
      <c r="D144" s="13">
        <v>0.2217516602854408</v>
      </c>
      <c r="E144" s="13">
        <v>5.4335999357202347E-2</v>
      </c>
      <c r="F144" s="13">
        <v>5.7875617946856472E-2</v>
      </c>
      <c r="G144" s="13">
        <v>-5.1800430009318887E-2</v>
      </c>
      <c r="H144" s="13">
        <v>0.12688593236847009</v>
      </c>
      <c r="I144" s="13">
        <v>0.17746197299128849</v>
      </c>
      <c r="J144" s="13">
        <v>7.7154608317231421E-2</v>
      </c>
      <c r="K144" s="13">
        <v>6.2129405374267137E-2</v>
      </c>
      <c r="L144" s="13">
        <v>9.1570648137406785E-2</v>
      </c>
      <c r="M144" s="13">
        <v>0.1624843250937813</v>
      </c>
      <c r="N144" s="13">
        <v>0.1921574295427497</v>
      </c>
      <c r="O144" s="13">
        <v>5.9062135732368397E-2</v>
      </c>
      <c r="P144" s="13">
        <v>4.3196076603191358E-3</v>
      </c>
      <c r="Q144" s="13">
        <v>7.990376639155361E-2</v>
      </c>
      <c r="R144" s="13">
        <v>0.1322939382553345</v>
      </c>
      <c r="S144" s="13">
        <v>0.2314978894557784</v>
      </c>
      <c r="T144" s="13">
        <v>4.8293308324787183E-2</v>
      </c>
      <c r="U144" s="13">
        <v>2.0062114505092769E-2</v>
      </c>
      <c r="V144" s="13">
        <v>6.3361584283594397E-2</v>
      </c>
      <c r="W144" s="13">
        <v>0.1329366286708655</v>
      </c>
      <c r="X144" s="13">
        <v>0.1469981542139065</v>
      </c>
    </row>
    <row r="145" spans="1:24" x14ac:dyDescent="0.2">
      <c r="A145" t="s">
        <v>716</v>
      </c>
      <c r="B145" t="s">
        <v>378</v>
      </c>
      <c r="C145" t="s">
        <v>379</v>
      </c>
      <c r="D145" s="13">
        <v>0.48298680022107471</v>
      </c>
      <c r="E145" s="13">
        <v>0.31466626068081821</v>
      </c>
      <c r="F145" s="13">
        <v>0.21249027232919099</v>
      </c>
      <c r="G145" s="13">
        <v>4.4767368926668112E-2</v>
      </c>
      <c r="H145" s="13">
        <v>0.1322117317284377</v>
      </c>
      <c r="I145" s="13">
        <v>0.1031479508854183</v>
      </c>
      <c r="J145" s="13">
        <v>4.7218652826219731E-2</v>
      </c>
      <c r="K145" s="13">
        <v>-0.14719306326773651</v>
      </c>
      <c r="L145" s="13">
        <v>6.4394571002401868E-2</v>
      </c>
      <c r="M145" s="13">
        <v>0.27237422204846601</v>
      </c>
      <c r="N145" s="13">
        <v>8.8766545924112705E-2</v>
      </c>
      <c r="O145" s="13">
        <v>0.1698975026569238</v>
      </c>
      <c r="P145" s="13">
        <v>0.13004081491814201</v>
      </c>
      <c r="Q145" s="13">
        <v>8.9195364095506768E-2</v>
      </c>
      <c r="R145" s="13">
        <v>0.23681108351167879</v>
      </c>
      <c r="S145" s="13">
        <v>9.4699675228260283E-2</v>
      </c>
      <c r="T145" s="13">
        <v>9.1659528149068414E-2</v>
      </c>
      <c r="U145" s="13">
        <v>1.099035252116742E-2</v>
      </c>
      <c r="V145" s="13">
        <v>4.5254131181549077E-2</v>
      </c>
      <c r="W145" s="13">
        <v>0.35727386892228102</v>
      </c>
      <c r="X145" s="13">
        <v>0.12897951421120271</v>
      </c>
    </row>
    <row r="146" spans="1:24" x14ac:dyDescent="0.2">
      <c r="A146" t="s">
        <v>716</v>
      </c>
      <c r="B146" t="s">
        <v>380</v>
      </c>
      <c r="C146" t="s">
        <v>381</v>
      </c>
      <c r="D146" s="13">
        <v>0.85353866317168237</v>
      </c>
      <c r="E146" s="13">
        <v>-1.624405061650958E-3</v>
      </c>
      <c r="F146" s="13">
        <v>6.010396361273429E-2</v>
      </c>
      <c r="G146" s="13">
        <v>-0.25650599866876572</v>
      </c>
      <c r="H146" s="13">
        <v>0.18066700304366631</v>
      </c>
      <c r="I146" s="13">
        <v>0.1494719740048778</v>
      </c>
      <c r="J146" s="13">
        <v>9.0847149670669758E-2</v>
      </c>
      <c r="K146" s="13">
        <v>0.29336445265648597</v>
      </c>
      <c r="L146" s="13">
        <v>0.14867725722780281</v>
      </c>
      <c r="M146" s="13">
        <v>0.2130028561746711</v>
      </c>
      <c r="N146" s="13">
        <v>0.15780236059450559</v>
      </c>
      <c r="O146" s="13">
        <v>8.8423015707150832E-2</v>
      </c>
      <c r="P146" s="13">
        <v>0.363017219223849</v>
      </c>
      <c r="Q146" s="13">
        <v>3.6810601453218787E-2</v>
      </c>
      <c r="R146" s="13">
        <v>-0.1135909127269796</v>
      </c>
      <c r="S146" s="13">
        <v>2.4025370791536101E-2</v>
      </c>
      <c r="T146" s="13">
        <v>9.4477093308142912E-2</v>
      </c>
      <c r="U146" s="13">
        <v>9.5987713572665001E-2</v>
      </c>
      <c r="V146" s="13">
        <v>6.393044367727363E-2</v>
      </c>
      <c r="W146" s="13">
        <v>0.29868387426528198</v>
      </c>
      <c r="X146" s="13">
        <v>0.1226212278047534</v>
      </c>
    </row>
    <row r="147" spans="1:24" x14ac:dyDescent="0.2">
      <c r="A147" t="s">
        <v>716</v>
      </c>
      <c r="B147" t="s">
        <v>382</v>
      </c>
      <c r="C147" t="s">
        <v>383</v>
      </c>
      <c r="D147" s="13">
        <v>0.29700865389425962</v>
      </c>
      <c r="E147" s="13">
        <v>0.57043820876168105</v>
      </c>
      <c r="F147" s="13">
        <v>0.1965062795224348</v>
      </c>
      <c r="G147" s="13">
        <v>-0.1750858415565992</v>
      </c>
      <c r="H147" s="13">
        <v>0.35512420050574089</v>
      </c>
      <c r="I147" s="13">
        <v>9.5105758838953669E-2</v>
      </c>
      <c r="J147" s="13">
        <v>3.0849153807710469E-2</v>
      </c>
      <c r="K147" s="13">
        <v>-0.34602076124567999</v>
      </c>
      <c r="L147" s="13">
        <v>1.23786888492905E-3</v>
      </c>
      <c r="M147" s="13">
        <v>0.27418456396608448</v>
      </c>
      <c r="N147" s="13">
        <v>-0.14628455741204641</v>
      </c>
      <c r="O147" s="13">
        <v>0.12733656413805861</v>
      </c>
      <c r="P147" s="13">
        <v>0.2580533639540139</v>
      </c>
      <c r="Q147" s="13">
        <v>0.1613300492610881</v>
      </c>
      <c r="R147" s="13">
        <v>0.27357342218834457</v>
      </c>
      <c r="S147" s="13">
        <v>-4.9047557738168823E-2</v>
      </c>
      <c r="T147" s="13">
        <v>0.21775534113981371</v>
      </c>
      <c r="U147" s="13">
        <v>-0.31521220207855188</v>
      </c>
      <c r="V147" s="13">
        <v>-3.0085898309673009E-2</v>
      </c>
      <c r="W147" s="13">
        <v>0.27146875652568347</v>
      </c>
      <c r="X147" s="13">
        <v>0.1225039813794071</v>
      </c>
    </row>
    <row r="148" spans="1:24" x14ac:dyDescent="0.2">
      <c r="A148" s="14" t="s">
        <v>716</v>
      </c>
      <c r="B148" s="14" t="s">
        <v>384</v>
      </c>
      <c r="C148" s="14" t="s">
        <v>385</v>
      </c>
      <c r="D148" s="15">
        <v>0.723187113637902</v>
      </c>
      <c r="E148" s="15">
        <v>9.7975306192199518E-2</v>
      </c>
      <c r="F148" s="15">
        <v>-0.22541689736214071</v>
      </c>
      <c r="G148" s="15">
        <v>-6.7056067875637115E-2</v>
      </c>
      <c r="H148" s="15">
        <v>0.28875202895286561</v>
      </c>
      <c r="I148" s="15">
        <v>0.3487107845566717</v>
      </c>
      <c r="J148" s="15">
        <v>-0.61242554005884742</v>
      </c>
      <c r="K148" s="15">
        <v>-0.37572938787712168</v>
      </c>
      <c r="L148" s="15">
        <v>0.25010599693231489</v>
      </c>
      <c r="M148" s="15">
        <v>0.20610060912797931</v>
      </c>
      <c r="N148" s="15">
        <v>0.14050566522565419</v>
      </c>
      <c r="O148" s="15">
        <v>0.37405276251292202</v>
      </c>
      <c r="P148" s="15">
        <v>-6.0205857721207227E-2</v>
      </c>
      <c r="Q148" s="15">
        <v>0.27371551041686087</v>
      </c>
      <c r="R148" s="15">
        <v>0.9757232236453417</v>
      </c>
      <c r="S148" s="15">
        <v>-0.34142214987638031</v>
      </c>
      <c r="T148" s="15">
        <v>0.25143301510663912</v>
      </c>
      <c r="U148" s="15">
        <v>-0.19728263027218859</v>
      </c>
      <c r="V148" s="15">
        <v>0.2239881518835585</v>
      </c>
      <c r="W148" s="15">
        <v>0.62115499106965011</v>
      </c>
      <c r="X148" s="15">
        <v>0.1023304644392153</v>
      </c>
    </row>
    <row r="149" spans="1:24" x14ac:dyDescent="0.2">
      <c r="A149" t="s">
        <v>716</v>
      </c>
      <c r="B149" t="s">
        <v>386</v>
      </c>
      <c r="C149" t="s">
        <v>387</v>
      </c>
      <c r="D149" s="13">
        <v>0.1027649735268588</v>
      </c>
      <c r="E149" s="13">
        <v>0.10117165705783029</v>
      </c>
      <c r="F149" s="13">
        <v>0.10218413953524411</v>
      </c>
      <c r="G149" s="13">
        <v>0.1013374313745263</v>
      </c>
      <c r="H149" s="13">
        <v>0.3070419401490776</v>
      </c>
      <c r="I149" s="13">
        <v>0.10203402612958271</v>
      </c>
      <c r="J149" s="13">
        <v>0.1015607111465533</v>
      </c>
      <c r="K149" s="13">
        <v>0.1025644809609982</v>
      </c>
      <c r="L149" s="13">
        <v>0.1017222760727909</v>
      </c>
      <c r="M149" s="13">
        <v>0.30669764325137461</v>
      </c>
      <c r="N149" s="13">
        <v>0.1020423145252414</v>
      </c>
      <c r="O149" s="13">
        <v>0.117705728345463</v>
      </c>
      <c r="P149" s="13">
        <v>0.1010859413628218</v>
      </c>
      <c r="Q149" s="13">
        <v>0.10244739509202019</v>
      </c>
      <c r="R149" s="13">
        <v>0.30483458885708359</v>
      </c>
      <c r="S149" s="13">
        <v>0.1005739273025386</v>
      </c>
      <c r="T149" s="13">
        <v>0.10156497428113199</v>
      </c>
      <c r="U149" s="13">
        <v>0.1018255873154406</v>
      </c>
      <c r="V149" s="13">
        <v>0.10135871539633801</v>
      </c>
      <c r="W149" s="13">
        <v>0.30594580077594191</v>
      </c>
      <c r="X149" s="13">
        <v>9.5158150675489495E-2</v>
      </c>
    </row>
    <row r="150" spans="1:24" x14ac:dyDescent="0.2">
      <c r="A150" t="s">
        <v>716</v>
      </c>
      <c r="B150" t="s">
        <v>388</v>
      </c>
      <c r="C150" t="s">
        <v>389</v>
      </c>
      <c r="D150" s="13">
        <v>2.0866510861547121</v>
      </c>
      <c r="E150" s="13">
        <v>0.23692188387225421</v>
      </c>
      <c r="F150" s="13">
        <v>-0.33090664715884621</v>
      </c>
      <c r="G150" s="13">
        <v>1.255356218452031</v>
      </c>
      <c r="H150" s="13">
        <v>-0.55519735374470747</v>
      </c>
      <c r="I150" s="13">
        <v>0.39119949384054392</v>
      </c>
      <c r="J150" s="13">
        <v>-1.13414229130957</v>
      </c>
      <c r="K150" s="13">
        <v>-0.3570021513691457</v>
      </c>
      <c r="L150" s="13">
        <v>-0.48928521934400449</v>
      </c>
      <c r="M150" s="13">
        <v>-1.0004348481029711E-2</v>
      </c>
      <c r="N150" s="13">
        <v>-0.16906766629203321</v>
      </c>
      <c r="O150" s="13">
        <v>0.65805470691908674</v>
      </c>
      <c r="P150" s="13">
        <v>-6.6189910734038024E-3</v>
      </c>
      <c r="Q150" s="13">
        <v>0.83693347303910315</v>
      </c>
      <c r="R150" s="13">
        <v>0.82914543260261819</v>
      </c>
      <c r="S150" s="13">
        <v>4.6296940339818349E-2</v>
      </c>
      <c r="T150" s="13">
        <v>0.22709487092633651</v>
      </c>
      <c r="U150" s="13">
        <v>-0.33484830827796852</v>
      </c>
      <c r="V150" s="13">
        <v>0.10712838033470901</v>
      </c>
      <c r="W150" s="13">
        <v>8.7769063907883194E-2</v>
      </c>
      <c r="X150" s="13">
        <v>6.1684555187690997E-2</v>
      </c>
    </row>
    <row r="151" spans="1:24" x14ac:dyDescent="0.2">
      <c r="A151" t="s">
        <v>716</v>
      </c>
      <c r="B151" t="s">
        <v>390</v>
      </c>
      <c r="C151" t="s">
        <v>391</v>
      </c>
      <c r="D151" s="13">
        <v>0.34791234685949141</v>
      </c>
      <c r="E151" s="13">
        <v>8.8862400676648079E-2</v>
      </c>
      <c r="F151" s="13">
        <v>5.990212420776686E-2</v>
      </c>
      <c r="G151" s="13">
        <v>0.1751444540855962</v>
      </c>
      <c r="H151" s="13">
        <v>0.21859225873925861</v>
      </c>
      <c r="I151" s="13">
        <v>5.7324083391452341E-2</v>
      </c>
      <c r="J151" s="13">
        <v>-6.5272993653631151E-2</v>
      </c>
      <c r="K151" s="13">
        <v>1.5263978076673901E-2</v>
      </c>
      <c r="L151" s="13">
        <v>3.9573809591408882E-2</v>
      </c>
      <c r="M151" s="13">
        <v>0.30582178962512702</v>
      </c>
      <c r="N151" s="13">
        <v>0.16924543417555779</v>
      </c>
      <c r="O151" s="13">
        <v>3.6546093981715273E-2</v>
      </c>
      <c r="P151" s="13">
        <v>0.18354614685456291</v>
      </c>
      <c r="Q151" s="13">
        <v>1.0807620826029929</v>
      </c>
      <c r="R151" s="13">
        <v>1.1113822130047519</v>
      </c>
      <c r="S151" s="13">
        <v>-1.952541251053574</v>
      </c>
      <c r="T151" s="13">
        <v>5.7837103292857073E-2</v>
      </c>
      <c r="U151" s="13">
        <v>-0.21979450706997031</v>
      </c>
      <c r="V151" s="13">
        <v>0.1197358064646714</v>
      </c>
      <c r="W151" s="13">
        <v>0.31551344801326042</v>
      </c>
      <c r="X151" s="13">
        <v>4.1199808552372368E-2</v>
      </c>
    </row>
    <row r="152" spans="1:24" x14ac:dyDescent="0.2">
      <c r="A152" t="s">
        <v>716</v>
      </c>
      <c r="B152" t="s">
        <v>392</v>
      </c>
      <c r="C152" t="s">
        <v>393</v>
      </c>
      <c r="D152" s="13">
        <v>3.9217661411198979</v>
      </c>
      <c r="E152" s="13">
        <v>0.29374362301108897</v>
      </c>
      <c r="F152" s="13">
        <v>0.14331402533382939</v>
      </c>
      <c r="G152" s="13">
        <v>0.98026525282242094</v>
      </c>
      <c r="H152" s="13">
        <v>9.5199970165715797E-2</v>
      </c>
      <c r="I152" s="13">
        <v>0.41911801199028259</v>
      </c>
      <c r="J152" s="13">
        <v>-1.3787317934685019</v>
      </c>
      <c r="K152" s="13">
        <v>-0.1679320919657612</v>
      </c>
      <c r="L152" s="13">
        <v>0.4956607953099601</v>
      </c>
      <c r="M152" s="13">
        <v>-4.9909679668957978E-2</v>
      </c>
      <c r="N152" s="13">
        <v>-0.120413409219533</v>
      </c>
      <c r="O152" s="13">
        <v>1.174565993277654</v>
      </c>
      <c r="P152" s="13">
        <v>-0.95116893065982921</v>
      </c>
      <c r="Q152" s="13">
        <v>0.31809549614481009</v>
      </c>
      <c r="R152" s="13">
        <v>0.21885245675619111</v>
      </c>
      <c r="S152" s="13">
        <v>0.35670294686283022</v>
      </c>
      <c r="T152" s="13">
        <v>-0.80142023248692684</v>
      </c>
      <c r="U152" s="13">
        <v>-0.1152852326630205</v>
      </c>
      <c r="V152" s="13">
        <v>0.67666179168206497</v>
      </c>
      <c r="W152" s="13">
        <v>0.39405843080353442</v>
      </c>
      <c r="X152" s="13">
        <v>4.0229181774864557E-2</v>
      </c>
    </row>
    <row r="153" spans="1:24" x14ac:dyDescent="0.2">
      <c r="A153" t="s">
        <v>716</v>
      </c>
      <c r="B153" t="s">
        <v>394</v>
      </c>
      <c r="C153" t="s">
        <v>395</v>
      </c>
      <c r="D153" s="13">
        <v>0.75886432780642998</v>
      </c>
      <c r="E153" s="13">
        <v>0.12880186340960001</v>
      </c>
      <c r="F153" s="13">
        <v>-0.1822535578433038</v>
      </c>
      <c r="G153" s="13">
        <v>0.29520593992897748</v>
      </c>
      <c r="H153" s="13">
        <v>0.1208731979887023</v>
      </c>
      <c r="I153" s="13">
        <v>-6.7575471580205706E-3</v>
      </c>
      <c r="J153" s="13">
        <v>0.2583942642152337</v>
      </c>
      <c r="K153" s="13">
        <v>-0.16562584080320741</v>
      </c>
      <c r="L153" s="13">
        <v>-9.3049592595983999E-2</v>
      </c>
      <c r="M153" s="13">
        <v>0.2332381715535847</v>
      </c>
      <c r="N153" s="13">
        <v>-0.1102002982490413</v>
      </c>
      <c r="O153" s="13">
        <v>-0.16846064969089361</v>
      </c>
      <c r="P153" s="13">
        <v>0.27209407898511889</v>
      </c>
      <c r="Q153" s="13">
        <v>0.30150007762734798</v>
      </c>
      <c r="R153" s="13">
        <v>0.25331000591470859</v>
      </c>
      <c r="S153" s="13">
        <v>0.13687229065837411</v>
      </c>
      <c r="T153" s="13">
        <v>0.26920626917474882</v>
      </c>
      <c r="U153" s="13">
        <v>9.0467264543780956E-2</v>
      </c>
      <c r="V153" s="13">
        <v>2.3044937066574182E-2</v>
      </c>
      <c r="W153" s="13">
        <v>0.35725437150306849</v>
      </c>
      <c r="X153" s="13">
        <v>3.6754520023940529E-2</v>
      </c>
    </row>
    <row r="154" spans="1:24" x14ac:dyDescent="0.2">
      <c r="A154" t="s">
        <v>716</v>
      </c>
      <c r="B154" t="s">
        <v>396</v>
      </c>
      <c r="C154" t="s">
        <v>397</v>
      </c>
      <c r="D154" s="13">
        <v>0.38418938537367892</v>
      </c>
      <c r="E154" s="13">
        <v>2.4586364726619792E-2</v>
      </c>
      <c r="F154" s="13">
        <v>-3.4676964559687828E-2</v>
      </c>
      <c r="G154" s="13">
        <v>3.108810643273063E-2</v>
      </c>
      <c r="H154" s="13">
        <v>0.132467052722296</v>
      </c>
      <c r="I154" s="13">
        <v>0.21582630234953101</v>
      </c>
      <c r="J154" s="13">
        <v>-0.17829022436561809</v>
      </c>
      <c r="K154" s="13">
        <v>-6.0875225742451633E-2</v>
      </c>
      <c r="L154" s="13">
        <v>-1.7989534701567941E-2</v>
      </c>
      <c r="M154" s="13">
        <v>0.37753950235497319</v>
      </c>
      <c r="N154" s="13">
        <v>2.9154172656342681E-2</v>
      </c>
      <c r="O154" s="13">
        <v>0.16564039290545279</v>
      </c>
      <c r="P154" s="13">
        <v>4.9012584539953608E-2</v>
      </c>
      <c r="Q154" s="13">
        <v>0.1152098248438094</v>
      </c>
      <c r="R154" s="13">
        <v>0.24965388647832931</v>
      </c>
      <c r="S154" s="13">
        <v>1.607360950528491E-2</v>
      </c>
      <c r="T154" s="13">
        <v>7.255936228034443E-2</v>
      </c>
      <c r="U154" s="13">
        <v>-0.12869625130058629</v>
      </c>
      <c r="V154" s="13">
        <v>8.965615075871014E-2</v>
      </c>
      <c r="W154" s="13">
        <v>0.33851920528078511</v>
      </c>
      <c r="X154" s="13">
        <v>4.1937556756632688E-3</v>
      </c>
    </row>
    <row r="155" spans="1:24" x14ac:dyDescent="0.2">
      <c r="A155" t="s">
        <v>716</v>
      </c>
      <c r="B155" t="s">
        <v>398</v>
      </c>
      <c r="C155" t="s">
        <v>399</v>
      </c>
      <c r="D155" s="13">
        <v>0.5712923735984754</v>
      </c>
      <c r="E155" s="13">
        <v>0.1035650160924995</v>
      </c>
      <c r="F155" s="13">
        <v>0.16439557706471319</v>
      </c>
      <c r="G155" s="13">
        <v>0.32190445517963351</v>
      </c>
      <c r="H155" s="13">
        <v>0.2212694510238977</v>
      </c>
      <c r="I155" s="13">
        <v>9.678080054831284E-2</v>
      </c>
      <c r="J155" s="13">
        <v>-8.7582461573143533E-3</v>
      </c>
      <c r="K155" s="13">
        <v>3.0652214670157111E-2</v>
      </c>
      <c r="L155" s="13">
        <v>-0.1219130474849561</v>
      </c>
      <c r="M155" s="13">
        <v>0.26392971540232241</v>
      </c>
      <c r="N155" s="13">
        <v>6.1328660212245367E-2</v>
      </c>
      <c r="O155" s="13">
        <v>0.1238527372025455</v>
      </c>
      <c r="P155" s="13">
        <v>0.22311496986200391</v>
      </c>
      <c r="Q155" s="13">
        <v>9.8272466680238146E-2</v>
      </c>
      <c r="R155" s="13">
        <v>9.0612072935747356E-2</v>
      </c>
      <c r="S155" s="13">
        <v>0.123715793099044</v>
      </c>
      <c r="T155" s="13">
        <v>9.7991668819075173E-2</v>
      </c>
      <c r="U155" s="13">
        <v>-0.2112496032528943</v>
      </c>
      <c r="V155" s="13">
        <v>2.2290661631196858E-2</v>
      </c>
      <c r="W155" s="13">
        <v>0.36883554111821759</v>
      </c>
      <c r="X155" s="13">
        <v>-8.9842751209046057E-2</v>
      </c>
    </row>
    <row r="156" spans="1:24" x14ac:dyDescent="0.2">
      <c r="A156" t="s">
        <v>716</v>
      </c>
      <c r="B156" t="s">
        <v>400</v>
      </c>
      <c r="C156" t="s">
        <v>401</v>
      </c>
      <c r="D156" s="13">
        <v>1.1424250923769199</v>
      </c>
      <c r="E156" s="13">
        <v>0.69413464065841701</v>
      </c>
      <c r="F156" s="13">
        <v>5.5679620660131768E-2</v>
      </c>
      <c r="G156" s="13">
        <v>0.17209191000477911</v>
      </c>
      <c r="H156" s="13">
        <v>-9.6172455730680895E-3</v>
      </c>
      <c r="I156" s="13">
        <v>0.1771894032851051</v>
      </c>
      <c r="J156" s="13">
        <v>-0.1227278500978923</v>
      </c>
      <c r="K156" s="13">
        <v>-0.65947267263465337</v>
      </c>
      <c r="L156" s="13">
        <v>-0.31121940547356169</v>
      </c>
      <c r="M156" s="13">
        <v>0.20215844688291629</v>
      </c>
      <c r="N156" s="13">
        <v>-0.23995865105692629</v>
      </c>
      <c r="O156" s="13">
        <v>9.2281803295124476E-3</v>
      </c>
      <c r="P156" s="13">
        <v>0.57360211999386568</v>
      </c>
      <c r="Q156" s="13">
        <v>0.25029547939019459</v>
      </c>
      <c r="R156" s="13">
        <v>0.32336345849361958</v>
      </c>
      <c r="S156" s="13">
        <v>0.17284667563792769</v>
      </c>
      <c r="T156" s="13">
        <v>0.32670518799982062</v>
      </c>
      <c r="U156" s="13">
        <v>-0.47977066878974739</v>
      </c>
      <c r="V156" s="13">
        <v>-0.20291980375675139</v>
      </c>
      <c r="W156" s="13">
        <v>0.7433221074412133</v>
      </c>
      <c r="X156" s="13">
        <v>-0.1051258486258977</v>
      </c>
    </row>
    <row r="157" spans="1:24" x14ac:dyDescent="0.2">
      <c r="A157" t="s">
        <v>716</v>
      </c>
      <c r="B157" t="s">
        <v>402</v>
      </c>
      <c r="C157" t="s">
        <v>403</v>
      </c>
      <c r="D157" s="13">
        <v>1.1610191469739071</v>
      </c>
      <c r="E157" s="13">
        <v>8.3605658625551804E-2</v>
      </c>
      <c r="F157" s="13">
        <v>6.5783932881924301E-3</v>
      </c>
      <c r="G157" s="13">
        <v>0.55347043981837096</v>
      </c>
      <c r="H157" s="13">
        <v>2.4347546856184898E-2</v>
      </c>
      <c r="I157" s="13">
        <v>3.962976853799649E-2</v>
      </c>
      <c r="J157" s="13">
        <v>-0.27616031122723589</v>
      </c>
      <c r="K157" s="13">
        <v>-6.5695934994425276E-2</v>
      </c>
      <c r="L157" s="13">
        <v>-0.23323460858410969</v>
      </c>
      <c r="M157" s="13">
        <v>0.36200559279166988</v>
      </c>
      <c r="N157" s="13">
        <v>-3.6722362249408391E-2</v>
      </c>
      <c r="O157" s="13">
        <v>0.28617785718658689</v>
      </c>
      <c r="P157" s="13">
        <v>6.4367921991470567E-2</v>
      </c>
      <c r="Q157" s="13">
        <v>8.6346457708330604E-2</v>
      </c>
      <c r="R157" s="13">
        <v>-0.23854676281319651</v>
      </c>
      <c r="S157" s="13">
        <v>3.6357808610154578E-2</v>
      </c>
      <c r="T157" s="13">
        <v>0.1943422378052562</v>
      </c>
      <c r="U157" s="13">
        <v>-0.76021809351484171</v>
      </c>
      <c r="V157" s="13">
        <v>0.1127693997713619</v>
      </c>
      <c r="W157" s="13">
        <v>0.35672641765593932</v>
      </c>
      <c r="X157" s="13">
        <v>-0.1214414554631338</v>
      </c>
    </row>
    <row r="158" spans="1:24" x14ac:dyDescent="0.2">
      <c r="A158" t="s">
        <v>716</v>
      </c>
      <c r="B158" t="s">
        <v>404</v>
      </c>
      <c r="C158" t="s">
        <v>405</v>
      </c>
      <c r="D158" s="13">
        <v>1.0442138251473889</v>
      </c>
      <c r="E158" s="13">
        <v>6.6508180381785742E-2</v>
      </c>
      <c r="F158" s="13">
        <v>0.15499697638632351</v>
      </c>
      <c r="G158" s="13">
        <v>0.26845637583892129</v>
      </c>
      <c r="H158" s="13">
        <v>8.0889043371956681E-2</v>
      </c>
      <c r="I158" s="13">
        <v>9.6556328042818329E-2</v>
      </c>
      <c r="J158" s="13">
        <v>-0.20374244213814399</v>
      </c>
      <c r="K158" s="13">
        <v>-9.7147139574338404E-2</v>
      </c>
      <c r="L158" s="13">
        <v>-0.1297298387056833</v>
      </c>
      <c r="M158" s="13">
        <v>0.209710433640109</v>
      </c>
      <c r="N158" s="13">
        <v>-5.2755457155773122E-3</v>
      </c>
      <c r="O158" s="13">
        <v>5.3237110228887552E-2</v>
      </c>
      <c r="P158" s="13">
        <v>0.40135992672238879</v>
      </c>
      <c r="Q158" s="13">
        <v>0.1869656934226249</v>
      </c>
      <c r="R158" s="13">
        <v>-3.6416032373598473E-2</v>
      </c>
      <c r="S158" s="13">
        <v>0.1739808803219223</v>
      </c>
      <c r="T158" s="13">
        <v>0.1553769086122925</v>
      </c>
      <c r="U158" s="13">
        <v>-0.578720735242233</v>
      </c>
      <c r="V158" s="13">
        <v>-9.3708899515321242E-3</v>
      </c>
      <c r="W158" s="13">
        <v>0.49892529104522693</v>
      </c>
      <c r="X158" s="13">
        <v>-0.26962967572063962</v>
      </c>
    </row>
    <row r="159" spans="1:24" x14ac:dyDescent="0.2">
      <c r="A159" t="s">
        <v>716</v>
      </c>
      <c r="B159" t="s">
        <v>406</v>
      </c>
      <c r="C159" t="s">
        <v>407</v>
      </c>
      <c r="D159" s="13">
        <v>0.98409007784403535</v>
      </c>
      <c r="E159" s="13">
        <v>6.0036958125175843E-2</v>
      </c>
      <c r="F159" s="13">
        <v>0.1622814414623974</v>
      </c>
      <c r="G159" s="13">
        <v>0.24837631989538261</v>
      </c>
      <c r="H159" s="13">
        <v>7.4016633135243204E-2</v>
      </c>
      <c r="I159" s="13">
        <v>9.6607428515493865E-2</v>
      </c>
      <c r="J159" s="13">
        <v>-0.18207725204424369</v>
      </c>
      <c r="K159" s="13">
        <v>-7.3980116728444845E-2</v>
      </c>
      <c r="L159" s="13">
        <v>-0.14431774042493739</v>
      </c>
      <c r="M159" s="13">
        <v>0.21741760556899251</v>
      </c>
      <c r="N159" s="13">
        <v>-5.759476470368341E-3</v>
      </c>
      <c r="O159" s="13">
        <v>3.1684591999203697E-2</v>
      </c>
      <c r="P159" s="13">
        <v>0.40727009810137549</v>
      </c>
      <c r="Q159" s="13">
        <v>0.1903784180071755</v>
      </c>
      <c r="R159" s="13">
        <v>-1.7474215991863939E-2</v>
      </c>
      <c r="S159" s="13">
        <v>0.15936643605349851</v>
      </c>
      <c r="T159" s="13">
        <v>0.15387914583711029</v>
      </c>
      <c r="U159" s="13">
        <v>-0.56086503185425185</v>
      </c>
      <c r="V159" s="13">
        <v>-1.9023195751732839E-2</v>
      </c>
      <c r="W159" s="13">
        <v>0.51018989785847069</v>
      </c>
      <c r="X159" s="13">
        <v>-0.28089647009063018</v>
      </c>
    </row>
    <row r="160" spans="1:24" x14ac:dyDescent="0.2">
      <c r="A160" t="s">
        <v>716</v>
      </c>
      <c r="B160" t="s">
        <v>408</v>
      </c>
      <c r="C160" t="s">
        <v>409</v>
      </c>
      <c r="D160" s="13">
        <v>0.66060807029906243</v>
      </c>
      <c r="E160" s="13">
        <v>0.32170229412338269</v>
      </c>
      <c r="F160" s="13">
        <v>0.15238271148874111</v>
      </c>
      <c r="G160" s="13">
        <v>1.020998867833667</v>
      </c>
      <c r="H160" s="13">
        <v>-0.1206933273831923</v>
      </c>
      <c r="I160" s="13">
        <v>0.25183289668757602</v>
      </c>
      <c r="J160" s="13">
        <v>-0.47302635577253233</v>
      </c>
      <c r="K160" s="13">
        <v>0.1155110473340937</v>
      </c>
      <c r="L160" s="13">
        <v>-0.2099163892347988</v>
      </c>
      <c r="M160" s="13">
        <v>0.121732575433442</v>
      </c>
      <c r="N160" s="13">
        <v>0.22231153120246819</v>
      </c>
      <c r="O160" s="13">
        <v>-7.2585884837150783E-2</v>
      </c>
      <c r="P160" s="13">
        <v>-0.15543646661417829</v>
      </c>
      <c r="Q160" s="13">
        <v>0.21469380694854051</v>
      </c>
      <c r="R160" s="13">
        <v>-0.1451916682319476</v>
      </c>
      <c r="S160" s="13">
        <v>0.35486412974401471</v>
      </c>
      <c r="T160" s="13">
        <v>-0.18035087363787999</v>
      </c>
      <c r="U160" s="13">
        <v>-8.5263173921645841E-2</v>
      </c>
      <c r="V160" s="13">
        <v>-6.5017854512383622E-2</v>
      </c>
      <c r="W160" s="13">
        <v>0.52454750153756446</v>
      </c>
      <c r="X160" s="13">
        <v>-0.30438937569839952</v>
      </c>
    </row>
    <row r="161" spans="1:24" x14ac:dyDescent="0.2">
      <c r="A161" t="s">
        <v>716</v>
      </c>
      <c r="B161" t="s">
        <v>410</v>
      </c>
      <c r="C161" t="s">
        <v>411</v>
      </c>
      <c r="D161" s="13">
        <v>1.498944883690045</v>
      </c>
      <c r="E161" s="13">
        <v>0.27700620219930361</v>
      </c>
      <c r="F161" s="13">
        <v>-0.1320492680372487</v>
      </c>
      <c r="G161" s="13">
        <v>0.65542003875527222</v>
      </c>
      <c r="H161" s="13">
        <v>-0.36336183304078729</v>
      </c>
      <c r="I161" s="13">
        <v>-0.18647301558917251</v>
      </c>
      <c r="J161" s="13">
        <v>-0.74591911795406363</v>
      </c>
      <c r="K161" s="13">
        <v>-0.68857913153214101</v>
      </c>
      <c r="L161" s="13">
        <v>-0.45877000043127453</v>
      </c>
      <c r="M161" s="13">
        <v>-0.42428907981726383</v>
      </c>
      <c r="N161" s="13">
        <v>-0.20955206207153851</v>
      </c>
      <c r="O161" s="13">
        <v>-0.32631698607994419</v>
      </c>
      <c r="P161" s="13">
        <v>0.31824569598863928</v>
      </c>
      <c r="Q161" s="13">
        <v>-5.1393183550629828E-3</v>
      </c>
      <c r="R161" s="13">
        <v>0.36132822386152341</v>
      </c>
      <c r="S161" s="13">
        <v>0.17978089542833861</v>
      </c>
      <c r="T161" s="13">
        <v>-0.11339097891113201</v>
      </c>
      <c r="U161" s="13">
        <v>-1.2271603636352491</v>
      </c>
      <c r="V161" s="13">
        <v>-1.49840872086906</v>
      </c>
      <c r="W161" s="13">
        <v>1.078079684011968</v>
      </c>
      <c r="X161" s="13">
        <v>-0.41450556590221233</v>
      </c>
    </row>
    <row r="162" spans="1:24" x14ac:dyDescent="0.2">
      <c r="A162" t="s">
        <v>716</v>
      </c>
      <c r="B162" t="s">
        <v>413</v>
      </c>
      <c r="C162" t="s">
        <v>414</v>
      </c>
      <c r="D162" s="13">
        <v>2.2419054692043749</v>
      </c>
      <c r="E162" s="13">
        <v>0.13511426806671609</v>
      </c>
      <c r="F162" s="13">
        <v>-0.23843453345266941</v>
      </c>
      <c r="G162" s="13">
        <v>1.172078144319366</v>
      </c>
      <c r="H162" s="13">
        <v>3.871028962310064E-3</v>
      </c>
      <c r="I162" s="13">
        <v>0.41826047830706431</v>
      </c>
      <c r="J162" s="13">
        <v>-1.438438093724137</v>
      </c>
      <c r="K162" s="13">
        <v>-0.48347743803681681</v>
      </c>
      <c r="L162" s="13">
        <v>7.3261729397633424E-2</v>
      </c>
      <c r="M162" s="13">
        <v>-0.48739944964472087</v>
      </c>
      <c r="N162" s="13">
        <v>0.15747071783283051</v>
      </c>
      <c r="O162" s="13">
        <v>1.511158780549593</v>
      </c>
      <c r="P162" s="13">
        <v>-0.69535733435649449</v>
      </c>
      <c r="Q162" s="13">
        <v>-0.28410648450092341</v>
      </c>
      <c r="R162" s="13">
        <v>-0.12347456274844899</v>
      </c>
      <c r="S162" s="13">
        <v>0.1852063779067992</v>
      </c>
      <c r="T162" s="13">
        <v>-1.070720489448451</v>
      </c>
      <c r="U162" s="13">
        <v>0.32412675968731541</v>
      </c>
      <c r="V162" s="13">
        <v>0.24656670102556341</v>
      </c>
      <c r="W162" s="13">
        <v>0.13784087393065031</v>
      </c>
      <c r="X162" s="13">
        <v>-0.51260781396358368</v>
      </c>
    </row>
    <row r="163" spans="1:24" x14ac:dyDescent="0.2">
      <c r="A163" t="s">
        <v>716</v>
      </c>
      <c r="B163" t="s">
        <v>415</v>
      </c>
      <c r="C163" t="s">
        <v>416</v>
      </c>
      <c r="D163" s="13">
        <v>2.283939110556132</v>
      </c>
      <c r="E163" s="13">
        <v>0.83006622098136251</v>
      </c>
      <c r="F163" s="13">
        <v>-4.7104229668137876E-3</v>
      </c>
      <c r="G163" s="13">
        <v>-0.49809667258845503</v>
      </c>
      <c r="H163" s="13">
        <v>-0.97639065442095552</v>
      </c>
      <c r="I163" s="13">
        <v>6.0868831013616287E-2</v>
      </c>
      <c r="J163" s="13">
        <v>-0.94111216229501027</v>
      </c>
      <c r="K163" s="13">
        <v>-0.87615356217964901</v>
      </c>
      <c r="L163" s="13">
        <v>-1.032657614297172</v>
      </c>
      <c r="M163" s="13">
        <v>0.52350376507264151</v>
      </c>
      <c r="N163" s="13">
        <v>0.15189623490292631</v>
      </c>
      <c r="O163" s="13">
        <v>-0.38582943527429858</v>
      </c>
      <c r="P163" s="13">
        <v>-1.9824413940061621E-2</v>
      </c>
      <c r="Q163" s="13">
        <v>1.3215709897482111</v>
      </c>
      <c r="R163" s="13">
        <v>1.3880068825906871</v>
      </c>
      <c r="S163" s="13">
        <v>9.4122309735422682E-2</v>
      </c>
      <c r="T163" s="13">
        <v>0.24419037464435969</v>
      </c>
      <c r="U163" s="13">
        <v>-0.75955980185891114</v>
      </c>
      <c r="V163" s="13">
        <v>0.191904054569636</v>
      </c>
      <c r="W163" s="13">
        <v>0.39132526481944208</v>
      </c>
      <c r="X163" s="13">
        <v>-0.52531163221430921</v>
      </c>
    </row>
    <row r="164" spans="1:24" x14ac:dyDescent="0.2">
      <c r="A164" t="s">
        <v>716</v>
      </c>
      <c r="B164" t="s">
        <v>417</v>
      </c>
      <c r="C164" t="s">
        <v>418</v>
      </c>
      <c r="D164" s="13">
        <v>1.11458351885243</v>
      </c>
      <c r="E164" s="13">
        <v>5.9232261281461078E-2</v>
      </c>
      <c r="F164" s="13">
        <v>6.736357967740414E-2</v>
      </c>
      <c r="G164" s="13">
        <v>0.26428571946721657</v>
      </c>
      <c r="H164" s="13">
        <v>-7.764962384336771E-2</v>
      </c>
      <c r="I164" s="13">
        <v>0.19908087556486101</v>
      </c>
      <c r="J164" s="13">
        <v>-0.21467337598498609</v>
      </c>
      <c r="K164" s="13">
        <v>6.1917228975749694E-3</v>
      </c>
      <c r="L164" s="13">
        <v>-0.28061974946798068</v>
      </c>
      <c r="M164" s="13">
        <v>-3.0317641744992412E-3</v>
      </c>
      <c r="N164" s="13">
        <v>6.0491883249214062E-2</v>
      </c>
      <c r="O164" s="13">
        <v>0.2435449166462211</v>
      </c>
      <c r="P164" s="13">
        <v>-0.22107059417202371</v>
      </c>
      <c r="Q164" s="13">
        <v>2.9567991687740052E-3</v>
      </c>
      <c r="R164" s="13">
        <v>-1.160917494869018E-3</v>
      </c>
      <c r="S164" s="13">
        <v>0.18108709213455751</v>
      </c>
      <c r="T164" s="13">
        <v>2.3332548707177381</v>
      </c>
      <c r="U164" s="13">
        <v>-0.89018078048205274</v>
      </c>
      <c r="V164" s="13">
        <v>6.8287097166375155E-2</v>
      </c>
      <c r="W164" s="13">
        <v>0.62486887120047907</v>
      </c>
      <c r="X164" s="13">
        <v>-0.52547772676896365</v>
      </c>
    </row>
    <row r="165" spans="1:24" x14ac:dyDescent="0.2">
      <c r="A165" t="s">
        <v>716</v>
      </c>
      <c r="B165" t="s">
        <v>419</v>
      </c>
      <c r="C165" t="s">
        <v>420</v>
      </c>
      <c r="D165" s="13">
        <v>1.2927291866585919</v>
      </c>
      <c r="E165" s="13">
        <v>0.16417724337716161</v>
      </c>
      <c r="F165" s="13">
        <v>1.6457050156115649E-2</v>
      </c>
      <c r="G165" s="13">
        <v>0.30811562461210418</v>
      </c>
      <c r="H165" s="13">
        <v>0.60216672354671541</v>
      </c>
      <c r="I165" s="13">
        <v>2.872412872245711E-2</v>
      </c>
      <c r="J165" s="13">
        <v>-0.10840370995043309</v>
      </c>
      <c r="K165" s="13">
        <v>0.16128320603463481</v>
      </c>
      <c r="L165" s="13">
        <v>0.1069342668672313</v>
      </c>
      <c r="M165" s="13">
        <v>-0.28858206306783257</v>
      </c>
      <c r="N165" s="13">
        <v>-0.26623963217629049</v>
      </c>
      <c r="O165" s="13">
        <v>1.803764293946131E-2</v>
      </c>
      <c r="P165" s="13">
        <v>0.5329432411479873</v>
      </c>
      <c r="Q165" s="13">
        <v>0.29619153517714819</v>
      </c>
      <c r="R165" s="13">
        <v>-0.1153869213195047</v>
      </c>
      <c r="S165" s="13">
        <v>0.1825185888626901</v>
      </c>
      <c r="T165" s="13">
        <v>0.1968299022126363</v>
      </c>
      <c r="U165" s="13">
        <v>-0.76516154830212901</v>
      </c>
      <c r="V165" s="13">
        <v>-0.43885361800497508</v>
      </c>
      <c r="W165" s="13">
        <v>0.47252044263752507</v>
      </c>
      <c r="X165" s="13">
        <v>-0.54295463027493884</v>
      </c>
    </row>
    <row r="166" spans="1:24" x14ac:dyDescent="0.2">
      <c r="A166" t="s">
        <v>716</v>
      </c>
      <c r="B166" t="s">
        <v>421</v>
      </c>
      <c r="C166" t="s">
        <v>422</v>
      </c>
      <c r="D166" s="13">
        <v>2.7295662921386521</v>
      </c>
      <c r="E166" s="13">
        <v>0.97573488343227766</v>
      </c>
      <c r="F166" s="13">
        <v>-0.60680954211078664</v>
      </c>
      <c r="G166" s="13">
        <v>0.13850963631325541</v>
      </c>
      <c r="H166" s="13">
        <v>-9.7316629781840636E-2</v>
      </c>
      <c r="I166" s="13">
        <v>0.56320617103864379</v>
      </c>
      <c r="J166" s="13">
        <v>-2.4632778362360441</v>
      </c>
      <c r="K166" s="13">
        <v>-0.1093946660437828</v>
      </c>
      <c r="L166" s="13">
        <v>-0.20254288896141001</v>
      </c>
      <c r="M166" s="13">
        <v>-0.93309936315610909</v>
      </c>
      <c r="N166" s="13">
        <v>0.58507493161932267</v>
      </c>
      <c r="O166" s="13">
        <v>-0.45471384999518077</v>
      </c>
      <c r="P166" s="13">
        <v>7.8086100334262554E-2</v>
      </c>
      <c r="Q166" s="13">
        <v>-0.40600258951880569</v>
      </c>
      <c r="R166" s="13">
        <v>-1.7144299058090779</v>
      </c>
      <c r="S166" s="13">
        <v>1.4340828427001679</v>
      </c>
      <c r="T166" s="13">
        <v>-0.98925492489734257</v>
      </c>
      <c r="U166" s="13">
        <v>-0.14094517906168</v>
      </c>
      <c r="V166" s="13">
        <v>1.286729253242114</v>
      </c>
      <c r="W166" s="13">
        <v>0.123981443769039</v>
      </c>
      <c r="X166" s="13">
        <v>-0.6329551123789523</v>
      </c>
    </row>
    <row r="167" spans="1:24" x14ac:dyDescent="0.2">
      <c r="A167" t="s">
        <v>716</v>
      </c>
      <c r="B167" t="s">
        <v>423</v>
      </c>
      <c r="C167" t="s">
        <v>424</v>
      </c>
      <c r="D167" s="13">
        <v>2.4226110925405608</v>
      </c>
      <c r="E167" s="13">
        <v>0.81080964005237899</v>
      </c>
      <c r="F167" s="13">
        <v>-0.23644434257545921</v>
      </c>
      <c r="G167" s="13">
        <v>1.01395123875534</v>
      </c>
      <c r="H167" s="13">
        <v>-0.2819577112844307</v>
      </c>
      <c r="I167" s="13">
        <v>-1.2576389303076141E-3</v>
      </c>
      <c r="J167" s="13">
        <v>-0.63784727337558023</v>
      </c>
      <c r="K167" s="13">
        <v>-0.76736541696008631</v>
      </c>
      <c r="L167" s="13">
        <v>-0.45803525480384583</v>
      </c>
      <c r="M167" s="13">
        <v>-1.927459654816888E-2</v>
      </c>
      <c r="N167" s="13">
        <v>-0.1540163112311643</v>
      </c>
      <c r="O167" s="13">
        <v>5.2242895319221112E-2</v>
      </c>
      <c r="P167" s="13">
        <v>0.69576346608031248</v>
      </c>
      <c r="Q167" s="13">
        <v>0.29839078028777172</v>
      </c>
      <c r="R167" s="13">
        <v>0.17671683204578681</v>
      </c>
      <c r="S167" s="13">
        <v>0.24500369431701419</v>
      </c>
      <c r="T167" s="13">
        <v>0.12731408542232539</v>
      </c>
      <c r="U167" s="13">
        <v>-0.74579501899615375</v>
      </c>
      <c r="V167" s="13">
        <v>-0.54128550974582579</v>
      </c>
      <c r="W167" s="13">
        <v>0.86005452014097372</v>
      </c>
      <c r="X167" s="13">
        <v>-0.8817187885252431</v>
      </c>
    </row>
    <row r="168" spans="1:24" x14ac:dyDescent="0.2">
      <c r="A168" t="s">
        <v>716</v>
      </c>
      <c r="B168" t="s">
        <v>425</v>
      </c>
      <c r="C168" t="s">
        <v>426</v>
      </c>
      <c r="D168" s="13">
        <v>0.81260266335125841</v>
      </c>
      <c r="E168" s="13">
        <v>0.5475580985627948</v>
      </c>
      <c r="F168" s="13">
        <v>-2.123533978283243E-2</v>
      </c>
      <c r="G168" s="13">
        <v>0.47284781125085379</v>
      </c>
      <c r="H168" s="13">
        <v>0.13134456635499611</v>
      </c>
      <c r="I168" s="13">
        <v>-5.6010678369500237E-2</v>
      </c>
      <c r="J168" s="13">
        <v>-0.14775251684291391</v>
      </c>
      <c r="K168" s="13">
        <v>-0.14837575654584881</v>
      </c>
      <c r="L168" s="13">
        <v>0.26309696092619023</v>
      </c>
      <c r="M168" s="13">
        <v>1.2586278070148E-2</v>
      </c>
      <c r="N168" s="13">
        <v>0.12752105194187011</v>
      </c>
      <c r="O168" s="13">
        <v>0.1015294568029956</v>
      </c>
      <c r="P168" s="13">
        <v>5.0972421328254747E-2</v>
      </c>
      <c r="Q168" s="13">
        <v>0.26705151866481808</v>
      </c>
      <c r="R168" s="13">
        <v>0.23476294339566109</v>
      </c>
      <c r="S168" s="13">
        <v>1.2601340553519689E-2</v>
      </c>
      <c r="T168" s="13">
        <v>0.31762831416453091</v>
      </c>
      <c r="U168" s="13">
        <v>5.5434651052865817E-2</v>
      </c>
      <c r="V168" s="13">
        <v>-2.3336983184252261E-2</v>
      </c>
      <c r="W168" s="13">
        <v>0.13640197834234871</v>
      </c>
      <c r="X168" s="13">
        <v>-2.6030398435166751</v>
      </c>
    </row>
    <row r="169" spans="1:24" x14ac:dyDescent="0.2">
      <c r="A169" t="s">
        <v>720</v>
      </c>
      <c r="B169" t="s">
        <v>428</v>
      </c>
      <c r="C169" t="s">
        <v>429</v>
      </c>
      <c r="D169" s="13">
        <v>2.695258207569085</v>
      </c>
      <c r="E169" s="13">
        <v>0.95239757142380199</v>
      </c>
      <c r="F169" s="13">
        <v>-0.30757308086316598</v>
      </c>
      <c r="G169" s="13">
        <v>-1.3656978086678651</v>
      </c>
      <c r="H169" s="13">
        <v>-0.28082712536097182</v>
      </c>
      <c r="I169" s="13">
        <v>-0.68676758061343435</v>
      </c>
      <c r="J169" s="13">
        <v>-1.569141069674584</v>
      </c>
      <c r="K169" s="13">
        <v>-0.91945107107905821</v>
      </c>
      <c r="L169" s="13">
        <v>-1.6041962909818299</v>
      </c>
      <c r="M169" s="13">
        <v>0.7882183047270841</v>
      </c>
      <c r="N169" s="13">
        <v>0.56190154119775126</v>
      </c>
      <c r="O169" s="13">
        <v>-0.77578999646589208</v>
      </c>
      <c r="P169" s="13">
        <v>-0.78926493688076249</v>
      </c>
      <c r="Q169" s="13">
        <v>1.7408672890390391</v>
      </c>
      <c r="R169" s="13">
        <v>2.165251770559617</v>
      </c>
      <c r="S169" s="13">
        <v>-0.26912348565207861</v>
      </c>
      <c r="T169" s="13">
        <v>-0.40681721847648511</v>
      </c>
      <c r="U169" s="13">
        <v>-1.1181386607339361</v>
      </c>
      <c r="V169" s="13">
        <v>0.76837706401606809</v>
      </c>
      <c r="W169" s="13">
        <v>0.10719733918969079</v>
      </c>
      <c r="X169" s="13">
        <v>-0.64504630375372685</v>
      </c>
    </row>
    <row r="170" spans="1:24" x14ac:dyDescent="0.2">
      <c r="A170" t="s">
        <v>720</v>
      </c>
      <c r="B170" t="s">
        <v>430</v>
      </c>
      <c r="C170" t="s">
        <v>431</v>
      </c>
      <c r="D170" s="13">
        <v>3.1178606006348808</v>
      </c>
      <c r="E170" s="13">
        <v>0.94942472235139963</v>
      </c>
      <c r="F170" s="13">
        <v>-0.38052450201210292</v>
      </c>
      <c r="G170" s="13">
        <v>-1.652835164835154</v>
      </c>
      <c r="H170" s="13">
        <v>2.33306725043958E-2</v>
      </c>
      <c r="I170" s="13">
        <v>-1.2622435118324169</v>
      </c>
      <c r="J170" s="13">
        <v>-1.902816345593372</v>
      </c>
      <c r="K170" s="13">
        <v>-1.0010952073835619</v>
      </c>
      <c r="L170" s="13">
        <v>-1.9297962744288411</v>
      </c>
      <c r="M170" s="13">
        <v>0.88485987738737837</v>
      </c>
      <c r="N170" s="13">
        <v>0.60354117682521746</v>
      </c>
      <c r="O170" s="13">
        <v>-1.067627987546516</v>
      </c>
      <c r="P170" s="13">
        <v>-0.8181166847912924</v>
      </c>
      <c r="Q170" s="13">
        <v>1.93629530244892</v>
      </c>
      <c r="R170" s="13">
        <v>2.482728276946689</v>
      </c>
      <c r="S170" s="13">
        <v>-0.32619587646758319</v>
      </c>
      <c r="T170" s="13">
        <v>-0.51321059046711692</v>
      </c>
      <c r="U170" s="13">
        <v>-1.254824654329068</v>
      </c>
      <c r="V170" s="13">
        <v>0.51728255475080864</v>
      </c>
      <c r="W170" s="13">
        <v>5.484954426617783E-2</v>
      </c>
      <c r="X170" s="13">
        <v>-0.66172951272813751</v>
      </c>
    </row>
    <row r="171" spans="1:24" x14ac:dyDescent="0.2">
      <c r="A171" t="s">
        <v>720</v>
      </c>
      <c r="B171" t="s">
        <v>432</v>
      </c>
      <c r="C171" t="s">
        <v>433</v>
      </c>
      <c r="D171" s="13">
        <v>3.2121635827599082</v>
      </c>
      <c r="E171" s="13">
        <v>1.0897460788091169</v>
      </c>
      <c r="F171" s="13">
        <v>-0.48614337092890431</v>
      </c>
      <c r="G171" s="13">
        <v>-1.574752235660581</v>
      </c>
      <c r="H171" s="13">
        <v>-1.4949020822385689E-2</v>
      </c>
      <c r="I171" s="13">
        <v>-1.042665721765168</v>
      </c>
      <c r="J171" s="13">
        <v>-1.773148631197818</v>
      </c>
      <c r="K171" s="13">
        <v>-1.1914475948602179</v>
      </c>
      <c r="L171" s="13">
        <v>-1.8339741050283911</v>
      </c>
      <c r="M171" s="13">
        <v>0.76729134422117706</v>
      </c>
      <c r="N171" s="13">
        <v>0.59949097958380548</v>
      </c>
      <c r="O171" s="13">
        <v>-0.87279788120984136</v>
      </c>
      <c r="P171" s="13">
        <v>-0.9273304538250815</v>
      </c>
      <c r="Q171" s="13">
        <v>1.86480636035613</v>
      </c>
      <c r="R171" s="13">
        <v>2.4378169282966771</v>
      </c>
      <c r="S171" s="13">
        <v>-0.21679055513306181</v>
      </c>
      <c r="T171" s="13">
        <v>-0.51910900122795756</v>
      </c>
      <c r="U171" s="13">
        <v>-1.343610162724129</v>
      </c>
      <c r="V171" s="13">
        <v>0.76102357058629444</v>
      </c>
      <c r="W171" s="13">
        <v>0.120740062704372</v>
      </c>
      <c r="X171" s="13">
        <v>-0.68362264224152147</v>
      </c>
    </row>
    <row r="172" spans="1:24" x14ac:dyDescent="0.2">
      <c r="A172" t="s">
        <v>720</v>
      </c>
      <c r="B172" t="s">
        <v>434</v>
      </c>
      <c r="C172" t="s">
        <v>435</v>
      </c>
      <c r="D172" s="13">
        <v>0.10805544924525901</v>
      </c>
      <c r="E172" s="13">
        <v>-0.51635863887863342</v>
      </c>
      <c r="F172" s="13">
        <v>-0.34945281338959472</v>
      </c>
      <c r="G172" s="13">
        <v>-1.5368342396612</v>
      </c>
      <c r="H172" s="13">
        <v>4.699860021484259E-2</v>
      </c>
      <c r="I172" s="13">
        <v>-0.99108259530030773</v>
      </c>
      <c r="J172" s="13">
        <v>-1.709726482788221</v>
      </c>
      <c r="K172" s="13">
        <v>-0.9958467204764454</v>
      </c>
      <c r="L172" s="13">
        <v>-1.657548356593463</v>
      </c>
      <c r="M172" s="13">
        <v>0.82686046287014925</v>
      </c>
      <c r="N172" s="13">
        <v>0.51290893551438899</v>
      </c>
      <c r="O172" s="13">
        <v>-0.78677456314422134</v>
      </c>
      <c r="P172" s="13">
        <v>-0.76590403572510679</v>
      </c>
      <c r="Q172" s="13">
        <v>1.780359578211921</v>
      </c>
      <c r="R172" s="13">
        <v>2.153419231984488</v>
      </c>
      <c r="S172" s="13">
        <v>-0.32388973887100819</v>
      </c>
      <c r="T172" s="13">
        <v>-0.43744214140122312</v>
      </c>
      <c r="U172" s="13">
        <v>-1.230323732645644</v>
      </c>
      <c r="V172" s="13">
        <v>0.87933148855243726</v>
      </c>
      <c r="W172" s="13">
        <v>9.415506292631548E-4</v>
      </c>
      <c r="X172" s="13">
        <v>-0.69778706300693827</v>
      </c>
    </row>
    <row r="173" spans="1:24" x14ac:dyDescent="0.2">
      <c r="A173" t="s">
        <v>720</v>
      </c>
      <c r="B173" t="s">
        <v>437</v>
      </c>
      <c r="C173" t="s">
        <v>438</v>
      </c>
      <c r="D173" s="13">
        <v>3.1022248319308781</v>
      </c>
      <c r="E173" s="13">
        <v>0.97310143383084746</v>
      </c>
      <c r="F173" s="13">
        <v>-0.37244980388069232</v>
      </c>
      <c r="G173" s="13">
        <v>-1.6159846317856159</v>
      </c>
      <c r="H173" s="13">
        <v>4.3206444880072858E-2</v>
      </c>
      <c r="I173" s="13">
        <v>-1.073357816160414</v>
      </c>
      <c r="J173" s="13">
        <v>-1.8529814938363589</v>
      </c>
      <c r="K173" s="13">
        <v>-1.0690403036327509</v>
      </c>
      <c r="L173" s="13">
        <v>-1.794390095129061</v>
      </c>
      <c r="M173" s="13">
        <v>0.84444917544514997</v>
      </c>
      <c r="N173" s="13">
        <v>0.58486304346043738</v>
      </c>
      <c r="O173" s="13">
        <v>-0.88243295149930123</v>
      </c>
      <c r="P173" s="13">
        <v>-0.88114058982555754</v>
      </c>
      <c r="Q173" s="13">
        <v>1.9266627811229009</v>
      </c>
      <c r="R173" s="13">
        <v>2.3849350247650669</v>
      </c>
      <c r="S173" s="13">
        <v>-0.30001709272603477</v>
      </c>
      <c r="T173" s="13">
        <v>-0.60971416097770348</v>
      </c>
      <c r="U173" s="13">
        <v>-1.463686142367171</v>
      </c>
      <c r="V173" s="13">
        <v>0.77563877481439114</v>
      </c>
      <c r="W173" s="13">
        <v>0.1174550529911222</v>
      </c>
      <c r="X173" s="13">
        <v>-0.70289480081788813</v>
      </c>
    </row>
    <row r="174" spans="1:24" x14ac:dyDescent="0.2">
      <c r="A174" t="s">
        <v>720</v>
      </c>
      <c r="B174" t="s">
        <v>439</v>
      </c>
      <c r="C174" t="s">
        <v>440</v>
      </c>
      <c r="D174" s="13">
        <v>2.9576019841930812</v>
      </c>
      <c r="E174" s="13">
        <v>0.94993262392959466</v>
      </c>
      <c r="F174" s="13">
        <v>-0.30435523576625162</v>
      </c>
      <c r="G174" s="13">
        <v>-1.5559893197495069</v>
      </c>
      <c r="H174" s="13">
        <v>-5.6206077318454728E-2</v>
      </c>
      <c r="I174" s="13">
        <v>-0.96767891731024402</v>
      </c>
      <c r="J174" s="13">
        <v>-1.752512718361066</v>
      </c>
      <c r="K174" s="13">
        <v>-1.140538545401115</v>
      </c>
      <c r="L174" s="13">
        <v>-1.5601138399551131</v>
      </c>
      <c r="M174" s="13">
        <v>0.84972803171872169</v>
      </c>
      <c r="N174" s="13">
        <v>0.35031209464695401</v>
      </c>
      <c r="O174" s="13">
        <v>-0.73097056164842522</v>
      </c>
      <c r="P174" s="13">
        <v>-0.71585999328839245</v>
      </c>
      <c r="Q174" s="13">
        <v>1.7896807181432051</v>
      </c>
      <c r="R174" s="13">
        <v>2.2109874449706801</v>
      </c>
      <c r="S174" s="13">
        <v>-0.35786877721821758</v>
      </c>
      <c r="T174" s="13">
        <v>-0.44206517839897602</v>
      </c>
      <c r="U174" s="13">
        <v>-1.27076544418584</v>
      </c>
      <c r="V174" s="13">
        <v>0.93015180184519153</v>
      </c>
      <c r="W174" s="13">
        <v>3.217997506907988E-2</v>
      </c>
      <c r="X174" s="13">
        <v>-0.7039671732954611</v>
      </c>
    </row>
    <row r="175" spans="1:24" x14ac:dyDescent="0.2">
      <c r="A175" t="s">
        <v>720</v>
      </c>
      <c r="B175" t="s">
        <v>441</v>
      </c>
      <c r="C175" t="s">
        <v>442</v>
      </c>
      <c r="T175" s="13">
        <v>-0.55366491620695291</v>
      </c>
      <c r="U175" s="13">
        <v>-1.3989390284797729</v>
      </c>
      <c r="V175" s="13">
        <v>0.96006293882517912</v>
      </c>
      <c r="W175" s="13">
        <v>4.4340363530093192E-2</v>
      </c>
      <c r="X175" s="13">
        <v>-0.75182937033149155</v>
      </c>
    </row>
    <row r="176" spans="1:24" x14ac:dyDescent="0.2">
      <c r="A176" t="s">
        <v>720</v>
      </c>
      <c r="B176" t="s">
        <v>443</v>
      </c>
      <c r="C176" t="s">
        <v>444</v>
      </c>
      <c r="D176" s="13">
        <v>3.2655016917320978</v>
      </c>
      <c r="E176" s="13">
        <v>0.97592106458213035</v>
      </c>
      <c r="F176" s="13">
        <v>-0.40147798823441111</v>
      </c>
      <c r="G176" s="13">
        <v>-1.753782068397447</v>
      </c>
      <c r="H176" s="13">
        <v>1.09461515950926E-2</v>
      </c>
      <c r="I176" s="13">
        <v>-1.1104798707207819</v>
      </c>
      <c r="J176" s="13">
        <v>-2.002182590952339</v>
      </c>
      <c r="K176" s="13">
        <v>-1.1822489693951279</v>
      </c>
      <c r="L176" s="13">
        <v>-1.8840638843012789</v>
      </c>
      <c r="M176" s="13">
        <v>0.91036080333095626</v>
      </c>
      <c r="N176" s="13">
        <v>0.55441512575962193</v>
      </c>
      <c r="O176" s="13">
        <v>-0.89065394337154435</v>
      </c>
      <c r="P176" s="13">
        <v>-0.92518365992863005</v>
      </c>
      <c r="Q176" s="13">
        <v>2.0219319692529329</v>
      </c>
      <c r="R176" s="13">
        <v>2.507903080341789</v>
      </c>
      <c r="S176" s="13">
        <v>-0.3512461301134473</v>
      </c>
      <c r="T176" s="13">
        <v>-0.54140119416828947</v>
      </c>
      <c r="U176" s="13">
        <v>-1.4141341574212649</v>
      </c>
      <c r="V176" s="13">
        <v>0.96460298779996734</v>
      </c>
      <c r="W176" s="13">
        <v>4.6822344257080317E-2</v>
      </c>
      <c r="X176" s="13">
        <v>-0.75287350512024398</v>
      </c>
    </row>
    <row r="177" spans="1:24" x14ac:dyDescent="0.2">
      <c r="A177" t="s">
        <v>720</v>
      </c>
      <c r="B177" t="s">
        <v>445</v>
      </c>
      <c r="C177" t="s">
        <v>446</v>
      </c>
      <c r="D177" s="13">
        <v>3.2341766286720248</v>
      </c>
      <c r="E177" s="13">
        <v>1.013443786313073</v>
      </c>
      <c r="F177" s="13">
        <v>-0.39527876634399828</v>
      </c>
      <c r="G177" s="13">
        <v>-1.700001896774717</v>
      </c>
      <c r="H177" s="13">
        <v>3.9949402188277361E-2</v>
      </c>
      <c r="I177" s="13">
        <v>-1.1433539382310289</v>
      </c>
      <c r="J177" s="13">
        <v>-1.948296893246537</v>
      </c>
      <c r="K177" s="13">
        <v>-1.127600944236806</v>
      </c>
      <c r="L177" s="13">
        <v>-1.8901833160276491</v>
      </c>
      <c r="M177" s="13">
        <v>0.88185351066132345</v>
      </c>
      <c r="N177" s="13">
        <v>0.59662060592915456</v>
      </c>
      <c r="O177" s="13">
        <v>-0.94599673288243702</v>
      </c>
      <c r="P177" s="13">
        <v>-0.93258398092961325</v>
      </c>
      <c r="Q177" s="13">
        <v>2.0220345616547508</v>
      </c>
      <c r="R177" s="13">
        <v>2.502574287929904</v>
      </c>
      <c r="S177" s="13">
        <v>-0.52424658703508209</v>
      </c>
      <c r="T177" s="13">
        <v>-0.1392695353208406</v>
      </c>
      <c r="U177" s="13">
        <v>-1.378186956355709</v>
      </c>
      <c r="V177" s="13">
        <v>0.96874027275746233</v>
      </c>
      <c r="W177" s="13">
        <v>2.6993399892449869E-2</v>
      </c>
      <c r="X177" s="13">
        <v>-0.75325179004211984</v>
      </c>
    </row>
    <row r="178" spans="1:24" x14ac:dyDescent="0.2">
      <c r="A178" t="s">
        <v>720</v>
      </c>
      <c r="B178" t="s">
        <v>447</v>
      </c>
      <c r="C178" t="s">
        <v>448</v>
      </c>
      <c r="D178" s="13">
        <v>3.1274952694087639</v>
      </c>
      <c r="E178" s="13">
        <v>0.72503387802735908</v>
      </c>
      <c r="F178" s="13">
        <v>-0.35554453061731328</v>
      </c>
      <c r="G178" s="13">
        <v>-1.687855407346317</v>
      </c>
      <c r="H178" s="13">
        <v>-0.19426459188943701</v>
      </c>
      <c r="I178" s="13">
        <v>-0.90996438763659704</v>
      </c>
      <c r="J178" s="13">
        <v>-1.830315791376169</v>
      </c>
      <c r="K178" s="13">
        <v>-1.2955535651656751</v>
      </c>
      <c r="L178" s="13">
        <v>-1.7208871878041649</v>
      </c>
      <c r="M178" s="13">
        <v>1.013660343124934</v>
      </c>
      <c r="N178" s="13">
        <v>0.40980629160847221</v>
      </c>
      <c r="O178" s="13">
        <v>-0.60282914923748265</v>
      </c>
      <c r="P178" s="13">
        <v>-0.74033239657042005</v>
      </c>
      <c r="Q178" s="13">
        <v>1.9969206172294469</v>
      </c>
      <c r="R178" s="13">
        <v>2.40734152391413</v>
      </c>
      <c r="S178" s="13">
        <v>-0.33345680222824908</v>
      </c>
      <c r="T178" s="13">
        <v>-0.39132133803477798</v>
      </c>
      <c r="U178" s="13">
        <v>-1.3965565119953169</v>
      </c>
      <c r="V178" s="13">
        <v>0.9911109160078313</v>
      </c>
      <c r="W178" s="13">
        <v>-9.4036575085076901E-2</v>
      </c>
      <c r="X178" s="13">
        <v>-0.76608383873481012</v>
      </c>
    </row>
    <row r="179" spans="1:24" x14ac:dyDescent="0.2">
      <c r="A179" t="s">
        <v>720</v>
      </c>
      <c r="B179" t="s">
        <v>449</v>
      </c>
      <c r="C179" t="s">
        <v>450</v>
      </c>
      <c r="D179" s="13">
        <v>3.2049499711854108</v>
      </c>
      <c r="E179" s="13">
        <v>1.0063295773258929</v>
      </c>
      <c r="F179" s="13">
        <v>-0.34230619162355369</v>
      </c>
      <c r="G179" s="13">
        <v>-1.664586363578002</v>
      </c>
      <c r="H179" s="13">
        <v>-0.29612216056187363</v>
      </c>
      <c r="I179" s="13">
        <v>-0.89348797030907035</v>
      </c>
      <c r="J179" s="13">
        <v>-1.8780042017576879</v>
      </c>
      <c r="K179" s="13">
        <v>-1.1626677727089361</v>
      </c>
      <c r="L179" s="13">
        <v>-1.814909177747992</v>
      </c>
      <c r="M179" s="13">
        <v>0.89195275572739874</v>
      </c>
      <c r="N179" s="13">
        <v>0.57240039722643576</v>
      </c>
      <c r="O179" s="13">
        <v>-0.87044226189131324</v>
      </c>
      <c r="P179" s="13">
        <v>-0.90552765438151051</v>
      </c>
      <c r="Q179" s="13">
        <v>1.969578335869637</v>
      </c>
      <c r="R179" s="13">
        <v>2.4351151087063321</v>
      </c>
      <c r="S179" s="13">
        <v>-0.33193310331756098</v>
      </c>
      <c r="T179" s="13">
        <v>-0.49169204789922821</v>
      </c>
      <c r="U179" s="13">
        <v>-1.3537148266390959</v>
      </c>
      <c r="V179" s="13">
        <v>0.8912666780753975</v>
      </c>
      <c r="W179" s="13">
        <v>4.1706167056498877E-2</v>
      </c>
      <c r="X179" s="13">
        <v>-0.76615130085692096</v>
      </c>
    </row>
    <row r="180" spans="1:24" x14ac:dyDescent="0.2">
      <c r="A180" t="s">
        <v>720</v>
      </c>
      <c r="B180" t="s">
        <v>451</v>
      </c>
      <c r="C180" t="s">
        <v>452</v>
      </c>
      <c r="D180" s="13">
        <v>3.4329789605384242</v>
      </c>
      <c r="E180" s="13">
        <v>0.76318431868040992</v>
      </c>
      <c r="F180" s="13">
        <v>-0.35578365111383897</v>
      </c>
      <c r="G180" s="13">
        <v>-1.6622851715057949</v>
      </c>
      <c r="H180" s="13">
        <v>-1.705786110272556</v>
      </c>
      <c r="I180" s="13">
        <v>0.55182503842314823</v>
      </c>
      <c r="J180" s="13">
        <v>-1.9396662073325579</v>
      </c>
      <c r="K180" s="13">
        <v>-1.2924756179510171</v>
      </c>
      <c r="L180" s="13">
        <v>-1.5427047425590199</v>
      </c>
      <c r="M180" s="13">
        <v>1.0291828393841349</v>
      </c>
      <c r="N180" s="13">
        <v>0.24684792586238119</v>
      </c>
      <c r="O180" s="13">
        <v>-0.66269859392206198</v>
      </c>
      <c r="P180" s="13">
        <v>-0.55088679167303312</v>
      </c>
      <c r="Q180" s="13">
        <v>1.8633024121510691</v>
      </c>
      <c r="R180" s="13">
        <v>2.3178780624879098</v>
      </c>
      <c r="S180" s="13">
        <v>-0.37136397971005991</v>
      </c>
      <c r="T180" s="13">
        <v>-0.46902691081248671</v>
      </c>
      <c r="U180" s="13">
        <v>-1.5217842131491801</v>
      </c>
      <c r="V180" s="13">
        <v>1.0932534302667161</v>
      </c>
      <c r="W180" s="13">
        <v>-3.6896349848192227E-2</v>
      </c>
      <c r="X180" s="13">
        <v>-0.76639258858731685</v>
      </c>
    </row>
    <row r="181" spans="1:24" x14ac:dyDescent="0.2">
      <c r="A181" t="s">
        <v>720</v>
      </c>
      <c r="B181" t="s">
        <v>454</v>
      </c>
      <c r="C181" t="s">
        <v>455</v>
      </c>
      <c r="F181" s="13">
        <v>-0.10479721886589299</v>
      </c>
      <c r="G181" s="13">
        <v>-1.7617270155250611</v>
      </c>
      <c r="H181" s="13">
        <v>1.7142626653754429E-3</v>
      </c>
      <c r="I181" s="13">
        <v>-1.0540517920292201</v>
      </c>
      <c r="J181" s="13">
        <v>-1.855603703054487</v>
      </c>
      <c r="K181" s="13">
        <v>-1.165688510086849</v>
      </c>
      <c r="L181" s="13">
        <v>-1.7203013206417259</v>
      </c>
      <c r="M181" s="13">
        <v>0.87563446350149565</v>
      </c>
      <c r="N181" s="13">
        <v>0.4649082741379873</v>
      </c>
      <c r="O181" s="13">
        <v>-0.81285719409206481</v>
      </c>
      <c r="P181" s="13">
        <v>-0.80484266857242526</v>
      </c>
      <c r="Q181" s="13">
        <v>1.885198447584524</v>
      </c>
      <c r="R181" s="13">
        <v>2.265437892760791</v>
      </c>
      <c r="S181" s="13">
        <v>-0.30827707482510291</v>
      </c>
      <c r="T181" s="13">
        <v>-0.46033625189270122</v>
      </c>
      <c r="U181" s="13">
        <v>-1.3268394654898259</v>
      </c>
      <c r="V181" s="13">
        <v>0.9433575626759616</v>
      </c>
      <c r="W181" s="13">
        <v>-4.2786738817679471E-2</v>
      </c>
      <c r="X181" s="13">
        <v>-0.76851214424157321</v>
      </c>
    </row>
    <row r="182" spans="1:24" x14ac:dyDescent="0.2">
      <c r="A182" t="s">
        <v>720</v>
      </c>
      <c r="B182" t="s">
        <v>456</v>
      </c>
      <c r="C182" t="s">
        <v>457</v>
      </c>
      <c r="D182" s="13">
        <v>3.2937425986741649</v>
      </c>
      <c r="E182" s="13">
        <v>1.019617460625843</v>
      </c>
      <c r="F182" s="13">
        <v>-0.40598268723684988</v>
      </c>
      <c r="G182" s="13">
        <v>-1.741600917478348</v>
      </c>
      <c r="H182" s="13">
        <v>4.5058054276658772E-2</v>
      </c>
      <c r="I182" s="13">
        <v>-1.1724755793383499</v>
      </c>
      <c r="J182" s="13">
        <v>-2.0122379558011221</v>
      </c>
      <c r="K182" s="13">
        <v>-1.1603459326383181</v>
      </c>
      <c r="L182" s="13">
        <v>-1.9503967394675861</v>
      </c>
      <c r="M182" s="13">
        <v>0.91041564200637914</v>
      </c>
      <c r="N182" s="13">
        <v>0.60873683459212735</v>
      </c>
      <c r="O182" s="13">
        <v>-0.97137038360957106</v>
      </c>
      <c r="P182" s="13">
        <v>-0.96380020114298359</v>
      </c>
      <c r="Q182" s="13">
        <v>2.0906718460880662</v>
      </c>
      <c r="R182" s="13">
        <v>2.5737094557379159</v>
      </c>
      <c r="S182" s="13">
        <v>-0.34988774053350552</v>
      </c>
      <c r="T182" s="13">
        <v>-0.5589596112904105</v>
      </c>
      <c r="U182" s="13">
        <v>-1.4219878559880159</v>
      </c>
      <c r="V182" s="13">
        <v>0.98922324877792622</v>
      </c>
      <c r="W182" s="13">
        <v>3.8686156236367182E-2</v>
      </c>
      <c r="X182" s="13">
        <v>-0.78142885428075237</v>
      </c>
    </row>
    <row r="183" spans="1:24" x14ac:dyDescent="0.2">
      <c r="A183" t="s">
        <v>720</v>
      </c>
      <c r="B183" t="s">
        <v>458</v>
      </c>
      <c r="C183" t="s">
        <v>459</v>
      </c>
      <c r="D183" s="13">
        <v>3.1143361360670858</v>
      </c>
      <c r="E183" s="13">
        <v>0.97521602983856592</v>
      </c>
      <c r="F183" s="13">
        <v>-0.35965392174741589</v>
      </c>
      <c r="G183" s="13">
        <v>-1.587477504041646</v>
      </c>
      <c r="H183" s="13">
        <v>4.5872649672440417E-2</v>
      </c>
      <c r="I183" s="13">
        <v>-1.0965145542737531</v>
      </c>
      <c r="J183" s="13">
        <v>-1.84677615552723</v>
      </c>
      <c r="K183" s="13">
        <v>-0.90890136122446785</v>
      </c>
      <c r="L183" s="13">
        <v>-1.925835111842078</v>
      </c>
      <c r="M183" s="13">
        <v>0.92572625780880102</v>
      </c>
      <c r="N183" s="13">
        <v>0.56138219759003238</v>
      </c>
      <c r="O183" s="13">
        <v>-0.93249898078702209</v>
      </c>
      <c r="P183" s="13">
        <v>-0.92363968907179794</v>
      </c>
      <c r="Q183" s="13">
        <v>2.0266884675228751</v>
      </c>
      <c r="R183" s="13">
        <v>2.5117932148626791</v>
      </c>
      <c r="S183" s="13">
        <v>-0.36225260605448062</v>
      </c>
      <c r="T183" s="13">
        <v>-0.54145305544015532</v>
      </c>
      <c r="U183" s="13">
        <v>-1.3848027912331859</v>
      </c>
      <c r="V183" s="13">
        <v>0.9764808203169828</v>
      </c>
      <c r="W183" s="13">
        <v>3.6305176415485363E-2</v>
      </c>
      <c r="X183" s="13">
        <v>-0.78288550139899993</v>
      </c>
    </row>
    <row r="184" spans="1:24" x14ac:dyDescent="0.2">
      <c r="A184" t="s">
        <v>720</v>
      </c>
      <c r="B184" t="s">
        <v>461</v>
      </c>
      <c r="C184" t="s">
        <v>462</v>
      </c>
      <c r="D184" s="13">
        <v>3.2850046412633338</v>
      </c>
      <c r="E184" s="13">
        <v>1.018121241976311</v>
      </c>
      <c r="F184" s="13">
        <v>-0.39290719684631492</v>
      </c>
      <c r="G184" s="13">
        <v>-1.730304242048275</v>
      </c>
      <c r="H184" s="13">
        <v>2.4338950306712629E-2</v>
      </c>
      <c r="I184" s="13">
        <v>-1.16817544113117</v>
      </c>
      <c r="J184" s="13">
        <v>-2.010044451796456</v>
      </c>
      <c r="K184" s="13">
        <v>-1.121429651047523</v>
      </c>
      <c r="L184" s="13">
        <v>-1.8867400134199961</v>
      </c>
      <c r="M184" s="13">
        <v>0.88300399415646158</v>
      </c>
      <c r="N184" s="13">
        <v>0.59809140248623383</v>
      </c>
      <c r="O184" s="13">
        <v>-0.93387137935434517</v>
      </c>
      <c r="P184" s="13">
        <v>-0.93080075027571763</v>
      </c>
      <c r="Q184" s="13">
        <v>2.0477025305784209</v>
      </c>
      <c r="R184" s="13">
        <v>2.5335480621651918</v>
      </c>
      <c r="S184" s="13">
        <v>-0.34248038115503032</v>
      </c>
      <c r="T184" s="13">
        <v>-0.54957900027665652</v>
      </c>
      <c r="U184" s="13">
        <v>-1.412589303029876</v>
      </c>
      <c r="V184" s="13">
        <v>0.99052198621019105</v>
      </c>
      <c r="W184" s="13">
        <v>3.5612045134825188E-2</v>
      </c>
      <c r="X184" s="13">
        <v>-0.78357944756075604</v>
      </c>
    </row>
    <row r="185" spans="1:24" x14ac:dyDescent="0.2">
      <c r="A185" t="s">
        <v>720</v>
      </c>
      <c r="B185" t="s">
        <v>463</v>
      </c>
      <c r="C185" t="s">
        <v>464</v>
      </c>
      <c r="D185" s="13">
        <v>3.3598393289896671</v>
      </c>
      <c r="E185" s="13">
        <v>1.058656640170774</v>
      </c>
      <c r="F185" s="13">
        <v>-0.40205557667966069</v>
      </c>
      <c r="G185" s="13">
        <v>-1.7549724514627441</v>
      </c>
      <c r="H185" s="13">
        <v>-1.7907989339041921</v>
      </c>
      <c r="I185" s="13">
        <v>0.68987994976812406</v>
      </c>
      <c r="J185" s="13">
        <v>-2.0149783058047381</v>
      </c>
      <c r="K185" s="13">
        <v>-1.163899688468883</v>
      </c>
      <c r="L185" s="13">
        <v>-1.956677172089905</v>
      </c>
      <c r="M185" s="13">
        <v>0.94755278339693216</v>
      </c>
      <c r="N185" s="13">
        <v>0.61984979937443896</v>
      </c>
      <c r="O185" s="13">
        <v>-0.96187919624738383</v>
      </c>
      <c r="P185" s="13">
        <v>-0.96155632676677705</v>
      </c>
      <c r="Q185" s="13">
        <v>2.1087182294601492</v>
      </c>
      <c r="R185" s="13">
        <v>2.6292774650253699</v>
      </c>
      <c r="S185" s="13">
        <v>-0.34441020539270889</v>
      </c>
      <c r="T185" s="13">
        <v>-0.55455203280418974</v>
      </c>
      <c r="U185" s="13">
        <v>-1.4262432552420989</v>
      </c>
      <c r="V185" s="13">
        <v>1.015679993849639</v>
      </c>
      <c r="W185" s="13">
        <v>6.7766546253755777E-2</v>
      </c>
      <c r="X185" s="13">
        <v>-0.78865750644006027</v>
      </c>
    </row>
    <row r="186" spans="1:24" x14ac:dyDescent="0.2">
      <c r="A186" t="s">
        <v>720</v>
      </c>
      <c r="B186" t="s">
        <v>465</v>
      </c>
      <c r="C186" t="s">
        <v>466</v>
      </c>
      <c r="D186" s="13">
        <v>3.1189876278526758</v>
      </c>
      <c r="E186" s="13">
        <v>0.8145457922873911</v>
      </c>
      <c r="F186" s="13">
        <v>-5.494576508332516E-2</v>
      </c>
      <c r="G186" s="13">
        <v>-1.3651482179396051</v>
      </c>
      <c r="H186" s="13">
        <v>-0.60898741785704313</v>
      </c>
      <c r="I186" s="13">
        <v>-0.694976098200073</v>
      </c>
      <c r="J186" s="13">
        <v>-1.50230123748778</v>
      </c>
      <c r="K186" s="13">
        <v>-1.3875551925519369</v>
      </c>
      <c r="L186" s="13">
        <v>-1.261276235239994</v>
      </c>
      <c r="M186" s="13">
        <v>0.63997229941490374</v>
      </c>
      <c r="N186" s="13">
        <v>0.32228291909350842</v>
      </c>
      <c r="O186" s="13">
        <v>-0.4737636953638602</v>
      </c>
      <c r="P186" s="13">
        <v>-0.42853717225547211</v>
      </c>
      <c r="Q186" s="13">
        <v>1.348094544442646</v>
      </c>
      <c r="R186" s="13">
        <v>1.9716918852756169</v>
      </c>
      <c r="S186" s="13">
        <v>-0.106073365608117</v>
      </c>
      <c r="T186" s="13">
        <v>-0.1713553593503003</v>
      </c>
      <c r="U186" s="13">
        <v>-1.3561997271310471</v>
      </c>
      <c r="V186" s="13">
        <v>0.86564791096193083</v>
      </c>
      <c r="W186" s="13">
        <v>7.4420034288591452E-3</v>
      </c>
      <c r="X186" s="13">
        <v>-0.79080112223983701</v>
      </c>
    </row>
    <row r="187" spans="1:24" x14ac:dyDescent="0.2">
      <c r="A187" t="s">
        <v>720</v>
      </c>
      <c r="B187" t="s">
        <v>467</v>
      </c>
      <c r="C187" t="s">
        <v>468</v>
      </c>
      <c r="D187" s="13">
        <v>3.4287837629432438</v>
      </c>
      <c r="E187" s="13">
        <v>0.97917779591070175</v>
      </c>
      <c r="F187" s="13">
        <v>-0.22625933784844449</v>
      </c>
      <c r="G187" s="13">
        <v>-1.683779478376801</v>
      </c>
      <c r="H187" s="13">
        <v>-1.7778067513749221</v>
      </c>
      <c r="I187" s="13">
        <v>0.1129505805008257</v>
      </c>
      <c r="J187" s="13">
        <v>-1.929565088468532</v>
      </c>
      <c r="K187" s="13">
        <v>-1.3340560392031131</v>
      </c>
      <c r="L187" s="13">
        <v>-1.708740524817653</v>
      </c>
      <c r="M187" s="13">
        <v>0.99589626862077729</v>
      </c>
      <c r="N187" s="13">
        <v>0.51788439143878318</v>
      </c>
      <c r="O187" s="13">
        <v>-0.75178865026348518</v>
      </c>
      <c r="P187" s="13">
        <v>-0.74830094553339777</v>
      </c>
      <c r="Q187" s="13">
        <v>2.009880210683201</v>
      </c>
      <c r="R187" s="13">
        <v>2.4807711660046921</v>
      </c>
      <c r="S187" s="13">
        <v>-0.39957375566599401</v>
      </c>
      <c r="T187" s="13">
        <v>-0.36709620330507292</v>
      </c>
      <c r="U187" s="13">
        <v>-1.4235853632017961</v>
      </c>
      <c r="V187" s="13">
        <v>0.66834879553459015</v>
      </c>
      <c r="W187" s="13">
        <v>0.1119035044632177</v>
      </c>
      <c r="X187" s="13">
        <v>-0.79462283083462371</v>
      </c>
    </row>
    <row r="188" spans="1:24" x14ac:dyDescent="0.2">
      <c r="A188" t="s">
        <v>720</v>
      </c>
      <c r="B188" t="s">
        <v>469</v>
      </c>
      <c r="C188" t="s">
        <v>470</v>
      </c>
      <c r="D188" s="13">
        <v>3.357809060723782</v>
      </c>
      <c r="E188" s="13">
        <v>1.054984009384685</v>
      </c>
      <c r="F188" s="13">
        <v>-0.40629678559893628</v>
      </c>
      <c r="G188" s="13">
        <v>-1.760185338928788</v>
      </c>
      <c r="H188" s="13">
        <v>-1.804026096067701</v>
      </c>
      <c r="I188" s="13">
        <v>0.68553224518050904</v>
      </c>
      <c r="J188" s="13">
        <v>-2.0210331077143979</v>
      </c>
      <c r="K188" s="13">
        <v>-1.168768071582704</v>
      </c>
      <c r="L188" s="13">
        <v>-1.963016451137811</v>
      </c>
      <c r="M188" s="13">
        <v>0.93648217721402638</v>
      </c>
      <c r="N188" s="13">
        <v>0.61599731961798909</v>
      </c>
      <c r="O188" s="13">
        <v>-0.96661234096109272</v>
      </c>
      <c r="P188" s="13">
        <v>-0.96599877123094702</v>
      </c>
      <c r="Q188" s="13">
        <v>2.1070256615694172</v>
      </c>
      <c r="R188" s="13">
        <v>2.6153346042246728</v>
      </c>
      <c r="S188" s="13">
        <v>-0.34758382978843372</v>
      </c>
      <c r="T188" s="13">
        <v>-0.55899695182827225</v>
      </c>
      <c r="U188" s="13">
        <v>-1.429637393788896</v>
      </c>
      <c r="V188" s="13">
        <v>1.011933873487125</v>
      </c>
      <c r="W188" s="13">
        <v>5.4944925184563509E-2</v>
      </c>
      <c r="X188" s="13">
        <v>-0.7950682590139091</v>
      </c>
    </row>
    <row r="189" spans="1:24" x14ac:dyDescent="0.2">
      <c r="A189" t="s">
        <v>720</v>
      </c>
      <c r="B189" t="s">
        <v>471</v>
      </c>
      <c r="C189" t="s">
        <v>472</v>
      </c>
      <c r="D189" s="13">
        <v>3.8020524172096559</v>
      </c>
      <c r="E189" s="13">
        <v>0.59673206384258659</v>
      </c>
      <c r="F189" s="13">
        <v>-0.29340165720332928</v>
      </c>
      <c r="G189" s="13">
        <v>-2.1050383234615282</v>
      </c>
      <c r="H189" s="13">
        <v>-0.37695758639729737</v>
      </c>
      <c r="I189" s="13">
        <v>-0.88817457549738021</v>
      </c>
      <c r="J189" s="13">
        <v>-1.809095622168766</v>
      </c>
      <c r="K189" s="13">
        <v>-1.3897400209811339</v>
      </c>
      <c r="L189" s="13">
        <v>-1.284860103153951</v>
      </c>
      <c r="M189" s="13">
        <v>0.99374905524485246</v>
      </c>
      <c r="N189" s="13">
        <v>5.5995478101000813E-2</v>
      </c>
      <c r="O189" s="13">
        <v>-0.37643804083270499</v>
      </c>
      <c r="P189" s="13">
        <v>-0.36337491741478273</v>
      </c>
      <c r="Q189" s="13">
        <v>1.6165950090864629</v>
      </c>
      <c r="R189" s="13">
        <v>1.9902537412129331</v>
      </c>
      <c r="S189" s="13">
        <v>-0.31220597040457759</v>
      </c>
      <c r="T189" s="13">
        <v>-0.26667810716891621</v>
      </c>
      <c r="U189" s="13">
        <v>-1.458434780813223</v>
      </c>
      <c r="V189" s="13">
        <v>1.039122045766083</v>
      </c>
      <c r="W189" s="13">
        <v>-9.7296101588872919E-2</v>
      </c>
      <c r="X189" s="13">
        <v>-0.8175296626954931</v>
      </c>
    </row>
    <row r="190" spans="1:24" x14ac:dyDescent="0.2">
      <c r="A190" t="s">
        <v>720</v>
      </c>
      <c r="B190" t="s">
        <v>473</v>
      </c>
      <c r="C190" t="s">
        <v>474</v>
      </c>
      <c r="D190" s="13">
        <v>3.2327773572841112</v>
      </c>
      <c r="E190" s="13">
        <v>1.1376612353328761</v>
      </c>
      <c r="F190" s="13">
        <v>-0.35038218220051492</v>
      </c>
      <c r="G190" s="13">
        <v>-1.5738777622603011</v>
      </c>
      <c r="H190" s="13">
        <v>-0.90438077409589201</v>
      </c>
      <c r="I190" s="13">
        <v>-0.47788870410266909</v>
      </c>
      <c r="J190" s="13">
        <v>-1.833046235282165</v>
      </c>
      <c r="K190" s="13">
        <v>-1.0870169909069081</v>
      </c>
      <c r="L190" s="13">
        <v>-1.905493956577853</v>
      </c>
      <c r="M190" s="13">
        <v>0.85293889943638401</v>
      </c>
      <c r="N190" s="13">
        <v>0.72197087320640119</v>
      </c>
      <c r="O190" s="13">
        <v>-0.94805319047163161</v>
      </c>
      <c r="P190" s="13">
        <v>-1.0095712726605479</v>
      </c>
      <c r="Q190" s="13">
        <v>2.1338872535580311</v>
      </c>
      <c r="R190" s="13">
        <v>2.507050003439026</v>
      </c>
      <c r="S190" s="13">
        <v>-0.3715570168081328</v>
      </c>
      <c r="T190" s="13">
        <v>-0.43979240426602623</v>
      </c>
      <c r="U190" s="13">
        <v>-1.3306233147202251</v>
      </c>
      <c r="V190" s="13">
        <v>0.75506204845929847</v>
      </c>
      <c r="W190" s="13">
        <v>0.1486269334810997</v>
      </c>
      <c r="X190" s="13">
        <v>-0.84857109334722791</v>
      </c>
    </row>
    <row r="191" spans="1:24" x14ac:dyDescent="0.2">
      <c r="A191" t="s">
        <v>720</v>
      </c>
      <c r="B191" t="s">
        <v>475</v>
      </c>
      <c r="C191" t="s">
        <v>476</v>
      </c>
      <c r="D191" s="13">
        <v>2.801768261718562</v>
      </c>
      <c r="E191" s="13">
        <v>1.048058213289083</v>
      </c>
      <c r="F191" s="13">
        <v>-7.6453828496914067E-2</v>
      </c>
      <c r="G191" s="13">
        <v>-1.043553032158417</v>
      </c>
      <c r="H191" s="13">
        <v>-1.3541095541892201</v>
      </c>
      <c r="I191" s="13">
        <v>-0.22867098268394279</v>
      </c>
      <c r="J191" s="13">
        <v>-1.3536031688392569</v>
      </c>
      <c r="K191" s="13">
        <v>-1.3088199904235709</v>
      </c>
      <c r="L191" s="13">
        <v>-1.4801186533349391</v>
      </c>
      <c r="M191" s="13">
        <v>0.46585995431982502</v>
      </c>
      <c r="N191" s="13">
        <v>0.47947812664788092</v>
      </c>
      <c r="O191" s="13">
        <v>-0.47908584745713911</v>
      </c>
      <c r="P191" s="13">
        <v>-0.76521760111600834</v>
      </c>
      <c r="Q191" s="13">
        <v>1.3026118782232701</v>
      </c>
      <c r="R191" s="13">
        <v>2.239489444915344</v>
      </c>
      <c r="S191" s="13">
        <v>-7.8768176915100518E-3</v>
      </c>
      <c r="T191" s="13">
        <v>-0.24327382623855481</v>
      </c>
      <c r="U191" s="13">
        <v>-1.2554432683082981</v>
      </c>
      <c r="V191" s="13">
        <v>0.43921036843805877</v>
      </c>
      <c r="W191" s="13">
        <v>0.25256956513322049</v>
      </c>
      <c r="X191" s="13">
        <v>-0.85082368066734526</v>
      </c>
    </row>
    <row r="192" spans="1:24" x14ac:dyDescent="0.2">
      <c r="A192" t="s">
        <v>720</v>
      </c>
      <c r="B192" t="s">
        <v>477</v>
      </c>
      <c r="C192" t="s">
        <v>478</v>
      </c>
      <c r="D192" s="13">
        <v>3.13676009888324</v>
      </c>
      <c r="E192" s="13">
        <v>1.227213635482038</v>
      </c>
      <c r="F192" s="13">
        <v>-0.33486143971027671</v>
      </c>
      <c r="G192" s="13">
        <v>-1.486183347288383</v>
      </c>
      <c r="H192" s="13">
        <v>-1.1231358460666701</v>
      </c>
      <c r="I192" s="13">
        <v>-0.31526176039313741</v>
      </c>
      <c r="J192" s="13">
        <v>-1.786760861830083</v>
      </c>
      <c r="K192" s="13">
        <v>-0.99550607516558642</v>
      </c>
      <c r="L192" s="13">
        <v>-1.916584812353284</v>
      </c>
      <c r="M192" s="13">
        <v>0.80777585766471649</v>
      </c>
      <c r="N192" s="13">
        <v>0.8105823287891667</v>
      </c>
      <c r="O192" s="13">
        <v>-0.88607748626980953</v>
      </c>
      <c r="P192" s="13">
        <v>-1.032184841738526</v>
      </c>
      <c r="Q192" s="13">
        <v>2.0822953999685372</v>
      </c>
      <c r="R192" s="13">
        <v>2.54058101743182</v>
      </c>
      <c r="S192" s="13">
        <v>-0.34826020505549499</v>
      </c>
      <c r="T192" s="13">
        <v>-0.39132188576306293</v>
      </c>
      <c r="U192" s="13">
        <v>-1.300451224265176</v>
      </c>
      <c r="V192" s="13">
        <v>0.67773764285223859</v>
      </c>
      <c r="W192" s="13">
        <v>0.14368481814124309</v>
      </c>
      <c r="X192" s="13">
        <v>-0.8527023054783478</v>
      </c>
    </row>
    <row r="193" spans="1:24" x14ac:dyDescent="0.2">
      <c r="A193" t="s">
        <v>720</v>
      </c>
      <c r="B193" t="s">
        <v>479</v>
      </c>
      <c r="C193" t="s">
        <v>480</v>
      </c>
      <c r="D193" s="13">
        <v>3.264366363432369</v>
      </c>
      <c r="E193" s="13">
        <v>1.277053441211051</v>
      </c>
      <c r="F193" s="13">
        <v>-0.34176884744421271</v>
      </c>
      <c r="G193" s="13">
        <v>-1.617076778500748</v>
      </c>
      <c r="H193" s="13">
        <v>-0.97431096257846184</v>
      </c>
      <c r="I193" s="13">
        <v>-0.54787722507804171</v>
      </c>
      <c r="J193" s="13">
        <v>-1.851159551903059</v>
      </c>
      <c r="K193" s="13">
        <v>-1.1844461645473701</v>
      </c>
      <c r="L193" s="13">
        <v>-1.96732701931428</v>
      </c>
      <c r="M193" s="13">
        <v>0.80621617562433023</v>
      </c>
      <c r="N193" s="13">
        <v>0.72376730634182707</v>
      </c>
      <c r="O193" s="13">
        <v>-0.89781347019366464</v>
      </c>
      <c r="P193" s="13">
        <v>-1.035499981552346</v>
      </c>
      <c r="Q193" s="13">
        <v>2.0341209017000978</v>
      </c>
      <c r="R193" s="13">
        <v>2.6269242714383361</v>
      </c>
      <c r="S193" s="13">
        <v>-0.30149143589545119</v>
      </c>
      <c r="T193" s="13">
        <v>-0.44207997532728083</v>
      </c>
      <c r="U193" s="13">
        <v>-1.3476994463932359</v>
      </c>
      <c r="V193" s="13">
        <v>0.74139508210131488</v>
      </c>
      <c r="W193" s="13">
        <v>0.14715496303490119</v>
      </c>
      <c r="X193" s="13">
        <v>-0.85951788696528864</v>
      </c>
    </row>
    <row r="194" spans="1:24" x14ac:dyDescent="0.2">
      <c r="A194" t="s">
        <v>720</v>
      </c>
      <c r="B194" t="s">
        <v>481</v>
      </c>
      <c r="C194" t="s">
        <v>482</v>
      </c>
      <c r="D194" s="13">
        <v>3.1267214849980181</v>
      </c>
      <c r="E194" s="13">
        <v>1.222305502262544</v>
      </c>
      <c r="F194" s="13">
        <v>-0.34315790927865741</v>
      </c>
      <c r="G194" s="13">
        <v>-1.518753612862012</v>
      </c>
      <c r="H194" s="13">
        <v>-1.312453812858505</v>
      </c>
      <c r="I194" s="13">
        <v>-0.19954328976851121</v>
      </c>
      <c r="J194" s="13">
        <v>-1.7854743876679069</v>
      </c>
      <c r="K194" s="13">
        <v>-1.068088456350258</v>
      </c>
      <c r="L194" s="13">
        <v>-1.915074815883633</v>
      </c>
      <c r="M194" s="13">
        <v>0.83257229147828404</v>
      </c>
      <c r="N194" s="13">
        <v>0.7849482674773034</v>
      </c>
      <c r="O194" s="13">
        <v>-0.89039205877708971</v>
      </c>
      <c r="P194" s="13">
        <v>-1.0453438944680651</v>
      </c>
      <c r="Q194" s="13">
        <v>2.047022075639759</v>
      </c>
      <c r="R194" s="13">
        <v>2.5370486959419352</v>
      </c>
      <c r="S194" s="13">
        <v>-0.36912095433657699</v>
      </c>
      <c r="T194" s="13">
        <v>-0.41551866225794098</v>
      </c>
      <c r="U194" s="13">
        <v>-1.2850910882766351</v>
      </c>
      <c r="V194" s="13">
        <v>0.69913950931035362</v>
      </c>
      <c r="W194" s="13">
        <v>0.1350080552862343</v>
      </c>
      <c r="X194" s="13">
        <v>-0.86282834724545898</v>
      </c>
    </row>
    <row r="195" spans="1:24" x14ac:dyDescent="0.2">
      <c r="A195" t="s">
        <v>720</v>
      </c>
      <c r="B195" t="s">
        <v>483</v>
      </c>
      <c r="C195" t="s">
        <v>484</v>
      </c>
      <c r="D195" s="13">
        <v>2.79565450055137</v>
      </c>
      <c r="E195" s="13">
        <v>1.2131804648428</v>
      </c>
      <c r="F195" s="13">
        <v>-0.44328131867353848</v>
      </c>
      <c r="G195" s="13">
        <v>-1.0745535909784441</v>
      </c>
      <c r="H195" s="13">
        <v>0.4360336432049694</v>
      </c>
      <c r="I195" s="13">
        <v>-1.3564438228915841</v>
      </c>
      <c r="J195" s="13">
        <v>-1.2580192310595151</v>
      </c>
      <c r="K195" s="13">
        <v>-1.7357246811060769</v>
      </c>
      <c r="L195" s="13">
        <v>-2.569144748919538</v>
      </c>
      <c r="M195" s="13">
        <v>1.0530316094707231</v>
      </c>
      <c r="N195" s="13">
        <v>0.49065927085618632</v>
      </c>
      <c r="O195" s="13">
        <v>-0.77469306631779977</v>
      </c>
      <c r="P195" s="13">
        <v>-0.16962442388865909</v>
      </c>
      <c r="Q195" s="13">
        <v>2.83651242248053</v>
      </c>
      <c r="R195" s="13">
        <v>3.1912817979748098</v>
      </c>
      <c r="S195" s="13">
        <v>0.84707225453932722</v>
      </c>
      <c r="T195" s="13">
        <v>1.4142869263451761</v>
      </c>
      <c r="U195" s="13">
        <v>-0.15082373865018539</v>
      </c>
      <c r="V195" s="13">
        <v>1.0917547410151269</v>
      </c>
      <c r="W195" s="13">
        <v>1.04327565371376E-2</v>
      </c>
      <c r="X195" s="13">
        <v>-0.86716139819125182</v>
      </c>
    </row>
    <row r="196" spans="1:24" x14ac:dyDescent="0.2">
      <c r="A196" t="s">
        <v>720</v>
      </c>
      <c r="B196" t="s">
        <v>485</v>
      </c>
      <c r="C196" t="s">
        <v>486</v>
      </c>
      <c r="D196" s="13">
        <v>3.3543558210678448</v>
      </c>
      <c r="E196" s="13">
        <v>0.83555112875413062</v>
      </c>
      <c r="F196" s="13">
        <v>-0.27955178939068631</v>
      </c>
      <c r="G196" s="13">
        <v>-1.635085030988759</v>
      </c>
      <c r="H196" s="13">
        <v>-0.34125729005408673</v>
      </c>
      <c r="I196" s="13">
        <v>-0.971869720469698</v>
      </c>
      <c r="J196" s="13">
        <v>-1.841469567692966</v>
      </c>
      <c r="K196" s="13">
        <v>-1.378008718175505</v>
      </c>
      <c r="L196" s="13">
        <v>-1.5600284475347559</v>
      </c>
      <c r="M196" s="13">
        <v>0.94577786717109369</v>
      </c>
      <c r="N196" s="13">
        <v>0.23258096747822421</v>
      </c>
      <c r="O196" s="13">
        <v>-0.68136090933872406</v>
      </c>
      <c r="P196" s="13">
        <v>-0.6829447050997417</v>
      </c>
      <c r="Q196" s="13">
        <v>1.789007377265994</v>
      </c>
      <c r="R196" s="13">
        <v>2.17282595482855</v>
      </c>
      <c r="S196" s="13">
        <v>-0.39553061800233769</v>
      </c>
      <c r="T196" s="13">
        <v>-0.43586728577843509</v>
      </c>
      <c r="U196" s="13">
        <v>-1.382864548237928</v>
      </c>
      <c r="V196" s="13">
        <v>0.94246161825424224</v>
      </c>
      <c r="W196" s="13">
        <v>-3.7453291631961427E-2</v>
      </c>
      <c r="X196" s="13">
        <v>-0.88044602720027676</v>
      </c>
    </row>
    <row r="197" spans="1:24" x14ac:dyDescent="0.2">
      <c r="A197" t="s">
        <v>720</v>
      </c>
      <c r="B197" t="s">
        <v>487</v>
      </c>
      <c r="C197" t="s">
        <v>488</v>
      </c>
      <c r="D197" s="13">
        <v>3.2107582881815588</v>
      </c>
      <c r="E197" s="13">
        <v>0.75939714406436654</v>
      </c>
      <c r="F197" s="13">
        <v>-0.31885383427910918</v>
      </c>
      <c r="G197" s="13">
        <v>-1.6503326589785481</v>
      </c>
      <c r="H197" s="13">
        <v>-0.14168786569962449</v>
      </c>
      <c r="I197" s="13">
        <v>-0.93828364352755989</v>
      </c>
      <c r="J197" s="13">
        <v>-1.874909080719755</v>
      </c>
      <c r="K197" s="13">
        <v>-1.317231305405564</v>
      </c>
      <c r="L197" s="13">
        <v>-1.584773234122516</v>
      </c>
      <c r="M197" s="13">
        <v>0.97428633289839972</v>
      </c>
      <c r="N197" s="13">
        <v>0.24010341578213359</v>
      </c>
      <c r="O197" s="13">
        <v>-0.50470148328154441</v>
      </c>
      <c r="P197" s="13">
        <v>-0.63498945965843046</v>
      </c>
      <c r="Q197" s="13">
        <v>1.8168749902809811</v>
      </c>
      <c r="R197" s="13">
        <v>2.1636916870290568</v>
      </c>
      <c r="S197" s="13">
        <v>-0.30785886165684012</v>
      </c>
      <c r="T197" s="13">
        <v>-0.44437775614395442</v>
      </c>
      <c r="U197" s="13">
        <v>-1.6251439379539101</v>
      </c>
      <c r="V197" s="13">
        <v>1.145267197701072</v>
      </c>
      <c r="W197" s="13">
        <v>-3.6526384485102703E-2</v>
      </c>
      <c r="X197" s="13">
        <v>-0.89098227679037523</v>
      </c>
    </row>
    <row r="198" spans="1:24" x14ac:dyDescent="0.2">
      <c r="A198" t="s">
        <v>720</v>
      </c>
      <c r="B198" t="s">
        <v>489</v>
      </c>
      <c r="C198" t="s">
        <v>490</v>
      </c>
      <c r="D198" s="13">
        <v>3.5610488265746199</v>
      </c>
      <c r="E198" s="13">
        <v>0.55967888285683998</v>
      </c>
      <c r="F198" s="13">
        <v>-0.28537817655275299</v>
      </c>
      <c r="G198" s="13">
        <v>-1.643366167528004</v>
      </c>
      <c r="H198" s="13">
        <v>-0.45302550303421008</v>
      </c>
      <c r="I198" s="13">
        <v>-0.82546031913121043</v>
      </c>
      <c r="J198" s="13">
        <v>-1.9302697019934481</v>
      </c>
      <c r="K198" s="13">
        <v>-1.505831602492413</v>
      </c>
      <c r="L198" s="13">
        <v>-1.294495630071602</v>
      </c>
      <c r="M198" s="13">
        <v>1.184307920059213</v>
      </c>
      <c r="N198" s="13">
        <v>-8.0815278147983172E-2</v>
      </c>
      <c r="O198" s="13">
        <v>-0.47754972291499392</v>
      </c>
      <c r="P198" s="13">
        <v>-0.28556017805361211</v>
      </c>
      <c r="Q198" s="13">
        <v>1.79844830171132</v>
      </c>
      <c r="R198" s="13">
        <v>2.112030457149205</v>
      </c>
      <c r="S198" s="13">
        <v>-0.4699256480538927</v>
      </c>
      <c r="T198" s="13">
        <v>-0.34791601498911362</v>
      </c>
      <c r="U198" s="13">
        <v>-1.5413639799618299</v>
      </c>
      <c r="V198" s="13">
        <v>1.255010706206217</v>
      </c>
      <c r="W198" s="13">
        <v>-0.159550405847908</v>
      </c>
      <c r="X198" s="13">
        <v>-0.89730428990227873</v>
      </c>
    </row>
    <row r="199" spans="1:24" x14ac:dyDescent="0.2">
      <c r="A199" t="s">
        <v>720</v>
      </c>
      <c r="B199" t="s">
        <v>491</v>
      </c>
      <c r="C199" t="s">
        <v>492</v>
      </c>
      <c r="D199" s="13">
        <v>3.343381914167276</v>
      </c>
      <c r="E199" s="13">
        <v>1.02974463815555</v>
      </c>
      <c r="F199" s="13">
        <v>-0.31904629807819612</v>
      </c>
      <c r="G199" s="13">
        <v>-1.684147588743323</v>
      </c>
      <c r="H199" s="13">
        <v>-0.81489347868489714</v>
      </c>
      <c r="I199" s="13">
        <v>-0.57202639306868086</v>
      </c>
      <c r="J199" s="13">
        <v>-1.847422026816625</v>
      </c>
      <c r="K199" s="13">
        <v>-1.284920939163348</v>
      </c>
      <c r="L199" s="13">
        <v>-1.8182355540862121</v>
      </c>
      <c r="M199" s="13">
        <v>0.90376226922035396</v>
      </c>
      <c r="N199" s="13">
        <v>0.61350799891493057</v>
      </c>
      <c r="O199" s="13">
        <v>-0.86283103461115562</v>
      </c>
      <c r="P199" s="13">
        <v>-0.91638595463767736</v>
      </c>
      <c r="Q199" s="13">
        <v>2.0462774597799438</v>
      </c>
      <c r="R199" s="13">
        <v>2.529084645398449</v>
      </c>
      <c r="S199" s="13">
        <v>-0.32875910880786341</v>
      </c>
      <c r="T199" s="13">
        <v>-0.41257363419546778</v>
      </c>
      <c r="U199" s="13">
        <v>-1.36046190949991</v>
      </c>
      <c r="V199" s="13">
        <v>0.77441398152671148</v>
      </c>
      <c r="W199" s="13">
        <v>0.1121992549969475</v>
      </c>
      <c r="X199" s="13">
        <v>-0.90249740532845069</v>
      </c>
    </row>
    <row r="200" spans="1:24" x14ac:dyDescent="0.2">
      <c r="A200" t="s">
        <v>720</v>
      </c>
      <c r="B200" t="s">
        <v>493</v>
      </c>
      <c r="C200" t="s">
        <v>494</v>
      </c>
      <c r="D200" s="13">
        <v>3.2971607143604138</v>
      </c>
      <c r="E200" s="13">
        <v>0.62844113793711909</v>
      </c>
      <c r="F200" s="13">
        <v>-0.17205140614293679</v>
      </c>
      <c r="G200" s="13">
        <v>-1.773470311304715</v>
      </c>
      <c r="H200" s="13">
        <v>-0.56013700218452422</v>
      </c>
      <c r="I200" s="13">
        <v>-0.46351137728504188</v>
      </c>
      <c r="J200" s="13">
        <v>-1.9531800728153299</v>
      </c>
      <c r="K200" s="13">
        <v>-1.627209394041607</v>
      </c>
      <c r="L200" s="13">
        <v>-1.2940656770575321</v>
      </c>
      <c r="M200" s="13">
        <v>1.192014904814132</v>
      </c>
      <c r="N200" s="13">
        <v>-0.17270915562978001</v>
      </c>
      <c r="O200" s="13">
        <v>-0.22086810110564239</v>
      </c>
      <c r="P200" s="13">
        <v>-0.41300529139397518</v>
      </c>
      <c r="Q200" s="13">
        <v>1.708664603381749</v>
      </c>
      <c r="R200" s="13">
        <v>1.874822682176069</v>
      </c>
      <c r="S200" s="13">
        <v>-0.68250345491854825</v>
      </c>
      <c r="T200" s="13">
        <v>-0.24571992987862951</v>
      </c>
      <c r="U200" s="13">
        <v>-1.3835846604178359</v>
      </c>
      <c r="V200" s="13">
        <v>1.014876497106254</v>
      </c>
      <c r="W200" s="13">
        <v>-9.2395363046937629E-2</v>
      </c>
      <c r="X200" s="13">
        <v>-0.90728878327743789</v>
      </c>
    </row>
    <row r="201" spans="1:24" x14ac:dyDescent="0.2">
      <c r="A201" t="s">
        <v>720</v>
      </c>
      <c r="B201" t="s">
        <v>495</v>
      </c>
      <c r="C201" t="s">
        <v>496</v>
      </c>
      <c r="D201" s="13">
        <v>3.2440050176658191</v>
      </c>
      <c r="E201" s="13">
        <v>1.1952159931656989</v>
      </c>
      <c r="F201" s="13">
        <v>-0.2298248573652906</v>
      </c>
      <c r="G201" s="13">
        <v>-1.5630980385220821</v>
      </c>
      <c r="H201" s="13">
        <v>-1.3263081787087789</v>
      </c>
      <c r="I201" s="13">
        <v>-0.27168232542589271</v>
      </c>
      <c r="J201" s="13">
        <v>-1.813252585274427</v>
      </c>
      <c r="K201" s="13">
        <v>-1.281269293423692</v>
      </c>
      <c r="L201" s="13">
        <v>-1.8131402371255541</v>
      </c>
      <c r="M201" s="13">
        <v>0.77662035082979308</v>
      </c>
      <c r="N201" s="13">
        <v>0.65267948114609009</v>
      </c>
      <c r="O201" s="13">
        <v>-0.83123198915396879</v>
      </c>
      <c r="P201" s="13">
        <v>-0.88649100615966203</v>
      </c>
      <c r="Q201" s="13">
        <v>1.967800881488579</v>
      </c>
      <c r="R201" s="13">
        <v>2.4703128408710922</v>
      </c>
      <c r="S201" s="13">
        <v>-0.2172446105067172</v>
      </c>
      <c r="T201" s="13">
        <v>-0.33968078422628167</v>
      </c>
      <c r="U201" s="13">
        <v>-1.353649809690449</v>
      </c>
      <c r="V201" s="13">
        <v>0.6645224322316956</v>
      </c>
      <c r="W201" s="13">
        <v>9.0564438761586707E-2</v>
      </c>
      <c r="X201" s="13">
        <v>-0.91712280576226046</v>
      </c>
    </row>
    <row r="202" spans="1:24" x14ac:dyDescent="0.2">
      <c r="A202" t="s">
        <v>720</v>
      </c>
      <c r="B202" t="s">
        <v>497</v>
      </c>
      <c r="C202" t="s">
        <v>498</v>
      </c>
      <c r="D202" s="13">
        <v>3.158841201651708</v>
      </c>
      <c r="E202" s="13">
        <v>0.87174961307681098</v>
      </c>
      <c r="F202" s="13">
        <v>-0.21710423956637909</v>
      </c>
      <c r="G202" s="13">
        <v>-1.6234120976031721</v>
      </c>
      <c r="H202" s="13">
        <v>-0.90694278584488863</v>
      </c>
      <c r="I202" s="13">
        <v>-0.41707328641784608</v>
      </c>
      <c r="J202" s="13">
        <v>-1.707192998223273</v>
      </c>
      <c r="K202" s="13">
        <v>-1.3123220017419499</v>
      </c>
      <c r="L202" s="13">
        <v>-1.553743788114947</v>
      </c>
      <c r="M202" s="13">
        <v>0.91696763153852334</v>
      </c>
      <c r="N202" s="13">
        <v>0.46900187007061778</v>
      </c>
      <c r="O202" s="13">
        <v>-0.73619668154329965</v>
      </c>
      <c r="P202" s="13">
        <v>-0.68670028811993467</v>
      </c>
      <c r="Q202" s="13">
        <v>1.9020444140624539</v>
      </c>
      <c r="R202" s="13">
        <v>2.1429695283696319</v>
      </c>
      <c r="S202" s="13">
        <v>-0.27748616888292332</v>
      </c>
      <c r="T202" s="13">
        <v>-0.32009241147207268</v>
      </c>
      <c r="U202" s="13">
        <v>-1.4472085651079489</v>
      </c>
      <c r="V202" s="13">
        <v>0.89074819926655557</v>
      </c>
      <c r="W202" s="13">
        <v>-1.166806951438115E-2</v>
      </c>
      <c r="X202" s="13">
        <v>-0.91929468656796187</v>
      </c>
    </row>
    <row r="203" spans="1:24" x14ac:dyDescent="0.2">
      <c r="A203" s="14" t="s">
        <v>720</v>
      </c>
      <c r="B203" s="14" t="s">
        <v>499</v>
      </c>
      <c r="C203" s="14" t="s">
        <v>500</v>
      </c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5">
        <v>4.9994661248731198E-2</v>
      </c>
      <c r="X203" s="15">
        <v>-0.92119751687598228</v>
      </c>
    </row>
    <row r="204" spans="1:24" x14ac:dyDescent="0.2">
      <c r="A204" t="s">
        <v>720</v>
      </c>
      <c r="B204" t="s">
        <v>501</v>
      </c>
      <c r="C204" t="s">
        <v>502</v>
      </c>
      <c r="D204" s="13">
        <v>3.3015382815860579</v>
      </c>
      <c r="E204" s="13">
        <v>1.117834975290233</v>
      </c>
      <c r="F204" s="13">
        <v>-0.40557588993461741</v>
      </c>
      <c r="G204" s="13">
        <v>-1.724346696241275</v>
      </c>
      <c r="H204" s="13">
        <v>-0.13816937426062159</v>
      </c>
      <c r="I204" s="13">
        <v>-1.1206797495680989</v>
      </c>
      <c r="J204" s="13">
        <v>-1.963320992732742</v>
      </c>
      <c r="K204" s="13">
        <v>-1.2255561857194901</v>
      </c>
      <c r="L204" s="13">
        <v>-2.0342131831627248</v>
      </c>
      <c r="M204" s="13">
        <v>0.87041611440579203</v>
      </c>
      <c r="N204" s="13">
        <v>0.63335124485044414</v>
      </c>
      <c r="O204" s="13">
        <v>-0.97362931531620456</v>
      </c>
      <c r="P204" s="13">
        <v>-0.94775775218390867</v>
      </c>
      <c r="Q204" s="13">
        <v>2.0629556401390081</v>
      </c>
      <c r="R204" s="13">
        <v>2.6217256431372289</v>
      </c>
      <c r="S204" s="13">
        <v>-0.30855438890464709</v>
      </c>
      <c r="T204" s="13">
        <v>-0.24319340009884011</v>
      </c>
      <c r="U204" s="13">
        <v>-1.2575009485609969</v>
      </c>
      <c r="V204" s="13">
        <v>0.40126391782768778</v>
      </c>
      <c r="W204" s="13">
        <v>0.15751645540882381</v>
      </c>
      <c r="X204" s="13">
        <v>-0.93522612555743123</v>
      </c>
    </row>
    <row r="205" spans="1:24" x14ac:dyDescent="0.2">
      <c r="A205" t="s">
        <v>720</v>
      </c>
      <c r="B205" t="s">
        <v>503</v>
      </c>
      <c r="C205" t="s">
        <v>504</v>
      </c>
      <c r="L205" s="13">
        <v>0.44743869070986708</v>
      </c>
      <c r="M205" s="13">
        <v>0.8357947708128366</v>
      </c>
      <c r="N205" s="13">
        <v>-0.19952382549208719</v>
      </c>
      <c r="O205" s="13">
        <v>0</v>
      </c>
      <c r="P205" s="13">
        <v>4.7139464626111398E-2</v>
      </c>
      <c r="Q205" s="13">
        <v>0.7327375025682592</v>
      </c>
      <c r="R205" s="13">
        <v>1.1883865830674361</v>
      </c>
      <c r="S205" s="13">
        <v>-0.25729112660565212</v>
      </c>
      <c r="T205" s="13">
        <v>-1.292203060480057E-2</v>
      </c>
      <c r="U205" s="13">
        <v>-1.513627702195175</v>
      </c>
      <c r="V205" s="13">
        <v>0.86281745170393442</v>
      </c>
      <c r="W205" s="13">
        <v>-8.4320908552915075E-2</v>
      </c>
      <c r="X205" s="13">
        <v>-0.9522009980194146</v>
      </c>
    </row>
    <row r="206" spans="1:24" x14ac:dyDescent="0.2">
      <c r="A206" t="s">
        <v>720</v>
      </c>
      <c r="B206" t="s">
        <v>505</v>
      </c>
      <c r="C206" t="s">
        <v>506</v>
      </c>
      <c r="D206" s="13">
        <v>3.564707207095319</v>
      </c>
      <c r="E206" s="13">
        <v>0.82459841677104961</v>
      </c>
      <c r="F206" s="13">
        <v>-0.50997650458828314</v>
      </c>
      <c r="G206" s="13">
        <v>-1.619611835823842</v>
      </c>
      <c r="H206" s="13">
        <v>-0.27457171361194849</v>
      </c>
      <c r="I206" s="13">
        <v>-1.116065352352835</v>
      </c>
      <c r="J206" s="13">
        <v>-1.981851462078899</v>
      </c>
      <c r="K206" s="13">
        <v>-1.3037657466322019</v>
      </c>
      <c r="L206" s="13">
        <v>-1.662342972504782</v>
      </c>
      <c r="M206" s="13">
        <v>1.150813711562249</v>
      </c>
      <c r="N206" s="13">
        <v>8.9496756249829446E-2</v>
      </c>
      <c r="O206" s="13">
        <v>-0.8347774527330154</v>
      </c>
      <c r="P206" s="13">
        <v>-0.71825860744115788</v>
      </c>
      <c r="Q206" s="13">
        <v>1.882307655641946</v>
      </c>
      <c r="R206" s="13">
        <v>2.265053313753751</v>
      </c>
      <c r="S206" s="13">
        <v>-0.62745259621151961</v>
      </c>
      <c r="T206" s="13">
        <v>-0.56592785301099457</v>
      </c>
      <c r="U206" s="13">
        <v>-1.4427143465493451</v>
      </c>
      <c r="V206" s="13">
        <v>0.9908698252928394</v>
      </c>
      <c r="W206" s="13">
        <v>-3.4445190804355257E-2</v>
      </c>
      <c r="X206" s="13">
        <v>-0.97739557593865545</v>
      </c>
    </row>
    <row r="207" spans="1:24" x14ac:dyDescent="0.2">
      <c r="A207" t="s">
        <v>720</v>
      </c>
      <c r="B207" t="s">
        <v>508</v>
      </c>
      <c r="C207" t="s">
        <v>509</v>
      </c>
      <c r="D207" s="13">
        <v>3.2356179964344589</v>
      </c>
      <c r="E207" s="13">
        <v>1.368933160574715</v>
      </c>
      <c r="F207" s="13">
        <v>-0.33562715872986759</v>
      </c>
      <c r="G207" s="13">
        <v>-1.4836522556007199</v>
      </c>
      <c r="H207" s="13">
        <v>-2.1788745970709229</v>
      </c>
      <c r="I207" s="13">
        <v>0.34859523537065229</v>
      </c>
      <c r="J207" s="13">
        <v>-1.763740684505388</v>
      </c>
      <c r="K207" s="13">
        <v>-1.173506568326288</v>
      </c>
      <c r="L207" s="13">
        <v>-1.913740298611355</v>
      </c>
      <c r="M207" s="13">
        <v>0.88395094582307543</v>
      </c>
      <c r="N207" s="13">
        <v>0.74739072707927789</v>
      </c>
      <c r="O207" s="13">
        <v>-0.91945295385715831</v>
      </c>
      <c r="P207" s="13">
        <v>-1.0251000876455141</v>
      </c>
      <c r="Q207" s="13">
        <v>2.200926916855606</v>
      </c>
      <c r="R207" s="13">
        <v>2.5593298195885739</v>
      </c>
      <c r="S207" s="13">
        <v>-0.46105350300894582</v>
      </c>
      <c r="T207" s="13">
        <v>-0.36210635861324558</v>
      </c>
      <c r="U207" s="13">
        <v>-1.313499919738881</v>
      </c>
      <c r="V207" s="13">
        <v>0.61550072871121575</v>
      </c>
      <c r="W207" s="13">
        <v>0.1179067351258611</v>
      </c>
      <c r="X207" s="13">
        <v>-1.0007040236999829</v>
      </c>
    </row>
    <row r="208" spans="1:24" x14ac:dyDescent="0.2">
      <c r="A208" t="s">
        <v>720</v>
      </c>
      <c r="B208" t="s">
        <v>510</v>
      </c>
      <c r="C208" t="s">
        <v>511</v>
      </c>
      <c r="D208" s="13">
        <v>3.3341427941708361</v>
      </c>
      <c r="E208" s="13">
        <v>0.33743353823714178</v>
      </c>
      <c r="F208" s="13">
        <v>-8.763879324500401E-2</v>
      </c>
      <c r="G208" s="13">
        <v>-1.6420729435071559</v>
      </c>
      <c r="H208" s="13">
        <v>-0.72354373223443291</v>
      </c>
      <c r="I208" s="13">
        <v>-0.55020076391402162</v>
      </c>
      <c r="J208" s="13">
        <v>-1.7015194222745109</v>
      </c>
      <c r="K208" s="13">
        <v>-1.598708594201492</v>
      </c>
      <c r="L208" s="13">
        <v>-0.91192995900485352</v>
      </c>
      <c r="M208" s="13">
        <v>1.156580098253523</v>
      </c>
      <c r="N208" s="13">
        <v>-0.28998313280564902</v>
      </c>
      <c r="O208" s="13">
        <v>-0.13211366253406129</v>
      </c>
      <c r="P208" s="13">
        <v>-8.1873427078971162E-2</v>
      </c>
      <c r="Q208" s="13">
        <v>1.573869883902868</v>
      </c>
      <c r="R208" s="13">
        <v>1.7448337176078079</v>
      </c>
      <c r="S208" s="13">
        <v>-0.49079245973284719</v>
      </c>
      <c r="T208" s="13">
        <v>-0.11928629239159599</v>
      </c>
      <c r="U208" s="13">
        <v>-1.51761905140203</v>
      </c>
      <c r="V208" s="13">
        <v>1.2311105135789151</v>
      </c>
      <c r="W208" s="13">
        <v>-0.26641627609543811</v>
      </c>
      <c r="X208" s="13">
        <v>-1.0082548661630499</v>
      </c>
    </row>
    <row r="209" spans="1:24" x14ac:dyDescent="0.2">
      <c r="A209" t="s">
        <v>720</v>
      </c>
      <c r="B209" t="s">
        <v>512</v>
      </c>
      <c r="C209" t="s">
        <v>513</v>
      </c>
      <c r="D209" s="13">
        <v>3.326224734098981</v>
      </c>
      <c r="E209" s="13">
        <v>1.0058938112222471</v>
      </c>
      <c r="F209" s="13">
        <v>-8.2362488486997787E-2</v>
      </c>
      <c r="G209" s="13">
        <v>-1.63114304205384</v>
      </c>
      <c r="H209" s="13">
        <v>-1.885832277847677</v>
      </c>
      <c r="I209" s="13">
        <v>0.24790097852285251</v>
      </c>
      <c r="J209" s="13">
        <v>-1.6364046661135669</v>
      </c>
      <c r="K209" s="13">
        <v>-1.3413868279935961</v>
      </c>
      <c r="L209" s="13">
        <v>-1.6246154339468191</v>
      </c>
      <c r="M209" s="13">
        <v>0.96145643540781478</v>
      </c>
      <c r="N209" s="13">
        <v>0.4094844777070783</v>
      </c>
      <c r="O209" s="13">
        <v>-0.53993665498507371</v>
      </c>
      <c r="P209" s="13">
        <v>-0.60891179817357255</v>
      </c>
      <c r="Q209" s="13">
        <v>1.7785613265125511</v>
      </c>
      <c r="R209" s="13">
        <v>2.0454067260665898</v>
      </c>
      <c r="S209" s="13">
        <v>-0.22306340697686439</v>
      </c>
      <c r="T209" s="13">
        <v>-9.3908461717007174E-2</v>
      </c>
      <c r="U209" s="13">
        <v>-1.458989561202328</v>
      </c>
      <c r="V209" s="13">
        <v>0.69734622248949218</v>
      </c>
      <c r="W209" s="13">
        <v>9.9377989386195686E-2</v>
      </c>
      <c r="X209" s="13">
        <v>-1.019202281243869</v>
      </c>
    </row>
    <row r="210" spans="1:24" x14ac:dyDescent="0.2">
      <c r="A210" t="s">
        <v>720</v>
      </c>
      <c r="B210" t="s">
        <v>514</v>
      </c>
      <c r="C210" t="s">
        <v>515</v>
      </c>
      <c r="D210" s="13">
        <v>3.6080509054435379</v>
      </c>
      <c r="E210" s="13">
        <v>1.1077332228068171</v>
      </c>
      <c r="F210" s="13">
        <v>-0.42476322109104009</v>
      </c>
      <c r="G210" s="13">
        <v>-1.489816409710232</v>
      </c>
      <c r="H210" s="13">
        <v>-0.63627841091332682</v>
      </c>
      <c r="I210" s="13">
        <v>-1.1900195416914561</v>
      </c>
      <c r="J210" s="13">
        <v>-1.681774553946713</v>
      </c>
      <c r="K210" s="13">
        <v>-1.657999635467799</v>
      </c>
      <c r="L210" s="13">
        <v>-1.784431364893402</v>
      </c>
      <c r="M210" s="13">
        <v>0.87786675722425489</v>
      </c>
      <c r="N210" s="13">
        <v>0.17095032987510811</v>
      </c>
      <c r="O210" s="13">
        <v>-0.52957518116050206</v>
      </c>
      <c r="P210" s="13">
        <v>-0.47703357728748902</v>
      </c>
      <c r="Q210" s="13">
        <v>1.7616632411321611</v>
      </c>
      <c r="R210" s="13">
        <v>2.208433183967462</v>
      </c>
      <c r="S210" s="13">
        <v>-0.48872676198604692</v>
      </c>
      <c r="T210" s="13">
        <v>-0.49248717096761491</v>
      </c>
      <c r="U210" s="13">
        <v>-1.3912407755706571</v>
      </c>
      <c r="V210" s="13">
        <v>0.67850364836308241</v>
      </c>
      <c r="W210" s="13">
        <v>6.396286534753326E-2</v>
      </c>
      <c r="X210" s="13">
        <v>-1.0202749824470001</v>
      </c>
    </row>
    <row r="211" spans="1:24" x14ac:dyDescent="0.2">
      <c r="A211" t="s">
        <v>720</v>
      </c>
      <c r="B211" t="s">
        <v>516</v>
      </c>
      <c r="C211" t="s">
        <v>517</v>
      </c>
      <c r="D211" s="13">
        <v>3.569613461509924</v>
      </c>
      <c r="E211" s="13">
        <v>0.94003654974565976</v>
      </c>
      <c r="F211" s="13">
        <v>-0.47569923532219122</v>
      </c>
      <c r="G211" s="13">
        <v>-1.38882950397835</v>
      </c>
      <c r="H211" s="13">
        <v>-2.015025976176021</v>
      </c>
      <c r="I211" s="13">
        <v>9.2524800669346874E-3</v>
      </c>
      <c r="J211" s="13">
        <v>-1.8161340278755489</v>
      </c>
      <c r="K211" s="13">
        <v>-1.3290179851694011</v>
      </c>
      <c r="L211" s="13">
        <v>-1.582615724017278</v>
      </c>
      <c r="M211" s="13">
        <v>1.100825056285792</v>
      </c>
      <c r="N211" s="13">
        <v>8.6239152296951893E-2</v>
      </c>
      <c r="O211" s="13">
        <v>-0.75561009574026672</v>
      </c>
      <c r="P211" s="13">
        <v>-0.48675701638674068</v>
      </c>
      <c r="Q211" s="13">
        <v>1.7892372769258149</v>
      </c>
      <c r="R211" s="13">
        <v>2.0977309833511542</v>
      </c>
      <c r="S211" s="13">
        <v>-0.69191783103393911</v>
      </c>
      <c r="T211" s="13">
        <v>-0.46426521337792348</v>
      </c>
      <c r="U211" s="13">
        <v>-1.3794293792430801</v>
      </c>
      <c r="V211" s="13">
        <v>0.86465298593498829</v>
      </c>
      <c r="W211" s="13">
        <v>-1.9279311783659821E-2</v>
      </c>
      <c r="X211" s="13">
        <v>-1.0375647186674939</v>
      </c>
    </row>
    <row r="212" spans="1:24" x14ac:dyDescent="0.2">
      <c r="A212" t="s">
        <v>720</v>
      </c>
      <c r="B212" t="s">
        <v>518</v>
      </c>
      <c r="C212" t="s">
        <v>519</v>
      </c>
      <c r="D212" s="13">
        <v>3.241962394129883</v>
      </c>
      <c r="E212" s="13">
        <v>0.90671076570427722</v>
      </c>
      <c r="F212" s="13">
        <v>-0.14712622010580881</v>
      </c>
      <c r="G212" s="13">
        <v>-1.653837016422244</v>
      </c>
      <c r="H212" s="13">
        <v>-1.387021858144488</v>
      </c>
      <c r="I212" s="13">
        <v>-4.1474694694854097E-2</v>
      </c>
      <c r="J212" s="13">
        <v>-1.7809243914680311</v>
      </c>
      <c r="K212" s="13">
        <v>-1.4209882312054889</v>
      </c>
      <c r="L212" s="13">
        <v>-1.558364223216202</v>
      </c>
      <c r="M212" s="13">
        <v>1.0103798523198431</v>
      </c>
      <c r="N212" s="13">
        <v>0.37741069840724339</v>
      </c>
      <c r="O212" s="13">
        <v>-0.65598305051647321</v>
      </c>
      <c r="P212" s="13">
        <v>-0.63379148154848464</v>
      </c>
      <c r="Q212" s="13">
        <v>1.91975224046117</v>
      </c>
      <c r="R212" s="13">
        <v>2.2244495348195281</v>
      </c>
      <c r="S212" s="13">
        <v>-0.38600051239249261</v>
      </c>
      <c r="T212" s="13">
        <v>-0.27102913722069077</v>
      </c>
      <c r="U212" s="13">
        <v>-1.5360260602560241</v>
      </c>
      <c r="V212" s="13">
        <v>0.96932378300718103</v>
      </c>
      <c r="W212" s="13">
        <v>-3.8421899200891119E-2</v>
      </c>
      <c r="X212" s="13">
        <v>-1.0685337763259199</v>
      </c>
    </row>
    <row r="213" spans="1:24" x14ac:dyDescent="0.2">
      <c r="A213" t="s">
        <v>720</v>
      </c>
      <c r="B213" t="s">
        <v>520</v>
      </c>
      <c r="C213" t="s">
        <v>521</v>
      </c>
      <c r="D213" s="13">
        <v>3.1269106847207069</v>
      </c>
      <c r="E213" s="13">
        <v>0.95393769927478722</v>
      </c>
      <c r="F213" s="13">
        <v>0.164388352429512</v>
      </c>
      <c r="G213" s="13">
        <v>-1.4788786906089311</v>
      </c>
      <c r="H213" s="13">
        <v>-1.229013203700746</v>
      </c>
      <c r="I213" s="13">
        <v>-0.41228633590674191</v>
      </c>
      <c r="J213" s="13">
        <v>-1.6258919080139771</v>
      </c>
      <c r="K213" s="13">
        <v>-1.9009291723136481</v>
      </c>
      <c r="L213" s="13">
        <v>-1.2942792487386501</v>
      </c>
      <c r="M213" s="13">
        <v>0.70268182349366715</v>
      </c>
      <c r="N213" s="13">
        <v>7.8397119946704841E-2</v>
      </c>
      <c r="O213" s="13">
        <v>-0.14967873508635601</v>
      </c>
      <c r="P213" s="13">
        <v>-0.38286902670242601</v>
      </c>
      <c r="Q213" s="13">
        <v>1.4926010662580369</v>
      </c>
      <c r="R213" s="13">
        <v>2.140259321219506</v>
      </c>
      <c r="S213" s="13">
        <v>-7.7172283904725081E-2</v>
      </c>
      <c r="T213" s="13">
        <v>-0.12972207689340151</v>
      </c>
      <c r="U213" s="13">
        <v>-1.484537430420374</v>
      </c>
      <c r="V213" s="13">
        <v>1.0389789558518989</v>
      </c>
      <c r="W213" s="13">
        <v>-6.8097874274730685E-2</v>
      </c>
      <c r="X213" s="13">
        <v>-1.180504509802216</v>
      </c>
    </row>
    <row r="214" spans="1:24" x14ac:dyDescent="0.2">
      <c r="A214" t="s">
        <v>720</v>
      </c>
      <c r="B214" t="s">
        <v>522</v>
      </c>
      <c r="C214" t="s">
        <v>523</v>
      </c>
      <c r="D214" s="13">
        <v>3.3505355305500468</v>
      </c>
      <c r="E214" s="13">
        <v>0.45202345569490537</v>
      </c>
      <c r="F214" s="13">
        <v>4.1852831052291428E-2</v>
      </c>
      <c r="G214" s="13">
        <v>-1.7504779378766491</v>
      </c>
      <c r="H214" s="13">
        <v>-1.1974086170377869</v>
      </c>
      <c r="I214" s="13">
        <v>-0.17233498055539981</v>
      </c>
      <c r="J214" s="13">
        <v>-1.6303562598225629</v>
      </c>
      <c r="K214" s="13">
        <v>-1.738238856866781</v>
      </c>
      <c r="L214" s="13">
        <v>-0.96898407582336477</v>
      </c>
      <c r="M214" s="13">
        <v>1.1584666144939251</v>
      </c>
      <c r="N214" s="13">
        <v>-0.15680357155331001</v>
      </c>
      <c r="O214" s="13">
        <v>-0.22890093643249679</v>
      </c>
      <c r="P214" s="13">
        <v>-0.11393085174100651</v>
      </c>
      <c r="Q214" s="13">
        <v>1.6483190073253831</v>
      </c>
      <c r="R214" s="13">
        <v>1.5588431407448371</v>
      </c>
      <c r="S214" s="13">
        <v>-0.28919620926965978</v>
      </c>
      <c r="T214" s="13">
        <v>-9.6136172332261793E-2</v>
      </c>
      <c r="U214" s="13">
        <v>-1.6519578169305831</v>
      </c>
      <c r="V214" s="13">
        <v>1.233698352120038</v>
      </c>
      <c r="W214" s="13">
        <v>-0.25495056860130871</v>
      </c>
      <c r="X214" s="13">
        <v>-1.2513403692694161</v>
      </c>
    </row>
    <row r="215" spans="1:24" x14ac:dyDescent="0.2">
      <c r="A215" t="s">
        <v>720</v>
      </c>
      <c r="B215" t="s">
        <v>524</v>
      </c>
      <c r="C215" t="s">
        <v>525</v>
      </c>
      <c r="D215" s="13">
        <v>4.2692629699654594</v>
      </c>
      <c r="E215" s="13">
        <v>-0.21345884612199439</v>
      </c>
      <c r="F215" s="13">
        <v>-0.4266129112068251</v>
      </c>
      <c r="G215" s="13">
        <v>-1.201835781220018</v>
      </c>
      <c r="H215" s="13">
        <v>-1.504706027104052</v>
      </c>
      <c r="I215" s="13">
        <v>-0.481288211974229</v>
      </c>
      <c r="J215" s="13">
        <v>-1.759521531402652</v>
      </c>
      <c r="K215" s="13">
        <v>-2.0750229022355788</v>
      </c>
      <c r="L215" s="13">
        <v>-0.1429511619090218</v>
      </c>
      <c r="M215" s="13">
        <v>1.9005535576929411</v>
      </c>
      <c r="N215" s="13">
        <v>-1.858170636210343</v>
      </c>
      <c r="O215" s="13">
        <v>0.26303636492126531</v>
      </c>
      <c r="P215" s="13">
        <v>0.60902697470706091</v>
      </c>
      <c r="Q215" s="13">
        <v>1.115696487543727</v>
      </c>
      <c r="R215" s="13">
        <v>0.84236306363643099</v>
      </c>
      <c r="S215" s="13">
        <v>-1.3853670851288411</v>
      </c>
      <c r="T215" s="13">
        <v>-0.1767681882070882</v>
      </c>
      <c r="U215" s="13">
        <v>-1.650539724379829</v>
      </c>
      <c r="V215" s="13">
        <v>1.2017840270987401</v>
      </c>
      <c r="W215" s="13">
        <v>-0.54923684942218554</v>
      </c>
      <c r="X215" s="13">
        <v>-1.612372949586494</v>
      </c>
    </row>
    <row r="216" spans="1:24" x14ac:dyDescent="0.2">
      <c r="A216" t="s">
        <v>543</v>
      </c>
      <c r="B216" t="s">
        <v>529</v>
      </c>
      <c r="C216" t="s">
        <v>530</v>
      </c>
      <c r="D216" s="13">
        <v>1.6590956675783359</v>
      </c>
      <c r="E216" s="13">
        <v>-0.42265424854074363</v>
      </c>
      <c r="F216" s="13">
        <v>-0.62814865895993721</v>
      </c>
      <c r="G216" s="13">
        <v>0.18400467741150889</v>
      </c>
      <c r="H216" s="13">
        <v>0.1767979639453188</v>
      </c>
      <c r="I216" s="13">
        <v>0.124481738533766</v>
      </c>
      <c r="J216" s="13">
        <v>-1.245439917591173</v>
      </c>
      <c r="K216" s="13">
        <v>-1.187406894285137</v>
      </c>
      <c r="L216" s="13">
        <v>-0.2134747305866713</v>
      </c>
      <c r="M216" s="13">
        <v>-0.57899415830282575</v>
      </c>
      <c r="N216" s="13">
        <v>0.80683386515341127</v>
      </c>
      <c r="O216" s="13">
        <v>-8.0054911739457779E-3</v>
      </c>
      <c r="P216" s="13">
        <v>1.191875851578184</v>
      </c>
      <c r="Q216" s="13">
        <v>0.32795035666737249</v>
      </c>
      <c r="R216" s="13">
        <v>0.85949779996019604</v>
      </c>
      <c r="S216" s="13">
        <v>-0.26931314289162511</v>
      </c>
      <c r="T216" s="13">
        <v>-0.87281605433715548</v>
      </c>
      <c r="U216" s="13">
        <v>-0.93444780654605708</v>
      </c>
      <c r="V216" s="13">
        <v>-0.35494607062009909</v>
      </c>
      <c r="W216" s="13">
        <v>1.761393169760916</v>
      </c>
      <c r="X216" s="13">
        <v>5.2488488982760373E-3</v>
      </c>
    </row>
    <row r="217" spans="1:24" x14ac:dyDescent="0.2">
      <c r="A217" t="s">
        <v>543</v>
      </c>
      <c r="B217" t="s">
        <v>531</v>
      </c>
      <c r="C217" t="s">
        <v>532</v>
      </c>
      <c r="D217" s="13">
        <v>2.7896856332808579</v>
      </c>
      <c r="E217" s="13">
        <v>0.17149710694626119</v>
      </c>
      <c r="F217" s="13">
        <v>-1.143886243708703</v>
      </c>
      <c r="G217" s="13">
        <v>-1.063452370130735</v>
      </c>
      <c r="H217" s="13">
        <v>0.1047180678851678</v>
      </c>
      <c r="I217" s="13">
        <v>0.53705782232689181</v>
      </c>
      <c r="J217" s="13">
        <v>-2.269829683410463</v>
      </c>
      <c r="K217" s="13">
        <v>-0.77859423701859276</v>
      </c>
      <c r="L217" s="13">
        <v>-1.3055149895097711</v>
      </c>
      <c r="M217" s="13">
        <v>-0.70408113229860625</v>
      </c>
      <c r="N217" s="13">
        <v>1.5320587410219579</v>
      </c>
      <c r="O217" s="13">
        <v>0.63416470380510681</v>
      </c>
      <c r="P217" s="13">
        <v>1.577614157101026</v>
      </c>
      <c r="Q217" s="13">
        <v>0.38519929485416599</v>
      </c>
      <c r="R217" s="13">
        <v>-0.39997180043469532</v>
      </c>
      <c r="S217" s="13">
        <v>0.1208892941193085</v>
      </c>
      <c r="T217" s="13">
        <v>-0.25706386415398352</v>
      </c>
      <c r="U217" s="13">
        <v>-0.38062294822005521</v>
      </c>
      <c r="V217" s="13">
        <v>0.61277066483045317</v>
      </c>
      <c r="W217" s="13">
        <v>1.4816051868167479</v>
      </c>
      <c r="X217" s="13">
        <v>-0.169741087264208</v>
      </c>
    </row>
    <row r="218" spans="1:24" x14ac:dyDescent="0.2">
      <c r="A218" t="s">
        <v>543</v>
      </c>
      <c r="B218" t="s">
        <v>533</v>
      </c>
      <c r="C218" t="s">
        <v>534</v>
      </c>
      <c r="D218" s="13">
        <v>3.3281878273360821</v>
      </c>
      <c r="E218" s="13">
        <v>-0.87613657727130256</v>
      </c>
      <c r="F218" s="13">
        <v>-0.20652690816060909</v>
      </c>
      <c r="G218" s="13">
        <v>0.1048096367358919</v>
      </c>
      <c r="H218" s="13">
        <v>1.240881230589896</v>
      </c>
      <c r="I218" s="13">
        <v>-8.6947465808329127E-2</v>
      </c>
      <c r="J218" s="13">
        <v>-2.1554240724054652</v>
      </c>
      <c r="K218" s="13">
        <v>-1.657408701838081</v>
      </c>
      <c r="L218" s="13">
        <v>0.98504137778394618</v>
      </c>
      <c r="M218" s="13">
        <v>-1.1930709370799319</v>
      </c>
      <c r="N218" s="13">
        <v>1.058841690597645</v>
      </c>
      <c r="O218" s="13">
        <v>1.9575540300116101</v>
      </c>
      <c r="P218" s="13">
        <v>0.69522718712502485</v>
      </c>
      <c r="Q218" s="13">
        <v>-1.3916655803241751</v>
      </c>
      <c r="R218" s="13">
        <v>-1.1352002684912099</v>
      </c>
      <c r="S218" s="13">
        <v>0.40786038751372539</v>
      </c>
      <c r="T218" s="13">
        <v>-1.4320827010446899</v>
      </c>
      <c r="U218" s="13">
        <v>-1.2594829623736929</v>
      </c>
      <c r="V218" s="13">
        <v>1.1603887836990181</v>
      </c>
      <c r="W218" s="13">
        <v>0.7249089941089526</v>
      </c>
      <c r="X218" s="13">
        <v>-0.63356664141996921</v>
      </c>
    </row>
    <row r="219" spans="1:24" x14ac:dyDescent="0.2">
      <c r="A219" t="s">
        <v>543</v>
      </c>
      <c r="B219" t="s">
        <v>535</v>
      </c>
      <c r="C219" t="s">
        <v>536</v>
      </c>
      <c r="D219" s="13">
        <v>1.194135654749551</v>
      </c>
      <c r="E219" s="13">
        <v>0.79600675891837724</v>
      </c>
      <c r="F219" s="13">
        <v>0.44709514317446958</v>
      </c>
      <c r="G219" s="13">
        <v>-0.30007134902542137</v>
      </c>
      <c r="H219" s="13">
        <v>0.28784635935354957</v>
      </c>
      <c r="I219" s="13">
        <v>-0.99840005641673724</v>
      </c>
      <c r="J219" s="13">
        <v>-0.29855158406857368</v>
      </c>
      <c r="K219" s="13">
        <v>-2.2010545342830978</v>
      </c>
      <c r="L219" s="13">
        <v>0.9310193682711132</v>
      </c>
      <c r="M219" s="13">
        <v>-1.6815112475464411</v>
      </c>
      <c r="N219" s="13">
        <v>1.209487439035617</v>
      </c>
      <c r="O219" s="13">
        <v>0.44219927653343932</v>
      </c>
      <c r="P219" s="13">
        <v>2.242268764477795</v>
      </c>
      <c r="Q219" s="13">
        <v>2.273484863576325</v>
      </c>
      <c r="R219" s="13">
        <v>0.18404440612349579</v>
      </c>
      <c r="S219" s="13">
        <v>1.386999884211471</v>
      </c>
      <c r="T219" s="13">
        <v>-2.079204250113043</v>
      </c>
      <c r="U219" s="13">
        <v>-2.8344013490725128</v>
      </c>
      <c r="V219" s="13">
        <v>-0.72529586911890265</v>
      </c>
      <c r="W219" s="13">
        <v>0.20843202273803649</v>
      </c>
      <c r="X219" s="13">
        <v>-1.1273337925507549</v>
      </c>
    </row>
    <row r="220" spans="1:24" x14ac:dyDescent="0.2">
      <c r="A220" t="s">
        <v>543</v>
      </c>
      <c r="B220" t="s">
        <v>537</v>
      </c>
      <c r="C220" t="s">
        <v>538</v>
      </c>
      <c r="D220" s="13">
        <v>3.4475723511332661</v>
      </c>
      <c r="E220" s="13">
        <v>5.933598199345802E-2</v>
      </c>
      <c r="F220" s="13">
        <v>-0.92380903101410006</v>
      </c>
      <c r="G220" s="13">
        <v>1.0849776931472379</v>
      </c>
      <c r="H220" s="13">
        <v>6.048594054532952E-2</v>
      </c>
      <c r="I220" s="13">
        <v>1.5768642110642881</v>
      </c>
      <c r="J220" s="13">
        <v>-3.5148927916313411</v>
      </c>
      <c r="K220" s="13">
        <v>-1.107759602995029</v>
      </c>
      <c r="L220" s="13">
        <v>0.943433424723783</v>
      </c>
      <c r="M220" s="13">
        <v>-1.4286160704985229</v>
      </c>
      <c r="N220" s="13">
        <v>0.1625621055931559</v>
      </c>
      <c r="O220" s="13">
        <v>3.2818538928725882</v>
      </c>
      <c r="P220" s="13">
        <v>0.25898492279399221</v>
      </c>
      <c r="Q220" s="13">
        <v>-0.94946215031533887</v>
      </c>
      <c r="R220" s="13">
        <v>4.447111263501391E-2</v>
      </c>
      <c r="S220" s="13">
        <v>-0.53478703281962803</v>
      </c>
      <c r="T220" s="13">
        <v>-3.1101308562180412</v>
      </c>
      <c r="U220" s="13">
        <v>-0.55248510720924404</v>
      </c>
      <c r="V220" s="13">
        <v>2.4531401227043892</v>
      </c>
      <c r="W220" s="13">
        <v>-0.36595177303974102</v>
      </c>
      <c r="X220" s="13">
        <v>-1.2350278620450019</v>
      </c>
    </row>
    <row r="221" spans="1:24" x14ac:dyDescent="0.2">
      <c r="A221" t="s">
        <v>543</v>
      </c>
      <c r="B221" t="s">
        <v>539</v>
      </c>
      <c r="C221" t="s">
        <v>540</v>
      </c>
      <c r="D221" s="13">
        <v>3.1937368048613251</v>
      </c>
      <c r="E221" s="13">
        <v>0.75928546456456303</v>
      </c>
      <c r="F221" s="13">
        <v>-1.047418604605044</v>
      </c>
      <c r="G221" s="13">
        <v>2.0306015363383829</v>
      </c>
      <c r="H221" s="13">
        <v>-0.13578209142715009</v>
      </c>
      <c r="I221" s="13">
        <v>0.25272732308145862</v>
      </c>
      <c r="J221" s="13">
        <v>-3.4007824244959521</v>
      </c>
      <c r="K221" s="13">
        <v>-1.4014985439800181</v>
      </c>
      <c r="L221" s="13">
        <v>0.98349345607693373</v>
      </c>
      <c r="M221" s="13">
        <v>-1.3360783645922301</v>
      </c>
      <c r="N221" s="13">
        <v>8.6401273281921931E-2</v>
      </c>
      <c r="O221" s="13">
        <v>3.947380649398347</v>
      </c>
      <c r="P221" s="13">
        <v>-0.75430706203202247</v>
      </c>
      <c r="Q221" s="13">
        <v>-1.816745905978179</v>
      </c>
      <c r="R221" s="13">
        <v>-1.4170858403897979</v>
      </c>
      <c r="S221" s="13">
        <v>2.4920600477043702</v>
      </c>
      <c r="T221" s="13">
        <v>-4.5580515577367642</v>
      </c>
      <c r="U221" s="13">
        <v>6.31306902194817E-2</v>
      </c>
      <c r="V221" s="13">
        <v>2.0138187121188529</v>
      </c>
      <c r="W221" s="13">
        <v>5.7305818715458479E-2</v>
      </c>
      <c r="X221" s="13">
        <v>-1.2468262651208371</v>
      </c>
    </row>
    <row r="222" spans="1:24" x14ac:dyDescent="0.2">
      <c r="A222" t="s">
        <v>543</v>
      </c>
      <c r="B222" t="s">
        <v>541</v>
      </c>
      <c r="C222" t="s">
        <v>542</v>
      </c>
      <c r="D222" s="13">
        <v>11.597580664695849</v>
      </c>
      <c r="E222" s="13">
        <v>0.12829853214022521</v>
      </c>
      <c r="F222" s="13">
        <v>-0.75132128021037081</v>
      </c>
      <c r="G222" s="13">
        <v>0.2030339231889888</v>
      </c>
      <c r="H222" s="13">
        <v>-0.10552861924780781</v>
      </c>
      <c r="I222" s="13">
        <v>0.8996248282221897</v>
      </c>
      <c r="J222" s="13">
        <v>-1.8346868409348851</v>
      </c>
      <c r="K222" s="13">
        <v>-2.3736123955420352</v>
      </c>
      <c r="L222" s="13">
        <v>10.05955911245591</v>
      </c>
      <c r="M222" s="13">
        <v>-1.6210980766564911</v>
      </c>
      <c r="N222" s="13">
        <v>0.1906965975903008</v>
      </c>
      <c r="O222" s="13">
        <v>2.6131646302308909</v>
      </c>
      <c r="P222" s="13">
        <v>0.60802047623644828</v>
      </c>
      <c r="Q222" s="13">
        <v>-0.40508742143986481</v>
      </c>
      <c r="R222" s="13">
        <v>1.07885065681026</v>
      </c>
      <c r="S222" s="13">
        <v>-1.15235705838278</v>
      </c>
      <c r="T222" s="13">
        <v>-2.7908293210292201</v>
      </c>
      <c r="U222" s="13">
        <v>-1.6003724028815891</v>
      </c>
      <c r="V222" s="13">
        <v>0.46566550959747932</v>
      </c>
      <c r="W222" s="13">
        <v>0.3551768142920686</v>
      </c>
      <c r="X222" s="13">
        <v>-1.3364876041356499</v>
      </c>
    </row>
    <row r="223" spans="1:24" x14ac:dyDescent="0.2">
      <c r="A223" s="14" t="s">
        <v>543</v>
      </c>
      <c r="B223" s="14" t="s">
        <v>543</v>
      </c>
      <c r="C223" s="14" t="s">
        <v>544</v>
      </c>
      <c r="D223" s="15">
        <v>2.1658176932125568</v>
      </c>
      <c r="E223" s="15">
        <v>1.3986475528094731</v>
      </c>
      <c r="F223" s="15">
        <v>-0.36228217129580242</v>
      </c>
      <c r="G223" s="15">
        <v>0.53093961054868632</v>
      </c>
      <c r="H223" s="15">
        <v>0.50919571563969868</v>
      </c>
      <c r="I223" s="15">
        <v>-0.14527119589534679</v>
      </c>
      <c r="J223" s="15">
        <v>-2.559308316389985</v>
      </c>
      <c r="K223" s="15">
        <v>-1.971780996416705</v>
      </c>
      <c r="L223" s="15">
        <v>0.30205112054022543</v>
      </c>
      <c r="M223" s="15">
        <v>-1.1624936232006</v>
      </c>
      <c r="N223" s="15">
        <v>1.65182787136422</v>
      </c>
      <c r="O223" s="15">
        <v>1.777435992084242</v>
      </c>
      <c r="P223" s="15">
        <v>0.94381973570951683</v>
      </c>
      <c r="Q223" s="15">
        <v>0.48204882126587911</v>
      </c>
      <c r="R223" s="15">
        <v>-1.0545059848836471</v>
      </c>
      <c r="S223" s="15">
        <v>1.058115228234402</v>
      </c>
      <c r="T223" s="15">
        <v>-1.569879109256211</v>
      </c>
      <c r="U223" s="15">
        <v>-1.517010205033142</v>
      </c>
      <c r="V223" s="15">
        <v>0.21617181601540911</v>
      </c>
      <c r="W223" s="15">
        <v>0.26053169734150389</v>
      </c>
      <c r="X223" s="15">
        <v>-1.605020865883156</v>
      </c>
    </row>
    <row r="224" spans="1:24" x14ac:dyDescent="0.2">
      <c r="A224" t="s">
        <v>543</v>
      </c>
      <c r="B224" t="s">
        <v>545</v>
      </c>
      <c r="C224" t="s">
        <v>546</v>
      </c>
      <c r="D224" s="13">
        <v>3.3624699625719461</v>
      </c>
      <c r="E224" s="13">
        <v>0.58953550298879165</v>
      </c>
      <c r="F224" s="13">
        <v>-0.64196367370336072</v>
      </c>
      <c r="G224" s="13">
        <v>0.64890756293483065</v>
      </c>
      <c r="H224" s="13">
        <v>0.33523719567540861</v>
      </c>
      <c r="I224" s="13">
        <v>1.293978331107648</v>
      </c>
      <c r="J224" s="13">
        <v>-3.443149812919144</v>
      </c>
      <c r="K224" s="13">
        <v>-1.1678472892136971</v>
      </c>
      <c r="L224" s="13">
        <v>-1.4982659774631649E-2</v>
      </c>
      <c r="M224" s="13">
        <v>-1.8492584675731121</v>
      </c>
      <c r="N224" s="13">
        <v>0.69280694299989065</v>
      </c>
      <c r="O224" s="13">
        <v>1.107564595392474</v>
      </c>
      <c r="P224" s="13">
        <v>0.42441166498052851</v>
      </c>
      <c r="Q224" s="13">
        <v>-0.19950557314482029</v>
      </c>
      <c r="R224" s="13">
        <v>-0.92481911512876103</v>
      </c>
      <c r="S224" s="13">
        <v>1.059488955652155</v>
      </c>
      <c r="T224" s="13">
        <v>-1.769040716121129</v>
      </c>
      <c r="U224" s="13">
        <v>-1.522813964674441</v>
      </c>
      <c r="V224" s="13">
        <v>1.621218222390586</v>
      </c>
      <c r="W224" s="13">
        <v>0.49696578134623692</v>
      </c>
      <c r="X224" s="13">
        <v>-2.141979256458026</v>
      </c>
    </row>
    <row r="225" spans="1:24" x14ac:dyDescent="0.2">
      <c r="A225" t="s">
        <v>718</v>
      </c>
      <c r="B225" t="s">
        <v>548</v>
      </c>
      <c r="C225" t="s">
        <v>549</v>
      </c>
      <c r="D225" s="13">
        <v>0.92488267896531084</v>
      </c>
      <c r="E225" s="13">
        <v>-3.5741858247373408E-2</v>
      </c>
      <c r="F225" s="13">
        <v>0.4287161012165086</v>
      </c>
      <c r="G225" s="13">
        <v>-0.83639356749850569</v>
      </c>
      <c r="H225" s="13">
        <v>-0.10770687160636119</v>
      </c>
      <c r="I225" s="13">
        <v>0.45033767646032169</v>
      </c>
      <c r="J225" s="13">
        <v>-0.80958329701827925</v>
      </c>
      <c r="K225" s="13">
        <v>-0.77689904611568661</v>
      </c>
      <c r="L225" s="13">
        <v>-0.43416334353590941</v>
      </c>
      <c r="M225" s="13">
        <v>8.8300105932370698E-2</v>
      </c>
      <c r="N225" s="13">
        <v>2.601766903871749</v>
      </c>
      <c r="O225" s="13">
        <v>-0.1450248948147381</v>
      </c>
      <c r="P225" s="13">
        <v>0.87629940565023823</v>
      </c>
      <c r="Q225" s="13">
        <v>1.2773449808593409</v>
      </c>
      <c r="R225" s="13">
        <v>0.64399739779641418</v>
      </c>
      <c r="S225" s="13">
        <v>0.52237241397454781</v>
      </c>
      <c r="T225" s="13">
        <v>0.54826783710735238</v>
      </c>
      <c r="U225" s="13">
        <v>-0.738648102987427</v>
      </c>
      <c r="V225" s="13">
        <v>-0.33595749936038422</v>
      </c>
      <c r="W225" s="13">
        <v>0.2724775028043025</v>
      </c>
      <c r="X225" s="13">
        <v>-0.37049987224142539</v>
      </c>
    </row>
    <row r="226" spans="1:24" x14ac:dyDescent="0.2">
      <c r="A226" s="14" t="s">
        <v>718</v>
      </c>
      <c r="B226" s="14" t="s">
        <v>550</v>
      </c>
      <c r="C226" s="14" t="s">
        <v>551</v>
      </c>
      <c r="D226" s="15">
        <v>2.9638965394534589</v>
      </c>
      <c r="E226" s="15">
        <v>0.83632097118535587</v>
      </c>
      <c r="F226" s="15">
        <v>-0.49119789167955119</v>
      </c>
      <c r="G226" s="15">
        <v>0.81183888149720662</v>
      </c>
      <c r="H226" s="15">
        <v>0.55693801102965068</v>
      </c>
      <c r="I226" s="15">
        <v>0.28984649047434358</v>
      </c>
      <c r="J226" s="15">
        <v>-2.1955915989047452</v>
      </c>
      <c r="K226" s="15">
        <v>-1.093479251588469</v>
      </c>
      <c r="L226" s="15">
        <v>-0.40788416704299341</v>
      </c>
      <c r="M226" s="15">
        <v>-0.49782150856353402</v>
      </c>
      <c r="N226" s="15">
        <v>2.499493356127469</v>
      </c>
      <c r="O226" s="15">
        <v>1.199404962011696</v>
      </c>
      <c r="P226" s="15">
        <v>0.87633116880421191</v>
      </c>
      <c r="Q226" s="15">
        <v>0.38885271058719528</v>
      </c>
      <c r="R226" s="15">
        <v>-0.88255464583103516</v>
      </c>
      <c r="S226" s="15">
        <v>1.38843784814886</v>
      </c>
      <c r="T226" s="15">
        <v>-8.9113358802439535E-2</v>
      </c>
      <c r="U226" s="15">
        <v>-1.1249569656791361</v>
      </c>
      <c r="V226" s="15">
        <v>0.80771770956857836</v>
      </c>
      <c r="W226" s="15">
        <v>0.1583808158240663</v>
      </c>
      <c r="X226" s="15">
        <v>-1.319062123900905</v>
      </c>
    </row>
    <row r="227" spans="1:24" x14ac:dyDescent="0.2">
      <c r="A227" t="s">
        <v>717</v>
      </c>
      <c r="B227" t="s">
        <v>553</v>
      </c>
      <c r="C227" t="s">
        <v>554</v>
      </c>
      <c r="D227" s="13">
        <v>2.6702611108533558</v>
      </c>
      <c r="E227" s="13">
        <v>-0.21759958341380781</v>
      </c>
      <c r="F227" s="13">
        <v>-0.81692880486761155</v>
      </c>
      <c r="G227" s="13">
        <v>0.91932418013382922</v>
      </c>
      <c r="H227" s="13">
        <v>8.5477266924982587E-2</v>
      </c>
      <c r="I227" s="13">
        <v>-0.1792036576919398</v>
      </c>
      <c r="J227" s="13">
        <v>-2.3402992413031338</v>
      </c>
      <c r="K227" s="13">
        <v>-0.87431223402286706</v>
      </c>
      <c r="L227" s="13">
        <v>-0.83502121524157147</v>
      </c>
      <c r="M227" s="13">
        <v>-0.1643221095229852</v>
      </c>
      <c r="N227" s="13">
        <v>0.27040208176414282</v>
      </c>
      <c r="O227" s="13">
        <v>1.9539082091184929</v>
      </c>
      <c r="P227" s="13">
        <v>0.47299405345888612</v>
      </c>
      <c r="Q227" s="13">
        <v>-0.54880870558146055</v>
      </c>
      <c r="R227" s="13">
        <v>0.47248413213256679</v>
      </c>
      <c r="S227" s="13">
        <v>1.565677215959971</v>
      </c>
      <c r="T227" s="13">
        <v>-0.85457724437153493</v>
      </c>
      <c r="U227" s="13">
        <v>-0.46025459873593189</v>
      </c>
      <c r="V227" s="13">
        <v>0.91579778519981225</v>
      </c>
      <c r="W227" s="13">
        <v>0.54872947479756018</v>
      </c>
      <c r="X227" s="13">
        <v>-7.5983624181819032E-3</v>
      </c>
    </row>
    <row r="228" spans="1:24" x14ac:dyDescent="0.2">
      <c r="A228" t="s">
        <v>717</v>
      </c>
      <c r="B228" t="s">
        <v>555</v>
      </c>
      <c r="C228" t="s">
        <v>556</v>
      </c>
      <c r="D228" s="13">
        <v>3.0131440487956018</v>
      </c>
      <c r="E228" s="13">
        <v>-2.569304265781502E-2</v>
      </c>
      <c r="F228" s="13">
        <v>0.15679889561401869</v>
      </c>
      <c r="G228" s="13">
        <v>1.7866625322196179</v>
      </c>
      <c r="H228" s="13">
        <v>0.25349908322211961</v>
      </c>
      <c r="I228" s="13">
        <v>0.6555242484717283</v>
      </c>
      <c r="J228" s="13">
        <v>-2.9550634726562048</v>
      </c>
      <c r="K228" s="13">
        <v>-2.0501996382092158</v>
      </c>
      <c r="L228" s="13">
        <v>1.161089161738649</v>
      </c>
      <c r="M228" s="13">
        <v>-0.31312606080823308</v>
      </c>
      <c r="N228" s="13">
        <v>0.25572829813134129</v>
      </c>
      <c r="O228" s="13">
        <v>4.0750510858792444</v>
      </c>
      <c r="P228" s="13">
        <v>-1.715053664046873</v>
      </c>
      <c r="Q228" s="13">
        <v>-1.3221042190176391</v>
      </c>
      <c r="R228" s="13">
        <v>-1.3074905867290989</v>
      </c>
      <c r="S228" s="13">
        <v>3.133746924964997</v>
      </c>
      <c r="T228" s="13">
        <v>-4.1157439522409023</v>
      </c>
      <c r="U228" s="13">
        <v>0.54723853605220807</v>
      </c>
      <c r="V228" s="13">
        <v>2.1911138403183821</v>
      </c>
      <c r="W228" s="13">
        <v>-0.98639215634550581</v>
      </c>
      <c r="X228" s="13">
        <v>-0.21799509550213261</v>
      </c>
    </row>
    <row r="229" spans="1:24" x14ac:dyDescent="0.2">
      <c r="A229" t="s">
        <v>717</v>
      </c>
      <c r="B229" t="s">
        <v>557</v>
      </c>
      <c r="C229" t="s">
        <v>558</v>
      </c>
      <c r="D229" s="13">
        <v>2.7796263140405841</v>
      </c>
      <c r="E229" s="13">
        <v>1.3291333107051</v>
      </c>
      <c r="F229" s="13">
        <v>-0.37620860076761348</v>
      </c>
      <c r="G229" s="13">
        <v>-7.5383418453500717E-2</v>
      </c>
      <c r="H229" s="13">
        <v>0.61546575576783003</v>
      </c>
      <c r="I229" s="13">
        <v>0.6550182252408332</v>
      </c>
      <c r="J229" s="13">
        <v>-1.3332440494723601</v>
      </c>
      <c r="K229" s="13">
        <v>-1.914669935845537</v>
      </c>
      <c r="L229" s="13">
        <v>-0.17093203462887899</v>
      </c>
      <c r="M229" s="13">
        <v>-1.0076145000423751</v>
      </c>
      <c r="N229" s="13">
        <v>0.27085689515538031</v>
      </c>
      <c r="O229" s="13">
        <v>1.374420894133022</v>
      </c>
      <c r="P229" s="13">
        <v>0.86348727506291301</v>
      </c>
      <c r="Q229" s="13">
        <v>-1.9399861373647909E-2</v>
      </c>
      <c r="R229" s="13">
        <v>-1.2590168670148949</v>
      </c>
      <c r="S229" s="13">
        <v>0.78245047972098636</v>
      </c>
      <c r="T229" s="13">
        <v>-1.2455193959496571</v>
      </c>
      <c r="U229" s="13">
        <v>-0.62108501619947409</v>
      </c>
      <c r="V229" s="13">
        <v>1.293054293401763</v>
      </c>
      <c r="W229" s="13">
        <v>0.34210444146467461</v>
      </c>
      <c r="X229" s="13">
        <v>-0.48379547046297772</v>
      </c>
    </row>
    <row r="230" spans="1:24" x14ac:dyDescent="0.2">
      <c r="A230" t="s">
        <v>717</v>
      </c>
      <c r="B230" t="s">
        <v>559</v>
      </c>
      <c r="C230" t="s">
        <v>560</v>
      </c>
      <c r="D230" s="13">
        <v>3.8396328200847258</v>
      </c>
      <c r="E230" s="13">
        <v>0.40579989980134012</v>
      </c>
      <c r="F230" s="13">
        <v>-1.1130381636689559</v>
      </c>
      <c r="G230" s="13">
        <v>0.55608163010225642</v>
      </c>
      <c r="H230" s="13">
        <v>0.47752607975144468</v>
      </c>
      <c r="I230" s="13">
        <v>1.1044985936529581</v>
      </c>
      <c r="J230" s="13">
        <v>-3.5185753318495161</v>
      </c>
      <c r="K230" s="13">
        <v>-0.71776782045399612</v>
      </c>
      <c r="L230" s="13">
        <v>8.5297649482352078E-2</v>
      </c>
      <c r="M230" s="13">
        <v>-1.220426651569984</v>
      </c>
      <c r="N230" s="13">
        <v>0.64514117508689406</v>
      </c>
      <c r="O230" s="13">
        <v>2.8559676312210902</v>
      </c>
      <c r="P230" s="13">
        <v>7.1994722319512761E-2</v>
      </c>
      <c r="Q230" s="13">
        <v>-0.58620215244269414</v>
      </c>
      <c r="R230" s="13">
        <v>-1.6260920453041281</v>
      </c>
      <c r="S230" s="13">
        <v>1.32655321100581</v>
      </c>
      <c r="T230" s="13">
        <v>-2.072165130980042</v>
      </c>
      <c r="U230" s="13">
        <v>-0.29694157866946291</v>
      </c>
      <c r="V230" s="13">
        <v>2.5654424685309212</v>
      </c>
      <c r="W230" s="13">
        <v>0.11657397253614921</v>
      </c>
      <c r="X230" s="13">
        <v>-0.59574506213061484</v>
      </c>
    </row>
    <row r="231" spans="1:24" x14ac:dyDescent="0.2">
      <c r="A231" t="s">
        <v>717</v>
      </c>
      <c r="B231" t="s">
        <v>561</v>
      </c>
      <c r="C231" t="s">
        <v>562</v>
      </c>
      <c r="D231" s="13">
        <v>2.4279649214887118</v>
      </c>
      <c r="E231" s="13">
        <v>0.30314290313007142</v>
      </c>
      <c r="F231" s="13">
        <v>-0.73401948379813176</v>
      </c>
      <c r="G231" s="13">
        <v>0.34210482279315452</v>
      </c>
      <c r="H231" s="13">
        <v>3.509996054991138E-2</v>
      </c>
      <c r="I231" s="13">
        <v>1.017895563850679</v>
      </c>
      <c r="J231" s="13">
        <v>-2.3867035855823282</v>
      </c>
      <c r="K231" s="13">
        <v>-0.30509818119759391</v>
      </c>
      <c r="L231" s="13">
        <v>0.20144285655778749</v>
      </c>
      <c r="M231" s="13">
        <v>-0.72721060440290586</v>
      </c>
      <c r="N231" s="13">
        <v>0.86113025225322826</v>
      </c>
      <c r="O231" s="13">
        <v>1.51536944111399</v>
      </c>
      <c r="P231" s="13">
        <v>0.32237059172195442</v>
      </c>
      <c r="Q231" s="13">
        <v>-7.2399340608608753E-2</v>
      </c>
      <c r="R231" s="13">
        <v>0.22416341013553609</v>
      </c>
      <c r="S231" s="13">
        <v>-0.14729974184242159</v>
      </c>
      <c r="T231" s="13">
        <v>-1.0378877038712211</v>
      </c>
      <c r="U231" s="13">
        <v>-0.60708598962293525</v>
      </c>
      <c r="V231" s="13">
        <v>1.094160571858249</v>
      </c>
      <c r="W231" s="13">
        <v>0.47548190398394308</v>
      </c>
      <c r="X231" s="13">
        <v>-0.68868045458834182</v>
      </c>
    </row>
    <row r="232" spans="1:24" x14ac:dyDescent="0.2">
      <c r="A232" t="s">
        <v>717</v>
      </c>
      <c r="B232" t="s">
        <v>563</v>
      </c>
      <c r="C232" t="s">
        <v>564</v>
      </c>
      <c r="D232" s="13">
        <v>2.8623434002630339</v>
      </c>
      <c r="E232" s="13">
        <v>-0.55770078127097555</v>
      </c>
      <c r="F232" s="13">
        <v>-0.69480583117025319</v>
      </c>
      <c r="G232" s="13">
        <v>1.1592426200629951</v>
      </c>
      <c r="H232" s="13">
        <v>0.44283185979208112</v>
      </c>
      <c r="I232" s="13">
        <v>1.1278953087117349</v>
      </c>
      <c r="J232" s="13">
        <v>-2.7450962265391232</v>
      </c>
      <c r="K232" s="13">
        <v>-1.362599630443861</v>
      </c>
      <c r="L232" s="13">
        <v>0.90966985317915139</v>
      </c>
      <c r="M232" s="13">
        <v>-1.2210770148632919</v>
      </c>
      <c r="N232" s="13">
        <v>0.44913608979284542</v>
      </c>
      <c r="O232" s="13">
        <v>2.8698904397675311</v>
      </c>
      <c r="P232" s="13">
        <v>-0.47293679794991877</v>
      </c>
      <c r="Q232" s="13">
        <v>-0.86758900660484084</v>
      </c>
      <c r="R232" s="13">
        <v>-1.4385553701966589</v>
      </c>
      <c r="S232" s="13">
        <v>1.0427546511839301</v>
      </c>
      <c r="T232" s="13">
        <v>-2.049359844513265</v>
      </c>
      <c r="U232" s="13">
        <v>-0.61404231245433261</v>
      </c>
      <c r="V232" s="13">
        <v>2.235203207454783</v>
      </c>
      <c r="W232" s="13">
        <v>-0.1189042629330839</v>
      </c>
      <c r="X232" s="13">
        <v>-0.74077680985425998</v>
      </c>
    </row>
    <row r="233" spans="1:24" x14ac:dyDescent="0.2">
      <c r="A233" t="s">
        <v>717</v>
      </c>
      <c r="B233" t="s">
        <v>565</v>
      </c>
      <c r="C233" t="s">
        <v>566</v>
      </c>
      <c r="D233" s="13">
        <v>3.3965605185680698</v>
      </c>
      <c r="E233" s="13">
        <v>0.54923278419882759</v>
      </c>
      <c r="F233" s="13">
        <v>-0.95590335818978023</v>
      </c>
      <c r="G233" s="13">
        <v>0.90966384214001828</v>
      </c>
      <c r="H233" s="13">
        <v>0.26860303183482431</v>
      </c>
      <c r="I233" s="13">
        <v>0.74574469592387782</v>
      </c>
      <c r="J233" s="13">
        <v>-3.29737623746863</v>
      </c>
      <c r="K233" s="13">
        <v>-1.3032747573278991</v>
      </c>
      <c r="L233" s="13">
        <v>8.4863164653659062E-2</v>
      </c>
      <c r="M233" s="13">
        <v>-1.154527075976342</v>
      </c>
      <c r="N233" s="13">
        <v>0.43834654365884068</v>
      </c>
      <c r="O233" s="13">
        <v>2.1843917031946209</v>
      </c>
      <c r="P233" s="13">
        <v>0.55064222137215513</v>
      </c>
      <c r="Q233" s="13">
        <v>-0.2392131318721957</v>
      </c>
      <c r="R233" s="13">
        <v>-1.4211547001848119</v>
      </c>
      <c r="S233" s="13">
        <v>1.346294626897526</v>
      </c>
      <c r="T233" s="13">
        <v>-2.441639053758327</v>
      </c>
      <c r="U233" s="13">
        <v>-0.34907850486846081</v>
      </c>
      <c r="V233" s="13">
        <v>1.7642975823209279</v>
      </c>
      <c r="W233" s="13">
        <v>0.27532840330288799</v>
      </c>
      <c r="X233" s="13">
        <v>-0.88800895958152104</v>
      </c>
    </row>
    <row r="234" spans="1:24" x14ac:dyDescent="0.2">
      <c r="A234" t="s">
        <v>717</v>
      </c>
      <c r="B234" t="s">
        <v>567</v>
      </c>
      <c r="C234" t="s">
        <v>568</v>
      </c>
      <c r="D234" s="13">
        <v>3.1877865426105818</v>
      </c>
      <c r="E234" s="13">
        <v>0.27197327637957791</v>
      </c>
      <c r="F234" s="13">
        <v>-1.07638987875851</v>
      </c>
      <c r="G234" s="13">
        <v>0.62330177027583034</v>
      </c>
      <c r="H234" s="13">
        <v>0.23934799152258709</v>
      </c>
      <c r="I234" s="13">
        <v>-4.7755296960394489E-2</v>
      </c>
      <c r="J234" s="13">
        <v>-2.7915485825826258</v>
      </c>
      <c r="K234" s="13">
        <v>-1.093486132932286</v>
      </c>
      <c r="L234" s="13">
        <v>-0.26927961332467998</v>
      </c>
      <c r="M234" s="13">
        <v>-1.5932098003057731</v>
      </c>
      <c r="N234" s="13">
        <v>1.063323350701961</v>
      </c>
      <c r="O234" s="13">
        <v>2.496948934803545</v>
      </c>
      <c r="P234" s="13">
        <v>-7.6455154665022729E-2</v>
      </c>
      <c r="Q234" s="13">
        <v>-0.66270022117881355</v>
      </c>
      <c r="R234" s="13">
        <v>-1.157886761957672</v>
      </c>
      <c r="S234" s="13">
        <v>1.2072203272908371</v>
      </c>
      <c r="T234" s="13">
        <v>-2.2939176680467188</v>
      </c>
      <c r="U234" s="13">
        <v>0.1240203255533423</v>
      </c>
      <c r="V234" s="13">
        <v>1.8997195795413591</v>
      </c>
      <c r="W234" s="13">
        <v>0.56726812282368311</v>
      </c>
      <c r="X234" s="13">
        <v>-0.95774104058857779</v>
      </c>
    </row>
    <row r="235" spans="1:24" x14ac:dyDescent="0.2">
      <c r="A235" t="s">
        <v>717</v>
      </c>
      <c r="B235" t="s">
        <v>569</v>
      </c>
      <c r="C235" t="s">
        <v>570</v>
      </c>
      <c r="D235" s="13">
        <v>3.837425352588864</v>
      </c>
      <c r="E235" s="13">
        <v>-0.46726795283373868</v>
      </c>
      <c r="F235" s="13">
        <v>9.9224639099326772E-2</v>
      </c>
      <c r="G235" s="13">
        <v>0.97010579924166063</v>
      </c>
      <c r="H235" s="13">
        <v>-8.8866313726621016E-4</v>
      </c>
      <c r="I235" s="13">
        <v>0.37319506235662381</v>
      </c>
      <c r="J235" s="13">
        <v>-3.2588957238177119</v>
      </c>
      <c r="K235" s="13">
        <v>-1.4110816269417239</v>
      </c>
      <c r="L235" s="13">
        <v>0.39129907972164091</v>
      </c>
      <c r="M235" s="13">
        <v>-1.9831797159892031</v>
      </c>
      <c r="N235" s="13">
        <v>0.65291944364311849</v>
      </c>
      <c r="O235" s="13">
        <v>4.2828933380886891</v>
      </c>
      <c r="P235" s="13">
        <v>-1.611965545933469</v>
      </c>
      <c r="Q235" s="13">
        <v>-1.9431460542346231</v>
      </c>
      <c r="R235" s="13">
        <v>-0.23726287196434989</v>
      </c>
      <c r="S235" s="13">
        <v>1.9545666105232899</v>
      </c>
      <c r="T235" s="13">
        <v>-4.2306839436185184</v>
      </c>
      <c r="U235" s="13">
        <v>2.2197871118456721E-2</v>
      </c>
      <c r="V235" s="13">
        <v>2.2212571170912021</v>
      </c>
      <c r="W235" s="13">
        <v>-0.80088339387877072</v>
      </c>
      <c r="X235" s="13">
        <v>-1.0085414858344131</v>
      </c>
    </row>
    <row r="236" spans="1:24" x14ac:dyDescent="0.2">
      <c r="A236" t="s">
        <v>717</v>
      </c>
      <c r="B236" t="s">
        <v>571</v>
      </c>
      <c r="C236" t="s">
        <v>572</v>
      </c>
      <c r="D236" s="13">
        <v>3.7961727445408928</v>
      </c>
      <c r="E236" s="13">
        <v>-0.64741658499598564</v>
      </c>
      <c r="F236" s="13">
        <v>-1.019823070997905</v>
      </c>
      <c r="G236" s="13">
        <v>-1.0770846021502689</v>
      </c>
      <c r="H236" s="13">
        <v>-4.8092220979611973E-2</v>
      </c>
      <c r="I236" s="13">
        <v>0.95857412617217364</v>
      </c>
      <c r="J236" s="13">
        <v>-2.9632505574711421</v>
      </c>
      <c r="K236" s="13">
        <v>-0.3164881877928738</v>
      </c>
      <c r="L236" s="13">
        <v>-1.3921909460336219</v>
      </c>
      <c r="M236" s="13">
        <v>-1.2229685928484719</v>
      </c>
      <c r="N236" s="13">
        <v>2.2654900058324272</v>
      </c>
      <c r="O236" s="13">
        <v>1.2646231715039311</v>
      </c>
      <c r="P236" s="13">
        <v>0.89206667024588349</v>
      </c>
      <c r="Q236" s="13">
        <v>-0.52817029996775622</v>
      </c>
      <c r="R236" s="13">
        <v>0.35800411395292547</v>
      </c>
      <c r="S236" s="13">
        <v>5.7486041344034788E-3</v>
      </c>
      <c r="T236" s="13">
        <v>-1.5886138194770361</v>
      </c>
      <c r="U236" s="13">
        <v>0.10800661421035419</v>
      </c>
      <c r="V236" s="13">
        <v>1.9701344966084109</v>
      </c>
      <c r="W236" s="13">
        <v>0.54952314665983604</v>
      </c>
      <c r="X236" s="13">
        <v>-1.075967506795283</v>
      </c>
    </row>
    <row r="237" spans="1:24" x14ac:dyDescent="0.2">
      <c r="A237" t="s">
        <v>717</v>
      </c>
      <c r="B237" t="s">
        <v>573</v>
      </c>
      <c r="C237" t="s">
        <v>574</v>
      </c>
      <c r="D237" s="13">
        <v>3.780577596030477</v>
      </c>
      <c r="E237" s="13">
        <v>6.7898554603318395E-2</v>
      </c>
      <c r="F237" s="13">
        <v>-1.789175894439377</v>
      </c>
      <c r="G237" s="13">
        <v>1.845825510436172</v>
      </c>
      <c r="H237" s="13">
        <v>0.3075294011625207</v>
      </c>
      <c r="I237" s="13">
        <v>1.1664185104580449</v>
      </c>
      <c r="J237" s="13">
        <v>-2.839900551514329</v>
      </c>
      <c r="K237" s="13">
        <v>-0.9974252985665566</v>
      </c>
      <c r="L237" s="13">
        <v>1.260347651674665</v>
      </c>
      <c r="M237" s="13">
        <v>-1.1707321471801091</v>
      </c>
      <c r="N237" s="13">
        <v>0.18182124619532389</v>
      </c>
      <c r="O237" s="13">
        <v>1.29258761019857</v>
      </c>
      <c r="P237" s="13">
        <v>-0.28336115203647649</v>
      </c>
      <c r="Q237" s="13">
        <v>-0.75710907462651633</v>
      </c>
      <c r="R237" s="13">
        <v>-1.765780339964329</v>
      </c>
      <c r="S237" s="13">
        <v>1.3510050389718531</v>
      </c>
      <c r="T237" s="13">
        <v>-2.668248436766274</v>
      </c>
      <c r="U237" s="13">
        <v>-1.2084580342692</v>
      </c>
      <c r="V237" s="13">
        <v>1.5595451489216929</v>
      </c>
      <c r="W237" s="13">
        <v>2.6762235448751781E-2</v>
      </c>
      <c r="X237" s="13">
        <v>-1.224622091050565</v>
      </c>
    </row>
    <row r="238" spans="1:24" x14ac:dyDescent="0.2">
      <c r="A238" s="14" t="s">
        <v>717</v>
      </c>
      <c r="B238" s="14" t="s">
        <v>575</v>
      </c>
      <c r="C238" s="14" t="s">
        <v>576</v>
      </c>
      <c r="D238" s="15">
        <v>4.1428992705138779</v>
      </c>
      <c r="E238" s="15">
        <v>-1.0038223136574651</v>
      </c>
      <c r="F238" s="15">
        <v>1.119595841239107E-2</v>
      </c>
      <c r="G238" s="15">
        <v>0.62030934190471232</v>
      </c>
      <c r="H238" s="15">
        <v>-0.76835853378629526</v>
      </c>
      <c r="I238" s="15">
        <v>-9.100019582320984E-2</v>
      </c>
      <c r="J238" s="15">
        <v>-2.6567051752100279</v>
      </c>
      <c r="K238" s="15">
        <v>-2.6770189964672841</v>
      </c>
      <c r="L238" s="15">
        <v>-1.265351391391611</v>
      </c>
      <c r="M238" s="15">
        <v>-0.44471944957339421</v>
      </c>
      <c r="N238" s="15">
        <v>-0.24844515428773531</v>
      </c>
      <c r="O238" s="15">
        <v>1.091330340704566</v>
      </c>
      <c r="P238" s="15">
        <v>1.404256642716706</v>
      </c>
      <c r="Q238" s="15">
        <v>0.53129061160575031</v>
      </c>
      <c r="R238" s="15">
        <v>-0.81576809062091638</v>
      </c>
      <c r="S238" s="15">
        <v>0.59556768763984191</v>
      </c>
      <c r="T238" s="15">
        <v>-2.2469740047269982</v>
      </c>
      <c r="U238" s="15">
        <v>-1.5510480955803101</v>
      </c>
      <c r="V238" s="15">
        <v>1.570467419135269</v>
      </c>
      <c r="W238" s="15">
        <v>1.2686604641436889</v>
      </c>
      <c r="X238" s="15">
        <v>-1.293333669355667</v>
      </c>
    </row>
    <row r="239" spans="1:24" x14ac:dyDescent="0.2">
      <c r="A239" t="s">
        <v>717</v>
      </c>
      <c r="B239" t="s">
        <v>577</v>
      </c>
      <c r="C239" t="s">
        <v>578</v>
      </c>
      <c r="D239" s="13">
        <v>3.3843778344140758</v>
      </c>
      <c r="E239" s="13">
        <v>9.0365124839908439E-2</v>
      </c>
      <c r="F239" s="13">
        <v>-1.3272155365147811</v>
      </c>
      <c r="G239" s="13">
        <v>0.73209440244565993</v>
      </c>
      <c r="H239" s="13">
        <v>3.5178921760548043E-2</v>
      </c>
      <c r="I239" s="13">
        <v>1.6366960933894339</v>
      </c>
      <c r="J239" s="13">
        <v>-3.488912735061156</v>
      </c>
      <c r="K239" s="13">
        <v>-0.80996427256245784</v>
      </c>
      <c r="L239" s="13">
        <v>0.20889387088538491</v>
      </c>
      <c r="M239" s="13">
        <v>-1.0404453042584529</v>
      </c>
      <c r="N239" s="13">
        <v>0.48136083553180781</v>
      </c>
      <c r="O239" s="13">
        <v>2.3734800933927551</v>
      </c>
      <c r="P239" s="13">
        <v>-9.9965197301676856E-2</v>
      </c>
      <c r="Q239" s="13">
        <v>-0.57463383538899349</v>
      </c>
      <c r="R239" s="13">
        <v>5.8373264597499919E-2</v>
      </c>
      <c r="S239" s="13">
        <v>-0.80371016514169114</v>
      </c>
      <c r="T239" s="13">
        <v>-1.8760466243817</v>
      </c>
      <c r="U239" s="13">
        <v>-0.34342822740436318</v>
      </c>
      <c r="V239" s="13">
        <v>2.463207619632835</v>
      </c>
      <c r="W239" s="13">
        <v>-0.1363600414852173</v>
      </c>
      <c r="X239" s="13">
        <v>-1.309237439191324</v>
      </c>
    </row>
    <row r="240" spans="1:24" x14ac:dyDescent="0.2">
      <c r="A240" s="14" t="s">
        <v>717</v>
      </c>
      <c r="B240" s="14" t="s">
        <v>579</v>
      </c>
      <c r="C240" s="14" t="s">
        <v>580</v>
      </c>
      <c r="D240" s="15">
        <v>3.302801387141852</v>
      </c>
      <c r="E240" s="15">
        <v>0.83223732526940264</v>
      </c>
      <c r="F240" s="15">
        <v>-1.1034192876535061</v>
      </c>
      <c r="G240" s="15">
        <v>0.94544187053231532</v>
      </c>
      <c r="H240" s="15">
        <v>0.62406644827635027</v>
      </c>
      <c r="I240" s="15">
        <v>0.68962940721482013</v>
      </c>
      <c r="J240" s="15">
        <v>-3.5151458517420191</v>
      </c>
      <c r="K240" s="15">
        <v>-1.5120957978760119</v>
      </c>
      <c r="L240" s="15">
        <v>0.99679679534920851</v>
      </c>
      <c r="M240" s="15">
        <v>-1.280921573945015</v>
      </c>
      <c r="N240" s="15">
        <v>1.7110938991242051</v>
      </c>
      <c r="O240" s="15">
        <v>2.4060840883065588</v>
      </c>
      <c r="P240" s="15">
        <v>0.15529623955281571</v>
      </c>
      <c r="Q240" s="15">
        <v>-1.2297932251115311</v>
      </c>
      <c r="R240" s="15">
        <v>-2.2183288531121952</v>
      </c>
      <c r="S240" s="15">
        <v>1.9365324787690601</v>
      </c>
      <c r="T240" s="15">
        <v>-2.8582581552847759</v>
      </c>
      <c r="U240" s="15">
        <v>-0.23659709581935751</v>
      </c>
      <c r="V240" s="15">
        <v>2.048298432867202</v>
      </c>
      <c r="W240" s="15">
        <v>-5.8549330381296727E-3</v>
      </c>
      <c r="X240" s="15">
        <v>-1.7823745342913531</v>
      </c>
    </row>
    <row r="241" spans="1:24" x14ac:dyDescent="0.2">
      <c r="A241" t="s">
        <v>717</v>
      </c>
      <c r="B241" t="s">
        <v>581</v>
      </c>
      <c r="C241" t="s">
        <v>582</v>
      </c>
      <c r="D241" s="13">
        <v>3.4669424754586449</v>
      </c>
      <c r="E241" s="13">
        <v>2.1231085931953548</v>
      </c>
      <c r="F241" s="13">
        <v>-1.552638441174681</v>
      </c>
      <c r="G241" s="13">
        <v>0.64160410100273513</v>
      </c>
      <c r="H241" s="13">
        <v>0.62866569018249496</v>
      </c>
      <c r="I241" s="13">
        <v>0.7847450754614238</v>
      </c>
      <c r="J241" s="13">
        <v>-4.2737113516637333</v>
      </c>
      <c r="K241" s="13">
        <v>-1.8246285378590741</v>
      </c>
      <c r="L241" s="13">
        <v>1.128711817504535</v>
      </c>
      <c r="M241" s="13">
        <v>-1.787922533296626</v>
      </c>
      <c r="N241" s="13">
        <v>-1.381174355402637E-2</v>
      </c>
      <c r="O241" s="13">
        <v>2.9031293874717479</v>
      </c>
      <c r="P241" s="13">
        <v>1.122518886091939E-2</v>
      </c>
      <c r="Q241" s="13">
        <v>-1.3771876536781471</v>
      </c>
      <c r="R241" s="13">
        <v>-3.384867004644954</v>
      </c>
      <c r="S241" s="13">
        <v>2.2725699567563322</v>
      </c>
      <c r="T241" s="13">
        <v>-4.4942512767354614</v>
      </c>
      <c r="U241" s="13">
        <v>-0.1445911353077034</v>
      </c>
      <c r="V241" s="13">
        <v>3.2942425925141849</v>
      </c>
      <c r="W241" s="13">
        <v>-0.39999638394108139</v>
      </c>
      <c r="X241" s="13">
        <v>-1.8384052551451371</v>
      </c>
    </row>
    <row r="242" spans="1:24" x14ac:dyDescent="0.2">
      <c r="A242" t="s">
        <v>717</v>
      </c>
      <c r="B242" t="s">
        <v>583</v>
      </c>
      <c r="C242" t="s">
        <v>584</v>
      </c>
      <c r="D242" s="13">
        <v>4.4418497714383554</v>
      </c>
      <c r="E242" s="13">
        <v>0.52271501025142886</v>
      </c>
      <c r="F242" s="13">
        <v>-1.110843932224348</v>
      </c>
      <c r="G242" s="13">
        <v>1.0610119887624281</v>
      </c>
      <c r="H242" s="13">
        <v>0.54931952694501351</v>
      </c>
      <c r="I242" s="13">
        <v>0.76595690130372152</v>
      </c>
      <c r="J242" s="13">
        <v>-4.2486965334893938</v>
      </c>
      <c r="K242" s="13">
        <v>-0.52924229775304088</v>
      </c>
      <c r="L242" s="13">
        <v>0.64603883802054618</v>
      </c>
      <c r="M242" s="13">
        <v>-2.04180039415971</v>
      </c>
      <c r="N242" s="13">
        <v>0.75959085058820985</v>
      </c>
      <c r="O242" s="13">
        <v>4.0924716628495386</v>
      </c>
      <c r="P242" s="13">
        <v>-0.57976817884330956</v>
      </c>
      <c r="Q242" s="13">
        <v>-1.6485384460473429</v>
      </c>
      <c r="R242" s="13">
        <v>-2.390849644421944</v>
      </c>
      <c r="S242" s="13">
        <v>2.8114433684989448</v>
      </c>
      <c r="T242" s="13">
        <v>-3.1841068901589549</v>
      </c>
      <c r="U242" s="13">
        <v>0.20327137748650251</v>
      </c>
      <c r="V242" s="13">
        <v>3.2348890381497242</v>
      </c>
      <c r="W242" s="13">
        <v>0.1211436132342314</v>
      </c>
      <c r="X242" s="13">
        <v>-1.913634812137333</v>
      </c>
    </row>
    <row r="243" spans="1:24" x14ac:dyDescent="0.2">
      <c r="A243" t="s">
        <v>717</v>
      </c>
      <c r="B243" t="s">
        <v>585</v>
      </c>
      <c r="C243" t="s">
        <v>586</v>
      </c>
      <c r="D243" s="13">
        <v>4.7087810905459104</v>
      </c>
      <c r="E243" s="13">
        <v>0.37733167274802693</v>
      </c>
      <c r="F243" s="13">
        <v>-0.77052508702528666</v>
      </c>
      <c r="G243" s="13">
        <v>1.1546615017819839</v>
      </c>
      <c r="H243" s="13">
        <v>-4.0829268371267442E-2</v>
      </c>
      <c r="I243" s="13">
        <v>1.1844090913984311</v>
      </c>
      <c r="J243" s="13">
        <v>-4.6302088897761218</v>
      </c>
      <c r="K243" s="13">
        <v>-0.65700916469694226</v>
      </c>
      <c r="L243" s="13">
        <v>0.62739491255991986</v>
      </c>
      <c r="M243" s="13">
        <v>-1.3379445433025829</v>
      </c>
      <c r="N243" s="13">
        <v>1.0367364815244919</v>
      </c>
      <c r="O243" s="13">
        <v>3.4990272028940339</v>
      </c>
      <c r="P243" s="13">
        <v>-0.3315838551075978</v>
      </c>
      <c r="Q243" s="13">
        <v>-1.183881362242734</v>
      </c>
      <c r="R243" s="13">
        <v>0.19961968407500311</v>
      </c>
      <c r="S243" s="13">
        <v>-0.76243298885960709</v>
      </c>
      <c r="T243" s="13">
        <v>-2.883522476900358</v>
      </c>
      <c r="U243" s="13">
        <v>0.55148591081091158</v>
      </c>
      <c r="V243" s="13">
        <v>3.680139917326386</v>
      </c>
      <c r="W243" s="13">
        <v>-0.77867092237184909</v>
      </c>
      <c r="X243" s="13">
        <v>-2.0096800943303461</v>
      </c>
    </row>
    <row r="244" spans="1:24" x14ac:dyDescent="0.2">
      <c r="A244" s="14" t="s">
        <v>717</v>
      </c>
      <c r="B244" s="14" t="s">
        <v>587</v>
      </c>
      <c r="C244" s="14" t="s">
        <v>588</v>
      </c>
      <c r="D244" s="15">
        <v>3.489273553836902</v>
      </c>
      <c r="E244" s="15">
        <v>0.64400136639037875</v>
      </c>
      <c r="F244" s="15">
        <v>-1.665440020579068</v>
      </c>
      <c r="G244" s="15">
        <v>1.080290927675609</v>
      </c>
      <c r="H244" s="15">
        <v>0.81689528272328449</v>
      </c>
      <c r="I244" s="15">
        <v>0.82358666645274692</v>
      </c>
      <c r="J244" s="15">
        <v>-4.0352015596940678</v>
      </c>
      <c r="K244" s="15">
        <v>-0.96617526758363548</v>
      </c>
      <c r="L244" s="15">
        <v>1.1043419590411221</v>
      </c>
      <c r="M244" s="15">
        <v>-1.139569859760359</v>
      </c>
      <c r="N244" s="15">
        <v>0.86414153854172948</v>
      </c>
      <c r="O244" s="15">
        <v>1.896351174047384</v>
      </c>
      <c r="P244" s="15">
        <v>-5.2941993202659798E-2</v>
      </c>
      <c r="Q244" s="15">
        <v>-1.546036518521698</v>
      </c>
      <c r="R244" s="15">
        <v>-1.5566949847121809</v>
      </c>
      <c r="S244" s="15">
        <v>1.940323341523964</v>
      </c>
      <c r="T244" s="15">
        <v>-2.722676191774509</v>
      </c>
      <c r="U244" s="15">
        <v>-0.69359301542973872</v>
      </c>
      <c r="V244" s="15">
        <v>1.8403510348415031</v>
      </c>
      <c r="W244" s="15">
        <v>-0.20455793861273719</v>
      </c>
      <c r="X244" s="15">
        <v>-2.052823355948064</v>
      </c>
    </row>
    <row r="245" spans="1:24" x14ac:dyDescent="0.2">
      <c r="A245" s="14" t="s">
        <v>719</v>
      </c>
      <c r="B245" s="14" t="s">
        <v>590</v>
      </c>
      <c r="C245" s="14" t="s">
        <v>591</v>
      </c>
      <c r="D245" s="15">
        <v>0.65658669163606298</v>
      </c>
      <c r="E245" s="15">
        <v>-0.52009124248800775</v>
      </c>
      <c r="F245" s="15">
        <v>-0.79522123423618751</v>
      </c>
      <c r="G245" s="15">
        <v>-0.79975945243294655</v>
      </c>
      <c r="H245" s="15">
        <v>0.1114483269253785</v>
      </c>
      <c r="I245" s="15">
        <v>-0.89852928713956004</v>
      </c>
      <c r="J245" s="15">
        <v>-1.2040297058258711</v>
      </c>
      <c r="K245" s="15">
        <v>-0.13298092077878021</v>
      </c>
      <c r="L245" s="15">
        <v>1.160129186893144</v>
      </c>
      <c r="M245" s="15">
        <v>-0.28966588337190352</v>
      </c>
      <c r="N245" s="15">
        <v>1.561350253949856</v>
      </c>
      <c r="O245" s="15">
        <v>-1.0312561050084601</v>
      </c>
      <c r="P245" s="15">
        <v>0.47569310062374193</v>
      </c>
      <c r="Q245" s="15">
        <v>1.537348931644589</v>
      </c>
      <c r="R245" s="15">
        <v>0.99165797626510344</v>
      </c>
      <c r="S245" s="15">
        <v>0.16345230579384309</v>
      </c>
      <c r="T245" s="15">
        <v>1.598872234806481</v>
      </c>
      <c r="U245" s="15">
        <v>-1.434513715119234</v>
      </c>
      <c r="V245" s="15">
        <v>0.13723723768888091</v>
      </c>
      <c r="W245" s="15">
        <v>0.88252146415057631</v>
      </c>
      <c r="X245" s="15">
        <v>1.3110851568902899</v>
      </c>
    </row>
    <row r="246" spans="1:24" x14ac:dyDescent="0.2">
      <c r="A246" t="s">
        <v>719</v>
      </c>
      <c r="B246" t="s">
        <v>592</v>
      </c>
      <c r="C246" t="s">
        <v>593</v>
      </c>
      <c r="D246" s="13">
        <v>1.8929061201058639</v>
      </c>
      <c r="E246" s="13">
        <v>-0.1624245155851578</v>
      </c>
      <c r="F246" s="13">
        <v>0.62525655248635292</v>
      </c>
      <c r="G246" s="13">
        <v>0.1539096797349426</v>
      </c>
      <c r="H246" s="13">
        <v>-0.1187908058238873</v>
      </c>
      <c r="I246" s="13">
        <v>-0.11436416390204759</v>
      </c>
      <c r="J246" s="13">
        <v>-9.5246291277362172E-2</v>
      </c>
      <c r="K246" s="13">
        <v>-6.150511932326852E-2</v>
      </c>
      <c r="L246" s="13">
        <v>1.353279141096619</v>
      </c>
      <c r="M246" s="13">
        <v>0.69365187746963652</v>
      </c>
      <c r="N246" s="13">
        <v>0.38405390871649742</v>
      </c>
      <c r="O246" s="13">
        <v>0.62055681846355792</v>
      </c>
      <c r="P246" s="13">
        <v>-0.55133240347239321</v>
      </c>
      <c r="Q246" s="13">
        <v>0.95820860360926741</v>
      </c>
      <c r="R246" s="13">
        <v>0.63393629095169768</v>
      </c>
      <c r="S246" s="13">
        <v>-0.30163856304106229</v>
      </c>
      <c r="T246" s="13">
        <v>0.90508715037693754</v>
      </c>
      <c r="U246" s="13">
        <v>-0.84729395270318753</v>
      </c>
      <c r="V246" s="13">
        <v>-0.53105297183253519</v>
      </c>
      <c r="W246" s="13">
        <v>0.21097649965167159</v>
      </c>
      <c r="X246" s="13">
        <v>0.59641443666318406</v>
      </c>
    </row>
    <row r="247" spans="1:24" x14ac:dyDescent="0.2">
      <c r="A247" t="s">
        <v>719</v>
      </c>
      <c r="B247" t="s">
        <v>594</v>
      </c>
      <c r="C247" t="s">
        <v>595</v>
      </c>
      <c r="D247" s="13">
        <v>2.2236885664572048</v>
      </c>
      <c r="E247" s="13">
        <v>0.39237103245306493</v>
      </c>
      <c r="F247" s="13">
        <v>0.28422697440173561</v>
      </c>
      <c r="G247" s="13">
        <v>-0.51134979818873161</v>
      </c>
      <c r="H247" s="13">
        <v>0.59299852067735692</v>
      </c>
      <c r="I247" s="13">
        <v>-1.2543818922295951</v>
      </c>
      <c r="J247" s="13">
        <v>-0.82006037285253797</v>
      </c>
      <c r="K247" s="13">
        <v>-0.58199422746486595</v>
      </c>
      <c r="L247" s="13">
        <v>-1.1061881409526459</v>
      </c>
      <c r="M247" s="13">
        <v>-0.58940895519105085</v>
      </c>
      <c r="N247" s="13">
        <v>0.90262884792422504</v>
      </c>
      <c r="O247" s="13">
        <v>0.85274308920637587</v>
      </c>
      <c r="P247" s="13">
        <v>1.023375631302637</v>
      </c>
      <c r="Q247" s="13">
        <v>-0.1338001800151534</v>
      </c>
      <c r="R247" s="13">
        <v>-0.39956028234768848</v>
      </c>
      <c r="S247" s="13">
        <v>1.033158715481997</v>
      </c>
      <c r="T247" s="13">
        <v>-0.40553682782007439</v>
      </c>
      <c r="U247" s="13">
        <v>-0.1146852845966717</v>
      </c>
      <c r="V247" s="13">
        <v>9.5195139742543233E-2</v>
      </c>
      <c r="W247" s="13">
        <v>0.9346547035168129</v>
      </c>
      <c r="X247" s="13">
        <v>9.815842443658962E-2</v>
      </c>
    </row>
    <row r="248" spans="1:24" x14ac:dyDescent="0.2">
      <c r="A248" t="s">
        <v>719</v>
      </c>
      <c r="B248" t="s">
        <v>596</v>
      </c>
      <c r="C248" t="s">
        <v>597</v>
      </c>
      <c r="D248" s="13">
        <v>1.671689470127991</v>
      </c>
      <c r="E248" s="13">
        <v>1.3568567107026921</v>
      </c>
      <c r="F248" s="13">
        <v>0.28988934143383549</v>
      </c>
      <c r="G248" s="13">
        <v>-0.28466146261342251</v>
      </c>
      <c r="H248" s="13">
        <v>-0.26302144040827308</v>
      </c>
      <c r="I248" s="13">
        <v>-0.47066060866666198</v>
      </c>
      <c r="J248" s="13">
        <v>-0.5327475140666782</v>
      </c>
      <c r="K248" s="13">
        <v>-2.1839893704136299</v>
      </c>
      <c r="L248" s="13">
        <v>0.72379788936476341</v>
      </c>
      <c r="M248" s="13">
        <v>-0.28516267738780687</v>
      </c>
      <c r="N248" s="13">
        <v>1.055744879346765</v>
      </c>
      <c r="O248" s="13">
        <v>-1.0595686560639359</v>
      </c>
      <c r="P248" s="13">
        <v>2.5786295121532632</v>
      </c>
      <c r="Q248" s="13">
        <v>0.62112364343036575</v>
      </c>
      <c r="R248" s="13">
        <v>-0.6461428361809074</v>
      </c>
      <c r="S248" s="13">
        <v>-0.29541899750140649</v>
      </c>
      <c r="T248" s="13">
        <v>-0.15449229552508831</v>
      </c>
      <c r="U248" s="13">
        <v>-1.099581570356134</v>
      </c>
      <c r="V248" s="13">
        <v>-1.8780997286109711</v>
      </c>
      <c r="W248" s="13">
        <v>1.099036796449693</v>
      </c>
      <c r="X248" s="13">
        <v>6.7438068563108189E-2</v>
      </c>
    </row>
    <row r="249" spans="1:24" x14ac:dyDescent="0.2">
      <c r="A249" t="s">
        <v>719</v>
      </c>
      <c r="B249" t="s">
        <v>529</v>
      </c>
      <c r="C249" t="s">
        <v>530</v>
      </c>
      <c r="D249" s="13">
        <v>1.6590956675783359</v>
      </c>
      <c r="E249" s="13">
        <v>-0.42265424854074363</v>
      </c>
      <c r="F249" s="13">
        <v>-0.62814865895993721</v>
      </c>
      <c r="G249" s="13">
        <v>0.18400467741150889</v>
      </c>
      <c r="H249" s="13">
        <v>0.1767979639453188</v>
      </c>
      <c r="I249" s="13">
        <v>0.124481738533766</v>
      </c>
      <c r="J249" s="13">
        <v>-1.245439917591173</v>
      </c>
      <c r="K249" s="13">
        <v>-1.187406894285137</v>
      </c>
      <c r="L249" s="13">
        <v>-0.2134747305866713</v>
      </c>
      <c r="M249" s="13">
        <v>-0.57899415830282575</v>
      </c>
      <c r="N249" s="13">
        <v>0.80683386515341127</v>
      </c>
      <c r="O249" s="13">
        <v>-8.0054911739457779E-3</v>
      </c>
      <c r="P249" s="13">
        <v>1.191875851578184</v>
      </c>
      <c r="Q249" s="13">
        <v>0.32795035666737249</v>
      </c>
      <c r="R249" s="13">
        <v>0.85949779996019604</v>
      </c>
      <c r="S249" s="13">
        <v>-0.26931314289162511</v>
      </c>
      <c r="T249" s="13">
        <v>-0.87281605433715548</v>
      </c>
      <c r="U249" s="13">
        <v>-0.93444780654605708</v>
      </c>
      <c r="V249" s="13">
        <v>-0.35494607062009909</v>
      </c>
      <c r="W249" s="13">
        <v>1.761393169760916</v>
      </c>
      <c r="X249" s="13">
        <v>5.2488488982760373E-3</v>
      </c>
    </row>
    <row r="250" spans="1:24" x14ac:dyDescent="0.2">
      <c r="A250" t="s">
        <v>719</v>
      </c>
      <c r="B250" t="s">
        <v>553</v>
      </c>
      <c r="C250" t="s">
        <v>554</v>
      </c>
      <c r="D250" s="13">
        <v>2.6702611108533558</v>
      </c>
      <c r="E250" s="13">
        <v>-0.21759958341380781</v>
      </c>
      <c r="F250" s="13">
        <v>-0.81692880486761155</v>
      </c>
      <c r="G250" s="13">
        <v>0.91932418013382922</v>
      </c>
      <c r="H250" s="13">
        <v>8.5477266924982587E-2</v>
      </c>
      <c r="I250" s="13">
        <v>-0.1792036576919398</v>
      </c>
      <c r="J250" s="13">
        <v>-2.3402992413031338</v>
      </c>
      <c r="K250" s="13">
        <v>-0.87431223402286706</v>
      </c>
      <c r="L250" s="13">
        <v>-0.83502121524157147</v>
      </c>
      <c r="M250" s="13">
        <v>-0.1643221095229852</v>
      </c>
      <c r="N250" s="13">
        <v>0.27040208176414282</v>
      </c>
      <c r="O250" s="13">
        <v>1.9539082091184929</v>
      </c>
      <c r="P250" s="13">
        <v>0.47299405345888612</v>
      </c>
      <c r="Q250" s="13">
        <v>-0.54880870558146055</v>
      </c>
      <c r="R250" s="13">
        <v>0.47248413213256679</v>
      </c>
      <c r="S250" s="13">
        <v>1.565677215959971</v>
      </c>
      <c r="T250" s="13">
        <v>-0.85457724437153493</v>
      </c>
      <c r="U250" s="13">
        <v>-0.46025459873593189</v>
      </c>
      <c r="V250" s="13">
        <v>0.91579778519981225</v>
      </c>
      <c r="W250" s="13">
        <v>0.54872947479756018</v>
      </c>
      <c r="X250" s="13">
        <v>-7.5983624181819032E-3</v>
      </c>
    </row>
    <row r="251" spans="1:24" x14ac:dyDescent="0.2">
      <c r="A251" t="s">
        <v>719</v>
      </c>
      <c r="B251" t="s">
        <v>598</v>
      </c>
      <c r="C251" t="s">
        <v>599</v>
      </c>
      <c r="D251" s="13">
        <v>2.829623104118983</v>
      </c>
      <c r="E251" s="13">
        <v>0.40898066809147432</v>
      </c>
      <c r="F251" s="13">
        <v>-0.49573185855842361</v>
      </c>
      <c r="G251" s="13">
        <v>0.34512915073150457</v>
      </c>
      <c r="H251" s="13">
        <v>-0.20088653994012609</v>
      </c>
      <c r="I251" s="13">
        <v>0.73818031581038834</v>
      </c>
      <c r="J251" s="13">
        <v>-2.4709777082849489</v>
      </c>
      <c r="K251" s="13">
        <v>-0.72598217176123025</v>
      </c>
      <c r="L251" s="13">
        <v>-0.38301845969905818</v>
      </c>
      <c r="M251" s="13">
        <v>-0.67237694129417269</v>
      </c>
      <c r="N251" s="13">
        <v>1.669522614988717</v>
      </c>
      <c r="O251" s="13">
        <v>0.61414919746098917</v>
      </c>
      <c r="P251" s="13">
        <v>1.457623404561126</v>
      </c>
      <c r="Q251" s="13">
        <v>0.57441558434190298</v>
      </c>
      <c r="R251" s="13">
        <v>4.2855802354080368E-2</v>
      </c>
      <c r="S251" s="13">
        <v>0.30531312122752402</v>
      </c>
      <c r="T251" s="13">
        <v>-0.51295312999228848</v>
      </c>
      <c r="U251" s="13">
        <v>-0.30324080963168848</v>
      </c>
      <c r="V251" s="13">
        <v>0.13089274786539651</v>
      </c>
      <c r="W251" s="13">
        <v>1.3574823705977399</v>
      </c>
      <c r="X251" s="13">
        <v>-0.15026746379908079</v>
      </c>
    </row>
    <row r="252" spans="1:24" x14ac:dyDescent="0.2">
      <c r="A252" t="s">
        <v>719</v>
      </c>
      <c r="B252" t="s">
        <v>531</v>
      </c>
      <c r="C252" t="s">
        <v>532</v>
      </c>
      <c r="D252" s="13">
        <v>2.7896856332808579</v>
      </c>
      <c r="E252" s="13">
        <v>0.17149710694626119</v>
      </c>
      <c r="F252" s="13">
        <v>-1.143886243708703</v>
      </c>
      <c r="G252" s="13">
        <v>-1.063452370130735</v>
      </c>
      <c r="H252" s="13">
        <v>0.1047180678851678</v>
      </c>
      <c r="I252" s="13">
        <v>0.53705782232689181</v>
      </c>
      <c r="J252" s="13">
        <v>-2.269829683410463</v>
      </c>
      <c r="K252" s="13">
        <v>-0.77859423701859276</v>
      </c>
      <c r="L252" s="13">
        <v>-1.3055149895097711</v>
      </c>
      <c r="M252" s="13">
        <v>-0.70408113229860625</v>
      </c>
      <c r="N252" s="13">
        <v>1.5320587410219579</v>
      </c>
      <c r="O252" s="13">
        <v>0.63416470380510681</v>
      </c>
      <c r="P252" s="13">
        <v>1.577614157101026</v>
      </c>
      <c r="Q252" s="13">
        <v>0.38519929485416599</v>
      </c>
      <c r="R252" s="13">
        <v>-0.39997180043469532</v>
      </c>
      <c r="S252" s="13">
        <v>0.1208892941193085</v>
      </c>
      <c r="T252" s="13">
        <v>-0.25706386415398352</v>
      </c>
      <c r="U252" s="13">
        <v>-0.38062294822005521</v>
      </c>
      <c r="V252" s="13">
        <v>0.61277066483045317</v>
      </c>
      <c r="W252" s="13">
        <v>1.4816051868167479</v>
      </c>
      <c r="X252" s="13">
        <v>-0.169741087264208</v>
      </c>
    </row>
    <row r="253" spans="1:24" x14ac:dyDescent="0.2">
      <c r="A253" t="s">
        <v>719</v>
      </c>
      <c r="B253" t="s">
        <v>555</v>
      </c>
      <c r="C253" t="s">
        <v>556</v>
      </c>
      <c r="D253" s="13">
        <v>3.0131440487956018</v>
      </c>
      <c r="E253" s="13">
        <v>-2.569304265781502E-2</v>
      </c>
      <c r="F253" s="13">
        <v>0.15679889561401869</v>
      </c>
      <c r="G253" s="13">
        <v>1.7866625322196179</v>
      </c>
      <c r="H253" s="13">
        <v>0.25349908322211961</v>
      </c>
      <c r="I253" s="13">
        <v>0.6555242484717283</v>
      </c>
      <c r="J253" s="13">
        <v>-2.9550634726562048</v>
      </c>
      <c r="K253" s="13">
        <v>-2.0501996382092158</v>
      </c>
      <c r="L253" s="13">
        <v>1.161089161738649</v>
      </c>
      <c r="M253" s="13">
        <v>-0.31312606080823308</v>
      </c>
      <c r="N253" s="13">
        <v>0.25572829813134129</v>
      </c>
      <c r="O253" s="13">
        <v>4.0750510858792444</v>
      </c>
      <c r="P253" s="13">
        <v>-1.715053664046873</v>
      </c>
      <c r="Q253" s="13">
        <v>-1.3221042190176391</v>
      </c>
      <c r="R253" s="13">
        <v>-1.3074905867290989</v>
      </c>
      <c r="S253" s="13">
        <v>3.133746924964997</v>
      </c>
      <c r="T253" s="13">
        <v>-4.1157439522409023</v>
      </c>
      <c r="U253" s="13">
        <v>0.54723853605220807</v>
      </c>
      <c r="V253" s="13">
        <v>2.1911138403183821</v>
      </c>
      <c r="W253" s="13">
        <v>-0.98639215634550581</v>
      </c>
      <c r="X253" s="13">
        <v>-0.21799509550213261</v>
      </c>
    </row>
    <row r="254" spans="1:24" x14ac:dyDescent="0.2">
      <c r="A254" t="s">
        <v>719</v>
      </c>
      <c r="B254" t="s">
        <v>600</v>
      </c>
      <c r="C254" t="s">
        <v>601</v>
      </c>
      <c r="D254" s="13">
        <v>1.2645792048649569</v>
      </c>
      <c r="E254" s="13">
        <v>0.62227589739773936</v>
      </c>
      <c r="F254" s="13">
        <v>-0.41291075632805541</v>
      </c>
      <c r="G254" s="13">
        <v>0.83410062441882094</v>
      </c>
      <c r="H254" s="13">
        <v>-1.0542379390840679</v>
      </c>
      <c r="I254" s="13">
        <v>-0.69283350699016477</v>
      </c>
      <c r="J254" s="13">
        <v>-1.2263077368303901</v>
      </c>
      <c r="K254" s="13">
        <v>-2.3328348992567749</v>
      </c>
      <c r="L254" s="13">
        <v>-0.34773598120230181</v>
      </c>
      <c r="M254" s="13">
        <v>-0.70113703894932877</v>
      </c>
      <c r="N254" s="13">
        <v>1.617684802990538</v>
      </c>
      <c r="O254" s="13">
        <v>-1.507364477450146</v>
      </c>
      <c r="P254" s="13">
        <v>1.7801157057107051</v>
      </c>
      <c r="Q254" s="13">
        <v>3.1420254800496039E-2</v>
      </c>
      <c r="R254" s="13">
        <v>0.44496070738557769</v>
      </c>
      <c r="S254" s="13">
        <v>-0.9554249112604718</v>
      </c>
      <c r="T254" s="13">
        <v>-0.49098832100700213</v>
      </c>
      <c r="U254" s="13">
        <v>-2.2248390068803299</v>
      </c>
      <c r="V254" s="13">
        <v>-2.4289009208026351</v>
      </c>
      <c r="W254" s="13">
        <v>1.200693533235575</v>
      </c>
      <c r="X254" s="13">
        <v>-0.26911173903850782</v>
      </c>
    </row>
    <row r="255" spans="1:24" x14ac:dyDescent="0.2">
      <c r="A255" t="s">
        <v>719</v>
      </c>
      <c r="B255" t="s">
        <v>602</v>
      </c>
      <c r="C255" t="s">
        <v>603</v>
      </c>
      <c r="D255" s="13">
        <v>1.5264878926383401</v>
      </c>
      <c r="E255" s="13">
        <v>1.172237704255563</v>
      </c>
      <c r="F255" s="13">
        <v>0.33533020587275247</v>
      </c>
      <c r="G255" s="13">
        <v>-0.59971350101407639</v>
      </c>
      <c r="H255" s="13">
        <v>2.604608555218935E-2</v>
      </c>
      <c r="I255" s="13">
        <v>-0.21234784950350249</v>
      </c>
      <c r="J255" s="13">
        <v>-0.49645343698305749</v>
      </c>
      <c r="K255" s="13">
        <v>-1.9527103354219699</v>
      </c>
      <c r="L255" s="13">
        <v>0.84469987991175888</v>
      </c>
      <c r="M255" s="13">
        <v>-3.6854509874284513E-2</v>
      </c>
      <c r="N255" s="13">
        <v>1.0670594428565661</v>
      </c>
      <c r="O255" s="13">
        <v>-0.81198324125911769</v>
      </c>
      <c r="P255" s="13">
        <v>2.4242384048464238</v>
      </c>
      <c r="Q255" s="13">
        <v>0.78936540554603862</v>
      </c>
      <c r="R255" s="13">
        <v>-0.7671808265532376</v>
      </c>
      <c r="S255" s="13">
        <v>-0.4903163838416269</v>
      </c>
      <c r="T255" s="13">
        <v>-6.8075250654142661E-2</v>
      </c>
      <c r="U255" s="13">
        <v>-1.0443145668417531</v>
      </c>
      <c r="V255" s="13">
        <v>-2.014737018385393</v>
      </c>
      <c r="W255" s="13">
        <v>1.1574845540544001</v>
      </c>
      <c r="X255" s="13">
        <v>-0.32149509701875362</v>
      </c>
    </row>
    <row r="256" spans="1:24" x14ac:dyDescent="0.2">
      <c r="A256" t="s">
        <v>719</v>
      </c>
      <c r="B256" t="s">
        <v>604</v>
      </c>
      <c r="C256" t="s">
        <v>605</v>
      </c>
      <c r="D256" s="13">
        <v>1.3517735312481569</v>
      </c>
      <c r="E256" s="13">
        <v>1.346660996373106</v>
      </c>
      <c r="F256" s="13">
        <v>0.56355463366342118</v>
      </c>
      <c r="G256" s="13">
        <v>-0.29800086718837487</v>
      </c>
      <c r="H256" s="13">
        <v>-0.31148136576972801</v>
      </c>
      <c r="I256" s="13">
        <v>-0.48469027930478908</v>
      </c>
      <c r="J256" s="13">
        <v>-0.29877663502481111</v>
      </c>
      <c r="K256" s="13">
        <v>-2.2825940820375372</v>
      </c>
      <c r="L256" s="13">
        <v>0.56902364918693937</v>
      </c>
      <c r="M256" s="13">
        <v>-0.52017509515051019</v>
      </c>
      <c r="N256" s="13">
        <v>1.2574514806397821</v>
      </c>
      <c r="O256" s="13">
        <v>-0.75108332693992752</v>
      </c>
      <c r="P256" s="13">
        <v>2.2557751135327431</v>
      </c>
      <c r="Q256" s="13">
        <v>7.7366247630106244E-2</v>
      </c>
      <c r="R256" s="13">
        <v>-0.28086856436970731</v>
      </c>
      <c r="S256" s="13">
        <v>-0.22896909798514331</v>
      </c>
      <c r="T256" s="13">
        <v>4.7164689860879072E-2</v>
      </c>
      <c r="U256" s="13">
        <v>-1.615651742208801</v>
      </c>
      <c r="V256" s="13">
        <v>-1.5114978874313789</v>
      </c>
      <c r="W256" s="13">
        <v>0.97456243482358929</v>
      </c>
      <c r="X256" s="13">
        <v>-0.39203909333421771</v>
      </c>
    </row>
    <row r="257" spans="1:24" x14ac:dyDescent="0.2">
      <c r="A257" t="s">
        <v>719</v>
      </c>
      <c r="B257" t="s">
        <v>606</v>
      </c>
      <c r="C257" t="s">
        <v>607</v>
      </c>
      <c r="D257" s="13">
        <v>1.0794628697430311</v>
      </c>
      <c r="E257" s="13">
        <v>0.2452433852473401</v>
      </c>
      <c r="F257" s="13">
        <v>0.95157039089657225</v>
      </c>
      <c r="G257" s="13">
        <v>-0.83565671684970866</v>
      </c>
      <c r="H257" s="13">
        <v>-7.7006822359160232E-2</v>
      </c>
      <c r="I257" s="13">
        <v>0.55334482282591857</v>
      </c>
      <c r="J257" s="13">
        <v>0.86359239152307143</v>
      </c>
      <c r="K257" s="13">
        <v>1.5603239134261091</v>
      </c>
      <c r="L257" s="13">
        <v>0.57109680274807229</v>
      </c>
      <c r="M257" s="13">
        <v>-0.2716145042046314</v>
      </c>
      <c r="N257" s="13">
        <v>1.039909344160717</v>
      </c>
      <c r="O257" s="13">
        <v>0.72513337703992153</v>
      </c>
      <c r="P257" s="13">
        <v>0.56484211069911527</v>
      </c>
      <c r="Q257" s="13">
        <v>0.97185209012873308</v>
      </c>
      <c r="R257" s="13">
        <v>0.23902922086644909</v>
      </c>
      <c r="S257" s="13">
        <v>-0.75321431750976497</v>
      </c>
      <c r="T257" s="13">
        <v>1.0157416688951759</v>
      </c>
      <c r="U257" s="13">
        <v>-0.97910264202072383</v>
      </c>
      <c r="V257" s="13">
        <v>1.313436477098318</v>
      </c>
      <c r="W257" s="13">
        <v>-0.60319672850840389</v>
      </c>
      <c r="X257" s="13">
        <v>-0.40009489476233728</v>
      </c>
    </row>
    <row r="258" spans="1:24" x14ac:dyDescent="0.2">
      <c r="A258" t="s">
        <v>719</v>
      </c>
      <c r="B258" t="s">
        <v>608</v>
      </c>
      <c r="C258" t="s">
        <v>609</v>
      </c>
      <c r="D258" s="13">
        <v>2.6582332035877339</v>
      </c>
      <c r="E258" s="13">
        <v>0.59692634858619087</v>
      </c>
      <c r="F258" s="13">
        <v>-1.436367688496998</v>
      </c>
      <c r="G258" s="13">
        <v>9.072663817641935E-2</v>
      </c>
      <c r="H258" s="13">
        <v>0.54724051600136825</v>
      </c>
      <c r="I258" s="13">
        <v>0.49236663921485851</v>
      </c>
      <c r="J258" s="13">
        <v>-1.98046943752922</v>
      </c>
      <c r="K258" s="13">
        <v>-0.82573087817122692</v>
      </c>
      <c r="L258" s="13">
        <v>-0.87063569691969711</v>
      </c>
      <c r="M258" s="13">
        <v>-0.82949065041044712</v>
      </c>
      <c r="N258" s="13">
        <v>1.753946842719345</v>
      </c>
      <c r="O258" s="13">
        <v>1.1328527182632659</v>
      </c>
      <c r="P258" s="13">
        <v>1.0949414164184379</v>
      </c>
      <c r="Q258" s="13">
        <v>-3.7298485861292363E-2</v>
      </c>
      <c r="R258" s="13">
        <v>-0.58081836469116022</v>
      </c>
      <c r="S258" s="13">
        <v>1.0120621350952601</v>
      </c>
      <c r="T258" s="13">
        <v>-0.49019254586128991</v>
      </c>
      <c r="U258" s="13">
        <v>-1.5154074911687081</v>
      </c>
      <c r="V258" s="13">
        <v>0.79355533315679239</v>
      </c>
      <c r="W258" s="13">
        <v>0.71437363229247541</v>
      </c>
      <c r="X258" s="13">
        <v>-0.43520360017769161</v>
      </c>
    </row>
    <row r="259" spans="1:24" x14ac:dyDescent="0.2">
      <c r="A259" t="s">
        <v>719</v>
      </c>
      <c r="B259" t="s">
        <v>557</v>
      </c>
      <c r="C259" t="s">
        <v>558</v>
      </c>
      <c r="D259" s="13">
        <v>2.7796263140405841</v>
      </c>
      <c r="E259" s="13">
        <v>1.3291333107051</v>
      </c>
      <c r="F259" s="13">
        <v>-0.37620860076761348</v>
      </c>
      <c r="G259" s="13">
        <v>-7.5383418453500717E-2</v>
      </c>
      <c r="H259" s="13">
        <v>0.61546575576783003</v>
      </c>
      <c r="I259" s="13">
        <v>0.6550182252408332</v>
      </c>
      <c r="J259" s="13">
        <v>-1.3332440494723601</v>
      </c>
      <c r="K259" s="13">
        <v>-1.914669935845537</v>
      </c>
      <c r="L259" s="13">
        <v>-0.17093203462887899</v>
      </c>
      <c r="M259" s="13">
        <v>-1.0076145000423751</v>
      </c>
      <c r="N259" s="13">
        <v>0.27085689515538031</v>
      </c>
      <c r="O259" s="13">
        <v>1.374420894133022</v>
      </c>
      <c r="P259" s="13">
        <v>0.86348727506291301</v>
      </c>
      <c r="Q259" s="13">
        <v>-1.9399861373647909E-2</v>
      </c>
      <c r="R259" s="13">
        <v>-1.2590168670148949</v>
      </c>
      <c r="S259" s="13">
        <v>0.78245047972098636</v>
      </c>
      <c r="T259" s="13">
        <v>-1.2455193959496571</v>
      </c>
      <c r="U259" s="13">
        <v>-0.62108501619947409</v>
      </c>
      <c r="V259" s="13">
        <v>1.293054293401763</v>
      </c>
      <c r="W259" s="13">
        <v>0.34210444146467461</v>
      </c>
      <c r="X259" s="13">
        <v>-0.48379547046297772</v>
      </c>
    </row>
    <row r="260" spans="1:24" x14ac:dyDescent="0.2">
      <c r="A260" t="s">
        <v>719</v>
      </c>
      <c r="B260" t="s">
        <v>559</v>
      </c>
      <c r="C260" t="s">
        <v>560</v>
      </c>
      <c r="D260" s="13">
        <v>3.8396328200847258</v>
      </c>
      <c r="E260" s="13">
        <v>0.40579989980134012</v>
      </c>
      <c r="F260" s="13">
        <v>-1.1130381636689559</v>
      </c>
      <c r="G260" s="13">
        <v>0.55608163010225642</v>
      </c>
      <c r="H260" s="13">
        <v>0.47752607975144468</v>
      </c>
      <c r="I260" s="13">
        <v>1.1044985936529581</v>
      </c>
      <c r="J260" s="13">
        <v>-3.5185753318495161</v>
      </c>
      <c r="K260" s="13">
        <v>-0.71776782045399612</v>
      </c>
      <c r="L260" s="13">
        <v>8.5297649482352078E-2</v>
      </c>
      <c r="M260" s="13">
        <v>-1.220426651569984</v>
      </c>
      <c r="N260" s="13">
        <v>0.64514117508689406</v>
      </c>
      <c r="O260" s="13">
        <v>2.8559676312210902</v>
      </c>
      <c r="P260" s="13">
        <v>7.1994722319512761E-2</v>
      </c>
      <c r="Q260" s="13">
        <v>-0.58620215244269414</v>
      </c>
      <c r="R260" s="13">
        <v>-1.6260920453041281</v>
      </c>
      <c r="S260" s="13">
        <v>1.32655321100581</v>
      </c>
      <c r="T260" s="13">
        <v>-2.072165130980042</v>
      </c>
      <c r="U260" s="13">
        <v>-0.29694157866946291</v>
      </c>
      <c r="V260" s="13">
        <v>2.5654424685309212</v>
      </c>
      <c r="W260" s="13">
        <v>0.11657397253614921</v>
      </c>
      <c r="X260" s="13">
        <v>-0.59574506213061484</v>
      </c>
    </row>
    <row r="261" spans="1:24" x14ac:dyDescent="0.2">
      <c r="A261" t="s">
        <v>719</v>
      </c>
      <c r="B261" t="s">
        <v>610</v>
      </c>
      <c r="C261" t="s">
        <v>611</v>
      </c>
      <c r="D261" s="13">
        <v>3.6123066128915799</v>
      </c>
      <c r="E261" s="13">
        <v>0.25058334818079953</v>
      </c>
      <c r="F261" s="13">
        <v>-1.308702606604595</v>
      </c>
      <c r="G261" s="13">
        <v>0.44577301679211701</v>
      </c>
      <c r="H261" s="13">
        <v>-0.38952013851397682</v>
      </c>
      <c r="I261" s="13">
        <v>1.166792973025998</v>
      </c>
      <c r="J261" s="13">
        <v>-2.375174689363269</v>
      </c>
      <c r="K261" s="13">
        <v>-0.94867959796844925</v>
      </c>
      <c r="L261" s="13">
        <v>-0.29472445009073311</v>
      </c>
      <c r="M261" s="13">
        <v>-1.056270861015751</v>
      </c>
      <c r="N261" s="13">
        <v>0.83556807115341414</v>
      </c>
      <c r="O261" s="13">
        <v>0.7213617025325636</v>
      </c>
      <c r="P261" s="13">
        <v>0.69122002371178048</v>
      </c>
      <c r="Q261" s="13">
        <v>0.29600458314544831</v>
      </c>
      <c r="R261" s="13">
        <v>0.36511350674421911</v>
      </c>
      <c r="S261" s="13">
        <v>1.7621304477510868E-2</v>
      </c>
      <c r="T261" s="13">
        <v>-0.65991079075432557</v>
      </c>
      <c r="U261" s="13">
        <v>-0.86289987828643833</v>
      </c>
      <c r="V261" s="13">
        <v>0.3600098407618102</v>
      </c>
      <c r="W261" s="13">
        <v>1.814864760946211</v>
      </c>
      <c r="X261" s="13">
        <v>-0.60249610490028527</v>
      </c>
    </row>
    <row r="262" spans="1:24" x14ac:dyDescent="0.2">
      <c r="A262" t="s">
        <v>719</v>
      </c>
      <c r="B262" t="s">
        <v>612</v>
      </c>
      <c r="C262" t="s">
        <v>613</v>
      </c>
      <c r="D262" s="13">
        <v>3.7156801042384831</v>
      </c>
      <c r="E262" s="13">
        <v>0.55747330907329751</v>
      </c>
      <c r="F262" s="13">
        <v>-0.70670172096479744</v>
      </c>
      <c r="G262" s="13">
        <v>7.0580192738423086E-2</v>
      </c>
      <c r="H262" s="13">
        <v>0.47831771419062358</v>
      </c>
      <c r="I262" s="13">
        <v>1.0894744920591171</v>
      </c>
      <c r="J262" s="13">
        <v>-2.059284334395473</v>
      </c>
      <c r="K262" s="13">
        <v>-1.7369632155017409</v>
      </c>
      <c r="L262" s="13">
        <v>-1.325477222476845</v>
      </c>
      <c r="M262" s="13">
        <v>-1.463418924894788</v>
      </c>
      <c r="N262" s="13">
        <v>0.52219573017271426</v>
      </c>
      <c r="O262" s="13">
        <v>1.777563186531061</v>
      </c>
      <c r="P262" s="13">
        <v>0.51812210045407703</v>
      </c>
      <c r="Q262" s="13">
        <v>4.5501185760965512E-3</v>
      </c>
      <c r="R262" s="13">
        <v>-1.158239483824441</v>
      </c>
      <c r="S262" s="13">
        <v>0.54728839421420705</v>
      </c>
      <c r="T262" s="13">
        <v>-0.63029456804803985</v>
      </c>
      <c r="U262" s="13">
        <v>-1.374210589809499</v>
      </c>
      <c r="V262" s="13">
        <v>1.1009713649992261</v>
      </c>
      <c r="W262" s="13">
        <v>0.58188889474946048</v>
      </c>
      <c r="X262" s="13">
        <v>-0.61633308107457152</v>
      </c>
    </row>
    <row r="263" spans="1:24" x14ac:dyDescent="0.2">
      <c r="A263" t="s">
        <v>719</v>
      </c>
      <c r="B263" t="s">
        <v>533</v>
      </c>
      <c r="C263" t="s">
        <v>534</v>
      </c>
      <c r="D263" s="13">
        <v>3.3281878273360821</v>
      </c>
      <c r="E263" s="13">
        <v>-0.87613657727130256</v>
      </c>
      <c r="F263" s="13">
        <v>-0.20652690816060909</v>
      </c>
      <c r="G263" s="13">
        <v>0.1048096367358919</v>
      </c>
      <c r="H263" s="13">
        <v>1.240881230589896</v>
      </c>
      <c r="I263" s="13">
        <v>-8.6947465808329127E-2</v>
      </c>
      <c r="J263" s="13">
        <v>-2.1554240724054652</v>
      </c>
      <c r="K263" s="13">
        <v>-1.657408701838081</v>
      </c>
      <c r="L263" s="13">
        <v>0.98504137778394618</v>
      </c>
      <c r="M263" s="13">
        <v>-1.1930709370799319</v>
      </c>
      <c r="N263" s="13">
        <v>1.058841690597645</v>
      </c>
      <c r="O263" s="13">
        <v>1.9575540300116101</v>
      </c>
      <c r="P263" s="13">
        <v>0.69522718712502485</v>
      </c>
      <c r="Q263" s="13">
        <v>-1.3916655803241751</v>
      </c>
      <c r="R263" s="13">
        <v>-1.1352002684912099</v>
      </c>
      <c r="S263" s="13">
        <v>0.40786038751372539</v>
      </c>
      <c r="T263" s="13">
        <v>-1.4320827010446899</v>
      </c>
      <c r="U263" s="13">
        <v>-1.2594829623736929</v>
      </c>
      <c r="V263" s="13">
        <v>1.1603887836990181</v>
      </c>
      <c r="W263" s="13">
        <v>0.7249089941089526</v>
      </c>
      <c r="X263" s="13">
        <v>-0.63356664141996921</v>
      </c>
    </row>
    <row r="264" spans="1:24" x14ac:dyDescent="0.2">
      <c r="A264" t="s">
        <v>719</v>
      </c>
      <c r="B264" t="s">
        <v>614</v>
      </c>
      <c r="C264" t="s">
        <v>615</v>
      </c>
      <c r="D264" s="13">
        <v>2.695876511214923</v>
      </c>
      <c r="E264" s="13">
        <v>0.23492618003937429</v>
      </c>
      <c r="F264" s="13">
        <v>-0.78911989273268146</v>
      </c>
      <c r="G264" s="13">
        <v>0.12109813673186751</v>
      </c>
      <c r="H264" s="13">
        <v>0.37309528905653527</v>
      </c>
      <c r="I264" s="13">
        <v>-0.39068221719736901</v>
      </c>
      <c r="J264" s="13">
        <v>-1.8670971029336461</v>
      </c>
      <c r="K264" s="13">
        <v>-0.44675714253853421</v>
      </c>
      <c r="L264" s="13">
        <v>-1.111911166123158</v>
      </c>
      <c r="M264" s="13">
        <v>-0.35136488407808703</v>
      </c>
      <c r="N264" s="13">
        <v>1.8261261093246</v>
      </c>
      <c r="O264" s="13">
        <v>0.63505071056184637</v>
      </c>
      <c r="P264" s="13">
        <v>1.7408592151435089</v>
      </c>
      <c r="Q264" s="13">
        <v>0.2616626781521747</v>
      </c>
      <c r="R264" s="13">
        <v>-0.52450837959399088</v>
      </c>
      <c r="S264" s="13">
        <v>1.1438162487432011</v>
      </c>
      <c r="T264" s="13">
        <v>-0.30726755143868362</v>
      </c>
      <c r="U264" s="13">
        <v>-0.74587118818640885</v>
      </c>
      <c r="V264" s="13">
        <v>0.16415767807513859</v>
      </c>
      <c r="W264" s="13">
        <v>1.8770855630600769</v>
      </c>
      <c r="X264" s="13">
        <v>-0.65709079681499638</v>
      </c>
    </row>
    <row r="265" spans="1:24" x14ac:dyDescent="0.2">
      <c r="A265" t="s">
        <v>719</v>
      </c>
      <c r="B265" t="s">
        <v>561</v>
      </c>
      <c r="C265" t="s">
        <v>562</v>
      </c>
      <c r="D265" s="13">
        <v>2.4279649214887118</v>
      </c>
      <c r="E265" s="13">
        <v>0.30314290313007142</v>
      </c>
      <c r="F265" s="13">
        <v>-0.73401948379813176</v>
      </c>
      <c r="G265" s="13">
        <v>0.34210482279315452</v>
      </c>
      <c r="H265" s="13">
        <v>3.509996054991138E-2</v>
      </c>
      <c r="I265" s="13">
        <v>1.017895563850679</v>
      </c>
      <c r="J265" s="13">
        <v>-2.3867035855823282</v>
      </c>
      <c r="K265" s="13">
        <v>-0.30509818119759391</v>
      </c>
      <c r="L265" s="13">
        <v>0.20144285655778749</v>
      </c>
      <c r="M265" s="13">
        <v>-0.72721060440290586</v>
      </c>
      <c r="N265" s="13">
        <v>0.86113025225322826</v>
      </c>
      <c r="O265" s="13">
        <v>1.51536944111399</v>
      </c>
      <c r="P265" s="13">
        <v>0.32237059172195442</v>
      </c>
      <c r="Q265" s="13">
        <v>-7.2399340608608753E-2</v>
      </c>
      <c r="R265" s="13">
        <v>0.22416341013553609</v>
      </c>
      <c r="S265" s="13">
        <v>-0.14729974184242159</v>
      </c>
      <c r="T265" s="13">
        <v>-1.0378877038712211</v>
      </c>
      <c r="U265" s="13">
        <v>-0.60708598962293525</v>
      </c>
      <c r="V265" s="13">
        <v>1.094160571858249</v>
      </c>
      <c r="W265" s="13">
        <v>0.47548190398394308</v>
      </c>
      <c r="X265" s="13">
        <v>-0.68868045458834182</v>
      </c>
    </row>
    <row r="266" spans="1:24" x14ac:dyDescent="0.2">
      <c r="A266" t="s">
        <v>719</v>
      </c>
      <c r="B266" t="s">
        <v>616</v>
      </c>
      <c r="C266" t="s">
        <v>617</v>
      </c>
      <c r="D266" s="13">
        <v>2.738889569968328</v>
      </c>
      <c r="E266" s="13">
        <v>-0.26443663169146697</v>
      </c>
      <c r="F266" s="13">
        <v>-1.2657211146578471</v>
      </c>
      <c r="G266" s="13">
        <v>0.50415240409811268</v>
      </c>
      <c r="H266" s="13">
        <v>-8.1720906977689189E-2</v>
      </c>
      <c r="I266" s="13">
        <v>0.48783636713054518</v>
      </c>
      <c r="J266" s="13">
        <v>-2.2551960304351248</v>
      </c>
      <c r="K266" s="13">
        <v>-0.59926731398647348</v>
      </c>
      <c r="L266" s="13">
        <v>-0.57991187344658135</v>
      </c>
      <c r="M266" s="13">
        <v>-1.050642886606723</v>
      </c>
      <c r="N266" s="13">
        <v>0.26336857433721939</v>
      </c>
      <c r="O266" s="13">
        <v>1.1149359266722001</v>
      </c>
      <c r="P266" s="13">
        <v>0.4636877245266513</v>
      </c>
      <c r="Q266" s="13">
        <v>-0.1425852745984835</v>
      </c>
      <c r="R266" s="13">
        <v>-1.03608312765503</v>
      </c>
      <c r="S266" s="13">
        <v>0.35246089805081038</v>
      </c>
      <c r="T266" s="13">
        <v>-0.72395161507770034</v>
      </c>
      <c r="U266" s="13">
        <v>-1.675787619962354</v>
      </c>
      <c r="V266" s="13">
        <v>0.42452785004722943</v>
      </c>
      <c r="W266" s="13">
        <v>0.92217378534904526</v>
      </c>
      <c r="X266" s="13">
        <v>-0.71291730994440528</v>
      </c>
    </row>
    <row r="267" spans="1:24" x14ac:dyDescent="0.2">
      <c r="A267" t="s">
        <v>719</v>
      </c>
      <c r="B267" t="s">
        <v>563</v>
      </c>
      <c r="C267" t="s">
        <v>564</v>
      </c>
      <c r="D267" s="13">
        <v>2.8623434002630339</v>
      </c>
      <c r="E267" s="13">
        <v>-0.55770078127097555</v>
      </c>
      <c r="F267" s="13">
        <v>-0.69480583117025319</v>
      </c>
      <c r="G267" s="13">
        <v>1.1592426200629951</v>
      </c>
      <c r="H267" s="13">
        <v>0.44283185979208112</v>
      </c>
      <c r="I267" s="13">
        <v>1.1278953087117349</v>
      </c>
      <c r="J267" s="13">
        <v>-2.7450962265391232</v>
      </c>
      <c r="K267" s="13">
        <v>-1.362599630443861</v>
      </c>
      <c r="L267" s="13">
        <v>0.90966985317915139</v>
      </c>
      <c r="M267" s="13">
        <v>-1.2210770148632919</v>
      </c>
      <c r="N267" s="13">
        <v>0.44913608979284542</v>
      </c>
      <c r="O267" s="13">
        <v>2.8698904397675311</v>
      </c>
      <c r="P267" s="13">
        <v>-0.47293679794991877</v>
      </c>
      <c r="Q267" s="13">
        <v>-0.86758900660484084</v>
      </c>
      <c r="R267" s="13">
        <v>-1.4385553701966589</v>
      </c>
      <c r="S267" s="13">
        <v>1.0427546511839301</v>
      </c>
      <c r="T267" s="13">
        <v>-2.049359844513265</v>
      </c>
      <c r="U267" s="13">
        <v>-0.61404231245433261</v>
      </c>
      <c r="V267" s="13">
        <v>2.235203207454783</v>
      </c>
      <c r="W267" s="13">
        <v>-0.1189042629330839</v>
      </c>
      <c r="X267" s="13">
        <v>-0.74077680985425998</v>
      </c>
    </row>
    <row r="268" spans="1:24" x14ac:dyDescent="0.2">
      <c r="A268" t="s">
        <v>719</v>
      </c>
      <c r="B268" t="s">
        <v>618</v>
      </c>
      <c r="C268" t="s">
        <v>619</v>
      </c>
      <c r="D268" s="13">
        <v>2.584288311046401</v>
      </c>
      <c r="E268" s="13">
        <v>0.2167724180698771</v>
      </c>
      <c r="F268" s="13">
        <v>-0.66417171666435237</v>
      </c>
      <c r="G268" s="13">
        <v>0.59785468260535879</v>
      </c>
      <c r="H268" s="13">
        <v>6.6868567774536203E-2</v>
      </c>
      <c r="I268" s="13">
        <v>0.6299162053534646</v>
      </c>
      <c r="J268" s="13">
        <v>-2.0411583851322912</v>
      </c>
      <c r="K268" s="13">
        <v>-0.87310431391446341</v>
      </c>
      <c r="L268" s="13">
        <v>0.65352982968776008</v>
      </c>
      <c r="M268" s="13">
        <v>-0.97747868358306622</v>
      </c>
      <c r="N268" s="13">
        <v>0.52311652018020016</v>
      </c>
      <c r="O268" s="13">
        <v>1.189086194775024</v>
      </c>
      <c r="P268" s="13">
        <v>9.2821962615952103E-3</v>
      </c>
      <c r="Q268" s="13">
        <v>-9.6490246256653034E-2</v>
      </c>
      <c r="R268" s="13">
        <v>-0.6150891317445395</v>
      </c>
      <c r="S268" s="13">
        <v>0.83252484955838035</v>
      </c>
      <c r="T268" s="13">
        <v>-1.5616377052943831</v>
      </c>
      <c r="U268" s="13">
        <v>-0.83357206263928729</v>
      </c>
      <c r="V268" s="13">
        <v>1.071304267118367</v>
      </c>
      <c r="W268" s="13">
        <v>0.16637647260231431</v>
      </c>
      <c r="X268" s="13">
        <v>-0.74951329030162883</v>
      </c>
    </row>
    <row r="269" spans="1:24" x14ac:dyDescent="0.2">
      <c r="A269" t="s">
        <v>719</v>
      </c>
      <c r="B269" t="s">
        <v>565</v>
      </c>
      <c r="C269" t="s">
        <v>566</v>
      </c>
      <c r="D269" s="13">
        <v>3.3965605185680698</v>
      </c>
      <c r="E269" s="13">
        <v>0.54923278419882759</v>
      </c>
      <c r="F269" s="13">
        <v>-0.95590335818978023</v>
      </c>
      <c r="G269" s="13">
        <v>0.90966384214001828</v>
      </c>
      <c r="H269" s="13">
        <v>0.26860303183482431</v>
      </c>
      <c r="I269" s="13">
        <v>0.74574469592387782</v>
      </c>
      <c r="J269" s="13">
        <v>-3.29737623746863</v>
      </c>
      <c r="K269" s="13">
        <v>-1.3032747573278991</v>
      </c>
      <c r="L269" s="13">
        <v>8.4863164653659062E-2</v>
      </c>
      <c r="M269" s="13">
        <v>-1.154527075976342</v>
      </c>
      <c r="N269" s="13">
        <v>0.43834654365884068</v>
      </c>
      <c r="O269" s="13">
        <v>2.1843917031946209</v>
      </c>
      <c r="P269" s="13">
        <v>0.55064222137215513</v>
      </c>
      <c r="Q269" s="13">
        <v>-0.2392131318721957</v>
      </c>
      <c r="R269" s="13">
        <v>-1.4211547001848119</v>
      </c>
      <c r="S269" s="13">
        <v>1.346294626897526</v>
      </c>
      <c r="T269" s="13">
        <v>-2.441639053758327</v>
      </c>
      <c r="U269" s="13">
        <v>-0.34907850486846081</v>
      </c>
      <c r="V269" s="13">
        <v>1.7642975823209279</v>
      </c>
      <c r="W269" s="13">
        <v>0.27532840330288799</v>
      </c>
      <c r="X269" s="13">
        <v>-0.88800895958152104</v>
      </c>
    </row>
    <row r="270" spans="1:24" x14ac:dyDescent="0.2">
      <c r="A270" t="s">
        <v>719</v>
      </c>
      <c r="B270" t="s">
        <v>620</v>
      </c>
      <c r="C270" t="s">
        <v>621</v>
      </c>
      <c r="D270" s="13">
        <v>3.0440727831042569</v>
      </c>
      <c r="E270" s="13">
        <v>4.6576580096036047E-2</v>
      </c>
      <c r="F270" s="13">
        <v>-0.68055943971333521</v>
      </c>
      <c r="G270" s="13">
        <v>0.45990689453345718</v>
      </c>
      <c r="H270" s="13">
        <v>-0.1779144638078933</v>
      </c>
      <c r="I270" s="13">
        <v>0.77017405014143669</v>
      </c>
      <c r="J270" s="13">
        <v>-3.0094504761677738</v>
      </c>
      <c r="K270" s="13">
        <v>-1.4500450278924331</v>
      </c>
      <c r="L270" s="13">
        <v>0.12973328716516799</v>
      </c>
      <c r="M270" s="13">
        <v>-1.7299358586428171</v>
      </c>
      <c r="N270" s="13">
        <v>0.7850316571804683</v>
      </c>
      <c r="O270" s="13">
        <v>0.94583697040817594</v>
      </c>
      <c r="P270" s="13">
        <v>7.5133211843159131E-2</v>
      </c>
      <c r="Q270" s="13">
        <v>0.45857221028087197</v>
      </c>
      <c r="R270" s="13">
        <v>0.31836040687929218</v>
      </c>
      <c r="S270" s="13">
        <v>0.24830415868299929</v>
      </c>
      <c r="T270" s="13">
        <v>-2.2123941423473288</v>
      </c>
      <c r="U270" s="13">
        <v>0.49746323291441907</v>
      </c>
      <c r="V270" s="13">
        <v>1.6898094014991649</v>
      </c>
      <c r="W270" s="13">
        <v>0.31022461741585522</v>
      </c>
      <c r="X270" s="13">
        <v>-0.94552319058174294</v>
      </c>
    </row>
    <row r="271" spans="1:24" x14ac:dyDescent="0.2">
      <c r="A271" t="s">
        <v>719</v>
      </c>
      <c r="B271" t="s">
        <v>567</v>
      </c>
      <c r="C271" t="s">
        <v>568</v>
      </c>
      <c r="D271" s="13">
        <v>3.1877865426105818</v>
      </c>
      <c r="E271" s="13">
        <v>0.27197327637957791</v>
      </c>
      <c r="F271" s="13">
        <v>-1.07638987875851</v>
      </c>
      <c r="G271" s="13">
        <v>0.62330177027583034</v>
      </c>
      <c r="H271" s="13">
        <v>0.23934799152258709</v>
      </c>
      <c r="I271" s="13">
        <v>-4.7755296960394489E-2</v>
      </c>
      <c r="J271" s="13">
        <v>-2.7915485825826258</v>
      </c>
      <c r="K271" s="13">
        <v>-1.093486132932286</v>
      </c>
      <c r="L271" s="13">
        <v>-0.26927961332467998</v>
      </c>
      <c r="M271" s="13">
        <v>-1.5932098003057731</v>
      </c>
      <c r="N271" s="13">
        <v>1.063323350701961</v>
      </c>
      <c r="O271" s="13">
        <v>2.496948934803545</v>
      </c>
      <c r="P271" s="13">
        <v>-7.6455154665022729E-2</v>
      </c>
      <c r="Q271" s="13">
        <v>-0.66270022117881355</v>
      </c>
      <c r="R271" s="13">
        <v>-1.157886761957672</v>
      </c>
      <c r="S271" s="13">
        <v>1.2072203272908371</v>
      </c>
      <c r="T271" s="13">
        <v>-2.2939176680467188</v>
      </c>
      <c r="U271" s="13">
        <v>0.1240203255533423</v>
      </c>
      <c r="V271" s="13">
        <v>1.8997195795413591</v>
      </c>
      <c r="W271" s="13">
        <v>0.56726812282368311</v>
      </c>
      <c r="X271" s="13">
        <v>-0.95774104058857779</v>
      </c>
    </row>
    <row r="272" spans="1:24" x14ac:dyDescent="0.2">
      <c r="A272" t="s">
        <v>719</v>
      </c>
      <c r="B272" t="s">
        <v>622</v>
      </c>
      <c r="C272" t="s">
        <v>623</v>
      </c>
      <c r="D272" s="13">
        <v>3.162757253614656</v>
      </c>
      <c r="E272" s="13">
        <v>0.76319257830277376</v>
      </c>
      <c r="F272" s="13">
        <v>-1.142553366240751</v>
      </c>
      <c r="G272" s="13">
        <v>1.003799879119649</v>
      </c>
      <c r="H272" s="13">
        <v>0.29733544272103618</v>
      </c>
      <c r="I272" s="13">
        <v>0.63308525192371512</v>
      </c>
      <c r="J272" s="13">
        <v>-3.5534986090893672</v>
      </c>
      <c r="K272" s="13">
        <v>-0.3218599572116343</v>
      </c>
      <c r="L272" s="13">
        <v>0.33698451123274081</v>
      </c>
      <c r="M272" s="13">
        <v>-1.6398608384601721</v>
      </c>
      <c r="N272" s="13">
        <v>7.0227330778216412E-3</v>
      </c>
      <c r="O272" s="13">
        <v>1.9488225950008209</v>
      </c>
      <c r="P272" s="13">
        <v>-0.35234367145106082</v>
      </c>
      <c r="Q272" s="13">
        <v>-1.3064174946633591</v>
      </c>
      <c r="R272" s="13">
        <v>-0.65378772317506995</v>
      </c>
      <c r="S272" s="13">
        <v>1.4822712669748439</v>
      </c>
      <c r="T272" s="13">
        <v>-1.9595148021063551</v>
      </c>
      <c r="U272" s="13">
        <v>-1.298630054532302</v>
      </c>
      <c r="V272" s="13">
        <v>1.786870819454478</v>
      </c>
      <c r="W272" s="13">
        <v>0.82683472083948661</v>
      </c>
      <c r="X272" s="13">
        <v>-0.97199273177345225</v>
      </c>
    </row>
    <row r="273" spans="1:24" x14ac:dyDescent="0.2">
      <c r="A273" t="s">
        <v>719</v>
      </c>
      <c r="B273" t="s">
        <v>624</v>
      </c>
      <c r="C273" t="s">
        <v>625</v>
      </c>
      <c r="D273" s="13">
        <v>3.2157646210877018</v>
      </c>
      <c r="E273" s="13">
        <v>0.31443414629861438</v>
      </c>
      <c r="F273" s="13">
        <v>-0.77473593884419545</v>
      </c>
      <c r="G273" s="13">
        <v>1.045498959514934</v>
      </c>
      <c r="H273" s="13">
        <v>-0.26084371091165132</v>
      </c>
      <c r="I273" s="13">
        <v>0.86318267967120388</v>
      </c>
      <c r="J273" s="13">
        <v>-2.717727138206572</v>
      </c>
      <c r="K273" s="13">
        <v>-0.87110444816530519</v>
      </c>
      <c r="L273" s="13">
        <v>0.768198371455453</v>
      </c>
      <c r="M273" s="13">
        <v>-1.5834211105489331</v>
      </c>
      <c r="N273" s="13">
        <v>-0.31862711220687068</v>
      </c>
      <c r="O273" s="13">
        <v>1.4038536281895551</v>
      </c>
      <c r="P273" s="13">
        <v>0.28189210585771729</v>
      </c>
      <c r="Q273" s="13">
        <v>-0.2412507919412499</v>
      </c>
      <c r="R273" s="13">
        <v>0.74973912138736054</v>
      </c>
      <c r="S273" s="13">
        <v>6.6498530410830092E-2</v>
      </c>
      <c r="T273" s="13">
        <v>-1.607308682227049</v>
      </c>
      <c r="U273" s="13">
        <v>-1.20837626560214</v>
      </c>
      <c r="V273" s="13">
        <v>1.1679058530609021</v>
      </c>
      <c r="W273" s="13">
        <v>0.52260900771576857</v>
      </c>
      <c r="X273" s="13">
        <v>-1.00784986365553</v>
      </c>
    </row>
    <row r="274" spans="1:24" x14ac:dyDescent="0.2">
      <c r="A274" t="s">
        <v>719</v>
      </c>
      <c r="B274" t="s">
        <v>569</v>
      </c>
      <c r="C274" t="s">
        <v>570</v>
      </c>
      <c r="D274" s="13">
        <v>3.837425352588864</v>
      </c>
      <c r="E274" s="13">
        <v>-0.46726795283373868</v>
      </c>
      <c r="F274" s="13">
        <v>9.9224639099326772E-2</v>
      </c>
      <c r="G274" s="13">
        <v>0.97010579924166063</v>
      </c>
      <c r="H274" s="13">
        <v>-8.8866313726621016E-4</v>
      </c>
      <c r="I274" s="13">
        <v>0.37319506235662381</v>
      </c>
      <c r="J274" s="13">
        <v>-3.2588957238177119</v>
      </c>
      <c r="K274" s="13">
        <v>-1.4110816269417239</v>
      </c>
      <c r="L274" s="13">
        <v>0.39129907972164091</v>
      </c>
      <c r="M274" s="13">
        <v>-1.9831797159892031</v>
      </c>
      <c r="N274" s="13">
        <v>0.65291944364311849</v>
      </c>
      <c r="O274" s="13">
        <v>4.2828933380886891</v>
      </c>
      <c r="P274" s="13">
        <v>-1.611965545933469</v>
      </c>
      <c r="Q274" s="13">
        <v>-1.9431460542346231</v>
      </c>
      <c r="R274" s="13">
        <v>-0.23726287196434989</v>
      </c>
      <c r="S274" s="13">
        <v>1.9545666105232899</v>
      </c>
      <c r="T274" s="13">
        <v>-4.2306839436185184</v>
      </c>
      <c r="U274" s="13">
        <v>2.2197871118456721E-2</v>
      </c>
      <c r="V274" s="13">
        <v>2.2212571170912021</v>
      </c>
      <c r="W274" s="13">
        <v>-0.80088339387877072</v>
      </c>
      <c r="X274" s="13">
        <v>-1.0085414858344131</v>
      </c>
    </row>
    <row r="275" spans="1:24" x14ac:dyDescent="0.2">
      <c r="A275" t="s">
        <v>719</v>
      </c>
      <c r="B275" t="s">
        <v>626</v>
      </c>
      <c r="C275" t="s">
        <v>627</v>
      </c>
      <c r="D275" s="13">
        <v>1.0957608339194009</v>
      </c>
      <c r="E275" s="13">
        <v>0.62868409347542897</v>
      </c>
      <c r="F275" s="13">
        <v>-0.58500033740037649</v>
      </c>
      <c r="G275" s="13">
        <v>0.95408237582363942</v>
      </c>
      <c r="H275" s="13">
        <v>-0.69872053300515935</v>
      </c>
      <c r="I275" s="13">
        <v>-0.31712275933393208</v>
      </c>
      <c r="J275" s="13">
        <v>-1.4650721054590421</v>
      </c>
      <c r="K275" s="13">
        <v>-2.5863205911745291</v>
      </c>
      <c r="L275" s="13">
        <v>-0.26202330057517598</v>
      </c>
      <c r="M275" s="13">
        <v>-0.70324665047174495</v>
      </c>
      <c r="N275" s="13">
        <v>1.9654563586130269</v>
      </c>
      <c r="O275" s="13">
        <v>-1.6417129631869249</v>
      </c>
      <c r="P275" s="13">
        <v>2.6454670315386508</v>
      </c>
      <c r="Q275" s="13">
        <v>-0.24287618188402191</v>
      </c>
      <c r="R275" s="13">
        <v>1.0410462529251601</v>
      </c>
      <c r="S275" s="13">
        <v>-0.60867922380802852</v>
      </c>
      <c r="T275" s="13">
        <v>-1.0932448993201229</v>
      </c>
      <c r="U275" s="13">
        <v>-2.207687204176489</v>
      </c>
      <c r="V275" s="13">
        <v>-2.2428895387533569</v>
      </c>
      <c r="W275" s="13">
        <v>1.167169414727254</v>
      </c>
      <c r="X275" s="13">
        <v>-1.012405029439734</v>
      </c>
    </row>
    <row r="276" spans="1:24" x14ac:dyDescent="0.2">
      <c r="A276" t="s">
        <v>719</v>
      </c>
      <c r="B276" t="s">
        <v>571</v>
      </c>
      <c r="C276" t="s">
        <v>572</v>
      </c>
      <c r="D276" s="13">
        <v>3.7961727445408928</v>
      </c>
      <c r="E276" s="13">
        <v>-0.64741658499598564</v>
      </c>
      <c r="F276" s="13">
        <v>-1.019823070997905</v>
      </c>
      <c r="G276" s="13">
        <v>-1.0770846021502689</v>
      </c>
      <c r="H276" s="13">
        <v>-4.8092220979611973E-2</v>
      </c>
      <c r="I276" s="13">
        <v>0.95857412617217364</v>
      </c>
      <c r="J276" s="13">
        <v>-2.9632505574711421</v>
      </c>
      <c r="K276" s="13">
        <v>-0.3164881877928738</v>
      </c>
      <c r="L276" s="13">
        <v>-1.3921909460336219</v>
      </c>
      <c r="M276" s="13">
        <v>-1.2229685928484719</v>
      </c>
      <c r="N276" s="13">
        <v>2.2654900058324272</v>
      </c>
      <c r="O276" s="13">
        <v>1.2646231715039311</v>
      </c>
      <c r="P276" s="13">
        <v>0.89206667024588349</v>
      </c>
      <c r="Q276" s="13">
        <v>-0.52817029996775622</v>
      </c>
      <c r="R276" s="13">
        <v>0.35800411395292547</v>
      </c>
      <c r="S276" s="13">
        <v>5.7486041344034788E-3</v>
      </c>
      <c r="T276" s="13">
        <v>-1.5886138194770361</v>
      </c>
      <c r="U276" s="13">
        <v>0.10800661421035419</v>
      </c>
      <c r="V276" s="13">
        <v>1.9701344966084109</v>
      </c>
      <c r="W276" s="13">
        <v>0.54952314665983604</v>
      </c>
      <c r="X276" s="13">
        <v>-1.075967506795283</v>
      </c>
    </row>
    <row r="277" spans="1:24" x14ac:dyDescent="0.2">
      <c r="A277" t="s">
        <v>719</v>
      </c>
      <c r="B277" t="s">
        <v>628</v>
      </c>
      <c r="C277" t="s">
        <v>629</v>
      </c>
      <c r="D277" s="13">
        <v>3.2893314630975561</v>
      </c>
      <c r="E277" s="13">
        <v>-1.3092682814952459E-2</v>
      </c>
      <c r="F277" s="13">
        <v>-0.86934372219231726</v>
      </c>
      <c r="G277" s="13">
        <v>0.6177966906537824</v>
      </c>
      <c r="H277" s="13">
        <v>0.31205650651950911</v>
      </c>
      <c r="I277" s="13">
        <v>0.92876743080814173</v>
      </c>
      <c r="J277" s="13">
        <v>-2.5972040812463288</v>
      </c>
      <c r="K277" s="13">
        <v>-0.8354391387810467</v>
      </c>
      <c r="L277" s="13">
        <v>-1.366239360628396</v>
      </c>
      <c r="M277" s="13">
        <v>-0.64437323377306566</v>
      </c>
      <c r="N277" s="13">
        <v>0.96992871023979799</v>
      </c>
      <c r="O277" s="13">
        <v>0.59760926584029317</v>
      </c>
      <c r="P277" s="13">
        <v>0.59489588583669928</v>
      </c>
      <c r="Q277" s="13">
        <v>7.0019993130099323E-2</v>
      </c>
      <c r="R277" s="13">
        <v>-1.1610002870228839</v>
      </c>
      <c r="S277" s="13">
        <v>0.88602441192664472</v>
      </c>
      <c r="T277" s="13">
        <v>-0.95719166242910214</v>
      </c>
      <c r="U277" s="13">
        <v>-1.348365340960578</v>
      </c>
      <c r="V277" s="13">
        <v>0.83501250912778602</v>
      </c>
      <c r="W277" s="13">
        <v>0.39115401633398328</v>
      </c>
      <c r="X277" s="13">
        <v>-1.101960197160001</v>
      </c>
    </row>
    <row r="278" spans="1:24" x14ac:dyDescent="0.2">
      <c r="A278" t="s">
        <v>719</v>
      </c>
      <c r="B278" t="s">
        <v>535</v>
      </c>
      <c r="C278" t="s">
        <v>536</v>
      </c>
      <c r="D278" s="13">
        <v>1.194135654749551</v>
      </c>
      <c r="E278" s="13">
        <v>0.79600675891837724</v>
      </c>
      <c r="F278" s="13">
        <v>0.44709514317446958</v>
      </c>
      <c r="G278" s="13">
        <v>-0.30007134902542137</v>
      </c>
      <c r="H278" s="13">
        <v>0.28784635935354957</v>
      </c>
      <c r="I278" s="13">
        <v>-0.99840005641673724</v>
      </c>
      <c r="J278" s="13">
        <v>-0.29855158406857368</v>
      </c>
      <c r="K278" s="13">
        <v>-2.2010545342830978</v>
      </c>
      <c r="L278" s="13">
        <v>0.9310193682711132</v>
      </c>
      <c r="M278" s="13">
        <v>-1.6815112475464411</v>
      </c>
      <c r="N278" s="13">
        <v>1.209487439035617</v>
      </c>
      <c r="O278" s="13">
        <v>0.44219927653343932</v>
      </c>
      <c r="P278" s="13">
        <v>2.242268764477795</v>
      </c>
      <c r="Q278" s="13">
        <v>2.273484863576325</v>
      </c>
      <c r="R278" s="13">
        <v>0.18404440612349579</v>
      </c>
      <c r="S278" s="13">
        <v>1.386999884211471</v>
      </c>
      <c r="T278" s="13">
        <v>-2.079204250113043</v>
      </c>
      <c r="U278" s="13">
        <v>-2.8344013490725128</v>
      </c>
      <c r="V278" s="13">
        <v>-0.72529586911890265</v>
      </c>
      <c r="W278" s="13">
        <v>0.20843202273803649</v>
      </c>
      <c r="X278" s="13">
        <v>-1.1273337925507549</v>
      </c>
    </row>
    <row r="279" spans="1:24" x14ac:dyDescent="0.2">
      <c r="A279" t="s">
        <v>719</v>
      </c>
      <c r="B279" t="s">
        <v>630</v>
      </c>
      <c r="C279" t="s">
        <v>631</v>
      </c>
      <c r="D279" s="13">
        <v>2.8096042734111042</v>
      </c>
      <c r="E279" s="13">
        <v>0.43738904838528381</v>
      </c>
      <c r="F279" s="13">
        <v>-0.55588333785141497</v>
      </c>
      <c r="G279" s="13">
        <v>0.15882691471473809</v>
      </c>
      <c r="H279" s="13">
        <v>-3.7363736638662548E-2</v>
      </c>
      <c r="I279" s="13">
        <v>1.6432492710575011</v>
      </c>
      <c r="J279" s="13">
        <v>-2.7618536152600348</v>
      </c>
      <c r="K279" s="13">
        <v>-0.69390926207714143</v>
      </c>
      <c r="L279" s="13">
        <v>0.41961266938344011</v>
      </c>
      <c r="M279" s="13">
        <v>-1.4946198950863689</v>
      </c>
      <c r="N279" s="13">
        <v>0.4502291191243124</v>
      </c>
      <c r="O279" s="13">
        <v>0.80731235950577407</v>
      </c>
      <c r="P279" s="13">
        <v>-6.4690625341967678E-2</v>
      </c>
      <c r="Q279" s="13">
        <v>0.43085673993723539</v>
      </c>
      <c r="R279" s="13">
        <v>0.1146932638024456</v>
      </c>
      <c r="S279" s="13">
        <v>0.1147407671530765</v>
      </c>
      <c r="T279" s="13">
        <v>-1.0550150152430771</v>
      </c>
      <c r="U279" s="13">
        <v>-0.53865731407732875</v>
      </c>
      <c r="V279" s="13">
        <v>1.359304217091029</v>
      </c>
      <c r="W279" s="13">
        <v>0.52527618006039667</v>
      </c>
      <c r="X279" s="13">
        <v>-1.2176547576869809</v>
      </c>
    </row>
    <row r="280" spans="1:24" x14ac:dyDescent="0.2">
      <c r="A280" t="s">
        <v>719</v>
      </c>
      <c r="B280" t="s">
        <v>573</v>
      </c>
      <c r="C280" t="s">
        <v>574</v>
      </c>
      <c r="D280" s="13">
        <v>3.780577596030477</v>
      </c>
      <c r="E280" s="13">
        <v>6.7898554603318395E-2</v>
      </c>
      <c r="F280" s="13">
        <v>-1.789175894439377</v>
      </c>
      <c r="G280" s="13">
        <v>1.845825510436172</v>
      </c>
      <c r="H280" s="13">
        <v>0.3075294011625207</v>
      </c>
      <c r="I280" s="13">
        <v>1.1664185104580449</v>
      </c>
      <c r="J280" s="13">
        <v>-2.839900551514329</v>
      </c>
      <c r="K280" s="13">
        <v>-0.9974252985665566</v>
      </c>
      <c r="L280" s="13">
        <v>1.260347651674665</v>
      </c>
      <c r="M280" s="13">
        <v>-1.1707321471801091</v>
      </c>
      <c r="N280" s="13">
        <v>0.18182124619532389</v>
      </c>
      <c r="O280" s="13">
        <v>1.29258761019857</v>
      </c>
      <c r="P280" s="13">
        <v>-0.28336115203647649</v>
      </c>
      <c r="Q280" s="13">
        <v>-0.75710907462651633</v>
      </c>
      <c r="R280" s="13">
        <v>-1.765780339964329</v>
      </c>
      <c r="S280" s="13">
        <v>1.3510050389718531</v>
      </c>
      <c r="T280" s="13">
        <v>-2.668248436766274</v>
      </c>
      <c r="U280" s="13">
        <v>-1.2084580342692</v>
      </c>
      <c r="V280" s="13">
        <v>1.5595451489216929</v>
      </c>
      <c r="W280" s="13">
        <v>2.6762235448751781E-2</v>
      </c>
      <c r="X280" s="13">
        <v>-1.224622091050565</v>
      </c>
    </row>
    <row r="281" spans="1:24" x14ac:dyDescent="0.2">
      <c r="A281" t="s">
        <v>719</v>
      </c>
      <c r="B281" t="s">
        <v>632</v>
      </c>
      <c r="C281" t="s">
        <v>633</v>
      </c>
      <c r="D281" s="13">
        <v>2.185076168718858</v>
      </c>
      <c r="E281" s="13">
        <v>-0.73388471136506261</v>
      </c>
      <c r="F281" s="13">
        <v>0.87773776253312619</v>
      </c>
      <c r="G281" s="13">
        <v>-0.48331712644499308</v>
      </c>
      <c r="H281" s="13">
        <v>0.39974282776868991</v>
      </c>
      <c r="I281" s="13">
        <v>-2.2394089466580058</v>
      </c>
      <c r="J281" s="13">
        <v>-0.12279731560479459</v>
      </c>
      <c r="K281" s="13">
        <v>-2.836756824718301</v>
      </c>
      <c r="L281" s="13">
        <v>-0.1746272296544005</v>
      </c>
      <c r="M281" s="13">
        <v>-0.30661522344584968</v>
      </c>
      <c r="N281" s="13">
        <v>0.70463343995770256</v>
      </c>
      <c r="O281" s="13">
        <v>1.535473370375207</v>
      </c>
      <c r="P281" s="13">
        <v>1.9555482192693761</v>
      </c>
      <c r="Q281" s="13">
        <v>2.17678084442452</v>
      </c>
      <c r="R281" s="13">
        <v>0.1385568259043124</v>
      </c>
      <c r="S281" s="13">
        <v>-0.27819533449956468</v>
      </c>
      <c r="T281" s="13">
        <v>-1.3590086553424749</v>
      </c>
      <c r="U281" s="13">
        <v>-2.949806462144688</v>
      </c>
      <c r="V281" s="13">
        <v>-1.2119307219097151</v>
      </c>
      <c r="W281" s="13">
        <v>-0.34364282522872941</v>
      </c>
      <c r="X281" s="13">
        <v>-1.234708009420715</v>
      </c>
    </row>
    <row r="282" spans="1:24" x14ac:dyDescent="0.2">
      <c r="A282" t="s">
        <v>719</v>
      </c>
      <c r="B282" t="s">
        <v>537</v>
      </c>
      <c r="C282" t="s">
        <v>538</v>
      </c>
      <c r="D282" s="13">
        <v>3.4475723511332661</v>
      </c>
      <c r="E282" s="13">
        <v>5.933598199345802E-2</v>
      </c>
      <c r="F282" s="13">
        <v>-0.92380903101410006</v>
      </c>
      <c r="G282" s="13">
        <v>1.0849776931472379</v>
      </c>
      <c r="H282" s="13">
        <v>6.048594054532952E-2</v>
      </c>
      <c r="I282" s="13">
        <v>1.5768642110642881</v>
      </c>
      <c r="J282" s="13">
        <v>-3.5148927916313411</v>
      </c>
      <c r="K282" s="13">
        <v>-1.107759602995029</v>
      </c>
      <c r="L282" s="13">
        <v>0.943433424723783</v>
      </c>
      <c r="M282" s="13">
        <v>-1.4286160704985229</v>
      </c>
      <c r="N282" s="13">
        <v>0.1625621055931559</v>
      </c>
      <c r="O282" s="13">
        <v>3.2818538928725882</v>
      </c>
      <c r="P282" s="13">
        <v>0.25898492279399221</v>
      </c>
      <c r="Q282" s="13">
        <v>-0.94946215031533887</v>
      </c>
      <c r="R282" s="13">
        <v>4.447111263501391E-2</v>
      </c>
      <c r="S282" s="13">
        <v>-0.53478703281962803</v>
      </c>
      <c r="T282" s="13">
        <v>-3.1101308562180412</v>
      </c>
      <c r="U282" s="13">
        <v>-0.55248510720924404</v>
      </c>
      <c r="V282" s="13">
        <v>2.4531401227043892</v>
      </c>
      <c r="W282" s="13">
        <v>-0.36595177303974102</v>
      </c>
      <c r="X282" s="13">
        <v>-1.2350278620450019</v>
      </c>
    </row>
    <row r="283" spans="1:24" x14ac:dyDescent="0.2">
      <c r="A283" t="s">
        <v>719</v>
      </c>
      <c r="B283" t="s">
        <v>539</v>
      </c>
      <c r="C283" t="s">
        <v>540</v>
      </c>
      <c r="D283" s="13">
        <v>3.1937368048613251</v>
      </c>
      <c r="E283" s="13">
        <v>0.75928546456456303</v>
      </c>
      <c r="F283" s="13">
        <v>-1.047418604605044</v>
      </c>
      <c r="G283" s="13">
        <v>2.0306015363383829</v>
      </c>
      <c r="H283" s="13">
        <v>-0.13578209142715009</v>
      </c>
      <c r="I283" s="13">
        <v>0.25272732308145862</v>
      </c>
      <c r="J283" s="13">
        <v>-3.4007824244959521</v>
      </c>
      <c r="K283" s="13">
        <v>-1.4014985439800181</v>
      </c>
      <c r="L283" s="13">
        <v>0.98349345607693373</v>
      </c>
      <c r="M283" s="13">
        <v>-1.3360783645922301</v>
      </c>
      <c r="N283" s="13">
        <v>8.6401273281921931E-2</v>
      </c>
      <c r="O283" s="13">
        <v>3.947380649398347</v>
      </c>
      <c r="P283" s="13">
        <v>-0.75430706203202247</v>
      </c>
      <c r="Q283" s="13">
        <v>-1.816745905978179</v>
      </c>
      <c r="R283" s="13">
        <v>-1.4170858403897979</v>
      </c>
      <c r="S283" s="13">
        <v>2.4920600477043702</v>
      </c>
      <c r="T283" s="13">
        <v>-4.5580515577367642</v>
      </c>
      <c r="U283" s="13">
        <v>6.31306902194817E-2</v>
      </c>
      <c r="V283" s="13">
        <v>2.0138187121188529</v>
      </c>
      <c r="W283" s="13">
        <v>5.7305818715458479E-2</v>
      </c>
      <c r="X283" s="13">
        <v>-1.2468262651208371</v>
      </c>
    </row>
    <row r="284" spans="1:24" x14ac:dyDescent="0.2">
      <c r="A284" t="s">
        <v>719</v>
      </c>
      <c r="B284" t="s">
        <v>634</v>
      </c>
      <c r="C284" t="s">
        <v>635</v>
      </c>
      <c r="D284" s="13">
        <v>2.2513359101523411</v>
      </c>
      <c r="E284" s="13">
        <v>-2.5417014282902439E-2</v>
      </c>
      <c r="F284" s="13">
        <v>-0.110351242256379</v>
      </c>
      <c r="G284" s="13">
        <v>-0.90388859760460738</v>
      </c>
      <c r="H284" s="13">
        <v>0.21749239246451341</v>
      </c>
      <c r="I284" s="13">
        <v>1.1793917418777109</v>
      </c>
      <c r="J284" s="13">
        <v>-3.3646075844216972</v>
      </c>
      <c r="K284" s="13">
        <v>-1.1619209574100791</v>
      </c>
      <c r="L284" s="13">
        <v>-0.37283719226999251</v>
      </c>
      <c r="M284" s="13">
        <v>-1.976063305141684</v>
      </c>
      <c r="N284" s="13">
        <v>-0.32005347470981382</v>
      </c>
      <c r="O284" s="13">
        <v>2.7948929601868682</v>
      </c>
      <c r="P284" s="13">
        <v>-0.24885671347543159</v>
      </c>
      <c r="Q284" s="13">
        <v>-6.2356927363649277E-2</v>
      </c>
      <c r="R284" s="13">
        <v>-1.1170151348555699</v>
      </c>
      <c r="S284" s="13">
        <v>0.80547941888864383</v>
      </c>
      <c r="T284" s="13">
        <v>-3.0310255364608301</v>
      </c>
      <c r="U284" s="13">
        <v>-2.1155717193441781</v>
      </c>
      <c r="V284" s="13">
        <v>2.095900715942145</v>
      </c>
      <c r="W284" s="13">
        <v>-0.51050782801044248</v>
      </c>
      <c r="X284" s="13">
        <v>-1.322002354147678</v>
      </c>
    </row>
    <row r="285" spans="1:24" x14ac:dyDescent="0.2">
      <c r="A285" s="14" t="s">
        <v>719</v>
      </c>
      <c r="B285" s="14" t="s">
        <v>575</v>
      </c>
      <c r="C285" s="14" t="s">
        <v>576</v>
      </c>
      <c r="D285" s="15">
        <v>4.1428992705138779</v>
      </c>
      <c r="E285" s="15">
        <v>-1.0038223136574651</v>
      </c>
      <c r="F285" s="15">
        <v>1.119595841239107E-2</v>
      </c>
      <c r="G285" s="15">
        <v>0.62030934190471232</v>
      </c>
      <c r="H285" s="15">
        <v>-0.76835853378629526</v>
      </c>
      <c r="I285" s="15">
        <v>-9.100019582320984E-2</v>
      </c>
      <c r="J285" s="15">
        <v>-2.6567051752100279</v>
      </c>
      <c r="K285" s="15">
        <v>-2.6770189964672841</v>
      </c>
      <c r="L285" s="15">
        <v>-1.265351391391611</v>
      </c>
      <c r="M285" s="15">
        <v>-0.44471944957339421</v>
      </c>
      <c r="N285" s="15">
        <v>-0.24844515428773531</v>
      </c>
      <c r="O285" s="15">
        <v>1.091330340704566</v>
      </c>
      <c r="P285" s="15">
        <v>1.404256642716706</v>
      </c>
      <c r="Q285" s="15">
        <v>0.53129061160575031</v>
      </c>
      <c r="R285" s="15">
        <v>-0.81576809062091638</v>
      </c>
      <c r="S285" s="15">
        <v>0.59556768763984191</v>
      </c>
      <c r="T285" s="15">
        <v>-2.2469740047269982</v>
      </c>
      <c r="U285" s="15">
        <v>-1.5510480955803101</v>
      </c>
      <c r="V285" s="15">
        <v>1.570467419135269</v>
      </c>
      <c r="W285" s="15">
        <v>1.2686604641436889</v>
      </c>
      <c r="X285" s="15">
        <v>-1.293333669355667</v>
      </c>
    </row>
    <row r="286" spans="1:24" x14ac:dyDescent="0.2">
      <c r="A286" t="s">
        <v>719</v>
      </c>
      <c r="B286" t="s">
        <v>577</v>
      </c>
      <c r="C286" t="s">
        <v>578</v>
      </c>
      <c r="D286" s="13">
        <v>3.3843778344140758</v>
      </c>
      <c r="E286" s="13">
        <v>9.0365124839908439E-2</v>
      </c>
      <c r="F286" s="13">
        <v>-1.3272155365147811</v>
      </c>
      <c r="G286" s="13">
        <v>0.73209440244565993</v>
      </c>
      <c r="H286" s="13">
        <v>3.5178921760548043E-2</v>
      </c>
      <c r="I286" s="13">
        <v>1.6366960933894339</v>
      </c>
      <c r="J286" s="13">
        <v>-3.488912735061156</v>
      </c>
      <c r="K286" s="13">
        <v>-0.80996427256245784</v>
      </c>
      <c r="L286" s="13">
        <v>0.20889387088538491</v>
      </c>
      <c r="M286" s="13">
        <v>-1.0404453042584529</v>
      </c>
      <c r="N286" s="13">
        <v>0.48136083553180781</v>
      </c>
      <c r="O286" s="13">
        <v>2.3734800933927551</v>
      </c>
      <c r="P286" s="13">
        <v>-9.9965197301676856E-2</v>
      </c>
      <c r="Q286" s="13">
        <v>-0.57463383538899349</v>
      </c>
      <c r="R286" s="13">
        <v>5.8373264597499919E-2</v>
      </c>
      <c r="S286" s="13">
        <v>-0.80371016514169114</v>
      </c>
      <c r="T286" s="13">
        <v>-1.8760466243817</v>
      </c>
      <c r="U286" s="13">
        <v>-0.34342822740436318</v>
      </c>
      <c r="V286" s="13">
        <v>2.463207619632835</v>
      </c>
      <c r="W286" s="13">
        <v>-0.1363600414852173</v>
      </c>
      <c r="X286" s="13">
        <v>-1.309237439191324</v>
      </c>
    </row>
    <row r="287" spans="1:24" x14ac:dyDescent="0.2">
      <c r="A287" s="14" t="s">
        <v>719</v>
      </c>
      <c r="B287" s="14" t="s">
        <v>550</v>
      </c>
      <c r="C287" s="14" t="s">
        <v>551</v>
      </c>
      <c r="D287" s="15">
        <v>2.9638965394534589</v>
      </c>
      <c r="E287" s="15">
        <v>0.83632097118535587</v>
      </c>
      <c r="F287" s="15">
        <v>-0.49119789167955119</v>
      </c>
      <c r="G287" s="15">
        <v>0.81183888149720662</v>
      </c>
      <c r="H287" s="15">
        <v>0.55693801102965068</v>
      </c>
      <c r="I287" s="15">
        <v>0.28984649047434358</v>
      </c>
      <c r="J287" s="15">
        <v>-2.1955915989047452</v>
      </c>
      <c r="K287" s="15">
        <v>-1.093479251588469</v>
      </c>
      <c r="L287" s="15">
        <v>-0.40788416704299341</v>
      </c>
      <c r="M287" s="15">
        <v>-0.49782150856353402</v>
      </c>
      <c r="N287" s="15">
        <v>2.499493356127469</v>
      </c>
      <c r="O287" s="15">
        <v>1.199404962011696</v>
      </c>
      <c r="P287" s="15">
        <v>0.87633116880421191</v>
      </c>
      <c r="Q287" s="15">
        <v>0.38885271058719528</v>
      </c>
      <c r="R287" s="15">
        <v>-0.88255464583103516</v>
      </c>
      <c r="S287" s="15">
        <v>1.38843784814886</v>
      </c>
      <c r="T287" s="15">
        <v>-8.9113358802439535E-2</v>
      </c>
      <c r="U287" s="15">
        <v>-1.1249569656791361</v>
      </c>
      <c r="V287" s="15">
        <v>0.80771770956857836</v>
      </c>
      <c r="W287" s="15">
        <v>0.1583808158240663</v>
      </c>
      <c r="X287" s="15">
        <v>-1.319062123900905</v>
      </c>
    </row>
    <row r="288" spans="1:24" x14ac:dyDescent="0.2">
      <c r="A288" t="s">
        <v>719</v>
      </c>
      <c r="B288" t="s">
        <v>541</v>
      </c>
      <c r="C288" t="s">
        <v>542</v>
      </c>
      <c r="D288" s="13">
        <v>11.597580664695849</v>
      </c>
      <c r="E288" s="13">
        <v>0.12829853214022521</v>
      </c>
      <c r="F288" s="13">
        <v>-0.75132128021037081</v>
      </c>
      <c r="G288" s="13">
        <v>0.2030339231889888</v>
      </c>
      <c r="H288" s="13">
        <v>-0.10552861924780781</v>
      </c>
      <c r="I288" s="13">
        <v>0.8996248282221897</v>
      </c>
      <c r="J288" s="13">
        <v>-1.8346868409348851</v>
      </c>
      <c r="K288" s="13">
        <v>-2.3736123955420352</v>
      </c>
      <c r="L288" s="13">
        <v>10.05955911245591</v>
      </c>
      <c r="M288" s="13">
        <v>-1.6210980766564911</v>
      </c>
      <c r="N288" s="13">
        <v>0.1906965975903008</v>
      </c>
      <c r="O288" s="13">
        <v>2.6131646302308909</v>
      </c>
      <c r="P288" s="13">
        <v>0.60802047623644828</v>
      </c>
      <c r="Q288" s="13">
        <v>-0.40508742143986481</v>
      </c>
      <c r="R288" s="13">
        <v>1.07885065681026</v>
      </c>
      <c r="S288" s="13">
        <v>-1.15235705838278</v>
      </c>
      <c r="T288" s="13">
        <v>-2.7908293210292201</v>
      </c>
      <c r="U288" s="13">
        <v>-1.6003724028815891</v>
      </c>
      <c r="V288" s="13">
        <v>0.46566550959747932</v>
      </c>
      <c r="W288" s="13">
        <v>0.3551768142920686</v>
      </c>
      <c r="X288" s="13">
        <v>-1.3364876041356499</v>
      </c>
    </row>
    <row r="289" spans="1:24" x14ac:dyDescent="0.2">
      <c r="A289" t="s">
        <v>719</v>
      </c>
      <c r="B289" t="s">
        <v>636</v>
      </c>
      <c r="C289" t="s">
        <v>637</v>
      </c>
      <c r="D289" s="13">
        <v>3.5035432408721872</v>
      </c>
      <c r="E289" s="13">
        <v>0.53568570502837698</v>
      </c>
      <c r="F289" s="13">
        <v>-1.243451240927351</v>
      </c>
      <c r="G289" s="13">
        <v>3.0377034395818292</v>
      </c>
      <c r="H289" s="13">
        <v>-0.2691386561335718</v>
      </c>
      <c r="I289" s="13">
        <v>1.14240046143681</v>
      </c>
      <c r="J289" s="13">
        <v>-4.3709967128447662</v>
      </c>
      <c r="K289" s="13">
        <v>-1.334216151719503</v>
      </c>
      <c r="L289" s="13">
        <v>2.1095267998410439</v>
      </c>
      <c r="M289" s="13">
        <v>-1.9538917091754811</v>
      </c>
      <c r="N289" s="13">
        <v>-0.1836943310312478</v>
      </c>
      <c r="O289" s="13">
        <v>3.8724536941260772</v>
      </c>
      <c r="P289" s="13">
        <v>-1.700450521133845</v>
      </c>
      <c r="Q289" s="13">
        <v>-1.792367940477557</v>
      </c>
      <c r="R289" s="13">
        <v>-1.8993256383704189</v>
      </c>
      <c r="S289" s="13">
        <v>2.533940734770157</v>
      </c>
      <c r="T289" s="13">
        <v>-5.5875352344129432</v>
      </c>
      <c r="U289" s="13">
        <v>1.009981051170272</v>
      </c>
      <c r="V289" s="13">
        <v>3.2462614876988649</v>
      </c>
      <c r="W289" s="13">
        <v>-0.15440063265121931</v>
      </c>
      <c r="X289" s="13">
        <v>-1.4322415176560741</v>
      </c>
    </row>
    <row r="290" spans="1:24" x14ac:dyDescent="0.2">
      <c r="A290" s="14" t="s">
        <v>719</v>
      </c>
      <c r="B290" s="14" t="s">
        <v>543</v>
      </c>
      <c r="C290" s="14" t="s">
        <v>544</v>
      </c>
      <c r="D290" s="15">
        <v>2.1658176932125568</v>
      </c>
      <c r="E290" s="15">
        <v>1.3986475528094731</v>
      </c>
      <c r="F290" s="15">
        <v>-0.36228217129580242</v>
      </c>
      <c r="G290" s="15">
        <v>0.53093961054868632</v>
      </c>
      <c r="H290" s="15">
        <v>0.50919571563969868</v>
      </c>
      <c r="I290" s="15">
        <v>-0.14527119589534679</v>
      </c>
      <c r="J290" s="15">
        <v>-2.559308316389985</v>
      </c>
      <c r="K290" s="15">
        <v>-1.971780996416705</v>
      </c>
      <c r="L290" s="15">
        <v>0.30205112054022543</v>
      </c>
      <c r="M290" s="15">
        <v>-1.1624936232006</v>
      </c>
      <c r="N290" s="15">
        <v>1.65182787136422</v>
      </c>
      <c r="O290" s="15">
        <v>1.777435992084242</v>
      </c>
      <c r="P290" s="15">
        <v>0.94381973570951683</v>
      </c>
      <c r="Q290" s="15">
        <v>0.48204882126587911</v>
      </c>
      <c r="R290" s="15">
        <v>-1.0545059848836471</v>
      </c>
      <c r="S290" s="15">
        <v>1.058115228234402</v>
      </c>
      <c r="T290" s="15">
        <v>-1.569879109256211</v>
      </c>
      <c r="U290" s="15">
        <v>-1.517010205033142</v>
      </c>
      <c r="V290" s="15">
        <v>0.21617181601540911</v>
      </c>
      <c r="W290" s="15">
        <v>0.26053169734150389</v>
      </c>
      <c r="X290" s="15">
        <v>-1.605020865883156</v>
      </c>
    </row>
    <row r="291" spans="1:24" x14ac:dyDescent="0.2">
      <c r="A291" t="s">
        <v>719</v>
      </c>
      <c r="B291" t="s">
        <v>638</v>
      </c>
      <c r="C291" t="s">
        <v>639</v>
      </c>
      <c r="D291" s="13">
        <v>4.2191404565672164</v>
      </c>
      <c r="E291" s="13">
        <v>0.62410476085144051</v>
      </c>
      <c r="F291" s="13">
        <v>-1.366933885396981</v>
      </c>
      <c r="G291" s="13">
        <v>2.6692555051037958</v>
      </c>
      <c r="H291" s="13">
        <v>0.45864091394627332</v>
      </c>
      <c r="I291" s="13">
        <v>1.306165822087646</v>
      </c>
      <c r="J291" s="13">
        <v>-4.448143951279226</v>
      </c>
      <c r="K291" s="13">
        <v>-1.619466951692317</v>
      </c>
      <c r="L291" s="13">
        <v>1.8684635424953471</v>
      </c>
      <c r="M291" s="13">
        <v>-2.3110843699948762</v>
      </c>
      <c r="N291" s="13">
        <v>-0.57705000995813549</v>
      </c>
      <c r="O291" s="13">
        <v>4.1522210704977747</v>
      </c>
      <c r="P291" s="13">
        <v>-0.81464357916860575</v>
      </c>
      <c r="Q291" s="13">
        <v>-2.0672790408762021</v>
      </c>
      <c r="R291" s="13">
        <v>-3.2259680841505878</v>
      </c>
      <c r="S291" s="13">
        <v>3.255127200272812</v>
      </c>
      <c r="T291" s="13">
        <v>-5.6884528463705184</v>
      </c>
      <c r="U291" s="13">
        <v>0.32260501163474681</v>
      </c>
      <c r="V291" s="13">
        <v>3.951465877574778</v>
      </c>
      <c r="W291" s="13">
        <v>-1.349398030929472</v>
      </c>
      <c r="X291" s="13">
        <v>-1.6489973108363201</v>
      </c>
    </row>
    <row r="292" spans="1:24" x14ac:dyDescent="0.2">
      <c r="A292" s="14" t="s">
        <v>719</v>
      </c>
      <c r="B292" s="14" t="s">
        <v>579</v>
      </c>
      <c r="C292" s="14" t="s">
        <v>580</v>
      </c>
      <c r="D292" s="15">
        <v>3.302801387141852</v>
      </c>
      <c r="E292" s="15">
        <v>0.83223732526940264</v>
      </c>
      <c r="F292" s="15">
        <v>-1.1034192876535061</v>
      </c>
      <c r="G292" s="15">
        <v>0.94544187053231532</v>
      </c>
      <c r="H292" s="15">
        <v>0.62406644827635027</v>
      </c>
      <c r="I292" s="15">
        <v>0.68962940721482013</v>
      </c>
      <c r="J292" s="15">
        <v>-3.5151458517420191</v>
      </c>
      <c r="K292" s="15">
        <v>-1.5120957978760119</v>
      </c>
      <c r="L292" s="15">
        <v>0.99679679534920851</v>
      </c>
      <c r="M292" s="15">
        <v>-1.280921573945015</v>
      </c>
      <c r="N292" s="15">
        <v>1.7110938991242051</v>
      </c>
      <c r="O292" s="15">
        <v>2.4060840883065588</v>
      </c>
      <c r="P292" s="15">
        <v>0.15529623955281571</v>
      </c>
      <c r="Q292" s="15">
        <v>-1.2297932251115311</v>
      </c>
      <c r="R292" s="15">
        <v>-2.2183288531121952</v>
      </c>
      <c r="S292" s="15">
        <v>1.9365324787690601</v>
      </c>
      <c r="T292" s="15">
        <v>-2.8582581552847759</v>
      </c>
      <c r="U292" s="15">
        <v>-0.23659709581935751</v>
      </c>
      <c r="V292" s="15">
        <v>2.048298432867202</v>
      </c>
      <c r="W292" s="15">
        <v>-5.8549330381296727E-3</v>
      </c>
      <c r="X292" s="15">
        <v>-1.7823745342913531</v>
      </c>
    </row>
    <row r="293" spans="1:24" x14ac:dyDescent="0.2">
      <c r="A293" t="s">
        <v>719</v>
      </c>
      <c r="B293" t="s">
        <v>640</v>
      </c>
      <c r="C293" t="s">
        <v>641</v>
      </c>
      <c r="D293" s="13">
        <v>3.156375780588117</v>
      </c>
      <c r="E293" s="13">
        <v>0.55262741047579222</v>
      </c>
      <c r="F293" s="13">
        <v>-0.63364291482215229</v>
      </c>
      <c r="G293" s="13">
        <v>0.58226837378714258</v>
      </c>
      <c r="H293" s="13">
        <v>0.64033272831474086</v>
      </c>
      <c r="I293" s="13">
        <v>1.6728300862120631</v>
      </c>
      <c r="J293" s="13">
        <v>-3.1051978775606499</v>
      </c>
      <c r="K293" s="13">
        <v>-0.80715007012683859</v>
      </c>
      <c r="L293" s="13">
        <v>-1.168972704723348</v>
      </c>
      <c r="M293" s="13">
        <v>-1.397100458969236</v>
      </c>
      <c r="N293" s="13">
        <v>0.1173762598516648</v>
      </c>
      <c r="O293" s="13">
        <v>0.28872361464682422</v>
      </c>
      <c r="P293" s="13">
        <v>-0.3798426554192158</v>
      </c>
      <c r="Q293" s="13">
        <v>-0.59344627912470971</v>
      </c>
      <c r="R293" s="13">
        <v>-2.2830958148454821</v>
      </c>
      <c r="S293" s="13">
        <v>2.4389497386450238</v>
      </c>
      <c r="T293" s="13">
        <v>-2.4102767935247571</v>
      </c>
      <c r="U293" s="13">
        <v>-0.14303104430830599</v>
      </c>
      <c r="V293" s="13">
        <v>2.15882850054061</v>
      </c>
      <c r="W293" s="13">
        <v>0.73452107319185167</v>
      </c>
      <c r="X293" s="13">
        <v>-1.787412873835692</v>
      </c>
    </row>
    <row r="294" spans="1:24" x14ac:dyDescent="0.2">
      <c r="A294" t="s">
        <v>719</v>
      </c>
      <c r="B294" t="s">
        <v>642</v>
      </c>
      <c r="C294" t="s">
        <v>643</v>
      </c>
      <c r="D294" s="13">
        <v>3.338740015356878</v>
      </c>
      <c r="E294" s="13">
        <v>0.14301191905741201</v>
      </c>
      <c r="F294" s="13">
        <v>-0.74150826429645322</v>
      </c>
      <c r="G294" s="13">
        <v>0.377214388620839</v>
      </c>
      <c r="H294" s="13">
        <v>6.5937774134772198E-3</v>
      </c>
      <c r="I294" s="13">
        <v>3.0801737539713598</v>
      </c>
      <c r="J294" s="13">
        <v>-3.8426234463241</v>
      </c>
      <c r="K294" s="13">
        <v>-1.252487342169428</v>
      </c>
      <c r="L294" s="13">
        <v>-2.5017282419416591</v>
      </c>
      <c r="M294" s="13">
        <v>-0.81253672604361116</v>
      </c>
      <c r="N294" s="13">
        <v>1.4740761329420591</v>
      </c>
      <c r="O294" s="13">
        <v>0.554902375138977</v>
      </c>
      <c r="P294" s="13">
        <v>-6.7129040521551886E-2</v>
      </c>
      <c r="Q294" s="13">
        <v>1.189193135178557</v>
      </c>
      <c r="R294" s="13">
        <v>-1.9756560783190661E-2</v>
      </c>
      <c r="S294" s="13">
        <v>-0.78735687730373538</v>
      </c>
      <c r="T294" s="13">
        <v>-1.0505116690434519</v>
      </c>
      <c r="U294" s="13">
        <v>-1.0672446570755609</v>
      </c>
      <c r="V294" s="13">
        <v>1.655036798096976</v>
      </c>
      <c r="W294" s="13">
        <v>1.2310506373503169</v>
      </c>
      <c r="X294" s="13">
        <v>-1.791631699948792</v>
      </c>
    </row>
    <row r="295" spans="1:24" x14ac:dyDescent="0.2">
      <c r="A295" t="s">
        <v>719</v>
      </c>
      <c r="B295" t="s">
        <v>581</v>
      </c>
      <c r="C295" t="s">
        <v>582</v>
      </c>
      <c r="D295" s="13">
        <v>3.4669424754586449</v>
      </c>
      <c r="E295" s="13">
        <v>2.1231085931953548</v>
      </c>
      <c r="F295" s="13">
        <v>-1.552638441174681</v>
      </c>
      <c r="G295" s="13">
        <v>0.64160410100273513</v>
      </c>
      <c r="H295" s="13">
        <v>0.62866569018249496</v>
      </c>
      <c r="I295" s="13">
        <v>0.7847450754614238</v>
      </c>
      <c r="J295" s="13">
        <v>-4.2737113516637333</v>
      </c>
      <c r="K295" s="13">
        <v>-1.8246285378590741</v>
      </c>
      <c r="L295" s="13">
        <v>1.128711817504535</v>
      </c>
      <c r="M295" s="13">
        <v>-1.787922533296626</v>
      </c>
      <c r="N295" s="13">
        <v>-1.381174355402637E-2</v>
      </c>
      <c r="O295" s="13">
        <v>2.9031293874717479</v>
      </c>
      <c r="P295" s="13">
        <v>1.122518886091939E-2</v>
      </c>
      <c r="Q295" s="13">
        <v>-1.3771876536781471</v>
      </c>
      <c r="R295" s="13">
        <v>-3.384867004644954</v>
      </c>
      <c r="S295" s="13">
        <v>2.2725699567563322</v>
      </c>
      <c r="T295" s="13">
        <v>-4.4942512767354614</v>
      </c>
      <c r="U295" s="13">
        <v>-0.1445911353077034</v>
      </c>
      <c r="V295" s="13">
        <v>3.2942425925141849</v>
      </c>
      <c r="W295" s="13">
        <v>-0.39999638394108139</v>
      </c>
      <c r="X295" s="13">
        <v>-1.8384052551451371</v>
      </c>
    </row>
    <row r="296" spans="1:24" x14ac:dyDescent="0.2">
      <c r="A296" t="s">
        <v>719</v>
      </c>
      <c r="B296" t="s">
        <v>644</v>
      </c>
      <c r="C296" t="s">
        <v>645</v>
      </c>
      <c r="D296" s="13">
        <v>1.2878125922127339</v>
      </c>
      <c r="E296" s="13">
        <v>8.8586635863108221E-2</v>
      </c>
      <c r="F296" s="13">
        <v>-0.7427117768507463</v>
      </c>
      <c r="G296" s="13">
        <v>-0.1336418807575068</v>
      </c>
      <c r="H296" s="13">
        <v>0.56447598667836996</v>
      </c>
      <c r="I296" s="13">
        <v>-4.2976880366085712E-2</v>
      </c>
      <c r="J296" s="13">
        <v>-1.4724492209501889</v>
      </c>
      <c r="K296" s="13">
        <v>-8.6642541084691604E-2</v>
      </c>
      <c r="L296" s="13">
        <v>-0.45554148994219062</v>
      </c>
      <c r="M296" s="13">
        <v>-0.24201049889124299</v>
      </c>
      <c r="N296" s="13">
        <v>3.510615458707345</v>
      </c>
      <c r="O296" s="13">
        <v>0.39519421413247707</v>
      </c>
      <c r="P296" s="13">
        <v>2.4506095256068949</v>
      </c>
      <c r="Q296" s="13">
        <v>0.49556563315280577</v>
      </c>
      <c r="R296" s="13">
        <v>-0.22896300691009899</v>
      </c>
      <c r="S296" s="13">
        <v>1.8640636958185519</v>
      </c>
      <c r="T296" s="13">
        <v>-0.49806887587126042</v>
      </c>
      <c r="U296" s="13">
        <v>-1.4063894323174011</v>
      </c>
      <c r="V296" s="13">
        <v>0.77776248736047826</v>
      </c>
      <c r="W296" s="13">
        <v>1.1759099039388321</v>
      </c>
      <c r="X296" s="13">
        <v>-1.8738213932298911</v>
      </c>
    </row>
    <row r="297" spans="1:24" x14ac:dyDescent="0.2">
      <c r="A297" t="s">
        <v>719</v>
      </c>
      <c r="B297" t="s">
        <v>583</v>
      </c>
      <c r="C297" t="s">
        <v>584</v>
      </c>
      <c r="D297" s="13">
        <v>4.4418497714383554</v>
      </c>
      <c r="E297" s="13">
        <v>0.52271501025142886</v>
      </c>
      <c r="F297" s="13">
        <v>-1.110843932224348</v>
      </c>
      <c r="G297" s="13">
        <v>1.0610119887624281</v>
      </c>
      <c r="H297" s="13">
        <v>0.54931952694501351</v>
      </c>
      <c r="I297" s="13">
        <v>0.76595690130372152</v>
      </c>
      <c r="J297" s="13">
        <v>-4.2486965334893938</v>
      </c>
      <c r="K297" s="13">
        <v>-0.52924229775304088</v>
      </c>
      <c r="L297" s="13">
        <v>0.64603883802054618</v>
      </c>
      <c r="M297" s="13">
        <v>-2.04180039415971</v>
      </c>
      <c r="N297" s="13">
        <v>0.75959085058820985</v>
      </c>
      <c r="O297" s="13">
        <v>4.0924716628495386</v>
      </c>
      <c r="P297" s="13">
        <v>-0.57976817884330956</v>
      </c>
      <c r="Q297" s="13">
        <v>-1.6485384460473429</v>
      </c>
      <c r="R297" s="13">
        <v>-2.390849644421944</v>
      </c>
      <c r="S297" s="13">
        <v>2.8114433684989448</v>
      </c>
      <c r="T297" s="13">
        <v>-3.1841068901589549</v>
      </c>
      <c r="U297" s="13">
        <v>0.20327137748650251</v>
      </c>
      <c r="V297" s="13">
        <v>3.2348890381497242</v>
      </c>
      <c r="W297" s="13">
        <v>0.1211436132342314</v>
      </c>
      <c r="X297" s="13">
        <v>-1.913634812137333</v>
      </c>
    </row>
    <row r="298" spans="1:24" x14ac:dyDescent="0.2">
      <c r="A298" t="s">
        <v>719</v>
      </c>
      <c r="B298" t="s">
        <v>585</v>
      </c>
      <c r="C298" t="s">
        <v>586</v>
      </c>
      <c r="D298" s="13">
        <v>4.7087810905459104</v>
      </c>
      <c r="E298" s="13">
        <v>0.37733167274802693</v>
      </c>
      <c r="F298" s="13">
        <v>-0.77052508702528666</v>
      </c>
      <c r="G298" s="13">
        <v>1.1546615017819839</v>
      </c>
      <c r="H298" s="13">
        <v>-4.0829268371267442E-2</v>
      </c>
      <c r="I298" s="13">
        <v>1.1844090913984311</v>
      </c>
      <c r="J298" s="13">
        <v>-4.6302088897761218</v>
      </c>
      <c r="K298" s="13">
        <v>-0.65700916469694226</v>
      </c>
      <c r="L298" s="13">
        <v>0.62739491255991986</v>
      </c>
      <c r="M298" s="13">
        <v>-1.3379445433025829</v>
      </c>
      <c r="N298" s="13">
        <v>1.0367364815244919</v>
      </c>
      <c r="O298" s="13">
        <v>3.4990272028940339</v>
      </c>
      <c r="P298" s="13">
        <v>-0.3315838551075978</v>
      </c>
      <c r="Q298" s="13">
        <v>-1.183881362242734</v>
      </c>
      <c r="R298" s="13">
        <v>0.19961968407500311</v>
      </c>
      <c r="S298" s="13">
        <v>-0.76243298885960709</v>
      </c>
      <c r="T298" s="13">
        <v>-2.883522476900358</v>
      </c>
      <c r="U298" s="13">
        <v>0.55148591081091158</v>
      </c>
      <c r="V298" s="13">
        <v>3.680139917326386</v>
      </c>
      <c r="W298" s="13">
        <v>-0.77867092237184909</v>
      </c>
      <c r="X298" s="13">
        <v>-2.0096800943303461</v>
      </c>
    </row>
    <row r="299" spans="1:24" x14ac:dyDescent="0.2">
      <c r="A299" s="14" t="s">
        <v>719</v>
      </c>
      <c r="B299" s="14" t="s">
        <v>587</v>
      </c>
      <c r="C299" s="14" t="s">
        <v>588</v>
      </c>
      <c r="D299" s="15">
        <v>3.489273553836902</v>
      </c>
      <c r="E299" s="15">
        <v>0.64400136639037875</v>
      </c>
      <c r="F299" s="15">
        <v>-1.665440020579068</v>
      </c>
      <c r="G299" s="15">
        <v>1.080290927675609</v>
      </c>
      <c r="H299" s="15">
        <v>0.81689528272328449</v>
      </c>
      <c r="I299" s="15">
        <v>0.82358666645274692</v>
      </c>
      <c r="J299" s="15">
        <v>-4.0352015596940678</v>
      </c>
      <c r="K299" s="15">
        <v>-0.96617526758363548</v>
      </c>
      <c r="L299" s="15">
        <v>1.1043419590411221</v>
      </c>
      <c r="M299" s="15">
        <v>-1.139569859760359</v>
      </c>
      <c r="N299" s="15">
        <v>0.86414153854172948</v>
      </c>
      <c r="O299" s="15">
        <v>1.896351174047384</v>
      </c>
      <c r="P299" s="15">
        <v>-5.2941993202659798E-2</v>
      </c>
      <c r="Q299" s="15">
        <v>-1.546036518521698</v>
      </c>
      <c r="R299" s="15">
        <v>-1.5566949847121809</v>
      </c>
      <c r="S299" s="15">
        <v>1.940323341523964</v>
      </c>
      <c r="T299" s="15">
        <v>-2.722676191774509</v>
      </c>
      <c r="U299" s="15">
        <v>-0.69359301542973872</v>
      </c>
      <c r="V299" s="15">
        <v>1.8403510348415031</v>
      </c>
      <c r="W299" s="15">
        <v>-0.20455793861273719</v>
      </c>
      <c r="X299" s="15">
        <v>-2.052823355948064</v>
      </c>
    </row>
    <row r="300" spans="1:24" x14ac:dyDescent="0.2">
      <c r="A300" t="s">
        <v>719</v>
      </c>
      <c r="B300" t="s">
        <v>646</v>
      </c>
      <c r="C300" t="s">
        <v>647</v>
      </c>
      <c r="D300" s="13">
        <v>1.396039011931705</v>
      </c>
      <c r="E300" s="13">
        <v>0.21205685889382761</v>
      </c>
      <c r="F300" s="13">
        <v>-0.42942411188804369</v>
      </c>
      <c r="G300" s="13">
        <v>-0.95705286049707627</v>
      </c>
      <c r="H300" s="13">
        <v>-5.9793657772233548E-2</v>
      </c>
      <c r="I300" s="13">
        <v>0.88752836960528381</v>
      </c>
      <c r="J300" s="13">
        <v>-1.390969859649072</v>
      </c>
      <c r="K300" s="13">
        <v>-0.1082681865450463</v>
      </c>
      <c r="L300" s="13">
        <v>2.654965991100156E-3</v>
      </c>
      <c r="M300" s="13">
        <v>-4.0138030012282222E-2</v>
      </c>
      <c r="N300" s="13">
        <v>3.3570663200508828</v>
      </c>
      <c r="O300" s="13">
        <v>0.66045622338581911</v>
      </c>
      <c r="P300" s="13">
        <v>2.1722337157175091</v>
      </c>
      <c r="Q300" s="13">
        <v>0.66468924156781739</v>
      </c>
      <c r="R300" s="13">
        <v>7.9533596111502902E-2</v>
      </c>
      <c r="S300" s="13">
        <v>0.60443944667334382</v>
      </c>
      <c r="T300" s="13">
        <v>-0.36898039633117552</v>
      </c>
      <c r="U300" s="13">
        <v>-1.6709662129604901</v>
      </c>
      <c r="V300" s="13">
        <v>0.2299857221651935</v>
      </c>
      <c r="W300" s="13">
        <v>1.620369816088951</v>
      </c>
      <c r="X300" s="13">
        <v>-2.1268811246333512</v>
      </c>
    </row>
    <row r="301" spans="1:24" x14ac:dyDescent="0.2">
      <c r="A301" t="s">
        <v>719</v>
      </c>
      <c r="B301" t="s">
        <v>545</v>
      </c>
      <c r="C301" t="s">
        <v>546</v>
      </c>
      <c r="D301" s="13">
        <v>3.3624699625719461</v>
      </c>
      <c r="E301" s="13">
        <v>0.58953550298879165</v>
      </c>
      <c r="F301" s="13">
        <v>-0.64196367370336072</v>
      </c>
      <c r="G301" s="13">
        <v>0.64890756293483065</v>
      </c>
      <c r="H301" s="13">
        <v>0.33523719567540861</v>
      </c>
      <c r="I301" s="13">
        <v>1.293978331107648</v>
      </c>
      <c r="J301" s="13">
        <v>-3.443149812919144</v>
      </c>
      <c r="K301" s="13">
        <v>-1.1678472892136971</v>
      </c>
      <c r="L301" s="13">
        <v>-1.4982659774631649E-2</v>
      </c>
      <c r="M301" s="13">
        <v>-1.8492584675731121</v>
      </c>
      <c r="N301" s="13">
        <v>0.69280694299989065</v>
      </c>
      <c r="O301" s="13">
        <v>1.107564595392474</v>
      </c>
      <c r="P301" s="13">
        <v>0.42441166498052851</v>
      </c>
      <c r="Q301" s="13">
        <v>-0.19950557314482029</v>
      </c>
      <c r="R301" s="13">
        <v>-0.92481911512876103</v>
      </c>
      <c r="S301" s="13">
        <v>1.059488955652155</v>
      </c>
      <c r="T301" s="13">
        <v>-1.769040716121129</v>
      </c>
      <c r="U301" s="13">
        <v>-1.522813964674441</v>
      </c>
      <c r="V301" s="13">
        <v>1.621218222390586</v>
      </c>
      <c r="W301" s="13">
        <v>0.49696578134623692</v>
      </c>
      <c r="X301" s="13">
        <v>-2.141979256458026</v>
      </c>
    </row>
    <row r="302" spans="1:24" x14ac:dyDescent="0.2">
      <c r="A302" t="s">
        <v>719</v>
      </c>
      <c r="B302" t="s">
        <v>648</v>
      </c>
      <c r="C302" t="s">
        <v>649</v>
      </c>
      <c r="D302" s="13">
        <v>4.025705967683546</v>
      </c>
      <c r="E302" s="13">
        <v>0.42232086475526559</v>
      </c>
      <c r="F302" s="13">
        <v>-2.2669760835490989</v>
      </c>
      <c r="G302" s="13">
        <v>1.23495061707688</v>
      </c>
      <c r="H302" s="13">
        <v>8.4164589386537259E-3</v>
      </c>
      <c r="I302" s="13">
        <v>3.1626544983755829</v>
      </c>
      <c r="J302" s="13">
        <v>-3.8039387149757742</v>
      </c>
      <c r="K302" s="13">
        <v>-2.6875288478401371</v>
      </c>
      <c r="L302" s="13">
        <v>0.60207851796476586</v>
      </c>
      <c r="M302" s="13">
        <v>-2.4565658319067212</v>
      </c>
      <c r="N302" s="13">
        <v>-0.42868807127481873</v>
      </c>
      <c r="O302" s="13">
        <v>3.6425652597572129</v>
      </c>
      <c r="P302" s="13">
        <v>1.1570923395627819</v>
      </c>
      <c r="Q302" s="13">
        <v>-1.165677673418297</v>
      </c>
      <c r="R302" s="13">
        <v>-0.13440553023927879</v>
      </c>
      <c r="S302" s="13">
        <v>-1.8485903881755079</v>
      </c>
      <c r="T302" s="13">
        <v>-4.5601768723758873</v>
      </c>
      <c r="U302" s="13">
        <v>-0.87108810674693116</v>
      </c>
      <c r="V302" s="13">
        <v>3.3364603689214118</v>
      </c>
      <c r="W302" s="13">
        <v>-0.98943387097901736</v>
      </c>
      <c r="X302" s="13">
        <v>-2.1726118997058008</v>
      </c>
    </row>
    <row r="303" spans="1:24" x14ac:dyDescent="0.2">
      <c r="A303" t="s">
        <v>713</v>
      </c>
      <c r="B303" t="s">
        <v>657</v>
      </c>
      <c r="C303" t="s">
        <v>658</v>
      </c>
      <c r="D303" s="13">
        <v>0.23660218972401109</v>
      </c>
      <c r="E303" s="13">
        <v>4.7693328730913358E-2</v>
      </c>
      <c r="F303" s="13">
        <v>4.3780495470713283E-2</v>
      </c>
      <c r="G303" s="13">
        <v>3.8767515854809531E-2</v>
      </c>
      <c r="H303" s="13">
        <v>7.2906817577744754E-2</v>
      </c>
      <c r="I303" s="13">
        <v>0.23263847871568541</v>
      </c>
      <c r="J303" s="13">
        <v>4.8676541438252841E-2</v>
      </c>
      <c r="K303" s="13">
        <v>5.048133240246333E-2</v>
      </c>
      <c r="L303" s="13">
        <v>5.537751205604291E-2</v>
      </c>
      <c r="M303" s="13">
        <v>6.5074579378499031E-2</v>
      </c>
      <c r="N303" s="13">
        <v>0.245451897804605</v>
      </c>
      <c r="O303" s="13">
        <v>5.5118403613607647E-2</v>
      </c>
      <c r="P303" s="13">
        <v>4.0752751024464302E-2</v>
      </c>
      <c r="Q303" s="13">
        <v>5.897881099103941E-2</v>
      </c>
      <c r="R303" s="13">
        <v>7.8156884216751266E-2</v>
      </c>
      <c r="S303" s="13">
        <v>0.23553230584214549</v>
      </c>
      <c r="T303" s="13">
        <v>4.7404229894709722E-2</v>
      </c>
      <c r="U303" s="13">
        <v>5.2728371941079821E-2</v>
      </c>
      <c r="V303" s="13">
        <v>4.2176063108456667E-2</v>
      </c>
      <c r="W303" s="13">
        <v>7.3218252054707555E-2</v>
      </c>
      <c r="X303" s="13">
        <v>0.2379795892303749</v>
      </c>
    </row>
    <row r="304" spans="1:24" x14ac:dyDescent="0.2">
      <c r="A304" t="s">
        <v>713</v>
      </c>
      <c r="B304" t="s">
        <v>659</v>
      </c>
      <c r="C304" t="s">
        <v>660</v>
      </c>
      <c r="D304" s="13">
        <v>0.24547928698939181</v>
      </c>
      <c r="E304" s="13">
        <v>5.4724534576955357E-2</v>
      </c>
      <c r="F304" s="13">
        <v>5.1902658091096399E-2</v>
      </c>
      <c r="G304" s="13">
        <v>4.5925568873173013E-2</v>
      </c>
      <c r="H304" s="13">
        <v>9.4247276752223996E-2</v>
      </c>
      <c r="I304" s="13">
        <v>0.2356276494737797</v>
      </c>
      <c r="J304" s="13">
        <v>4.8618230478858493E-2</v>
      </c>
      <c r="K304" s="13">
        <v>4.9960522627623398E-2</v>
      </c>
      <c r="L304" s="13">
        <v>5.6623069172800911E-2</v>
      </c>
      <c r="M304" s="13">
        <v>7.7243383784031394E-2</v>
      </c>
      <c r="N304" s="13">
        <v>0.24207725143130521</v>
      </c>
      <c r="O304" s="13">
        <v>5.4731276823516417E-2</v>
      </c>
      <c r="P304" s="13">
        <v>3.8283045834774931E-2</v>
      </c>
      <c r="Q304" s="13">
        <v>5.857948941996316E-2</v>
      </c>
      <c r="R304" s="13">
        <v>9.2475141091119539E-2</v>
      </c>
      <c r="S304" s="13">
        <v>0.23218338895241161</v>
      </c>
      <c r="T304" s="13">
        <v>4.7592406416363531E-2</v>
      </c>
      <c r="U304" s="13">
        <v>4.8769274635840347E-2</v>
      </c>
      <c r="V304" s="13">
        <v>4.6599215347642442E-2</v>
      </c>
      <c r="W304" s="13">
        <v>8.6440969064027762E-2</v>
      </c>
      <c r="X304" s="13">
        <v>0.2349919889377938</v>
      </c>
    </row>
    <row r="305" spans="1:24" x14ac:dyDescent="0.2">
      <c r="A305" t="s">
        <v>713</v>
      </c>
      <c r="B305" t="s">
        <v>661</v>
      </c>
      <c r="C305" t="s">
        <v>662</v>
      </c>
      <c r="D305" s="13">
        <v>0.25679964749512058</v>
      </c>
      <c r="E305" s="13">
        <v>5.2050865894437408E-2</v>
      </c>
      <c r="F305" s="13">
        <v>4.5259123691288039E-2</v>
      </c>
      <c r="G305" s="13">
        <v>4.0865427499570117E-2</v>
      </c>
      <c r="H305" s="13">
        <v>8.0826832412994598E-2</v>
      </c>
      <c r="I305" s="13">
        <v>0.23480360350134341</v>
      </c>
      <c r="J305" s="13">
        <v>4.4320898002991882E-2</v>
      </c>
      <c r="K305" s="13">
        <v>4.5988999741153343E-2</v>
      </c>
      <c r="L305" s="13">
        <v>5.3435568965198847E-2</v>
      </c>
      <c r="M305" s="13">
        <v>6.4464529791941061E-2</v>
      </c>
      <c r="N305" s="13">
        <v>0.24336246188858551</v>
      </c>
      <c r="O305" s="13">
        <v>5.2375439744212222E-2</v>
      </c>
      <c r="P305" s="13">
        <v>3.4917991870053733E-2</v>
      </c>
      <c r="Q305" s="13">
        <v>5.4506838165968567E-2</v>
      </c>
      <c r="R305" s="13">
        <v>8.4004664642800542E-2</v>
      </c>
      <c r="S305" s="13">
        <v>0.23635984121836981</v>
      </c>
      <c r="T305" s="13">
        <v>4.5410916508825672E-2</v>
      </c>
      <c r="U305" s="13">
        <v>4.6700454483339371E-2</v>
      </c>
      <c r="V305" s="13">
        <v>4.1815169601111528E-2</v>
      </c>
      <c r="W305" s="13">
        <v>7.1479562668019803E-2</v>
      </c>
      <c r="X305" s="13">
        <v>0.2344947163255062</v>
      </c>
    </row>
    <row r="306" spans="1:24" x14ac:dyDescent="0.2">
      <c r="A306" t="s">
        <v>713</v>
      </c>
      <c r="B306" t="s">
        <v>663</v>
      </c>
      <c r="C306" t="s">
        <v>664</v>
      </c>
      <c r="D306" s="13">
        <v>0.25207699120270988</v>
      </c>
      <c r="E306" s="13">
        <v>5.9231455204167283E-2</v>
      </c>
      <c r="F306" s="13">
        <v>4.790853661185146E-2</v>
      </c>
      <c r="G306" s="13">
        <v>4.1873133480208047E-2</v>
      </c>
      <c r="H306" s="13">
        <v>7.6974813833063926E-2</v>
      </c>
      <c r="I306" s="13">
        <v>0.23583987184667701</v>
      </c>
      <c r="J306" s="13">
        <v>4.7874741200426563E-2</v>
      </c>
      <c r="K306" s="13">
        <v>3.7354165378733477E-2</v>
      </c>
      <c r="L306" s="13">
        <v>4.8981901200217948E-2</v>
      </c>
      <c r="M306" s="13">
        <v>6.172759751947865E-2</v>
      </c>
      <c r="N306" s="13">
        <v>0.24855328019948161</v>
      </c>
      <c r="O306" s="13">
        <v>5.5324452425886683E-2</v>
      </c>
      <c r="P306" s="13">
        <v>3.705148327457497E-2</v>
      </c>
      <c r="Q306" s="13">
        <v>5.055629937154027E-2</v>
      </c>
      <c r="R306" s="13">
        <v>8.4633027728231447E-2</v>
      </c>
      <c r="S306" s="13">
        <v>0.23621800319819641</v>
      </c>
      <c r="T306" s="13">
        <v>4.6800209056074848E-2</v>
      </c>
      <c r="U306" s="13">
        <v>4.4372419609928222E-2</v>
      </c>
      <c r="V306" s="13">
        <v>3.7273896322065347E-2</v>
      </c>
      <c r="W306" s="13">
        <v>7.5974773918829897E-2</v>
      </c>
      <c r="X306" s="13">
        <v>0.234218206921466</v>
      </c>
    </row>
    <row r="307" spans="1:24" x14ac:dyDescent="0.2">
      <c r="A307" t="s">
        <v>713</v>
      </c>
      <c r="B307" t="s">
        <v>665</v>
      </c>
      <c r="C307" t="s">
        <v>666</v>
      </c>
      <c r="D307" s="13">
        <v>0.26983457101137359</v>
      </c>
      <c r="E307" s="13">
        <v>5.9221942351816992E-2</v>
      </c>
      <c r="F307" s="13">
        <v>4.8454948671783349E-2</v>
      </c>
      <c r="G307" s="13">
        <v>3.5915027840904827E-2</v>
      </c>
      <c r="H307" s="13">
        <v>9.3595211238683973E-2</v>
      </c>
      <c r="I307" s="13">
        <v>0.23836128084964159</v>
      </c>
      <c r="J307" s="13">
        <v>4.6877744951112632E-2</v>
      </c>
      <c r="K307" s="13">
        <v>4.742886930402257E-2</v>
      </c>
      <c r="L307" s="13">
        <v>5.9189243126933633E-2</v>
      </c>
      <c r="M307" s="13">
        <v>7.1863258639548455E-2</v>
      </c>
      <c r="N307" s="13">
        <v>0.24035422429056211</v>
      </c>
      <c r="O307" s="13">
        <v>5.2469786642461713E-2</v>
      </c>
      <c r="P307" s="13">
        <v>3.2027773298581863E-2</v>
      </c>
      <c r="Q307" s="13">
        <v>5.9290856720362051E-2</v>
      </c>
      <c r="R307" s="13">
        <v>8.7823615577042879E-2</v>
      </c>
      <c r="S307" s="13">
        <v>0.23635941366331181</v>
      </c>
      <c r="T307" s="13">
        <v>5.0293687528735198E-2</v>
      </c>
      <c r="U307" s="13">
        <v>4.3705239104507847E-2</v>
      </c>
      <c r="V307" s="13">
        <v>4.3305921005032388E-2</v>
      </c>
      <c r="W307" s="13">
        <v>8.3721061096797555E-2</v>
      </c>
      <c r="X307" s="13">
        <v>0.23355294349427511</v>
      </c>
    </row>
    <row r="308" spans="1:24" x14ac:dyDescent="0.2">
      <c r="A308" t="s">
        <v>713</v>
      </c>
      <c r="B308" t="s">
        <v>669</v>
      </c>
      <c r="C308" t="s">
        <v>670</v>
      </c>
      <c r="D308" s="13">
        <v>0.24572238994002851</v>
      </c>
      <c r="E308" s="13">
        <v>5.1219891517351179E-2</v>
      </c>
      <c r="F308" s="13">
        <v>4.6734144588178587E-2</v>
      </c>
      <c r="G308" s="13">
        <v>4.1887720562616693E-2</v>
      </c>
      <c r="H308" s="13">
        <v>8.4963688392791781E-2</v>
      </c>
      <c r="I308" s="13">
        <v>0.2307904576995812</v>
      </c>
      <c r="J308" s="13">
        <v>4.474506867251371E-2</v>
      </c>
      <c r="K308" s="13">
        <v>4.6913409258708683E-2</v>
      </c>
      <c r="L308" s="13">
        <v>5.385125980499339E-2</v>
      </c>
      <c r="M308" s="13">
        <v>6.750616326705039E-2</v>
      </c>
      <c r="N308" s="13">
        <v>0.24100250593019901</v>
      </c>
      <c r="O308" s="13">
        <v>5.1683982039896208E-2</v>
      </c>
      <c r="P308" s="13">
        <v>3.7235786303546632E-2</v>
      </c>
      <c r="Q308" s="13">
        <v>5.7293074676856293E-2</v>
      </c>
      <c r="R308" s="13">
        <v>8.5098698864949363E-2</v>
      </c>
      <c r="S308" s="13">
        <v>0.23140677039426019</v>
      </c>
      <c r="T308" s="13">
        <v>4.394433971226519E-2</v>
      </c>
      <c r="U308" s="13">
        <v>4.6980445743538553E-2</v>
      </c>
      <c r="V308" s="13">
        <v>4.525879806189792E-2</v>
      </c>
      <c r="W308" s="13">
        <v>7.9078920351483006E-2</v>
      </c>
      <c r="X308" s="13">
        <v>0.23198702322588799</v>
      </c>
    </row>
    <row r="309" spans="1:24" x14ac:dyDescent="0.2">
      <c r="A309" t="s">
        <v>713</v>
      </c>
      <c r="B309" t="s">
        <v>671</v>
      </c>
      <c r="C309" t="s">
        <v>672</v>
      </c>
      <c r="D309" s="13">
        <v>0.243310804009611</v>
      </c>
      <c r="E309" s="13">
        <v>5.1158910673954061E-2</v>
      </c>
      <c r="F309" s="13">
        <v>4.8263865756670299E-2</v>
      </c>
      <c r="G309" s="13">
        <v>4.1822467608176872E-2</v>
      </c>
      <c r="H309" s="13">
        <v>8.3144315472094554E-2</v>
      </c>
      <c r="I309" s="13">
        <v>0.23133452492039019</v>
      </c>
      <c r="J309" s="13">
        <v>4.7113468232140583E-2</v>
      </c>
      <c r="K309" s="13">
        <v>4.6728681364771603E-2</v>
      </c>
      <c r="L309" s="13">
        <v>5.292274532102681E-2</v>
      </c>
      <c r="M309" s="13">
        <v>6.387683982838066E-2</v>
      </c>
      <c r="N309" s="13">
        <v>0.24175921361535571</v>
      </c>
      <c r="O309" s="13">
        <v>5.1514181427769763E-2</v>
      </c>
      <c r="P309" s="13">
        <v>3.4148511891785027E-2</v>
      </c>
      <c r="Q309" s="13">
        <v>5.4568141435562538E-2</v>
      </c>
      <c r="R309" s="13">
        <v>8.1011666509822611E-2</v>
      </c>
      <c r="S309" s="13">
        <v>0.2309064584743892</v>
      </c>
      <c r="T309" s="13">
        <v>4.3885000617049919E-2</v>
      </c>
      <c r="U309" s="13">
        <v>4.4020309040537782E-2</v>
      </c>
      <c r="V309" s="13">
        <v>4.3539398124714523E-2</v>
      </c>
      <c r="W309" s="13">
        <v>7.3760463916494601E-2</v>
      </c>
      <c r="X309" s="13">
        <v>0.23193348520378351</v>
      </c>
    </row>
    <row r="310" spans="1:24" x14ac:dyDescent="0.2">
      <c r="A310" t="s">
        <v>713</v>
      </c>
      <c r="B310" t="s">
        <v>673</v>
      </c>
      <c r="C310" t="s">
        <v>674</v>
      </c>
      <c r="D310" s="13">
        <v>0.25980006222423579</v>
      </c>
      <c r="E310" s="13">
        <v>5.3736601843579201E-2</v>
      </c>
      <c r="F310" s="13">
        <v>5.0865691524082379E-2</v>
      </c>
      <c r="G310" s="13">
        <v>4.4553835970195799E-2</v>
      </c>
      <c r="H310" s="13">
        <v>8.4651238126842721E-2</v>
      </c>
      <c r="I310" s="13">
        <v>0.233597226467297</v>
      </c>
      <c r="J310" s="13">
        <v>4.3089509954663541E-2</v>
      </c>
      <c r="K310" s="13">
        <v>4.8079770066400407E-2</v>
      </c>
      <c r="L310" s="13">
        <v>5.6013115783759559E-2</v>
      </c>
      <c r="M310" s="13">
        <v>6.9715829771155313E-2</v>
      </c>
      <c r="N310" s="13">
        <v>0.23971092107968331</v>
      </c>
      <c r="O310" s="13">
        <v>5.3608260718429612E-2</v>
      </c>
      <c r="P310" s="13">
        <v>3.0761676650215009E-2</v>
      </c>
      <c r="Q310" s="13">
        <v>5.5703860067168882E-2</v>
      </c>
      <c r="R310" s="13">
        <v>9.1132676740279805E-2</v>
      </c>
      <c r="S310" s="13">
        <v>0.2320136537894868</v>
      </c>
      <c r="T310" s="13">
        <v>4.7078246336718088E-2</v>
      </c>
      <c r="U310" s="13">
        <v>4.4844190078485717E-2</v>
      </c>
      <c r="V310" s="13">
        <v>4.4361773666379278E-2</v>
      </c>
      <c r="W310" s="13">
        <v>8.0947582741419666E-2</v>
      </c>
      <c r="X310" s="13">
        <v>0.23114946173237169</v>
      </c>
    </row>
    <row r="311" spans="1:24" x14ac:dyDescent="0.2">
      <c r="A311" t="s">
        <v>713</v>
      </c>
      <c r="B311" t="s">
        <v>675</v>
      </c>
      <c r="C311" t="s">
        <v>676</v>
      </c>
      <c r="D311" s="13">
        <v>0.24512525563593621</v>
      </c>
      <c r="E311" s="13">
        <v>5.3204699805808893E-2</v>
      </c>
      <c r="F311" s="13">
        <v>4.9648763031284737E-2</v>
      </c>
      <c r="G311" s="13">
        <v>4.4225954428811498E-2</v>
      </c>
      <c r="H311" s="13">
        <v>8.670332924978208E-2</v>
      </c>
      <c r="I311" s="13">
        <v>0.22720848682806771</v>
      </c>
      <c r="J311" s="13">
        <v>4.6256499507002502E-2</v>
      </c>
      <c r="K311" s="13">
        <v>4.7411504520278307E-2</v>
      </c>
      <c r="L311" s="13">
        <v>5.283674489502399E-2</v>
      </c>
      <c r="M311" s="13">
        <v>6.7653437940906613E-2</v>
      </c>
      <c r="N311" s="13">
        <v>0.2391990207560202</v>
      </c>
      <c r="O311" s="13">
        <v>5.2366407370874057E-2</v>
      </c>
      <c r="P311" s="13">
        <v>3.1928705770423171E-2</v>
      </c>
      <c r="Q311" s="13">
        <v>5.4019222275281109E-2</v>
      </c>
      <c r="R311" s="13">
        <v>7.8150018059530701E-2</v>
      </c>
      <c r="S311" s="13">
        <v>0.22813363310314469</v>
      </c>
      <c r="T311" s="13">
        <v>4.4175607264218542E-2</v>
      </c>
      <c r="U311" s="13">
        <v>4.3483536151156521E-2</v>
      </c>
      <c r="V311" s="13">
        <v>4.2917571987288738E-2</v>
      </c>
      <c r="W311" s="13">
        <v>7.2543481996256709E-2</v>
      </c>
      <c r="X311" s="13">
        <v>0.231100802594808</v>
      </c>
    </row>
    <row r="312" spans="1:24" x14ac:dyDescent="0.2">
      <c r="A312" t="s">
        <v>713</v>
      </c>
      <c r="B312" t="s">
        <v>677</v>
      </c>
      <c r="C312" t="s">
        <v>678</v>
      </c>
      <c r="D312" s="13">
        <v>0.2471067349340883</v>
      </c>
      <c r="E312" s="13">
        <v>5.3194629387109948E-2</v>
      </c>
      <c r="F312" s="13">
        <v>4.6108901982555572E-2</v>
      </c>
      <c r="G312" s="13">
        <v>4.3399333243288041E-2</v>
      </c>
      <c r="H312" s="13">
        <v>8.4548290033015228E-2</v>
      </c>
      <c r="I312" s="13">
        <v>0.231602258701602</v>
      </c>
      <c r="J312" s="13">
        <v>4.5914725785034527E-2</v>
      </c>
      <c r="K312" s="13">
        <v>5.0766266128121629E-2</v>
      </c>
      <c r="L312" s="13">
        <v>5.5775152871406768E-2</v>
      </c>
      <c r="M312" s="13">
        <v>6.6719665393399907E-2</v>
      </c>
      <c r="N312" s="13">
        <v>0.24199962798385771</v>
      </c>
      <c r="O312" s="13">
        <v>5.2547736133323752E-2</v>
      </c>
      <c r="P312" s="13">
        <v>3.3488231324962918E-2</v>
      </c>
      <c r="Q312" s="13">
        <v>5.6707178177761719E-2</v>
      </c>
      <c r="R312" s="13">
        <v>8.0719918213145725E-2</v>
      </c>
      <c r="S312" s="13">
        <v>0.23160613660417881</v>
      </c>
      <c r="T312" s="13">
        <v>4.2454963531080032E-2</v>
      </c>
      <c r="U312" s="13">
        <v>4.5391621979096193E-2</v>
      </c>
      <c r="V312" s="13">
        <v>4.4353093693683121E-2</v>
      </c>
      <c r="W312" s="13">
        <v>8.1661959089718295E-2</v>
      </c>
      <c r="X312" s="13">
        <v>0.23079518081139391</v>
      </c>
    </row>
    <row r="313" spans="1:24" x14ac:dyDescent="0.2">
      <c r="A313" t="s">
        <v>713</v>
      </c>
      <c r="B313" t="s">
        <v>679</v>
      </c>
      <c r="C313" t="s">
        <v>680</v>
      </c>
      <c r="D313" s="13">
        <v>0.24262459775659109</v>
      </c>
      <c r="E313" s="13">
        <v>5.0808567194771108E-2</v>
      </c>
      <c r="F313" s="13">
        <v>4.8773965358872573E-2</v>
      </c>
      <c r="G313" s="13">
        <v>4.2065079851583143E-2</v>
      </c>
      <c r="H313" s="13">
        <v>8.4809520317974396E-2</v>
      </c>
      <c r="I313" s="13">
        <v>0.23272242696472659</v>
      </c>
      <c r="J313" s="13">
        <v>4.5307482716872023E-2</v>
      </c>
      <c r="K313" s="13">
        <v>4.6777729083680157E-2</v>
      </c>
      <c r="L313" s="13">
        <v>5.3342526576671823E-2</v>
      </c>
      <c r="M313" s="13">
        <v>6.6414001172554471E-2</v>
      </c>
      <c r="N313" s="13">
        <v>0.23948684088839209</v>
      </c>
      <c r="O313" s="13">
        <v>5.1889865401455459E-2</v>
      </c>
      <c r="P313" s="13">
        <v>3.527096743984881E-2</v>
      </c>
      <c r="Q313" s="13">
        <v>5.5057204028696738E-2</v>
      </c>
      <c r="R313" s="13">
        <v>8.2707510463708722E-2</v>
      </c>
      <c r="S313" s="13">
        <v>0.22922360874657599</v>
      </c>
      <c r="T313" s="13">
        <v>4.4101076662750323E-2</v>
      </c>
      <c r="U313" s="13">
        <v>4.5276693992080119E-2</v>
      </c>
      <c r="V313" s="13">
        <v>4.3683579565922948E-2</v>
      </c>
      <c r="W313" s="13">
        <v>7.6821851281394515E-2</v>
      </c>
      <c r="X313" s="13">
        <v>0.23054604625789571</v>
      </c>
    </row>
    <row r="314" spans="1:24" x14ac:dyDescent="0.2">
      <c r="A314" t="s">
        <v>713</v>
      </c>
      <c r="B314" t="s">
        <v>681</v>
      </c>
      <c r="C314" t="s">
        <v>682</v>
      </c>
      <c r="D314" s="13">
        <v>0.24430413887583929</v>
      </c>
      <c r="E314" s="13">
        <v>5.0393061353592998E-2</v>
      </c>
      <c r="F314" s="13">
        <v>4.988375181773641E-2</v>
      </c>
      <c r="G314" s="13">
        <v>4.4499152411092702E-2</v>
      </c>
      <c r="H314" s="13">
        <v>8.6231097383016042E-2</v>
      </c>
      <c r="I314" s="13">
        <v>0.2281222319344689</v>
      </c>
      <c r="J314" s="13">
        <v>4.6269210986316089E-2</v>
      </c>
      <c r="K314" s="13">
        <v>4.7404870716905023E-2</v>
      </c>
      <c r="L314" s="13">
        <v>5.3590962757965599E-2</v>
      </c>
      <c r="M314" s="13">
        <v>6.8677288526064473E-2</v>
      </c>
      <c r="N314" s="13">
        <v>0.24160109841808719</v>
      </c>
      <c r="O314" s="13">
        <v>4.9763192903085063E-2</v>
      </c>
      <c r="P314" s="13">
        <v>3.4825573219232631E-2</v>
      </c>
      <c r="Q314" s="13">
        <v>5.5725710339293848E-2</v>
      </c>
      <c r="R314" s="13">
        <v>8.4089003065179746E-2</v>
      </c>
      <c r="S314" s="13">
        <v>0.22942578551314871</v>
      </c>
      <c r="T314" s="13">
        <v>4.3793605490871627E-2</v>
      </c>
      <c r="U314" s="13">
        <v>4.592040110853457E-2</v>
      </c>
      <c r="V314" s="13">
        <v>4.3526912495872587E-2</v>
      </c>
      <c r="W314" s="13">
        <v>7.8742867066461386E-2</v>
      </c>
      <c r="X314" s="13">
        <v>0.23042330556033441</v>
      </c>
    </row>
    <row r="315" spans="1:24" x14ac:dyDescent="0.2">
      <c r="A315" t="s">
        <v>713</v>
      </c>
      <c r="B315" t="s">
        <v>683</v>
      </c>
      <c r="C315" t="s">
        <v>684</v>
      </c>
      <c r="D315" s="13">
        <v>0.24641493884556279</v>
      </c>
      <c r="E315" s="13">
        <v>5.065995658830591E-2</v>
      </c>
      <c r="F315" s="13">
        <v>4.7178728586483309E-2</v>
      </c>
      <c r="G315" s="13">
        <v>4.2172790989614128E-2</v>
      </c>
      <c r="H315" s="13">
        <v>8.9018493119752407E-2</v>
      </c>
      <c r="I315" s="13">
        <v>0.2304808630569255</v>
      </c>
      <c r="J315" s="13">
        <v>4.4635818901617157E-2</v>
      </c>
      <c r="K315" s="13">
        <v>4.8036693241892969E-2</v>
      </c>
      <c r="L315" s="13">
        <v>5.3620263260878431E-2</v>
      </c>
      <c r="M315" s="13">
        <v>6.7134429654958083E-2</v>
      </c>
      <c r="N315" s="13">
        <v>0.24936162055302361</v>
      </c>
      <c r="O315" s="13">
        <v>5.1960509707282831E-2</v>
      </c>
      <c r="P315" s="13">
        <v>3.1834962670496132E-2</v>
      </c>
      <c r="Q315" s="13">
        <v>4.9737501393409822E-2</v>
      </c>
      <c r="R315" s="13">
        <v>8.6614276775742738E-2</v>
      </c>
      <c r="S315" s="13">
        <v>0.23039575696446321</v>
      </c>
      <c r="T315" s="13">
        <v>4.4376600525164463E-2</v>
      </c>
      <c r="U315" s="13">
        <v>4.2877592951184873E-2</v>
      </c>
      <c r="V315" s="13">
        <v>4.6403135353156877E-2</v>
      </c>
      <c r="W315" s="13">
        <v>7.7785869378499406E-2</v>
      </c>
      <c r="X315" s="13">
        <v>0.2301580619524124</v>
      </c>
    </row>
    <row r="316" spans="1:24" x14ac:dyDescent="0.2">
      <c r="A316" t="s">
        <v>713</v>
      </c>
      <c r="B316" t="s">
        <v>685</v>
      </c>
      <c r="C316" t="s">
        <v>686</v>
      </c>
      <c r="D316" s="13">
        <v>0.25714331531565549</v>
      </c>
      <c r="E316" s="13">
        <v>5.6242730453259782E-2</v>
      </c>
      <c r="F316" s="13">
        <v>4.1971196192114313E-2</v>
      </c>
      <c r="G316" s="13">
        <v>3.1635029850707319E-2</v>
      </c>
      <c r="H316" s="13">
        <v>9.0287524490939575E-2</v>
      </c>
      <c r="I316" s="13">
        <v>0.2206307487381709</v>
      </c>
      <c r="J316" s="13">
        <v>3.8209559724800002E-2</v>
      </c>
      <c r="K316" s="13">
        <v>4.7568793689367617E-2</v>
      </c>
      <c r="L316" s="13">
        <v>5.4335493115997828E-2</v>
      </c>
      <c r="M316" s="13">
        <v>5.7497878800405473E-2</v>
      </c>
      <c r="N316" s="13">
        <v>0.24579251502929719</v>
      </c>
      <c r="O316" s="13">
        <v>5.3801833583810847E-2</v>
      </c>
      <c r="P316" s="13">
        <v>2.5660544584238391E-2</v>
      </c>
      <c r="Q316" s="13">
        <v>5.2831376255935147E-2</v>
      </c>
      <c r="R316" s="13">
        <v>8.1474022392802325E-2</v>
      </c>
      <c r="S316" s="13">
        <v>0.22721286474642891</v>
      </c>
      <c r="T316" s="13">
        <v>3.6236332570860341E-2</v>
      </c>
      <c r="U316" s="13">
        <v>4.5941812253325047E-2</v>
      </c>
      <c r="V316" s="13">
        <v>4.4247230997096487E-2</v>
      </c>
      <c r="W316" s="13">
        <v>8.18474165691363E-2</v>
      </c>
      <c r="X316" s="13">
        <v>0.22961239688872309</v>
      </c>
    </row>
    <row r="317" spans="1:24" x14ac:dyDescent="0.2">
      <c r="A317" t="s">
        <v>713</v>
      </c>
      <c r="B317" t="s">
        <v>687</v>
      </c>
      <c r="C317" t="s">
        <v>688</v>
      </c>
      <c r="D317" s="13">
        <v>0.24608574864608551</v>
      </c>
      <c r="E317" s="13">
        <v>5.0244455369585772E-2</v>
      </c>
      <c r="F317" s="13">
        <v>4.6625656520671299E-2</v>
      </c>
      <c r="G317" s="13">
        <v>3.7896193904574098E-2</v>
      </c>
      <c r="H317" s="13">
        <v>8.1226605626882886E-2</v>
      </c>
      <c r="I317" s="13">
        <v>0.23440125052534011</v>
      </c>
      <c r="J317" s="13">
        <v>4.2829624767626313E-2</v>
      </c>
      <c r="K317" s="13">
        <v>4.406982276998761E-2</v>
      </c>
      <c r="L317" s="13">
        <v>5.5940717090585679E-2</v>
      </c>
      <c r="M317" s="13">
        <v>6.5756504911895775E-2</v>
      </c>
      <c r="N317" s="13">
        <v>0.24021405764600429</v>
      </c>
      <c r="O317" s="13">
        <v>4.9071660929222993E-2</v>
      </c>
      <c r="P317" s="13">
        <v>3.2368771486068759E-2</v>
      </c>
      <c r="Q317" s="13">
        <v>5.2718230836501512E-2</v>
      </c>
      <c r="R317" s="13">
        <v>8.684149618107817E-2</v>
      </c>
      <c r="S317" s="13">
        <v>0.23498711367764269</v>
      </c>
      <c r="T317" s="13">
        <v>4.2849897251873159E-2</v>
      </c>
      <c r="U317" s="13">
        <v>4.2094644916423903E-2</v>
      </c>
      <c r="V317" s="13">
        <v>4.3403554310295078E-2</v>
      </c>
      <c r="W317" s="13">
        <v>7.3748703442855223E-2</v>
      </c>
      <c r="X317" s="13">
        <v>0.22950685161304829</v>
      </c>
    </row>
    <row r="318" spans="1:24" x14ac:dyDescent="0.2">
      <c r="A318" t="s">
        <v>713</v>
      </c>
      <c r="B318" t="s">
        <v>689</v>
      </c>
      <c r="C318" t="s">
        <v>690</v>
      </c>
      <c r="D318" s="13">
        <v>0.2353529322488557</v>
      </c>
      <c r="E318" s="13">
        <v>4.5618579654571612E-2</v>
      </c>
      <c r="F318" s="13">
        <v>4.351193301088685E-2</v>
      </c>
      <c r="G318" s="13">
        <v>4.4834838515739328E-2</v>
      </c>
      <c r="H318" s="13">
        <v>5.4901864192591347E-2</v>
      </c>
      <c r="I318" s="13">
        <v>0.22546628332544841</v>
      </c>
      <c r="J318" s="13">
        <v>4.0254804584960453E-2</v>
      </c>
      <c r="K318" s="13">
        <v>4.7155396365816671E-2</v>
      </c>
      <c r="L318" s="13">
        <v>4.7934572472008163E-2</v>
      </c>
      <c r="M318" s="13">
        <v>5.066726138736044E-2</v>
      </c>
      <c r="N318" s="13">
        <v>0.23445682992990771</v>
      </c>
      <c r="O318" s="13">
        <v>5.0049254336426152E-2</v>
      </c>
      <c r="P318" s="13">
        <v>3.0598579336671431E-2</v>
      </c>
      <c r="Q318" s="13">
        <v>4.9142084184561341E-2</v>
      </c>
      <c r="R318" s="13">
        <v>6.8052916925309681E-2</v>
      </c>
      <c r="S318" s="13">
        <v>0.22607534254242001</v>
      </c>
      <c r="T318" s="13">
        <v>4.1079179285619112E-2</v>
      </c>
      <c r="U318" s="13">
        <v>4.2956704757979303E-2</v>
      </c>
      <c r="V318" s="13">
        <v>3.9601680480094707E-2</v>
      </c>
      <c r="W318" s="13">
        <v>6.4939670398156402E-2</v>
      </c>
      <c r="X318" s="13">
        <v>0.2275012397495724</v>
      </c>
    </row>
    <row r="319" spans="1:24" x14ac:dyDescent="0.2">
      <c r="A319" t="s">
        <v>713</v>
      </c>
      <c r="B319" t="s">
        <v>691</v>
      </c>
      <c r="C319" t="s">
        <v>692</v>
      </c>
      <c r="D319" s="13">
        <v>0.24495555496635291</v>
      </c>
      <c r="E319" s="13">
        <v>5.9211322825136747E-2</v>
      </c>
      <c r="F319" s="13">
        <v>6.3356499020095214E-2</v>
      </c>
      <c r="G319" s="13">
        <v>7.5626119321237084E-2</v>
      </c>
      <c r="H319" s="13">
        <v>6.2919183463705508E-2</v>
      </c>
      <c r="I319" s="13">
        <v>0.22841689993284839</v>
      </c>
      <c r="J319" s="13">
        <v>4.2873965381673429E-2</v>
      </c>
      <c r="K319" s="13">
        <v>4.5379957080804452E-2</v>
      </c>
      <c r="L319" s="13">
        <v>7.1529129897673904E-2</v>
      </c>
      <c r="M319" s="13">
        <v>8.6877986963118659E-2</v>
      </c>
      <c r="N319" s="13">
        <v>0.23342662869751951</v>
      </c>
      <c r="O319" s="13">
        <v>4.6542290234419248E-2</v>
      </c>
      <c r="P319" s="13">
        <v>3.1443949065823602E-2</v>
      </c>
      <c r="Q319" s="13">
        <v>6.2742648147318114E-2</v>
      </c>
      <c r="R319" s="13">
        <v>0.1064159942691711</v>
      </c>
      <c r="S319" s="13">
        <v>0.22231503163705479</v>
      </c>
      <c r="T319" s="13">
        <v>5.3734192794041569E-2</v>
      </c>
      <c r="U319" s="13">
        <v>4.6026860057257757E-2</v>
      </c>
      <c r="V319" s="13">
        <v>0.12516803445015159</v>
      </c>
      <c r="W319" s="13">
        <v>8.4810641413413101E-2</v>
      </c>
      <c r="X319" s="13">
        <v>0.2272734492189343</v>
      </c>
    </row>
    <row r="320" spans="1:24" x14ac:dyDescent="0.2">
      <c r="A320" t="s">
        <v>713</v>
      </c>
      <c r="B320" t="s">
        <v>693</v>
      </c>
      <c r="C320" t="s">
        <v>694</v>
      </c>
      <c r="D320" s="13">
        <v>0.23871048375490031</v>
      </c>
      <c r="E320" s="13">
        <v>4.7000828698284813E-2</v>
      </c>
      <c r="F320" s="13">
        <v>4.4719831579298493E-2</v>
      </c>
      <c r="G320" s="13">
        <v>3.8216507915511677E-2</v>
      </c>
      <c r="H320" s="13">
        <v>7.3317412382878366E-2</v>
      </c>
      <c r="I320" s="13">
        <v>0.22885803938696991</v>
      </c>
      <c r="J320" s="13">
        <v>4.1400102688182727E-2</v>
      </c>
      <c r="K320" s="13">
        <v>4.2880542032075468E-2</v>
      </c>
      <c r="L320" s="13">
        <v>4.9316075087202371E-2</v>
      </c>
      <c r="M320" s="13">
        <v>5.4798775914255422E-2</v>
      </c>
      <c r="N320" s="13">
        <v>0.2355162932551336</v>
      </c>
      <c r="O320" s="13">
        <v>4.7804186211708448E-2</v>
      </c>
      <c r="P320" s="13">
        <v>3.1163194856054229E-2</v>
      </c>
      <c r="Q320" s="13">
        <v>5.114350964003922E-2</v>
      </c>
      <c r="R320" s="13">
        <v>7.112066539309847E-2</v>
      </c>
      <c r="S320" s="13">
        <v>0.2252366775268744</v>
      </c>
      <c r="T320" s="13">
        <v>4.0325582719114017E-2</v>
      </c>
      <c r="U320" s="13">
        <v>4.1335695566369068E-2</v>
      </c>
      <c r="V320" s="13">
        <v>3.9623663552235122E-2</v>
      </c>
      <c r="W320" s="13">
        <v>6.5187913250386309E-2</v>
      </c>
      <c r="X320" s="13">
        <v>0.22663250279821859</v>
      </c>
    </row>
    <row r="321" spans="1:24" x14ac:dyDescent="0.2">
      <c r="A321" t="s">
        <v>713</v>
      </c>
      <c r="B321" t="s">
        <v>695</v>
      </c>
      <c r="C321" t="s">
        <v>696</v>
      </c>
      <c r="D321" s="13">
        <v>0.235633496873322</v>
      </c>
      <c r="E321" s="13">
        <v>5.9377794426573871E-2</v>
      </c>
      <c r="F321" s="13">
        <v>4.355859594842304E-2</v>
      </c>
      <c r="G321" s="13">
        <v>4.1575870686982867E-2</v>
      </c>
      <c r="H321" s="13">
        <v>8.7625443511374357E-2</v>
      </c>
      <c r="I321" s="13">
        <v>0.2256989305279955</v>
      </c>
      <c r="J321" s="13">
        <v>4.4763625835142477E-2</v>
      </c>
      <c r="K321" s="13">
        <v>5.0446394041325782E-2</v>
      </c>
      <c r="L321" s="13">
        <v>5.6241327122608098E-2</v>
      </c>
      <c r="M321" s="13">
        <v>6.1189712090747861E-2</v>
      </c>
      <c r="N321" s="13">
        <v>0.2326711493789935</v>
      </c>
      <c r="O321" s="13">
        <v>-1.6554409672808749E-2</v>
      </c>
      <c r="P321" s="13">
        <v>3.8889450130841219E-2</v>
      </c>
      <c r="Q321" s="13">
        <v>5.3903820541734149E-2</v>
      </c>
      <c r="R321" s="13">
        <v>8.1764268960959896E-2</v>
      </c>
      <c r="S321" s="13">
        <v>0.2247772774656154</v>
      </c>
      <c r="T321" s="13">
        <v>4.2187341744570617E-2</v>
      </c>
      <c r="U321" s="13">
        <v>4.3997254253591578E-2</v>
      </c>
      <c r="V321" s="13">
        <v>4.2627029208697209E-2</v>
      </c>
      <c r="W321" s="13">
        <v>7.5398201285992172E-2</v>
      </c>
      <c r="X321" s="13">
        <v>0.22629587805595991</v>
      </c>
    </row>
    <row r="322" spans="1:24" x14ac:dyDescent="0.2">
      <c r="A322" t="s">
        <v>713</v>
      </c>
      <c r="B322" t="s">
        <v>697</v>
      </c>
      <c r="C322" t="s">
        <v>698</v>
      </c>
      <c r="D322" s="13">
        <v>0.24841596571860691</v>
      </c>
      <c r="E322" s="13">
        <v>5.2678112962745161E-2</v>
      </c>
      <c r="F322" s="13">
        <v>4.4313840207954591E-2</v>
      </c>
      <c r="G322" s="13">
        <v>4.2795821457741752E-2</v>
      </c>
      <c r="H322" s="13">
        <v>6.954978338313822E-2</v>
      </c>
      <c r="I322" s="13">
        <v>0.23427383394045709</v>
      </c>
      <c r="J322" s="13">
        <v>4.039833402853521E-2</v>
      </c>
      <c r="K322" s="13">
        <v>4.6090076665605828E-2</v>
      </c>
      <c r="L322" s="13">
        <v>5.0494094417175013E-2</v>
      </c>
      <c r="M322" s="13">
        <v>5.4476120947577478E-2</v>
      </c>
      <c r="N322" s="13">
        <v>0.24374285350181599</v>
      </c>
      <c r="O322" s="13">
        <v>5.1584528946624353E-2</v>
      </c>
      <c r="P322" s="13">
        <v>3.2317790197611267E-2</v>
      </c>
      <c r="Q322" s="13">
        <v>5.3297551730402397E-2</v>
      </c>
      <c r="R322" s="13">
        <v>7.1806557803877347E-2</v>
      </c>
      <c r="S322" s="13">
        <v>0.23180329724654669</v>
      </c>
      <c r="T322" s="13">
        <v>4.4373130324393273E-2</v>
      </c>
      <c r="U322" s="13">
        <v>4.673265748924571E-2</v>
      </c>
      <c r="V322" s="13">
        <v>4.2233844365480173E-2</v>
      </c>
      <c r="W322" s="13">
        <v>7.464841593127769E-2</v>
      </c>
      <c r="X322" s="13">
        <v>0.22568038005115201</v>
      </c>
    </row>
    <row r="323" spans="1:24" x14ac:dyDescent="0.2">
      <c r="A323" t="s">
        <v>713</v>
      </c>
      <c r="B323" t="s">
        <v>699</v>
      </c>
      <c r="C323" t="s">
        <v>700</v>
      </c>
      <c r="D323" s="13">
        <v>0.23822633765249179</v>
      </c>
      <c r="E323" s="13">
        <v>4.6705709613514827E-2</v>
      </c>
      <c r="F323" s="13">
        <v>4.4297239614943251E-2</v>
      </c>
      <c r="G323" s="13">
        <v>3.8005911235883261E-2</v>
      </c>
      <c r="H323" s="13">
        <v>7.1800726879001076E-2</v>
      </c>
      <c r="I323" s="13">
        <v>0.22854169220882789</v>
      </c>
      <c r="J323" s="13">
        <v>4.0932232185397772E-2</v>
      </c>
      <c r="K323" s="13">
        <v>4.2430209401467238E-2</v>
      </c>
      <c r="L323" s="13">
        <v>4.8671482218032303E-2</v>
      </c>
      <c r="M323" s="13">
        <v>5.3482159064466288E-2</v>
      </c>
      <c r="N323" s="13">
        <v>0.23529389784575641</v>
      </c>
      <c r="O323" s="13">
        <v>4.741707044280119E-2</v>
      </c>
      <c r="P323" s="13">
        <v>3.0698570559284381E-2</v>
      </c>
      <c r="Q323" s="13">
        <v>5.0680983488082809E-2</v>
      </c>
      <c r="R323" s="13">
        <v>6.9914191143061188E-2</v>
      </c>
      <c r="S323" s="13">
        <v>0.22479250067630741</v>
      </c>
      <c r="T323" s="13">
        <v>3.9893311652527963E-2</v>
      </c>
      <c r="U323" s="13">
        <v>4.1166254171853822E-2</v>
      </c>
      <c r="V323" s="13">
        <v>3.8852828846214223E-2</v>
      </c>
      <c r="W323" s="13">
        <v>6.3061775829154065E-2</v>
      </c>
      <c r="X323" s="13">
        <v>0.22534870493329251</v>
      </c>
    </row>
    <row r="324" spans="1:24" x14ac:dyDescent="0.2">
      <c r="A324" t="s">
        <v>713</v>
      </c>
      <c r="B324" t="s">
        <v>701</v>
      </c>
      <c r="C324" t="s">
        <v>702</v>
      </c>
      <c r="D324" s="13">
        <v>0.2373289099447895</v>
      </c>
      <c r="E324" s="13">
        <v>5.5579855337017918E-2</v>
      </c>
      <c r="F324" s="13">
        <v>5.2341458456850447E-2</v>
      </c>
      <c r="G324" s="13">
        <v>4.5902386804597128E-2</v>
      </c>
      <c r="H324" s="13">
        <v>0.1022896844698362</v>
      </c>
      <c r="I324" s="13">
        <v>0.22902068003136661</v>
      </c>
      <c r="J324" s="13">
        <v>4.9717218672751251E-2</v>
      </c>
      <c r="K324" s="13">
        <v>5.2684490301446729E-2</v>
      </c>
      <c r="L324" s="13">
        <v>5.5297892451977582E-2</v>
      </c>
      <c r="M324" s="13">
        <v>8.5551058175692418E-2</v>
      </c>
      <c r="N324" s="13">
        <v>0.2350666665083212</v>
      </c>
      <c r="O324" s="13">
        <v>5.6188978534210683E-2</v>
      </c>
      <c r="P324" s="13">
        <v>4.0651396045388033E-2</v>
      </c>
      <c r="Q324" s="13">
        <v>5.9695276750737492E-2</v>
      </c>
      <c r="R324" s="13">
        <v>9.6912680994631906E-2</v>
      </c>
      <c r="S324" s="13">
        <v>0.22422096310106279</v>
      </c>
      <c r="T324" s="13">
        <v>4.7924883253425143E-2</v>
      </c>
      <c r="U324" s="13">
        <v>4.96026196289856E-2</v>
      </c>
      <c r="V324" s="13">
        <v>4.8184861115885269E-2</v>
      </c>
      <c r="W324" s="13">
        <v>9.2628055712307145E-2</v>
      </c>
      <c r="X324" s="13">
        <v>0.22447916855350411</v>
      </c>
    </row>
    <row r="325" spans="1:24" x14ac:dyDescent="0.2">
      <c r="A325" t="s">
        <v>713</v>
      </c>
      <c r="B325" t="s">
        <v>703</v>
      </c>
      <c r="C325" t="s">
        <v>704</v>
      </c>
      <c r="D325" s="13">
        <v>0.50090987110100738</v>
      </c>
      <c r="E325" s="13">
        <v>8.0995352579660285E-2</v>
      </c>
      <c r="F325" s="13">
        <v>8.6488164905174081E-2</v>
      </c>
      <c r="G325" s="13">
        <v>2.1556202686001669E-2</v>
      </c>
      <c r="H325" s="13">
        <v>9.5440786551304058E-2</v>
      </c>
      <c r="I325" s="13">
        <v>0.25651504210020271</v>
      </c>
      <c r="J325" s="13">
        <v>4.1365162547468692E-2</v>
      </c>
      <c r="K325" s="13">
        <v>6.5810596938198351E-2</v>
      </c>
      <c r="L325" s="13">
        <v>0.14130841136268391</v>
      </c>
      <c r="M325" s="13">
        <v>9.4967164505987967E-2</v>
      </c>
      <c r="N325" s="13">
        <v>0.2575614725063291</v>
      </c>
      <c r="O325" s="13">
        <v>8.7136474448468171E-2</v>
      </c>
      <c r="P325" s="13">
        <v>4.1969939588382132E-3</v>
      </c>
      <c r="Q325" s="13">
        <v>6.8341761509826959E-2</v>
      </c>
      <c r="R325" s="13">
        <v>0.1123715416532889</v>
      </c>
      <c r="S325" s="13">
        <v>0.27592005835415101</v>
      </c>
      <c r="T325" s="13">
        <v>7.3296513926401907E-2</v>
      </c>
      <c r="U325" s="13">
        <v>-5.0495066032707481E-2</v>
      </c>
      <c r="V325" s="13">
        <v>8.6332400815480881E-2</v>
      </c>
      <c r="W325" s="13">
        <v>9.3416909521026881E-2</v>
      </c>
      <c r="X325" s="13">
        <v>0.2049311866483938</v>
      </c>
    </row>
    <row r="326" spans="1:24" x14ac:dyDescent="0.2">
      <c r="A326" s="14" t="s">
        <v>713</v>
      </c>
      <c r="B326" s="14" t="s">
        <v>705</v>
      </c>
      <c r="C326" s="14" t="s">
        <v>706</v>
      </c>
      <c r="D326" s="15">
        <v>0.25866456084935319</v>
      </c>
      <c r="E326" s="15">
        <v>0.12926115479132691</v>
      </c>
      <c r="F326" s="15">
        <v>-4.1429039659135469E-2</v>
      </c>
      <c r="G326" s="15">
        <v>0.16700899137938041</v>
      </c>
      <c r="H326" s="15">
        <v>-3.666325931150904E-3</v>
      </c>
      <c r="I326" s="15">
        <v>0.33277492560142008</v>
      </c>
      <c r="J326" s="15">
        <v>0.1390374052383514</v>
      </c>
      <c r="K326" s="15">
        <v>0.3163531373351347</v>
      </c>
      <c r="L326" s="15">
        <v>-6.2014429614498663E-2</v>
      </c>
      <c r="M326" s="15">
        <v>9.7066006617962941E-3</v>
      </c>
      <c r="N326" s="15">
        <v>0.25668000617000702</v>
      </c>
      <c r="O326" s="15">
        <v>-5.3676633290922197E-2</v>
      </c>
      <c r="P326" s="15">
        <v>-8.3022934220766675E-2</v>
      </c>
      <c r="Q326" s="15">
        <v>0.22469439917185419</v>
      </c>
      <c r="R326" s="15">
        <v>-2.4180810281670961E-2</v>
      </c>
      <c r="S326" s="15">
        <v>0.15393080715198071</v>
      </c>
      <c r="T326" s="15">
        <v>0.13842829974684001</v>
      </c>
      <c r="U326" s="15">
        <v>9.6550536152628652E-2</v>
      </c>
      <c r="V326" s="15">
        <v>-9.181092971689564E-2</v>
      </c>
      <c r="W326" s="15">
        <v>0.17087185988506889</v>
      </c>
      <c r="X326" s="15">
        <v>0.2019623622632194</v>
      </c>
    </row>
    <row r="327" spans="1:24" x14ac:dyDescent="0.2">
      <c r="A327" t="s">
        <v>713</v>
      </c>
      <c r="B327" t="s">
        <v>707</v>
      </c>
      <c r="C327" t="s">
        <v>708</v>
      </c>
      <c r="D327" s="13">
        <v>0.79487119479850765</v>
      </c>
      <c r="E327" s="13">
        <v>9.2600053811842109E-2</v>
      </c>
      <c r="F327" s="13">
        <v>1.4395675020706379E-2</v>
      </c>
      <c r="G327" s="13">
        <v>-0.15839784873619139</v>
      </c>
      <c r="H327" s="13">
        <v>-2.8627903528755109E-2</v>
      </c>
      <c r="I327" s="13">
        <v>0.2102942342337322</v>
      </c>
      <c r="J327" s="13">
        <v>-0.30785703812066251</v>
      </c>
      <c r="K327" s="13">
        <v>-0.2642720955894684</v>
      </c>
      <c r="L327" s="13">
        <v>-9.2119559252845651E-2</v>
      </c>
      <c r="M327" s="13">
        <v>5.842593260076967E-2</v>
      </c>
      <c r="N327" s="13">
        <v>0.15404186645222581</v>
      </c>
      <c r="O327" s="13">
        <v>0.2005287601540395</v>
      </c>
      <c r="P327" s="13">
        <v>7.6577636048380526E-2</v>
      </c>
      <c r="Q327" s="13">
        <v>0.28701471898382458</v>
      </c>
      <c r="R327" s="13">
        <v>0.19708574694681241</v>
      </c>
      <c r="S327" s="13">
        <v>7.0642692118894068E-2</v>
      </c>
      <c r="T327" s="13">
        <v>-0.1273252657762125</v>
      </c>
      <c r="U327" s="13">
        <v>-0.1109563814205461</v>
      </c>
      <c r="V327" s="13">
        <v>0.28488418024459339</v>
      </c>
      <c r="W327" s="13">
        <v>6.8590878499752428E-2</v>
      </c>
      <c r="X327" s="13">
        <v>0.155886390921256</v>
      </c>
    </row>
    <row r="328" spans="1:24" x14ac:dyDescent="0.2">
      <c r="A328" s="14" t="s">
        <v>713</v>
      </c>
      <c r="B328" s="14" t="s">
        <v>709</v>
      </c>
      <c r="C328" s="14" t="s">
        <v>710</v>
      </c>
      <c r="D328" s="15">
        <v>-1.7822706841474911E-4</v>
      </c>
      <c r="E328" s="15">
        <v>6.5290632427994488E-2</v>
      </c>
      <c r="F328" s="15">
        <v>4.4705885146845148E-2</v>
      </c>
      <c r="G328" s="15">
        <v>7.139063376249144E-2</v>
      </c>
      <c r="H328" s="15">
        <v>0.31880486129971519</v>
      </c>
      <c r="I328" s="15">
        <v>8.7546418518003044E-2</v>
      </c>
      <c r="J328" s="15">
        <v>0.1186542283488468</v>
      </c>
      <c r="K328" s="15">
        <v>5.3800104296697349E-2</v>
      </c>
      <c r="L328" s="15">
        <v>6.2968876394697837E-2</v>
      </c>
      <c r="M328" s="15">
        <v>0.26827423011837048</v>
      </c>
      <c r="N328" s="15">
        <v>3.3260915427368858E-2</v>
      </c>
      <c r="O328" s="15">
        <v>5.5573081245374738E-2</v>
      </c>
      <c r="P328" s="15">
        <v>5.1843314590271923E-2</v>
      </c>
      <c r="Q328" s="15">
        <v>6.2261896658166727E-2</v>
      </c>
      <c r="R328" s="15">
        <v>0.32700877868436778</v>
      </c>
      <c r="S328" s="15">
        <v>6.4124709407509251E-2</v>
      </c>
      <c r="T328" s="15">
        <v>8.6924722489323258E-2</v>
      </c>
      <c r="U328" s="15">
        <v>0.1406630658478347</v>
      </c>
      <c r="V328" s="15">
        <v>0.1096330178979921</v>
      </c>
      <c r="W328" s="15">
        <v>0.24574916817312609</v>
      </c>
      <c r="X328" s="15">
        <v>0.1169107679869885</v>
      </c>
    </row>
    <row r="329" spans="1:24" x14ac:dyDescent="0.2">
      <c r="A329" t="s">
        <v>713</v>
      </c>
      <c r="B329" t="s">
        <v>667</v>
      </c>
      <c r="C329" t="s">
        <v>668</v>
      </c>
      <c r="D329" s="13">
        <v>0.25449521267881797</v>
      </c>
      <c r="E329" s="13">
        <v>5.789185440217004E-2</v>
      </c>
      <c r="F329" s="13">
        <v>4.3375987441396369E-2</v>
      </c>
      <c r="G329" s="13">
        <v>4.6216850957736533E-2</v>
      </c>
      <c r="H329" s="13">
        <v>8.3411284868772917E-2</v>
      </c>
      <c r="I329" s="13">
        <v>0.24086372643561391</v>
      </c>
      <c r="J329" s="13">
        <v>4.8747625779110848E-2</v>
      </c>
      <c r="K329" s="13">
        <v>4.2808176241693197E-2</v>
      </c>
      <c r="L329" s="13">
        <v>4.3314730841825799E-2</v>
      </c>
      <c r="M329" s="13">
        <v>6.7024860937658914E-2</v>
      </c>
      <c r="N329" s="13">
        <v>0.2473290780599102</v>
      </c>
      <c r="O329" s="13">
        <v>5.237639042579012E-2</v>
      </c>
      <c r="P329" s="13">
        <v>3.5784229358792892E-2</v>
      </c>
      <c r="Q329" s="13">
        <v>5.856744606225206E-2</v>
      </c>
      <c r="R329" s="13">
        <v>8.8503881866053291E-2</v>
      </c>
      <c r="S329" s="13">
        <v>0.2318834858717089</v>
      </c>
      <c r="T329" s="13">
        <v>4.4380556477174871E-2</v>
      </c>
      <c r="U329" s="13">
        <v>4.2478313882399199E-2</v>
      </c>
      <c r="V329" s="13">
        <v>4.0685661113459837E-2</v>
      </c>
      <c r="W329" s="13">
        <v>7.667664441834976E-2</v>
      </c>
      <c r="X329" s="13">
        <v>0.2324453656786574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Takip Tablosu</vt:lpstr>
      <vt:lpstr>V_Arbitraj</vt:lpstr>
      <vt:lpstr>Arbitraj</vt:lpstr>
      <vt:lpstr>V_Mutlak Getiri</vt:lpstr>
      <vt:lpstr>Mutlak Getiri</vt:lpstr>
      <vt:lpstr>V_Para Piyasası</vt:lpstr>
      <vt:lpstr>Para Piyasası</vt:lpstr>
      <vt:lpstr>V_Hisse</vt:lpstr>
      <vt:lpstr>Hisse</vt:lpstr>
      <vt:lpstr>V_Dengeli Değişken</vt:lpstr>
      <vt:lpstr>Dengeli Değişken</vt:lpstr>
      <vt:lpstr>V_Altın</vt:lpstr>
      <vt:lpstr>Altın</vt:lpstr>
      <vt:lpstr>V_RUT</vt:lpstr>
      <vt:lpstr>RUT</vt:lpstr>
      <vt:lpstr>V_Oyun</vt:lpstr>
      <vt:lpstr>Oyun</vt:lpstr>
      <vt:lpstr>V_Teknoloji</vt:lpstr>
      <vt:lpstr>Teknoloji</vt:lpstr>
      <vt:lpstr>V_Tüm Teknoloji</vt:lpstr>
      <vt:lpstr>Tüm Teknoloji</vt:lpstr>
      <vt:lpstr>V_Döviz</vt:lpstr>
      <vt:lpstr>Döviz</vt:lpstr>
      <vt:lpstr>VeriTakip</vt:lpstr>
      <vt:lpstr>Günlük Getiriler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ARHAN ATAV</cp:lastModifiedBy>
  <dcterms:created xsi:type="dcterms:W3CDTF">2026-07-14T13:16:18Z</dcterms:created>
  <dcterms:modified xsi:type="dcterms:W3CDTF">2026-07-14T13:32:51Z</dcterms:modified>
</cp:coreProperties>
</file>