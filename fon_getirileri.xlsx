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kip Tablosu" sheetId="1" state="visible" r:id="rId1"/>
    <sheet name="V_Arbitraj" sheetId="2" state="hidden" r:id="rId2"/>
    <sheet name="Arbitraj" sheetId="3" state="visible" r:id="rId3"/>
    <sheet name="V_Mutlak Getiri" sheetId="4" state="hidden" r:id="rId4"/>
    <sheet name="Mutlak Getiri" sheetId="5" state="visible" r:id="rId5"/>
    <sheet name="V_Para Piyasası" sheetId="6" state="hidden" r:id="rId6"/>
    <sheet name="Para Piyasası" sheetId="7" state="visible" r:id="rId7"/>
    <sheet name="V_Hisse" sheetId="8" state="hidden" r:id="rId8"/>
    <sheet name="Hisse" sheetId="9" state="visible" r:id="rId9"/>
    <sheet name="V_Dengeli Değişken" sheetId="10" state="hidden" r:id="rId10"/>
    <sheet name="Dengeli Değişken" sheetId="11" state="visible" r:id="rId11"/>
    <sheet name="V_Altın" sheetId="12" state="hidden" r:id="rId12"/>
    <sheet name="Altın" sheetId="13" state="visible" r:id="rId13"/>
    <sheet name="V_RUT" sheetId="14" state="hidden" r:id="rId14"/>
    <sheet name="RUT" sheetId="15" state="visible" r:id="rId15"/>
    <sheet name="V_Oyun" sheetId="16" state="hidden" r:id="rId16"/>
    <sheet name="Oyun" sheetId="17" state="visible" r:id="rId17"/>
    <sheet name="V_Teknoloji" sheetId="18" state="hidden" r:id="rId18"/>
    <sheet name="Teknoloji" sheetId="19" state="visible" r:id="rId19"/>
    <sheet name="V_Tüm Teknoloji" sheetId="20" state="hidden" r:id="rId20"/>
    <sheet name="Tüm Teknoloji" sheetId="21" state="visible" r:id="rId21"/>
    <sheet name="V_Döviz" sheetId="22" state="hidden" r:id="rId22"/>
    <sheet name="Döviz" sheetId="23" state="visible" r:id="rId23"/>
    <sheet name="VeriTakip" sheetId="24" state="hidden" r:id="rId24"/>
    <sheet name="Günlük Getiriler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.0000"/>
    <numFmt numFmtId="167" formatCode="DD.MM"/>
  </numFmts>
  <fonts count="4">
    <font>
      <name val="Calibri"/>
      <family val="2"/>
      <color theme="1"/>
      <sz val="11"/>
      <scheme val="minor"/>
    </font>
    <font>
      <i val="1"/>
      <color rgb="00808080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1" fillId="0" borderId="0" pivotButton="0" quotePrefix="0" xfId="0"/>
    <xf numFmtId="0" fontId="2" fillId="0" borderId="0" applyAlignment="1" pivotButton="0" quotePrefix="0" xfId="0">
      <alignment horizontal="right" vertical="center"/>
    </xf>
    <xf numFmtId="10" fontId="0" fillId="0" borderId="1" pivotButton="0" quotePrefix="0" xfId="0"/>
    <xf numFmtId="166" fontId="0" fillId="0" borderId="1" pivotButton="0" quotePrefix="0" xfId="0"/>
    <xf numFmtId="3" fontId="0" fillId="0" borderId="1" pivotButton="0" quotePrefix="0" xfId="0"/>
    <xf numFmtId="4" fontId="0" fillId="0" borderId="1" pivotButton="0" quotePrefix="0" xfId="0"/>
    <xf numFmtId="167" fontId="2" fillId="0" borderId="0" pivotButton="0" quotePrefix="0" xfId="0"/>
    <xf numFmtId="166" fontId="0" fillId="0" borderId="0" pivotButton="0" quotePrefix="0" xfId="0"/>
    <xf numFmtId="0" fontId="0" fillId="4" borderId="0" pivotButton="0" quotePrefix="0" xfId="0"/>
    <xf numFmtId="166" fontId="0" fillId="4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11" customWidth="1" min="4" max="4"/>
    <col width="14" customWidth="1" min="5" max="5"/>
    <col width="11" customWidth="1" min="6" max="6"/>
    <col width="11" customWidth="1" min="7" max="7"/>
    <col width="18" customWidth="1" min="8" max="8"/>
  </cols>
  <sheetData>
    <row r="1" ht="22" customHeight="1">
      <c r="A1" s="1" t="inlineStr">
        <is>
          <t>Sırala:</t>
        </is>
      </c>
      <c r="B1" s="2" t="inlineStr">
        <is>
          <t>Günlük Sıra</t>
        </is>
      </c>
      <c r="C1" s="3" t="inlineStr">
        <is>
          <t>◀ seçince tablo o sıraya göre dizilir</t>
        </is>
      </c>
    </row>
    <row r="3">
      <c r="A3" s="4" t="inlineStr">
        <is>
          <t>Fon Kodu</t>
        </is>
      </c>
      <c r="B3" s="4" t="inlineStr">
        <is>
          <t>Günlük Sıra</t>
        </is>
      </c>
      <c r="C3" s="4" t="inlineStr">
        <is>
          <t>Haftalık Sıra</t>
        </is>
      </c>
      <c r="D3" s="4" t="inlineStr">
        <is>
          <t>Aylık Sıra</t>
        </is>
      </c>
      <c r="E3" s="4" t="inlineStr">
        <is>
          <t>Yılbaşına Göre</t>
        </is>
      </c>
      <c r="F3" s="4" t="inlineStr">
        <is>
          <t>Yıllık Sıra</t>
        </is>
      </c>
      <c r="G3" s="4" t="inlineStr">
        <is>
          <t>Kat. Toplam</t>
        </is>
      </c>
      <c r="H3" s="4" t="inlineStr">
        <is>
          <t>Kategori</t>
        </is>
      </c>
    </row>
    <row r="4">
      <c r="A4" s="5">
        <f>INDEX(VeriTakip!A$2:A$15,MATCH(SMALL(VeriTakip!$J$2:$J$15,ROW()-3),VeriTakip!$J$2:$J$15,0))</f>
        <v/>
      </c>
      <c r="B4" s="5">
        <f>INDEX(VeriTakip!B$2:B$15,MATCH(SMALL(VeriTakip!$J$2:$J$15,ROW()-3),VeriTakip!$J$2:$J$15,0))</f>
        <v/>
      </c>
      <c r="C4" s="5">
        <f>INDEX(VeriTakip!C$2:C$15,MATCH(SMALL(VeriTakip!$J$2:$J$15,ROW()-3),VeriTakip!$J$2:$J$15,0))</f>
        <v/>
      </c>
      <c r="D4" s="5">
        <f>INDEX(VeriTakip!D$2:D$15,MATCH(SMALL(VeriTakip!$J$2:$J$15,ROW()-3),VeriTakip!$J$2:$J$15,0))</f>
        <v/>
      </c>
      <c r="E4" s="5">
        <f>INDEX(VeriTakip!E$2:E$15,MATCH(SMALL(VeriTakip!$J$2:$J$15,ROW()-3),VeriTakip!$J$2:$J$15,0))</f>
        <v/>
      </c>
      <c r="F4" s="5">
        <f>INDEX(VeriTakip!F$2:F$15,MATCH(SMALL(VeriTakip!$J$2:$J$15,ROW()-3),VeriTakip!$J$2:$J$15,0))</f>
        <v/>
      </c>
      <c r="G4" s="5">
        <f>INDEX(VeriTakip!G$2:G$15,MATCH(SMALL(VeriTakip!$J$2:$J$15,ROW()-3),VeriTakip!$J$2:$J$15,0))</f>
        <v/>
      </c>
      <c r="H4" s="5">
        <f>INDEX(VeriTakip!H$2:H$15,MATCH(SMALL(VeriTakip!$J$2:$J$15,ROW()-3),VeriTakip!$J$2:$J$15,0))</f>
        <v/>
      </c>
    </row>
    <row r="5">
      <c r="A5" s="5">
        <f>INDEX(VeriTakip!A$2:A$15,MATCH(SMALL(VeriTakip!$J$2:$J$15,ROW()-3),VeriTakip!$J$2:$J$15,0))</f>
        <v/>
      </c>
      <c r="B5" s="5">
        <f>INDEX(VeriTakip!B$2:B$15,MATCH(SMALL(VeriTakip!$J$2:$J$15,ROW()-3),VeriTakip!$J$2:$J$15,0))</f>
        <v/>
      </c>
      <c r="C5" s="5">
        <f>INDEX(VeriTakip!C$2:C$15,MATCH(SMALL(VeriTakip!$J$2:$J$15,ROW()-3),VeriTakip!$J$2:$J$15,0))</f>
        <v/>
      </c>
      <c r="D5" s="5">
        <f>INDEX(VeriTakip!D$2:D$15,MATCH(SMALL(VeriTakip!$J$2:$J$15,ROW()-3),VeriTakip!$J$2:$J$15,0))</f>
        <v/>
      </c>
      <c r="E5" s="5">
        <f>INDEX(VeriTakip!E$2:E$15,MATCH(SMALL(VeriTakip!$J$2:$J$15,ROW()-3),VeriTakip!$J$2:$J$15,0))</f>
        <v/>
      </c>
      <c r="F5" s="5">
        <f>INDEX(VeriTakip!F$2:F$15,MATCH(SMALL(VeriTakip!$J$2:$J$15,ROW()-3),VeriTakip!$J$2:$J$15,0))</f>
        <v/>
      </c>
      <c r="G5" s="5">
        <f>INDEX(VeriTakip!G$2:G$15,MATCH(SMALL(VeriTakip!$J$2:$J$15,ROW()-3),VeriTakip!$J$2:$J$15,0))</f>
        <v/>
      </c>
      <c r="H5" s="5">
        <f>INDEX(VeriTakip!H$2:H$15,MATCH(SMALL(VeriTakip!$J$2:$J$15,ROW()-3),VeriTakip!$J$2:$J$15,0))</f>
        <v/>
      </c>
    </row>
    <row r="6">
      <c r="A6" s="5">
        <f>INDEX(VeriTakip!A$2:A$15,MATCH(SMALL(VeriTakip!$J$2:$J$15,ROW()-3),VeriTakip!$J$2:$J$15,0))</f>
        <v/>
      </c>
      <c r="B6" s="5">
        <f>INDEX(VeriTakip!B$2:B$15,MATCH(SMALL(VeriTakip!$J$2:$J$15,ROW()-3),VeriTakip!$J$2:$J$15,0))</f>
        <v/>
      </c>
      <c r="C6" s="5">
        <f>INDEX(VeriTakip!C$2:C$15,MATCH(SMALL(VeriTakip!$J$2:$J$15,ROW()-3),VeriTakip!$J$2:$J$15,0))</f>
        <v/>
      </c>
      <c r="D6" s="5">
        <f>INDEX(VeriTakip!D$2:D$15,MATCH(SMALL(VeriTakip!$J$2:$J$15,ROW()-3),VeriTakip!$J$2:$J$15,0))</f>
        <v/>
      </c>
      <c r="E6" s="5">
        <f>INDEX(VeriTakip!E$2:E$15,MATCH(SMALL(VeriTakip!$J$2:$J$15,ROW()-3),VeriTakip!$J$2:$J$15,0))</f>
        <v/>
      </c>
      <c r="F6" s="5">
        <f>INDEX(VeriTakip!F$2:F$15,MATCH(SMALL(VeriTakip!$J$2:$J$15,ROW()-3),VeriTakip!$J$2:$J$15,0))</f>
        <v/>
      </c>
      <c r="G6" s="5">
        <f>INDEX(VeriTakip!G$2:G$15,MATCH(SMALL(VeriTakip!$J$2:$J$15,ROW()-3),VeriTakip!$J$2:$J$15,0))</f>
        <v/>
      </c>
      <c r="H6" s="5">
        <f>INDEX(VeriTakip!H$2:H$15,MATCH(SMALL(VeriTakip!$J$2:$J$15,ROW()-3),VeriTakip!$J$2:$J$15,0))</f>
        <v/>
      </c>
    </row>
    <row r="7">
      <c r="A7" s="5">
        <f>INDEX(VeriTakip!A$2:A$15,MATCH(SMALL(VeriTakip!$J$2:$J$15,ROW()-3),VeriTakip!$J$2:$J$15,0))</f>
        <v/>
      </c>
      <c r="B7" s="5">
        <f>INDEX(VeriTakip!B$2:B$15,MATCH(SMALL(VeriTakip!$J$2:$J$15,ROW()-3),VeriTakip!$J$2:$J$15,0))</f>
        <v/>
      </c>
      <c r="C7" s="5">
        <f>INDEX(VeriTakip!C$2:C$15,MATCH(SMALL(VeriTakip!$J$2:$J$15,ROW()-3),VeriTakip!$J$2:$J$15,0))</f>
        <v/>
      </c>
      <c r="D7" s="5">
        <f>INDEX(VeriTakip!D$2:D$15,MATCH(SMALL(VeriTakip!$J$2:$J$15,ROW()-3),VeriTakip!$J$2:$J$15,0))</f>
        <v/>
      </c>
      <c r="E7" s="5">
        <f>INDEX(VeriTakip!E$2:E$15,MATCH(SMALL(VeriTakip!$J$2:$J$15,ROW()-3),VeriTakip!$J$2:$J$15,0))</f>
        <v/>
      </c>
      <c r="F7" s="5">
        <f>INDEX(VeriTakip!F$2:F$15,MATCH(SMALL(VeriTakip!$J$2:$J$15,ROW()-3),VeriTakip!$J$2:$J$15,0))</f>
        <v/>
      </c>
      <c r="G7" s="5">
        <f>INDEX(VeriTakip!G$2:G$15,MATCH(SMALL(VeriTakip!$J$2:$J$15,ROW()-3),VeriTakip!$J$2:$J$15,0))</f>
        <v/>
      </c>
      <c r="H7" s="5">
        <f>INDEX(VeriTakip!H$2:H$15,MATCH(SMALL(VeriTakip!$J$2:$J$15,ROW()-3),VeriTakip!$J$2:$J$15,0))</f>
        <v/>
      </c>
    </row>
    <row r="8">
      <c r="A8" s="5">
        <f>INDEX(VeriTakip!A$2:A$15,MATCH(SMALL(VeriTakip!$J$2:$J$15,ROW()-3),VeriTakip!$J$2:$J$15,0))</f>
        <v/>
      </c>
      <c r="B8" s="5">
        <f>INDEX(VeriTakip!B$2:B$15,MATCH(SMALL(VeriTakip!$J$2:$J$15,ROW()-3),VeriTakip!$J$2:$J$15,0))</f>
        <v/>
      </c>
      <c r="C8" s="5">
        <f>INDEX(VeriTakip!C$2:C$15,MATCH(SMALL(VeriTakip!$J$2:$J$15,ROW()-3),VeriTakip!$J$2:$J$15,0))</f>
        <v/>
      </c>
      <c r="D8" s="5">
        <f>INDEX(VeriTakip!D$2:D$15,MATCH(SMALL(VeriTakip!$J$2:$J$15,ROW()-3),VeriTakip!$J$2:$J$15,0))</f>
        <v/>
      </c>
      <c r="E8" s="5">
        <f>INDEX(VeriTakip!E$2:E$15,MATCH(SMALL(VeriTakip!$J$2:$J$15,ROW()-3),VeriTakip!$J$2:$J$15,0))</f>
        <v/>
      </c>
      <c r="F8" s="5">
        <f>INDEX(VeriTakip!F$2:F$15,MATCH(SMALL(VeriTakip!$J$2:$J$15,ROW()-3),VeriTakip!$J$2:$J$15,0))</f>
        <v/>
      </c>
      <c r="G8" s="5">
        <f>INDEX(VeriTakip!G$2:G$15,MATCH(SMALL(VeriTakip!$J$2:$J$15,ROW()-3),VeriTakip!$J$2:$J$15,0))</f>
        <v/>
      </c>
      <c r="H8" s="5">
        <f>INDEX(VeriTakip!H$2:H$15,MATCH(SMALL(VeriTakip!$J$2:$J$15,ROW()-3),VeriTakip!$J$2:$J$15,0))</f>
        <v/>
      </c>
    </row>
    <row r="9">
      <c r="A9" s="5">
        <f>INDEX(VeriTakip!A$2:A$15,MATCH(SMALL(VeriTakip!$J$2:$J$15,ROW()-3),VeriTakip!$J$2:$J$15,0))</f>
        <v/>
      </c>
      <c r="B9" s="5">
        <f>INDEX(VeriTakip!B$2:B$15,MATCH(SMALL(VeriTakip!$J$2:$J$15,ROW()-3),VeriTakip!$J$2:$J$15,0))</f>
        <v/>
      </c>
      <c r="C9" s="5">
        <f>INDEX(VeriTakip!C$2:C$15,MATCH(SMALL(VeriTakip!$J$2:$J$15,ROW()-3),VeriTakip!$J$2:$J$15,0))</f>
        <v/>
      </c>
      <c r="D9" s="5">
        <f>INDEX(VeriTakip!D$2:D$15,MATCH(SMALL(VeriTakip!$J$2:$J$15,ROW()-3),VeriTakip!$J$2:$J$15,0))</f>
        <v/>
      </c>
      <c r="E9" s="5">
        <f>INDEX(VeriTakip!E$2:E$15,MATCH(SMALL(VeriTakip!$J$2:$J$15,ROW()-3),VeriTakip!$J$2:$J$15,0))</f>
        <v/>
      </c>
      <c r="F9" s="5">
        <f>INDEX(VeriTakip!F$2:F$15,MATCH(SMALL(VeriTakip!$J$2:$J$15,ROW()-3),VeriTakip!$J$2:$J$15,0))</f>
        <v/>
      </c>
      <c r="G9" s="5">
        <f>INDEX(VeriTakip!G$2:G$15,MATCH(SMALL(VeriTakip!$J$2:$J$15,ROW()-3),VeriTakip!$J$2:$J$15,0))</f>
        <v/>
      </c>
      <c r="H9" s="5">
        <f>INDEX(VeriTakip!H$2:H$15,MATCH(SMALL(VeriTakip!$J$2:$J$15,ROW()-3),VeriTakip!$J$2:$J$15,0))</f>
        <v/>
      </c>
    </row>
    <row r="10">
      <c r="A10" s="5">
        <f>INDEX(VeriTakip!A$2:A$15,MATCH(SMALL(VeriTakip!$J$2:$J$15,ROW()-3),VeriTakip!$J$2:$J$15,0))</f>
        <v/>
      </c>
      <c r="B10" s="5">
        <f>INDEX(VeriTakip!B$2:B$15,MATCH(SMALL(VeriTakip!$J$2:$J$15,ROW()-3),VeriTakip!$J$2:$J$15,0))</f>
        <v/>
      </c>
      <c r="C10" s="5">
        <f>INDEX(VeriTakip!C$2:C$15,MATCH(SMALL(VeriTakip!$J$2:$J$15,ROW()-3),VeriTakip!$J$2:$J$15,0))</f>
        <v/>
      </c>
      <c r="D10" s="5">
        <f>INDEX(VeriTakip!D$2:D$15,MATCH(SMALL(VeriTakip!$J$2:$J$15,ROW()-3),VeriTakip!$J$2:$J$15,0))</f>
        <v/>
      </c>
      <c r="E10" s="5">
        <f>INDEX(VeriTakip!E$2:E$15,MATCH(SMALL(VeriTakip!$J$2:$J$15,ROW()-3),VeriTakip!$J$2:$J$15,0))</f>
        <v/>
      </c>
      <c r="F10" s="5">
        <f>INDEX(VeriTakip!F$2:F$15,MATCH(SMALL(VeriTakip!$J$2:$J$15,ROW()-3),VeriTakip!$J$2:$J$15,0))</f>
        <v/>
      </c>
      <c r="G10" s="5">
        <f>INDEX(VeriTakip!G$2:G$15,MATCH(SMALL(VeriTakip!$J$2:$J$15,ROW()-3),VeriTakip!$J$2:$J$15,0))</f>
        <v/>
      </c>
      <c r="H10" s="5">
        <f>INDEX(VeriTakip!H$2:H$15,MATCH(SMALL(VeriTakip!$J$2:$J$15,ROW()-3),VeriTakip!$J$2:$J$15,0))</f>
        <v/>
      </c>
    </row>
    <row r="11">
      <c r="A11" s="5">
        <f>INDEX(VeriTakip!A$2:A$15,MATCH(SMALL(VeriTakip!$J$2:$J$15,ROW()-3),VeriTakip!$J$2:$J$15,0))</f>
        <v/>
      </c>
      <c r="B11" s="5">
        <f>INDEX(VeriTakip!B$2:B$15,MATCH(SMALL(VeriTakip!$J$2:$J$15,ROW()-3),VeriTakip!$J$2:$J$15,0))</f>
        <v/>
      </c>
      <c r="C11" s="5">
        <f>INDEX(VeriTakip!C$2:C$15,MATCH(SMALL(VeriTakip!$J$2:$J$15,ROW()-3),VeriTakip!$J$2:$J$15,0))</f>
        <v/>
      </c>
      <c r="D11" s="5">
        <f>INDEX(VeriTakip!D$2:D$15,MATCH(SMALL(VeriTakip!$J$2:$J$15,ROW()-3),VeriTakip!$J$2:$J$15,0))</f>
        <v/>
      </c>
      <c r="E11" s="5">
        <f>INDEX(VeriTakip!E$2:E$15,MATCH(SMALL(VeriTakip!$J$2:$J$15,ROW()-3),VeriTakip!$J$2:$J$15,0))</f>
        <v/>
      </c>
      <c r="F11" s="5">
        <f>INDEX(VeriTakip!F$2:F$15,MATCH(SMALL(VeriTakip!$J$2:$J$15,ROW()-3),VeriTakip!$J$2:$J$15,0))</f>
        <v/>
      </c>
      <c r="G11" s="5">
        <f>INDEX(VeriTakip!G$2:G$15,MATCH(SMALL(VeriTakip!$J$2:$J$15,ROW()-3),VeriTakip!$J$2:$J$15,0))</f>
        <v/>
      </c>
      <c r="H11" s="5">
        <f>INDEX(VeriTakip!H$2:H$15,MATCH(SMALL(VeriTakip!$J$2:$J$15,ROW()-3),VeriTakip!$J$2:$J$15,0))</f>
        <v/>
      </c>
    </row>
    <row r="12">
      <c r="A12" s="5">
        <f>INDEX(VeriTakip!A$2:A$15,MATCH(SMALL(VeriTakip!$J$2:$J$15,ROW()-3),VeriTakip!$J$2:$J$15,0))</f>
        <v/>
      </c>
      <c r="B12" s="5">
        <f>INDEX(VeriTakip!B$2:B$15,MATCH(SMALL(VeriTakip!$J$2:$J$15,ROW()-3),VeriTakip!$J$2:$J$15,0))</f>
        <v/>
      </c>
      <c r="C12" s="5">
        <f>INDEX(VeriTakip!C$2:C$15,MATCH(SMALL(VeriTakip!$J$2:$J$15,ROW()-3),VeriTakip!$J$2:$J$15,0))</f>
        <v/>
      </c>
      <c r="D12" s="5">
        <f>INDEX(VeriTakip!D$2:D$15,MATCH(SMALL(VeriTakip!$J$2:$J$15,ROW()-3),VeriTakip!$J$2:$J$15,0))</f>
        <v/>
      </c>
      <c r="E12" s="5">
        <f>INDEX(VeriTakip!E$2:E$15,MATCH(SMALL(VeriTakip!$J$2:$J$15,ROW()-3),VeriTakip!$J$2:$J$15,0))</f>
        <v/>
      </c>
      <c r="F12" s="5">
        <f>INDEX(VeriTakip!F$2:F$15,MATCH(SMALL(VeriTakip!$J$2:$J$15,ROW()-3),VeriTakip!$J$2:$J$15,0))</f>
        <v/>
      </c>
      <c r="G12" s="5">
        <f>INDEX(VeriTakip!G$2:G$15,MATCH(SMALL(VeriTakip!$J$2:$J$15,ROW()-3),VeriTakip!$J$2:$J$15,0))</f>
        <v/>
      </c>
      <c r="H12" s="5">
        <f>INDEX(VeriTakip!H$2:H$15,MATCH(SMALL(VeriTakip!$J$2:$J$15,ROW()-3),VeriTakip!$J$2:$J$15,0))</f>
        <v/>
      </c>
    </row>
    <row r="13">
      <c r="A13" s="5">
        <f>INDEX(VeriTakip!A$2:A$15,MATCH(SMALL(VeriTakip!$J$2:$J$15,ROW()-3),VeriTakip!$J$2:$J$15,0))</f>
        <v/>
      </c>
      <c r="B13" s="5">
        <f>INDEX(VeriTakip!B$2:B$15,MATCH(SMALL(VeriTakip!$J$2:$J$15,ROW()-3),VeriTakip!$J$2:$J$15,0))</f>
        <v/>
      </c>
      <c r="C13" s="5">
        <f>INDEX(VeriTakip!C$2:C$15,MATCH(SMALL(VeriTakip!$J$2:$J$15,ROW()-3),VeriTakip!$J$2:$J$15,0))</f>
        <v/>
      </c>
      <c r="D13" s="5">
        <f>INDEX(VeriTakip!D$2:D$15,MATCH(SMALL(VeriTakip!$J$2:$J$15,ROW()-3),VeriTakip!$J$2:$J$15,0))</f>
        <v/>
      </c>
      <c r="E13" s="5">
        <f>INDEX(VeriTakip!E$2:E$15,MATCH(SMALL(VeriTakip!$J$2:$J$15,ROW()-3),VeriTakip!$J$2:$J$15,0))</f>
        <v/>
      </c>
      <c r="F13" s="5">
        <f>INDEX(VeriTakip!F$2:F$15,MATCH(SMALL(VeriTakip!$J$2:$J$15,ROW()-3),VeriTakip!$J$2:$J$15,0))</f>
        <v/>
      </c>
      <c r="G13" s="5">
        <f>INDEX(VeriTakip!G$2:G$15,MATCH(SMALL(VeriTakip!$J$2:$J$15,ROW()-3),VeriTakip!$J$2:$J$15,0))</f>
        <v/>
      </c>
      <c r="H13" s="5">
        <f>INDEX(VeriTakip!H$2:H$15,MATCH(SMALL(VeriTakip!$J$2:$J$15,ROW()-3),VeriTakip!$J$2:$J$15,0))</f>
        <v/>
      </c>
    </row>
    <row r="14">
      <c r="A14" s="5">
        <f>INDEX(VeriTakip!A$2:A$15,MATCH(SMALL(VeriTakip!$J$2:$J$15,ROW()-3),VeriTakip!$J$2:$J$15,0))</f>
        <v/>
      </c>
      <c r="B14" s="5">
        <f>INDEX(VeriTakip!B$2:B$15,MATCH(SMALL(VeriTakip!$J$2:$J$15,ROW()-3),VeriTakip!$J$2:$J$15,0))</f>
        <v/>
      </c>
      <c r="C14" s="5">
        <f>INDEX(VeriTakip!C$2:C$15,MATCH(SMALL(VeriTakip!$J$2:$J$15,ROW()-3),VeriTakip!$J$2:$J$15,0))</f>
        <v/>
      </c>
      <c r="D14" s="5">
        <f>INDEX(VeriTakip!D$2:D$15,MATCH(SMALL(VeriTakip!$J$2:$J$15,ROW()-3),VeriTakip!$J$2:$J$15,0))</f>
        <v/>
      </c>
      <c r="E14" s="5">
        <f>INDEX(VeriTakip!E$2:E$15,MATCH(SMALL(VeriTakip!$J$2:$J$15,ROW()-3),VeriTakip!$J$2:$J$15,0))</f>
        <v/>
      </c>
      <c r="F14" s="5">
        <f>INDEX(VeriTakip!F$2:F$15,MATCH(SMALL(VeriTakip!$J$2:$J$15,ROW()-3),VeriTakip!$J$2:$J$15,0))</f>
        <v/>
      </c>
      <c r="G14" s="5">
        <f>INDEX(VeriTakip!G$2:G$15,MATCH(SMALL(VeriTakip!$J$2:$J$15,ROW()-3),VeriTakip!$J$2:$J$15,0))</f>
        <v/>
      </c>
      <c r="H14" s="5">
        <f>INDEX(VeriTakip!H$2:H$15,MATCH(SMALL(VeriTakip!$J$2:$J$15,ROW()-3),VeriTakip!$J$2:$J$15,0))</f>
        <v/>
      </c>
    </row>
    <row r="15">
      <c r="A15" s="5">
        <f>INDEX(VeriTakip!A$2:A$15,MATCH(SMALL(VeriTakip!$J$2:$J$15,ROW()-3),VeriTakip!$J$2:$J$15,0))</f>
        <v/>
      </c>
      <c r="B15" s="5">
        <f>INDEX(VeriTakip!B$2:B$15,MATCH(SMALL(VeriTakip!$J$2:$J$15,ROW()-3),VeriTakip!$J$2:$J$15,0))</f>
        <v/>
      </c>
      <c r="C15" s="5">
        <f>INDEX(VeriTakip!C$2:C$15,MATCH(SMALL(VeriTakip!$J$2:$J$15,ROW()-3),VeriTakip!$J$2:$J$15,0))</f>
        <v/>
      </c>
      <c r="D15" s="5">
        <f>INDEX(VeriTakip!D$2:D$15,MATCH(SMALL(VeriTakip!$J$2:$J$15,ROW()-3),VeriTakip!$J$2:$J$15,0))</f>
        <v/>
      </c>
      <c r="E15" s="5">
        <f>INDEX(VeriTakip!E$2:E$15,MATCH(SMALL(VeriTakip!$J$2:$J$15,ROW()-3),VeriTakip!$J$2:$J$15,0))</f>
        <v/>
      </c>
      <c r="F15" s="5">
        <f>INDEX(VeriTakip!F$2:F$15,MATCH(SMALL(VeriTakip!$J$2:$J$15,ROW()-3),VeriTakip!$J$2:$J$15,0))</f>
        <v/>
      </c>
      <c r="G15" s="5">
        <f>INDEX(VeriTakip!G$2:G$15,MATCH(SMALL(VeriTakip!$J$2:$J$15,ROW()-3),VeriTakip!$J$2:$J$15,0))</f>
        <v/>
      </c>
      <c r="H15" s="5">
        <f>INDEX(VeriTakip!H$2:H$15,MATCH(SMALL(VeriTakip!$J$2:$J$15,ROW()-3),VeriTakip!$J$2:$J$15,0))</f>
        <v/>
      </c>
    </row>
    <row r="16">
      <c r="A16" s="5">
        <f>INDEX(VeriTakip!A$2:A$15,MATCH(SMALL(VeriTakip!$J$2:$J$15,ROW()-3),VeriTakip!$J$2:$J$15,0))</f>
        <v/>
      </c>
      <c r="B16" s="5">
        <f>INDEX(VeriTakip!B$2:B$15,MATCH(SMALL(VeriTakip!$J$2:$J$15,ROW()-3),VeriTakip!$J$2:$J$15,0))</f>
        <v/>
      </c>
      <c r="C16" s="5">
        <f>INDEX(VeriTakip!C$2:C$15,MATCH(SMALL(VeriTakip!$J$2:$J$15,ROW()-3),VeriTakip!$J$2:$J$15,0))</f>
        <v/>
      </c>
      <c r="D16" s="5">
        <f>INDEX(VeriTakip!D$2:D$15,MATCH(SMALL(VeriTakip!$J$2:$J$15,ROW()-3),VeriTakip!$J$2:$J$15,0))</f>
        <v/>
      </c>
      <c r="E16" s="5">
        <f>INDEX(VeriTakip!E$2:E$15,MATCH(SMALL(VeriTakip!$J$2:$J$15,ROW()-3),VeriTakip!$J$2:$J$15,0))</f>
        <v/>
      </c>
      <c r="F16" s="5">
        <f>INDEX(VeriTakip!F$2:F$15,MATCH(SMALL(VeriTakip!$J$2:$J$15,ROW()-3),VeriTakip!$J$2:$J$15,0))</f>
        <v/>
      </c>
      <c r="G16" s="5">
        <f>INDEX(VeriTakip!G$2:G$15,MATCH(SMALL(VeriTakip!$J$2:$J$15,ROW()-3),VeriTakip!$J$2:$J$15,0))</f>
        <v/>
      </c>
      <c r="H16" s="5">
        <f>INDEX(VeriTakip!H$2:H$15,MATCH(SMALL(VeriTakip!$J$2:$J$15,ROW()-3),VeriTakip!$J$2:$J$15,0))</f>
        <v/>
      </c>
    </row>
    <row r="17">
      <c r="A17" s="5">
        <f>INDEX(VeriTakip!A$2:A$15,MATCH(SMALL(VeriTakip!$J$2:$J$15,ROW()-3),VeriTakip!$J$2:$J$15,0))</f>
        <v/>
      </c>
      <c r="B17" s="5">
        <f>INDEX(VeriTakip!B$2:B$15,MATCH(SMALL(VeriTakip!$J$2:$J$15,ROW()-3),VeriTakip!$J$2:$J$15,0))</f>
        <v/>
      </c>
      <c r="C17" s="5">
        <f>INDEX(VeriTakip!C$2:C$15,MATCH(SMALL(VeriTakip!$J$2:$J$15,ROW()-3),VeriTakip!$J$2:$J$15,0))</f>
        <v/>
      </c>
      <c r="D17" s="5">
        <f>INDEX(VeriTakip!D$2:D$15,MATCH(SMALL(VeriTakip!$J$2:$J$15,ROW()-3),VeriTakip!$J$2:$J$15,0))</f>
        <v/>
      </c>
      <c r="E17" s="5">
        <f>INDEX(VeriTakip!E$2:E$15,MATCH(SMALL(VeriTakip!$J$2:$J$15,ROW()-3),VeriTakip!$J$2:$J$15,0))</f>
        <v/>
      </c>
      <c r="F17" s="5">
        <f>INDEX(VeriTakip!F$2:F$15,MATCH(SMALL(VeriTakip!$J$2:$J$15,ROW()-3),VeriTakip!$J$2:$J$15,0))</f>
        <v/>
      </c>
      <c r="G17" s="5">
        <f>INDEX(VeriTakip!G$2:G$15,MATCH(SMALL(VeriTakip!$J$2:$J$15,ROW()-3),VeriTakip!$J$2:$J$15,0))</f>
        <v/>
      </c>
      <c r="H17" s="5">
        <f>INDEX(VeriTakip!H$2:H$15,MATCH(SMALL(VeriTakip!$J$2:$J$15,ROW()-3),VeriTakip!$J$2:$J$15,0))</f>
        <v/>
      </c>
    </row>
  </sheetData>
  <dataValidations count="1">
    <dataValidation sqref="B1" showDropDown="0" showInputMessage="0" showErrorMessage="0" allowBlank="0" type="list">
      <formula1>"Günlük Sıra,Haftalık Sıra,Aylık Sıra,Yılbaşına Göre,Yıllık Sıra"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 Kodu</t>
        </is>
      </c>
      <c r="B1" t="inlineStr">
        <is>
          <t>Arbitraj Fonları</t>
        </is>
      </c>
      <c r="C1" t="inlineStr">
        <is>
          <t>Yönetici</t>
        </is>
      </c>
      <c r="D1" t="inlineStr">
        <is>
          <t>FYÜ%</t>
        </is>
      </c>
      <c r="E1" t="inlineStr">
        <is>
          <t>Günlük%</t>
        </is>
      </c>
      <c r="F1" t="inlineStr">
        <is>
          <t>Haftalık</t>
        </is>
      </c>
      <c r="G1" t="inlineStr">
        <is>
          <t>Aylık</t>
        </is>
      </c>
      <c r="H1" t="inlineStr">
        <is>
          <t>Yılbaşına Göre</t>
        </is>
      </c>
      <c r="I1" t="inlineStr">
        <is>
          <t>Yıllık</t>
        </is>
      </c>
      <c r="J1" t="inlineStr">
        <is>
          <t>Yatırımcı Sayısı T-30</t>
        </is>
      </c>
      <c r="K1" t="inlineStr">
        <is>
          <t>Yatırımcı Sayısı T-1</t>
        </is>
      </c>
      <c r="L1" t="inlineStr">
        <is>
          <t>YS Değişim</t>
        </is>
      </c>
      <c r="M1" t="inlineStr">
        <is>
          <t>Önceki Ay FTD</t>
        </is>
      </c>
      <c r="N1" t="inlineStr">
        <is>
          <t>T-1 FTD</t>
        </is>
      </c>
      <c r="O1" t="inlineStr">
        <is>
          <t>FTD Değişim</t>
        </is>
      </c>
      <c r="P1" t="inlineStr">
        <is>
          <t>Standart Sapma (Aylık)</t>
        </is>
      </c>
      <c r="Q1" t="inlineStr">
        <is>
          <t>TEFAS Durumu</t>
        </is>
      </c>
      <c r="R1" t="inlineStr">
        <is>
          <t>Mevduat (TL)</t>
        </is>
      </c>
      <c r="S1" t="inlineStr">
        <is>
          <t>Vadeli İşlemler Nakit Teminatları</t>
        </is>
      </c>
      <c r="T1" t="inlineStr">
        <is>
          <t>Ters Repo Oranı</t>
        </is>
      </c>
      <c r="U1" t="inlineStr">
        <is>
          <t>Hisse Oranı</t>
        </is>
      </c>
      <c r="V1" t="inlineStr">
        <is>
          <t>Para Piyasaları Oranı</t>
        </is>
      </c>
      <c r="W1" t="inlineStr">
        <is>
          <t>Yatırım Fonları Katılma Payları</t>
        </is>
      </c>
      <c r="X1" t="inlineStr">
        <is>
          <t>Özel Tahvil/Bono Oranı</t>
        </is>
      </c>
      <c r="Y1" t="inlineStr">
        <is>
          <t>Finansman Bonosu Oranı</t>
        </is>
      </c>
      <c r="Z1" t="inlineStr">
        <is>
          <t>Diğer Oran</t>
        </is>
      </c>
      <c r="AA1" t="inlineStr">
        <is>
          <t>Toplam</t>
        </is>
      </c>
    </row>
    <row r="2">
      <c r="A2" t="inlineStr">
        <is>
          <t>UZY</t>
        </is>
      </c>
      <c r="B2" t="inlineStr">
        <is>
          <t>Ünlü Portföy İkinci İstatistiksel Arbitraj Serbest Fon</t>
        </is>
      </c>
      <c r="C2" t="inlineStr">
        <is>
          <t>Ünlü Portföy</t>
        </is>
      </c>
      <c r="D2" t="n">
        <v>0.03</v>
      </c>
      <c r="E2" t="n">
        <v>0.5205526657151349</v>
      </c>
      <c r="F2" t="n">
        <v>1.117953240816383</v>
      </c>
      <c r="G2" t="n">
        <v>3.100139017571579</v>
      </c>
      <c r="H2" t="n">
        <v>87.90584286230718</v>
      </c>
      <c r="I2" t="n">
        <v>121.5181966208518</v>
      </c>
      <c r="J2" t="n">
        <v>16</v>
      </c>
      <c r="K2" t="n">
        <v>33</v>
      </c>
      <c r="L2" t="n">
        <v>1.0625</v>
      </c>
      <c r="M2" t="n">
        <v>271972.21</v>
      </c>
      <c r="N2" t="n">
        <v>144605332.77</v>
      </c>
      <c r="O2" t="n">
        <v>530.6915752899901</v>
      </c>
      <c r="P2" t="n">
        <v>0.1529825498915076</v>
      </c>
      <c r="Q2" t="inlineStr">
        <is>
          <t>Görmüyor</t>
        </is>
      </c>
      <c r="R2" t="n">
        <v>0</v>
      </c>
      <c r="S2" t="n">
        <v>0</v>
      </c>
      <c r="T2" t="n">
        <v>0.8312999999999999</v>
      </c>
      <c r="U2" t="n">
        <v>0.1624</v>
      </c>
      <c r="V2" t="n">
        <v>0.0063</v>
      </c>
      <c r="W2" t="n">
        <v>0</v>
      </c>
      <c r="X2" t="n">
        <v>0</v>
      </c>
      <c r="Y2" t="n">
        <v>0</v>
      </c>
      <c r="Z2" t="n">
        <v>0</v>
      </c>
      <c r="AA2" t="n">
        <v>0.9999999999999999</v>
      </c>
      <c r="AC2">
        <f>IF(ISNUMBER(INDEX($A$2:$AA$14,1,MATCH('Arbitraj'!$E$2,$A$1:$AA$1,0))),INDEX($A$2:$AA$14,1,MATCH('Arbitraj'!$E$2,$A$1:$AA$1,0)),-1E+9)-ROW()/1E+7</f>
        <v/>
      </c>
    </row>
    <row r="3">
      <c r="A3" t="inlineStr">
        <is>
          <t>LPH</t>
        </is>
      </c>
      <c r="B3" t="inlineStr">
        <is>
          <t>Statech Portföy İstatistiksel Arbitraj Hisse Senedi Serbest (TL) Fon (Hisse Senedi Yoğun Fon)</t>
        </is>
      </c>
      <c r="C3" t="inlineStr">
        <is>
          <t>Statech Portföy</t>
        </is>
      </c>
      <c r="D3" t="n">
        <v>0.035</v>
      </c>
      <c r="E3" t="n">
        <v>0.2857175567821502</v>
      </c>
      <c r="F3" t="n">
        <v>0.8668698119155049</v>
      </c>
      <c r="G3" t="n">
        <v>3.531527937830559</v>
      </c>
      <c r="H3" t="n">
        <v>32.12940607491304</v>
      </c>
      <c r="I3" t="n">
        <v>65.22745304695246</v>
      </c>
      <c r="J3" t="n">
        <v>1707</v>
      </c>
      <c r="K3" t="n">
        <v>1716</v>
      </c>
      <c r="L3" t="n">
        <v>0.005272407732864748</v>
      </c>
      <c r="M3" t="n">
        <v>1625214817.07</v>
      </c>
      <c r="N3" t="n">
        <v>2396134388.2</v>
      </c>
      <c r="O3" t="n">
        <v>0.4743493371047671</v>
      </c>
      <c r="P3" t="n">
        <v>0.131517128776319</v>
      </c>
      <c r="Q3" t="inlineStr">
        <is>
          <t>Görüyor</t>
        </is>
      </c>
      <c r="R3" t="n">
        <v>0</v>
      </c>
      <c r="S3" t="n">
        <v>0.1906</v>
      </c>
      <c r="T3" t="n">
        <v>0</v>
      </c>
      <c r="U3" t="n">
        <v>0.8094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1</v>
      </c>
      <c r="AC3">
        <f>IF(ISNUMBER(INDEX($A$2:$AA$14,2,MATCH('Arbitraj'!$E$2,$A$1:$AA$1,0))),INDEX($A$2:$AA$14,2,MATCH('Arbitraj'!$E$2,$A$1:$AA$1,0)),-1E+9)-ROW()/1E+7</f>
        <v/>
      </c>
    </row>
    <row r="4">
      <c r="A4" t="inlineStr">
        <is>
          <t>DPI</t>
        </is>
      </c>
      <c r="B4" t="inlineStr">
        <is>
          <t>Deniz Portföy İstatistiksel Arbitraj Hisse Senedi Serbest Fon (Hisse Senedi Yoğun Fon)</t>
        </is>
      </c>
      <c r="C4" t="inlineStr">
        <is>
          <t>Deniz Portföy</t>
        </is>
      </c>
      <c r="D4" t="n">
        <v>0.0325</v>
      </c>
      <c r="E4" t="n">
        <v>0.2335667092869365</v>
      </c>
      <c r="F4" t="n">
        <v>0.5755437331440127</v>
      </c>
      <c r="G4" t="n">
        <v>2.788059655731367</v>
      </c>
      <c r="H4" t="n">
        <v>20.29894918264779</v>
      </c>
      <c r="I4" t="n">
        <v>41.34980409336981</v>
      </c>
      <c r="J4" t="n">
        <v>119</v>
      </c>
      <c r="K4" t="n">
        <v>121</v>
      </c>
      <c r="L4" t="n">
        <v>0.01680672268907557</v>
      </c>
      <c r="M4" t="n">
        <v>361490505.6</v>
      </c>
      <c r="N4" t="n">
        <v>363152537.23</v>
      </c>
      <c r="O4" t="n">
        <v>0.004597718624010261</v>
      </c>
      <c r="P4" t="n">
        <v>0.09490347944500915</v>
      </c>
      <c r="Q4" t="inlineStr">
        <is>
          <t>Görüyor</t>
        </is>
      </c>
      <c r="R4" t="n">
        <v>0.0013</v>
      </c>
      <c r="S4" t="n">
        <v>0.1256</v>
      </c>
      <c r="T4" t="n">
        <v>0</v>
      </c>
      <c r="U4" t="n">
        <v>0.8976000000000001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1.0245</v>
      </c>
      <c r="AC4">
        <f>IF(ISNUMBER(INDEX($A$2:$AA$14,3,MATCH('Arbitraj'!$E$2,$A$1:$AA$1,0))),INDEX($A$2:$AA$14,3,MATCH('Arbitraj'!$E$2,$A$1:$AA$1,0)),-1E+9)-ROW()/1E+7</f>
        <v/>
      </c>
    </row>
    <row r="5">
      <c r="A5" t="inlineStr">
        <is>
          <t>IRV</t>
        </is>
      </c>
      <c r="B5" t="inlineStr">
        <is>
          <t>İstanbul Portföy İstatistiksel Arbitraj Serbest Fon</t>
        </is>
      </c>
      <c r="C5" t="inlineStr">
        <is>
          <t>İstanbul Portföy</t>
        </is>
      </c>
      <c r="D5" t="n">
        <v>0.03</v>
      </c>
      <c r="E5" t="n">
        <v>0.2306687239028049</v>
      </c>
      <c r="F5" t="n">
        <v>0.9258207720153511</v>
      </c>
      <c r="G5" t="n">
        <v>3.808146055927297</v>
      </c>
      <c r="H5" t="n">
        <v>19.13300995678098</v>
      </c>
      <c r="I5" t="n">
        <v>38.99071502962963</v>
      </c>
      <c r="J5" t="n">
        <v>35</v>
      </c>
      <c r="K5" t="n">
        <v>36</v>
      </c>
      <c r="L5" t="n">
        <v>0.02857142857142847</v>
      </c>
      <c r="M5" t="n">
        <v>253833108.28</v>
      </c>
      <c r="N5" t="n">
        <v>278499177.04</v>
      </c>
      <c r="O5" t="n">
        <v>0.09717435572979394</v>
      </c>
      <c r="P5" t="n">
        <v>0.1969903333843711</v>
      </c>
      <c r="Q5" t="inlineStr">
        <is>
          <t>Görüyor</t>
        </is>
      </c>
      <c r="R5" t="n">
        <v>0</v>
      </c>
      <c r="S5" t="n">
        <v>0.1781</v>
      </c>
      <c r="T5" t="n">
        <v>0.05599999999999999</v>
      </c>
      <c r="U5" t="n">
        <v>0.6377</v>
      </c>
      <c r="V5" t="n">
        <v>0</v>
      </c>
      <c r="W5" t="n">
        <v>0.0505</v>
      </c>
      <c r="X5" t="n">
        <v>0</v>
      </c>
      <c r="Y5" t="n">
        <v>0.0794</v>
      </c>
      <c r="Z5" t="n">
        <v>-0.0021</v>
      </c>
      <c r="AA5" t="n">
        <v>0.9996</v>
      </c>
      <c r="AC5">
        <f>IF(ISNUMBER(INDEX($A$2:$AA$14,4,MATCH('Arbitraj'!$E$2,$A$1:$AA$1,0))),INDEX($A$2:$AA$14,4,MATCH('Arbitraj'!$E$2,$A$1:$AA$1,0)),-1E+9)-ROW()/1E+7</f>
        <v/>
      </c>
    </row>
    <row r="6">
      <c r="A6" t="inlineStr">
        <is>
          <t>SST</t>
        </is>
      </c>
      <c r="B6" t="inlineStr">
        <is>
          <t>Strateji Portföy İstatistiksel Arbitraj Serbest Fon</t>
        </is>
      </c>
      <c r="C6" t="inlineStr">
        <is>
          <t>Strateji Portföy</t>
        </is>
      </c>
      <c r="D6" t="n">
        <v>0.03</v>
      </c>
      <c r="E6" t="n">
        <v>0.22762255344142</v>
      </c>
      <c r="F6" t="n">
        <v>0.5162239049008477</v>
      </c>
      <c r="G6" t="n">
        <v>2.362875594247149</v>
      </c>
      <c r="H6" t="n">
        <v>16.77072890773776</v>
      </c>
      <c r="I6" t="n">
        <v>34.06079607882064</v>
      </c>
      <c r="J6" t="n">
        <v>22</v>
      </c>
      <c r="K6" t="n">
        <v>22</v>
      </c>
      <c r="L6" t="n">
        <v>0</v>
      </c>
      <c r="M6" t="n">
        <v>9030782.91</v>
      </c>
      <c r="N6" t="n">
        <v>9244164.789999999</v>
      </c>
      <c r="O6" t="n">
        <v>0.02362828141552553</v>
      </c>
      <c r="P6" t="n">
        <v>0.1137382005675558</v>
      </c>
      <c r="Q6" t="inlineStr">
        <is>
          <t>Görmüyor</t>
        </is>
      </c>
      <c r="R6" t="n">
        <v>0</v>
      </c>
      <c r="S6" t="n">
        <v>0.45</v>
      </c>
      <c r="T6" t="n">
        <v>0</v>
      </c>
      <c r="U6" t="n">
        <v>0.5336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0.9836</v>
      </c>
      <c r="AC6">
        <f>IF(ISNUMBER(INDEX($A$2:$AA$14,5,MATCH('Arbitraj'!$E$2,$A$1:$AA$1,0))),INDEX($A$2:$AA$14,5,MATCH('Arbitraj'!$E$2,$A$1:$AA$1,0)),-1E+9)-ROW()/1E+7</f>
        <v/>
      </c>
    </row>
    <row r="7">
      <c r="A7" t="inlineStr">
        <is>
          <t>MPI</t>
        </is>
      </c>
      <c r="B7" t="inlineStr">
        <is>
          <t>Meksa Portföy İstatistiksel Arbitraj Serbest (TL) Fon</t>
        </is>
      </c>
      <c r="C7" t="inlineStr">
        <is>
          <t>Meksa Portföy</t>
        </is>
      </c>
      <c r="D7" t="n">
        <v>0.02</v>
      </c>
      <c r="E7" t="n">
        <v>0.2153498918073815</v>
      </c>
      <c r="F7" t="n">
        <v>0.6034237373715445</v>
      </c>
      <c r="G7" t="n">
        <v>3.270279730026915</v>
      </c>
      <c r="H7" t="n">
        <v>21.5775674397743</v>
      </c>
      <c r="I7" t="n">
        <v>44.14687715273114</v>
      </c>
      <c r="J7" t="n">
        <v>34</v>
      </c>
      <c r="K7" t="n">
        <v>34</v>
      </c>
      <c r="L7" t="n">
        <v>0</v>
      </c>
      <c r="M7" t="n">
        <v>76327082</v>
      </c>
      <c r="N7" t="n">
        <v>71073415.62</v>
      </c>
      <c r="O7" t="n">
        <v>-0.06883096068050909</v>
      </c>
      <c r="P7" t="n">
        <v>0.08183971354683131</v>
      </c>
      <c r="Q7" t="inlineStr">
        <is>
          <t>Görüyor</t>
        </is>
      </c>
      <c r="R7" t="n">
        <v>0</v>
      </c>
      <c r="S7" t="n">
        <v>0.09910000000000001</v>
      </c>
      <c r="T7" t="n">
        <v>0.219</v>
      </c>
      <c r="U7" t="n">
        <v>0.5555</v>
      </c>
      <c r="V7" t="n">
        <v>0</v>
      </c>
      <c r="W7" t="n">
        <v>0</v>
      </c>
      <c r="X7" t="n">
        <v>0.0566</v>
      </c>
      <c r="Y7" t="n">
        <v>0.0698</v>
      </c>
      <c r="Z7" t="n">
        <v>0</v>
      </c>
      <c r="AA7" t="n">
        <v>1</v>
      </c>
      <c r="AC7">
        <f>IF(ISNUMBER(INDEX($A$2:$AA$14,6,MATCH('Arbitraj'!$E$2,$A$1:$AA$1,0))),INDEX($A$2:$AA$14,6,MATCH('Arbitraj'!$E$2,$A$1:$AA$1,0)),-1E+9)-ROW()/1E+7</f>
        <v/>
      </c>
    </row>
    <row r="8">
      <c r="A8" t="inlineStr">
        <is>
          <t>NIS</t>
        </is>
      </c>
      <c r="B8" t="inlineStr">
        <is>
          <t>Neo Portföy İstatistiksel Arbitraj Serbest Fon</t>
        </is>
      </c>
      <c r="C8" t="inlineStr">
        <is>
          <t>Neo Portföy</t>
        </is>
      </c>
      <c r="D8" t="n">
        <v>0.015</v>
      </c>
      <c r="E8" t="n">
        <v>0.1894862151478494</v>
      </c>
      <c r="F8" t="n">
        <v>0.7709739619009115</v>
      </c>
      <c r="G8" t="n">
        <v>3.676876002761786</v>
      </c>
      <c r="H8" t="n">
        <v>23.96140186249822</v>
      </c>
      <c r="I8" t="n">
        <v>51.90388163329172</v>
      </c>
      <c r="J8" t="n">
        <v>25</v>
      </c>
      <c r="K8" t="n">
        <v>26</v>
      </c>
      <c r="L8" t="n">
        <v>0.04000000000000004</v>
      </c>
      <c r="M8" t="n">
        <v>1142663048.33</v>
      </c>
      <c r="N8" t="n">
        <v>1485916256.74</v>
      </c>
      <c r="O8" t="n">
        <v>0.3003975746933132</v>
      </c>
      <c r="P8" t="n">
        <v>0.05189509482572682</v>
      </c>
      <c r="Q8" t="inlineStr">
        <is>
          <t>Görmüyor</t>
        </is>
      </c>
      <c r="R8" t="n">
        <v>0</v>
      </c>
      <c r="S8" t="n">
        <v>0.2095</v>
      </c>
      <c r="T8" t="n">
        <v>0</v>
      </c>
      <c r="U8" t="n">
        <v>0.0445</v>
      </c>
      <c r="V8" t="n">
        <v>0.5306000000000001</v>
      </c>
      <c r="W8" t="n">
        <v>0.2154</v>
      </c>
      <c r="X8" t="n">
        <v>0</v>
      </c>
      <c r="Y8" t="n">
        <v>0</v>
      </c>
      <c r="Z8" t="n">
        <v>0</v>
      </c>
      <c r="AA8" t="n">
        <v>1</v>
      </c>
      <c r="AC8">
        <f>IF(ISNUMBER(INDEX($A$2:$AA$14,7,MATCH('Arbitraj'!$E$2,$A$1:$AA$1,0))),INDEX($A$2:$AA$14,7,MATCH('Arbitraj'!$E$2,$A$1:$AA$1,0)),-1E+9)-ROW()/1E+7</f>
        <v/>
      </c>
    </row>
    <row r="9">
      <c r="A9" t="inlineStr">
        <is>
          <t>BVZ</t>
        </is>
      </c>
      <c r="B9" t="inlineStr">
        <is>
          <t>BV Portföy İstatistiksel Arbitraj Serbest (TL) Fon</t>
        </is>
      </c>
      <c r="C9" t="inlineStr">
        <is>
          <t>BV Portföy</t>
        </is>
      </c>
      <c r="D9" t="n">
        <v>0.042</v>
      </c>
      <c r="E9" t="n">
        <v>0.1653739176360247</v>
      </c>
      <c r="F9" t="n">
        <v>0.8915063944814339</v>
      </c>
      <c r="G9" t="n">
        <v>3.3248657834962</v>
      </c>
      <c r="H9" t="n">
        <v>24.20554000590154</v>
      </c>
      <c r="I9" t="n">
        <v>47.87903986924113</v>
      </c>
      <c r="J9" t="n">
        <v>709</v>
      </c>
      <c r="K9" t="n">
        <v>677</v>
      </c>
      <c r="L9" t="n">
        <v>-0.04513399153737663</v>
      </c>
      <c r="M9" t="n">
        <v>3009091253.01</v>
      </c>
      <c r="N9" t="n">
        <v>2705744966.6</v>
      </c>
      <c r="O9" t="n">
        <v>-0.100809932602264</v>
      </c>
      <c r="P9" t="n">
        <v>0.08306073493837043</v>
      </c>
      <c r="Q9" t="inlineStr">
        <is>
          <t>Görüyor</t>
        </is>
      </c>
      <c r="R9" t="n">
        <v>0</v>
      </c>
      <c r="S9" t="n">
        <v>0.0294</v>
      </c>
      <c r="T9" t="n">
        <v>0.4417</v>
      </c>
      <c r="U9" t="n">
        <v>0.1191</v>
      </c>
      <c r="V9" t="n">
        <v>0.2493</v>
      </c>
      <c r="W9" t="n">
        <v>0.0077</v>
      </c>
      <c r="X9" t="n">
        <v>0</v>
      </c>
      <c r="Y9" t="n">
        <v>0.09320000000000001</v>
      </c>
      <c r="Z9" t="n">
        <v>0.0128</v>
      </c>
      <c r="AA9" t="n">
        <v>0.9532</v>
      </c>
      <c r="AC9">
        <f>IF(ISNUMBER(INDEX($A$2:$AA$14,8,MATCH('Arbitraj'!$E$2,$A$1:$AA$1,0))),INDEX($A$2:$AA$14,8,MATCH('Arbitraj'!$E$2,$A$1:$AA$1,0)),-1E+9)-ROW()/1E+7</f>
        <v/>
      </c>
    </row>
    <row r="10">
      <c r="A10" t="inlineStr">
        <is>
          <t>TCI</t>
        </is>
      </c>
      <c r="B10" t="inlineStr">
        <is>
          <t>Tacirler Portföy İstatistiksel Arbitraj Serbest Fon</t>
        </is>
      </c>
      <c r="C10" t="inlineStr">
        <is>
          <t>Tacirler Portföy</t>
        </is>
      </c>
      <c r="D10" t="n">
        <v>0.035</v>
      </c>
      <c r="E10" t="n">
        <v>0.156819212279613</v>
      </c>
      <c r="F10" t="n">
        <v>0.8510104371747262</v>
      </c>
      <c r="G10" t="n">
        <v>3.003725397325963</v>
      </c>
      <c r="H10" t="n">
        <v>22.16990715871701</v>
      </c>
      <c r="I10" t="n">
        <v>44.31025267990483</v>
      </c>
      <c r="J10" t="n">
        <v>17</v>
      </c>
      <c r="K10" t="n">
        <v>16</v>
      </c>
      <c r="L10" t="n">
        <v>-0.05882352941176472</v>
      </c>
      <c r="M10" t="n">
        <v>1316800768.14</v>
      </c>
      <c r="N10" t="n">
        <v>1356326448.47</v>
      </c>
      <c r="O10" t="n">
        <v>0.03001644689638994</v>
      </c>
      <c r="P10" t="n">
        <v>0.0858850870583265</v>
      </c>
      <c r="Q10" t="inlineStr">
        <is>
          <t>Görmüyor</t>
        </is>
      </c>
      <c r="R10" t="n">
        <v>0.1577</v>
      </c>
      <c r="S10" t="n">
        <v>0.07480000000000001</v>
      </c>
      <c r="T10" t="n">
        <v>0.3227</v>
      </c>
      <c r="U10" t="n">
        <v>0.118</v>
      </c>
      <c r="V10" t="n">
        <v>0</v>
      </c>
      <c r="W10" t="n">
        <v>0.19</v>
      </c>
      <c r="X10" t="n">
        <v>0</v>
      </c>
      <c r="Y10" t="n">
        <v>0.1368</v>
      </c>
      <c r="Z10" t="n">
        <v>0</v>
      </c>
      <c r="AA10" t="n">
        <v>1</v>
      </c>
      <c r="AC10">
        <f>IF(ISNUMBER(INDEX($A$2:$AA$14,9,MATCH('Arbitraj'!$E$2,$A$1:$AA$1,0))),INDEX($A$2:$AA$14,9,MATCH('Arbitraj'!$E$2,$A$1:$AA$1,0)),-1E+9)-ROW()/1E+7</f>
        <v/>
      </c>
    </row>
    <row r="11">
      <c r="A11" t="inlineStr">
        <is>
          <t>AC5</t>
        </is>
      </c>
      <c r="B11" t="inlineStr">
        <is>
          <t>Pardus Portföy İstatistiksel Arbitraj Hisse Senedi Serbest (TL) Fon (Hisse Senedi Yoğun Fon)</t>
        </is>
      </c>
      <c r="C11" t="inlineStr">
        <is>
          <t>Pardus Portföy</t>
        </is>
      </c>
      <c r="D11" t="n">
        <v>0.015</v>
      </c>
      <c r="E11" t="n">
        <v>0.1417342555965817</v>
      </c>
      <c r="F11" t="n">
        <v>0.5306746133723728</v>
      </c>
      <c r="G11" t="n">
        <v>2.53778513107854</v>
      </c>
      <c r="H11" t="n">
        <v>17.06388575601967</v>
      </c>
      <c r="I11" t="n">
        <v>37.20893676577255</v>
      </c>
      <c r="J11" t="n">
        <v>157</v>
      </c>
      <c r="K11" t="n">
        <v>146</v>
      </c>
      <c r="L11" t="n">
        <v>-0.07006369426751591</v>
      </c>
      <c r="M11" t="n">
        <v>21298609.46</v>
      </c>
      <c r="N11" t="n">
        <v>21833083.44</v>
      </c>
      <c r="O11" t="n">
        <v>0.02509431336368562</v>
      </c>
      <c r="P11" t="n">
        <v>0.1483143063753339</v>
      </c>
      <c r="Q11" t="inlineStr">
        <is>
          <t>Görüyor</t>
        </is>
      </c>
      <c r="R11" t="n">
        <v>0</v>
      </c>
      <c r="S11" t="n">
        <v>0.1737</v>
      </c>
      <c r="T11" t="n">
        <v>0</v>
      </c>
      <c r="U11" t="n">
        <v>0.8262999999999999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1</v>
      </c>
      <c r="AC11">
        <f>IF(ISNUMBER(INDEX($A$2:$AA$14,10,MATCH('Arbitraj'!$E$2,$A$1:$AA$1,0))),INDEX($A$2:$AA$14,10,MATCH('Arbitraj'!$E$2,$A$1:$AA$1,0)),-1E+9)-ROW()/1E+7</f>
        <v/>
      </c>
    </row>
    <row r="12">
      <c r="A12" t="inlineStr">
        <is>
          <t>INZ</t>
        </is>
      </c>
      <c r="B12" t="inlineStr">
        <is>
          <t>Inveo Portföy İstatistiksel Arbitraj Serbest (TL) Fon</t>
        </is>
      </c>
      <c r="C12" t="inlineStr">
        <is>
          <t>Inveo Portföy</t>
        </is>
      </c>
      <c r="D12" t="n">
        <v>0.04</v>
      </c>
      <c r="E12" t="n">
        <v>0.1275305330558751</v>
      </c>
      <c r="F12" t="n">
        <v>0.6621527568046126</v>
      </c>
      <c r="G12" t="n">
        <v>2.922695291442445</v>
      </c>
      <c r="H12" t="n">
        <v>18.41445265524264</v>
      </c>
      <c r="I12" t="n">
        <v>33.86664083281867</v>
      </c>
      <c r="J12" t="n">
        <v>15</v>
      </c>
      <c r="K12" t="n">
        <v>15</v>
      </c>
      <c r="L12" t="n">
        <v>0</v>
      </c>
      <c r="M12" t="n">
        <v>110843102.37</v>
      </c>
      <c r="N12" t="n">
        <v>114082724.85</v>
      </c>
      <c r="O12" t="n">
        <v>0.02922710038542564</v>
      </c>
      <c r="P12" t="n">
        <v>0.124209213255673</v>
      </c>
      <c r="Q12" t="inlineStr">
        <is>
          <t>Görmüyor</t>
        </is>
      </c>
      <c r="R12" t="n">
        <v>0</v>
      </c>
      <c r="S12" t="n">
        <v>0.169</v>
      </c>
      <c r="T12" t="n">
        <v>0.6478</v>
      </c>
      <c r="U12" t="n">
        <v>0.1347</v>
      </c>
      <c r="V12" t="n">
        <v>0</v>
      </c>
      <c r="W12" t="n">
        <v>0.04849999999999999</v>
      </c>
      <c r="X12" t="n">
        <v>0</v>
      </c>
      <c r="Y12" t="n">
        <v>0</v>
      </c>
      <c r="Z12" t="n">
        <v>0</v>
      </c>
      <c r="AA12" t="n">
        <v>1</v>
      </c>
      <c r="AC12">
        <f>IF(ISNUMBER(INDEX($A$2:$AA$14,11,MATCH('Arbitraj'!$E$2,$A$1:$AA$1,0))),INDEX($A$2:$AA$14,11,MATCH('Arbitraj'!$E$2,$A$1:$AA$1,0)),-1E+9)-ROW()/1E+7</f>
        <v/>
      </c>
    </row>
    <row r="13">
      <c r="A13" t="inlineStr">
        <is>
          <t>OFB</t>
        </is>
      </c>
      <c r="B13" t="inlineStr">
        <is>
          <t>Oyak Portföy İstatistiksel Arbitraj Serbest (TL) Fon</t>
        </is>
      </c>
      <c r="C13" t="inlineStr">
        <is>
          <t>Oyak Portföy</t>
        </is>
      </c>
      <c r="D13" t="n">
        <v>0.005</v>
      </c>
      <c r="E13" t="n">
        <v>0.1138728173537995</v>
      </c>
      <c r="F13" t="n">
        <v>0.745158170183946</v>
      </c>
      <c r="G13" t="n">
        <v>3.232138402181817</v>
      </c>
      <c r="H13" t="n">
        <v>22.66976590818637</v>
      </c>
      <c r="I13" t="n">
        <v>46.71156958612048</v>
      </c>
      <c r="J13" t="n">
        <v>13</v>
      </c>
      <c r="K13" t="n">
        <v>13</v>
      </c>
      <c r="L13" t="n">
        <v>0</v>
      </c>
      <c r="M13" t="n">
        <v>953165539.7</v>
      </c>
      <c r="N13" t="n">
        <v>978364762.8</v>
      </c>
      <c r="O13" t="n">
        <v>0.02643740467991651</v>
      </c>
      <c r="P13" t="n">
        <v>0.07811214700095588</v>
      </c>
      <c r="Q13" t="inlineStr">
        <is>
          <t>Görmüyor</t>
        </is>
      </c>
      <c r="R13" t="n">
        <v>0</v>
      </c>
      <c r="S13" t="n">
        <v>0.0747</v>
      </c>
      <c r="T13" t="n">
        <v>0.9248999999999999</v>
      </c>
      <c r="U13" t="n">
        <v>0</v>
      </c>
      <c r="V13" t="n">
        <v>0.0004</v>
      </c>
      <c r="W13" t="n">
        <v>0</v>
      </c>
      <c r="X13" t="n">
        <v>0</v>
      </c>
      <c r="Y13" t="n">
        <v>0</v>
      </c>
      <c r="Z13" t="n">
        <v>0</v>
      </c>
      <c r="AA13" t="n">
        <v>1</v>
      </c>
      <c r="AC13">
        <f>IF(ISNUMBER(INDEX($A$2:$AA$14,12,MATCH('Arbitraj'!$E$2,$A$1:$AA$1,0))),INDEX($A$2:$AA$14,12,MATCH('Arbitraj'!$E$2,$A$1:$AA$1,0)),-1E+9)-ROW()/1E+7</f>
        <v/>
      </c>
    </row>
    <row r="14">
      <c r="A14" t="inlineStr">
        <is>
          <t>ICN</t>
        </is>
      </c>
      <c r="B14" t="inlineStr">
        <is>
          <t>İstanbul Portföy Üçüncü İstatistiksel Arbitraj Serbest (TL) Fon</t>
        </is>
      </c>
      <c r="C14" t="inlineStr">
        <is>
          <t>İstanbul Portföy</t>
        </is>
      </c>
      <c r="D14" t="n">
        <v>0.0315</v>
      </c>
      <c r="E14" t="n">
        <v>0.1098574532557794</v>
      </c>
      <c r="F14" t="n">
        <v>0.8043341279463379</v>
      </c>
      <c r="G14" t="n">
        <v>3.416639595214055</v>
      </c>
      <c r="H14" t="n">
        <v>26.16972771385118</v>
      </c>
      <c r="I14" t="n">
        <v>52.40236481888769</v>
      </c>
      <c r="J14" t="n">
        <v>14</v>
      </c>
      <c r="K14" t="n">
        <v>14</v>
      </c>
      <c r="L14" t="n">
        <v>0</v>
      </c>
      <c r="M14" t="n">
        <v>165283345.01</v>
      </c>
      <c r="N14" t="n">
        <v>170930462.27</v>
      </c>
      <c r="O14" t="n">
        <v>0.03416628130110966</v>
      </c>
      <c r="P14" t="n">
        <v>0.1485654110437835</v>
      </c>
      <c r="Q14" t="inlineStr">
        <is>
          <t>Görmüyor</t>
        </is>
      </c>
      <c r="R14" t="n">
        <v>0</v>
      </c>
      <c r="S14" t="n">
        <v>0.3468</v>
      </c>
      <c r="T14" t="n">
        <v>0</v>
      </c>
      <c r="U14" t="n">
        <v>-0.1179</v>
      </c>
      <c r="V14" t="n">
        <v>0</v>
      </c>
      <c r="W14" t="n">
        <v>0.7704000000000001</v>
      </c>
      <c r="X14" t="n">
        <v>0</v>
      </c>
      <c r="Y14" t="n">
        <v>0</v>
      </c>
      <c r="Z14" t="n">
        <v>0</v>
      </c>
      <c r="AA14" t="n">
        <v>0.9993000000000001</v>
      </c>
      <c r="AC14">
        <f>IF(ISNUMBER(INDEX($A$2:$AA$14,13,MATCH('Arbitraj'!$E$2,$A$1:$AA$1,0))),INDEX($A$2:$AA$14,13,MATCH('Arbitraj'!$E$2,$A$1:$AA$1,0)),-1E+9)-ROW()/1E+7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16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2" max="2"/>
    <col width="68" customWidth="1" min="3" max="3"/>
    <col width="2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>
      <c r="F1" s="6" t="n">
        <v>46219</v>
      </c>
      <c r="G1" s="6" t="n">
        <v>46213</v>
      </c>
      <c r="H1" s="6" t="n">
        <v>46190</v>
      </c>
      <c r="I1" s="6" t="n">
        <v>46022</v>
      </c>
      <c r="J1" s="6" t="n">
        <v>45855</v>
      </c>
    </row>
    <row r="2">
      <c r="B2" s="3" t="inlineStr">
        <is>
          <t>T-1: 17.07.2026</t>
        </is>
      </c>
      <c r="D2" s="7" t="inlineStr">
        <is>
          <t>Sırala:</t>
        </is>
      </c>
      <c r="E2" s="2" t="inlineStr">
        <is>
          <t>Günlük%</t>
        </is>
      </c>
    </row>
    <row r="3">
      <c r="B3" s="4" t="inlineStr">
        <is>
          <t>Fon Kodu</t>
        </is>
      </c>
      <c r="C3" s="4" t="inlineStr">
        <is>
          <t>Arbitraj Fonları</t>
        </is>
      </c>
      <c r="D3" s="4" t="inlineStr">
        <is>
          <t>Yönetici</t>
        </is>
      </c>
      <c r="E3" s="4" t="inlineStr">
        <is>
          <t>FYÜ%</t>
        </is>
      </c>
      <c r="F3" s="4" t="inlineStr">
        <is>
          <t>Günlük%</t>
        </is>
      </c>
      <c r="G3" s="4" t="inlineStr">
        <is>
          <t>Haftalık</t>
        </is>
      </c>
      <c r="H3" s="4" t="inlineStr">
        <is>
          <t>Aylık</t>
        </is>
      </c>
      <c r="I3" s="4" t="inlineStr">
        <is>
          <t>Yılbaşına Göre</t>
        </is>
      </c>
      <c r="J3" s="4" t="inlineStr">
        <is>
          <t>Yıllık</t>
        </is>
      </c>
      <c r="K3" s="4" t="inlineStr">
        <is>
          <t>Yatırımcı Sayısı T-30</t>
        </is>
      </c>
      <c r="L3" s="4" t="inlineStr">
        <is>
          <t>Yatırımcı Sayısı T-1</t>
        </is>
      </c>
      <c r="M3" s="4" t="inlineStr">
        <is>
          <t>YS Değişim</t>
        </is>
      </c>
      <c r="N3" s="4" t="inlineStr">
        <is>
          <t>Önceki Ay FTD</t>
        </is>
      </c>
      <c r="O3" s="4" t="inlineStr">
        <is>
          <t>T-1 FTD</t>
        </is>
      </c>
      <c r="P3" s="4" t="inlineStr">
        <is>
          <t>FTD Değişim</t>
        </is>
      </c>
      <c r="Q3" s="4" t="inlineStr">
        <is>
          <t>Standart Sapma (Aylık)</t>
        </is>
      </c>
      <c r="R3" s="4" t="inlineStr">
        <is>
          <t>TEFAS Durumu</t>
        </is>
      </c>
      <c r="S3" s="4" t="inlineStr">
        <is>
          <t>Mevduat (TL)</t>
        </is>
      </c>
      <c r="T3" s="4" t="inlineStr">
        <is>
          <t>Vadeli İşlemler Nakit Teminatları</t>
        </is>
      </c>
      <c r="U3" s="4" t="inlineStr">
        <is>
          <t>Ters Repo Oranı</t>
        </is>
      </c>
      <c r="V3" s="4" t="inlineStr">
        <is>
          <t>Hisse Oranı</t>
        </is>
      </c>
      <c r="W3" s="4" t="inlineStr">
        <is>
          <t>Para Piyasaları Oranı</t>
        </is>
      </c>
      <c r="X3" s="4" t="inlineStr">
        <is>
          <t>Yatırım Fonları Katılma Payları</t>
        </is>
      </c>
      <c r="Y3" s="4" t="inlineStr">
        <is>
          <t>Özel Tahvil/Bono Oranı</t>
        </is>
      </c>
      <c r="Z3" s="4" t="inlineStr">
        <is>
          <t>Finansman Bonosu Oranı</t>
        </is>
      </c>
      <c r="AA3" s="4" t="inlineStr">
        <is>
          <t>Diğer Oran</t>
        </is>
      </c>
      <c r="AB3" s="4" t="inlineStr">
        <is>
          <t>Toplam</t>
        </is>
      </c>
    </row>
    <row r="4">
      <c r="A4" t="n">
        <v>1</v>
      </c>
      <c r="B4" s="5">
        <f>INDEX('V_Arbitraj'!A$2:A$14,MATCH(LARGE('V_Arbitraj'!$AC$2:$AC$14,ROW()-3),'V_Arbitraj'!$AC$2:$AC$14,0))</f>
        <v/>
      </c>
      <c r="C4" s="5">
        <f>INDEX('V_Arbitraj'!B$2:B$14,MATCH(LARGE('V_Arbitraj'!$AC$2:$AC$14,ROW()-3),'V_Arbitraj'!$AC$2:$AC$14,0))</f>
        <v/>
      </c>
      <c r="D4" s="5">
        <f>INDEX('V_Arbitraj'!C$2:C$14,MATCH(LARGE('V_Arbitraj'!$AC$2:$AC$14,ROW()-3),'V_Arbitraj'!$AC$2:$AC$14,0))</f>
        <v/>
      </c>
      <c r="E4" s="8">
        <f>INDEX('V_Arbitraj'!D$2:D$14,MATCH(LARGE('V_Arbitraj'!$AC$2:$AC$14,ROW()-3),'V_Arbitraj'!$AC$2:$AC$14,0))</f>
        <v/>
      </c>
      <c r="F4" s="9">
        <f>INDEX('V_Arbitraj'!E$2:E$14,MATCH(LARGE('V_Arbitraj'!$AC$2:$AC$14,ROW()-3),'V_Arbitraj'!$AC$2:$AC$14,0))</f>
        <v/>
      </c>
      <c r="G4" s="9">
        <f>INDEX('V_Arbitraj'!F$2:F$14,MATCH(LARGE('V_Arbitraj'!$AC$2:$AC$14,ROW()-3),'V_Arbitraj'!$AC$2:$AC$14,0))</f>
        <v/>
      </c>
      <c r="H4" s="9">
        <f>INDEX('V_Arbitraj'!G$2:G$14,MATCH(LARGE('V_Arbitraj'!$AC$2:$AC$14,ROW()-3),'V_Arbitraj'!$AC$2:$AC$14,0))</f>
        <v/>
      </c>
      <c r="I4" s="9">
        <f>INDEX('V_Arbitraj'!H$2:H$14,MATCH(LARGE('V_Arbitraj'!$AC$2:$AC$14,ROW()-3),'V_Arbitraj'!$AC$2:$AC$14,0))</f>
        <v/>
      </c>
      <c r="J4" s="9">
        <f>INDEX('V_Arbitraj'!I$2:I$14,MATCH(LARGE('V_Arbitraj'!$AC$2:$AC$14,ROW()-3),'V_Arbitraj'!$AC$2:$AC$14,0))</f>
        <v/>
      </c>
      <c r="K4" s="10">
        <f>INDEX('V_Arbitraj'!J$2:J$14,MATCH(LARGE('V_Arbitraj'!$AC$2:$AC$14,ROW()-3),'V_Arbitraj'!$AC$2:$AC$14,0))</f>
        <v/>
      </c>
      <c r="L4" s="10">
        <f>INDEX('V_Arbitraj'!K$2:K$14,MATCH(LARGE('V_Arbitraj'!$AC$2:$AC$14,ROW()-3),'V_Arbitraj'!$AC$2:$AC$14,0))</f>
        <v/>
      </c>
      <c r="M4" s="8">
        <f>INDEX('V_Arbitraj'!L$2:L$14,MATCH(LARGE('V_Arbitraj'!$AC$2:$AC$14,ROW()-3),'V_Arbitraj'!$AC$2:$AC$14,0))</f>
        <v/>
      </c>
      <c r="N4" s="11">
        <f>INDEX('V_Arbitraj'!M$2:M$14,MATCH(LARGE('V_Arbitraj'!$AC$2:$AC$14,ROW()-3),'V_Arbitraj'!$AC$2:$AC$14,0))</f>
        <v/>
      </c>
      <c r="O4" s="11">
        <f>INDEX('V_Arbitraj'!N$2:N$14,MATCH(LARGE('V_Arbitraj'!$AC$2:$AC$14,ROW()-3),'V_Arbitraj'!$AC$2:$AC$14,0))</f>
        <v/>
      </c>
      <c r="P4" s="8">
        <f>INDEX('V_Arbitraj'!O$2:O$14,MATCH(LARGE('V_Arbitraj'!$AC$2:$AC$14,ROW()-3),'V_Arbitraj'!$AC$2:$AC$14,0))</f>
        <v/>
      </c>
      <c r="Q4" s="9">
        <f>INDEX('V_Arbitraj'!P$2:P$14,MATCH(LARGE('V_Arbitraj'!$AC$2:$AC$14,ROW()-3),'V_Arbitraj'!$AC$2:$AC$14,0))</f>
        <v/>
      </c>
      <c r="R4" s="5">
        <f>INDEX('V_Arbitraj'!Q$2:Q$14,MATCH(LARGE('V_Arbitraj'!$AC$2:$AC$14,ROW()-3),'V_Arbitraj'!$AC$2:$AC$14,0))</f>
        <v/>
      </c>
      <c r="S4" s="8">
        <f>INDEX('V_Arbitraj'!R$2:R$14,MATCH(LARGE('V_Arbitraj'!$AC$2:$AC$14,ROW()-3),'V_Arbitraj'!$AC$2:$AC$14,0))</f>
        <v/>
      </c>
      <c r="T4" s="8">
        <f>INDEX('V_Arbitraj'!S$2:S$14,MATCH(LARGE('V_Arbitraj'!$AC$2:$AC$14,ROW()-3),'V_Arbitraj'!$AC$2:$AC$14,0))</f>
        <v/>
      </c>
      <c r="U4" s="8">
        <f>INDEX('V_Arbitraj'!T$2:T$14,MATCH(LARGE('V_Arbitraj'!$AC$2:$AC$14,ROW()-3),'V_Arbitraj'!$AC$2:$AC$14,0))</f>
        <v/>
      </c>
      <c r="V4" s="8">
        <f>INDEX('V_Arbitraj'!U$2:U$14,MATCH(LARGE('V_Arbitraj'!$AC$2:$AC$14,ROW()-3),'V_Arbitraj'!$AC$2:$AC$14,0))</f>
        <v/>
      </c>
      <c r="W4" s="8">
        <f>INDEX('V_Arbitraj'!V$2:V$14,MATCH(LARGE('V_Arbitraj'!$AC$2:$AC$14,ROW()-3),'V_Arbitraj'!$AC$2:$AC$14,0))</f>
        <v/>
      </c>
      <c r="X4" s="8">
        <f>INDEX('V_Arbitraj'!W$2:W$14,MATCH(LARGE('V_Arbitraj'!$AC$2:$AC$14,ROW()-3),'V_Arbitraj'!$AC$2:$AC$14,0))</f>
        <v/>
      </c>
      <c r="Y4" s="8">
        <f>INDEX('V_Arbitraj'!X$2:X$14,MATCH(LARGE('V_Arbitraj'!$AC$2:$AC$14,ROW()-3),'V_Arbitraj'!$AC$2:$AC$14,0))</f>
        <v/>
      </c>
      <c r="Z4" s="8">
        <f>INDEX('V_Arbitraj'!Y$2:Y$14,MATCH(LARGE('V_Arbitraj'!$AC$2:$AC$14,ROW()-3),'V_Arbitraj'!$AC$2:$AC$14,0))</f>
        <v/>
      </c>
      <c r="AA4" s="8">
        <f>INDEX('V_Arbitraj'!Z$2:Z$14,MATCH(LARGE('V_Arbitraj'!$AC$2:$AC$14,ROW()-3),'V_Arbitraj'!$AC$2:$AC$14,0))</f>
        <v/>
      </c>
      <c r="AB4" s="8">
        <f>INDEX('V_Arbitraj'!AA$2:AA$14,MATCH(LARGE('V_Arbitraj'!$AC$2:$AC$14,ROW()-3),'V_Arbitraj'!$AC$2:$AC$14,0))</f>
        <v/>
      </c>
    </row>
    <row r="5">
      <c r="A5" t="n">
        <v>2</v>
      </c>
      <c r="B5" s="5">
        <f>INDEX('V_Arbitraj'!A$2:A$14,MATCH(LARGE('V_Arbitraj'!$AC$2:$AC$14,ROW()-3),'V_Arbitraj'!$AC$2:$AC$14,0))</f>
        <v/>
      </c>
      <c r="C5" s="5">
        <f>INDEX('V_Arbitraj'!B$2:B$14,MATCH(LARGE('V_Arbitraj'!$AC$2:$AC$14,ROW()-3),'V_Arbitraj'!$AC$2:$AC$14,0))</f>
        <v/>
      </c>
      <c r="D5" s="5">
        <f>INDEX('V_Arbitraj'!C$2:C$14,MATCH(LARGE('V_Arbitraj'!$AC$2:$AC$14,ROW()-3),'V_Arbitraj'!$AC$2:$AC$14,0))</f>
        <v/>
      </c>
      <c r="E5" s="8">
        <f>INDEX('V_Arbitraj'!D$2:D$14,MATCH(LARGE('V_Arbitraj'!$AC$2:$AC$14,ROW()-3),'V_Arbitraj'!$AC$2:$AC$14,0))</f>
        <v/>
      </c>
      <c r="F5" s="9">
        <f>INDEX('V_Arbitraj'!E$2:E$14,MATCH(LARGE('V_Arbitraj'!$AC$2:$AC$14,ROW()-3),'V_Arbitraj'!$AC$2:$AC$14,0))</f>
        <v/>
      </c>
      <c r="G5" s="9">
        <f>INDEX('V_Arbitraj'!F$2:F$14,MATCH(LARGE('V_Arbitraj'!$AC$2:$AC$14,ROW()-3),'V_Arbitraj'!$AC$2:$AC$14,0))</f>
        <v/>
      </c>
      <c r="H5" s="9">
        <f>INDEX('V_Arbitraj'!G$2:G$14,MATCH(LARGE('V_Arbitraj'!$AC$2:$AC$14,ROW()-3),'V_Arbitraj'!$AC$2:$AC$14,0))</f>
        <v/>
      </c>
      <c r="I5" s="9">
        <f>INDEX('V_Arbitraj'!H$2:H$14,MATCH(LARGE('V_Arbitraj'!$AC$2:$AC$14,ROW()-3),'V_Arbitraj'!$AC$2:$AC$14,0))</f>
        <v/>
      </c>
      <c r="J5" s="9">
        <f>INDEX('V_Arbitraj'!I$2:I$14,MATCH(LARGE('V_Arbitraj'!$AC$2:$AC$14,ROW()-3),'V_Arbitraj'!$AC$2:$AC$14,0))</f>
        <v/>
      </c>
      <c r="K5" s="10">
        <f>INDEX('V_Arbitraj'!J$2:J$14,MATCH(LARGE('V_Arbitraj'!$AC$2:$AC$14,ROW()-3),'V_Arbitraj'!$AC$2:$AC$14,0))</f>
        <v/>
      </c>
      <c r="L5" s="10">
        <f>INDEX('V_Arbitraj'!K$2:K$14,MATCH(LARGE('V_Arbitraj'!$AC$2:$AC$14,ROW()-3),'V_Arbitraj'!$AC$2:$AC$14,0))</f>
        <v/>
      </c>
      <c r="M5" s="8">
        <f>INDEX('V_Arbitraj'!L$2:L$14,MATCH(LARGE('V_Arbitraj'!$AC$2:$AC$14,ROW()-3),'V_Arbitraj'!$AC$2:$AC$14,0))</f>
        <v/>
      </c>
      <c r="N5" s="11">
        <f>INDEX('V_Arbitraj'!M$2:M$14,MATCH(LARGE('V_Arbitraj'!$AC$2:$AC$14,ROW()-3),'V_Arbitraj'!$AC$2:$AC$14,0))</f>
        <v/>
      </c>
      <c r="O5" s="11">
        <f>INDEX('V_Arbitraj'!N$2:N$14,MATCH(LARGE('V_Arbitraj'!$AC$2:$AC$14,ROW()-3),'V_Arbitraj'!$AC$2:$AC$14,0))</f>
        <v/>
      </c>
      <c r="P5" s="8">
        <f>INDEX('V_Arbitraj'!O$2:O$14,MATCH(LARGE('V_Arbitraj'!$AC$2:$AC$14,ROW()-3),'V_Arbitraj'!$AC$2:$AC$14,0))</f>
        <v/>
      </c>
      <c r="Q5" s="9">
        <f>INDEX('V_Arbitraj'!P$2:P$14,MATCH(LARGE('V_Arbitraj'!$AC$2:$AC$14,ROW()-3),'V_Arbitraj'!$AC$2:$AC$14,0))</f>
        <v/>
      </c>
      <c r="R5" s="5">
        <f>INDEX('V_Arbitraj'!Q$2:Q$14,MATCH(LARGE('V_Arbitraj'!$AC$2:$AC$14,ROW()-3),'V_Arbitraj'!$AC$2:$AC$14,0))</f>
        <v/>
      </c>
      <c r="S5" s="8">
        <f>INDEX('V_Arbitraj'!R$2:R$14,MATCH(LARGE('V_Arbitraj'!$AC$2:$AC$14,ROW()-3),'V_Arbitraj'!$AC$2:$AC$14,0))</f>
        <v/>
      </c>
      <c r="T5" s="8">
        <f>INDEX('V_Arbitraj'!S$2:S$14,MATCH(LARGE('V_Arbitraj'!$AC$2:$AC$14,ROW()-3),'V_Arbitraj'!$AC$2:$AC$14,0))</f>
        <v/>
      </c>
      <c r="U5" s="8">
        <f>INDEX('V_Arbitraj'!T$2:T$14,MATCH(LARGE('V_Arbitraj'!$AC$2:$AC$14,ROW()-3),'V_Arbitraj'!$AC$2:$AC$14,0))</f>
        <v/>
      </c>
      <c r="V5" s="8">
        <f>INDEX('V_Arbitraj'!U$2:U$14,MATCH(LARGE('V_Arbitraj'!$AC$2:$AC$14,ROW()-3),'V_Arbitraj'!$AC$2:$AC$14,0))</f>
        <v/>
      </c>
      <c r="W5" s="8">
        <f>INDEX('V_Arbitraj'!V$2:V$14,MATCH(LARGE('V_Arbitraj'!$AC$2:$AC$14,ROW()-3),'V_Arbitraj'!$AC$2:$AC$14,0))</f>
        <v/>
      </c>
      <c r="X5" s="8">
        <f>INDEX('V_Arbitraj'!W$2:W$14,MATCH(LARGE('V_Arbitraj'!$AC$2:$AC$14,ROW()-3),'V_Arbitraj'!$AC$2:$AC$14,0))</f>
        <v/>
      </c>
      <c r="Y5" s="8">
        <f>INDEX('V_Arbitraj'!X$2:X$14,MATCH(LARGE('V_Arbitraj'!$AC$2:$AC$14,ROW()-3),'V_Arbitraj'!$AC$2:$AC$14,0))</f>
        <v/>
      </c>
      <c r="Z5" s="8">
        <f>INDEX('V_Arbitraj'!Y$2:Y$14,MATCH(LARGE('V_Arbitraj'!$AC$2:$AC$14,ROW()-3),'V_Arbitraj'!$AC$2:$AC$14,0))</f>
        <v/>
      </c>
      <c r="AA5" s="8">
        <f>INDEX('V_Arbitraj'!Z$2:Z$14,MATCH(LARGE('V_Arbitraj'!$AC$2:$AC$14,ROW()-3),'V_Arbitraj'!$AC$2:$AC$14,0))</f>
        <v/>
      </c>
      <c r="AB5" s="8">
        <f>INDEX('V_Arbitraj'!AA$2:AA$14,MATCH(LARGE('V_Arbitraj'!$AC$2:$AC$14,ROW()-3),'V_Arbitraj'!$AC$2:$AC$14,0))</f>
        <v/>
      </c>
    </row>
    <row r="6">
      <c r="A6" t="n">
        <v>3</v>
      </c>
      <c r="B6" s="5">
        <f>INDEX('V_Arbitraj'!A$2:A$14,MATCH(LARGE('V_Arbitraj'!$AC$2:$AC$14,ROW()-3),'V_Arbitraj'!$AC$2:$AC$14,0))</f>
        <v/>
      </c>
      <c r="C6" s="5">
        <f>INDEX('V_Arbitraj'!B$2:B$14,MATCH(LARGE('V_Arbitraj'!$AC$2:$AC$14,ROW()-3),'V_Arbitraj'!$AC$2:$AC$14,0))</f>
        <v/>
      </c>
      <c r="D6" s="5">
        <f>INDEX('V_Arbitraj'!C$2:C$14,MATCH(LARGE('V_Arbitraj'!$AC$2:$AC$14,ROW()-3),'V_Arbitraj'!$AC$2:$AC$14,0))</f>
        <v/>
      </c>
      <c r="E6" s="8">
        <f>INDEX('V_Arbitraj'!D$2:D$14,MATCH(LARGE('V_Arbitraj'!$AC$2:$AC$14,ROW()-3),'V_Arbitraj'!$AC$2:$AC$14,0))</f>
        <v/>
      </c>
      <c r="F6" s="9">
        <f>INDEX('V_Arbitraj'!E$2:E$14,MATCH(LARGE('V_Arbitraj'!$AC$2:$AC$14,ROW()-3),'V_Arbitraj'!$AC$2:$AC$14,0))</f>
        <v/>
      </c>
      <c r="G6" s="9">
        <f>INDEX('V_Arbitraj'!F$2:F$14,MATCH(LARGE('V_Arbitraj'!$AC$2:$AC$14,ROW()-3),'V_Arbitraj'!$AC$2:$AC$14,0))</f>
        <v/>
      </c>
      <c r="H6" s="9">
        <f>INDEX('V_Arbitraj'!G$2:G$14,MATCH(LARGE('V_Arbitraj'!$AC$2:$AC$14,ROW()-3),'V_Arbitraj'!$AC$2:$AC$14,0))</f>
        <v/>
      </c>
      <c r="I6" s="9">
        <f>INDEX('V_Arbitraj'!H$2:H$14,MATCH(LARGE('V_Arbitraj'!$AC$2:$AC$14,ROW()-3),'V_Arbitraj'!$AC$2:$AC$14,0))</f>
        <v/>
      </c>
      <c r="J6" s="9">
        <f>INDEX('V_Arbitraj'!I$2:I$14,MATCH(LARGE('V_Arbitraj'!$AC$2:$AC$14,ROW()-3),'V_Arbitraj'!$AC$2:$AC$14,0))</f>
        <v/>
      </c>
      <c r="K6" s="10">
        <f>INDEX('V_Arbitraj'!J$2:J$14,MATCH(LARGE('V_Arbitraj'!$AC$2:$AC$14,ROW()-3),'V_Arbitraj'!$AC$2:$AC$14,0))</f>
        <v/>
      </c>
      <c r="L6" s="10">
        <f>INDEX('V_Arbitraj'!K$2:K$14,MATCH(LARGE('V_Arbitraj'!$AC$2:$AC$14,ROW()-3),'V_Arbitraj'!$AC$2:$AC$14,0))</f>
        <v/>
      </c>
      <c r="M6" s="8">
        <f>INDEX('V_Arbitraj'!L$2:L$14,MATCH(LARGE('V_Arbitraj'!$AC$2:$AC$14,ROW()-3),'V_Arbitraj'!$AC$2:$AC$14,0))</f>
        <v/>
      </c>
      <c r="N6" s="11">
        <f>INDEX('V_Arbitraj'!M$2:M$14,MATCH(LARGE('V_Arbitraj'!$AC$2:$AC$14,ROW()-3),'V_Arbitraj'!$AC$2:$AC$14,0))</f>
        <v/>
      </c>
      <c r="O6" s="11">
        <f>INDEX('V_Arbitraj'!N$2:N$14,MATCH(LARGE('V_Arbitraj'!$AC$2:$AC$14,ROW()-3),'V_Arbitraj'!$AC$2:$AC$14,0))</f>
        <v/>
      </c>
      <c r="P6" s="8">
        <f>INDEX('V_Arbitraj'!O$2:O$14,MATCH(LARGE('V_Arbitraj'!$AC$2:$AC$14,ROW()-3),'V_Arbitraj'!$AC$2:$AC$14,0))</f>
        <v/>
      </c>
      <c r="Q6" s="9">
        <f>INDEX('V_Arbitraj'!P$2:P$14,MATCH(LARGE('V_Arbitraj'!$AC$2:$AC$14,ROW()-3),'V_Arbitraj'!$AC$2:$AC$14,0))</f>
        <v/>
      </c>
      <c r="R6" s="5">
        <f>INDEX('V_Arbitraj'!Q$2:Q$14,MATCH(LARGE('V_Arbitraj'!$AC$2:$AC$14,ROW()-3),'V_Arbitraj'!$AC$2:$AC$14,0))</f>
        <v/>
      </c>
      <c r="S6" s="8">
        <f>INDEX('V_Arbitraj'!R$2:R$14,MATCH(LARGE('V_Arbitraj'!$AC$2:$AC$14,ROW()-3),'V_Arbitraj'!$AC$2:$AC$14,0))</f>
        <v/>
      </c>
      <c r="T6" s="8">
        <f>INDEX('V_Arbitraj'!S$2:S$14,MATCH(LARGE('V_Arbitraj'!$AC$2:$AC$14,ROW()-3),'V_Arbitraj'!$AC$2:$AC$14,0))</f>
        <v/>
      </c>
      <c r="U6" s="8">
        <f>INDEX('V_Arbitraj'!T$2:T$14,MATCH(LARGE('V_Arbitraj'!$AC$2:$AC$14,ROW()-3),'V_Arbitraj'!$AC$2:$AC$14,0))</f>
        <v/>
      </c>
      <c r="V6" s="8">
        <f>INDEX('V_Arbitraj'!U$2:U$14,MATCH(LARGE('V_Arbitraj'!$AC$2:$AC$14,ROW()-3),'V_Arbitraj'!$AC$2:$AC$14,0))</f>
        <v/>
      </c>
      <c r="W6" s="8">
        <f>INDEX('V_Arbitraj'!V$2:V$14,MATCH(LARGE('V_Arbitraj'!$AC$2:$AC$14,ROW()-3),'V_Arbitraj'!$AC$2:$AC$14,0))</f>
        <v/>
      </c>
      <c r="X6" s="8">
        <f>INDEX('V_Arbitraj'!W$2:W$14,MATCH(LARGE('V_Arbitraj'!$AC$2:$AC$14,ROW()-3),'V_Arbitraj'!$AC$2:$AC$14,0))</f>
        <v/>
      </c>
      <c r="Y6" s="8">
        <f>INDEX('V_Arbitraj'!X$2:X$14,MATCH(LARGE('V_Arbitraj'!$AC$2:$AC$14,ROW()-3),'V_Arbitraj'!$AC$2:$AC$14,0))</f>
        <v/>
      </c>
      <c r="Z6" s="8">
        <f>INDEX('V_Arbitraj'!Y$2:Y$14,MATCH(LARGE('V_Arbitraj'!$AC$2:$AC$14,ROW()-3),'V_Arbitraj'!$AC$2:$AC$14,0))</f>
        <v/>
      </c>
      <c r="AA6" s="8">
        <f>INDEX('V_Arbitraj'!Z$2:Z$14,MATCH(LARGE('V_Arbitraj'!$AC$2:$AC$14,ROW()-3),'V_Arbitraj'!$AC$2:$AC$14,0))</f>
        <v/>
      </c>
      <c r="AB6" s="8">
        <f>INDEX('V_Arbitraj'!AA$2:AA$14,MATCH(LARGE('V_Arbitraj'!$AC$2:$AC$14,ROW()-3),'V_Arbitraj'!$AC$2:$AC$14,0))</f>
        <v/>
      </c>
    </row>
    <row r="7">
      <c r="A7" t="n">
        <v>4</v>
      </c>
      <c r="B7" s="5">
        <f>INDEX('V_Arbitraj'!A$2:A$14,MATCH(LARGE('V_Arbitraj'!$AC$2:$AC$14,ROW()-3),'V_Arbitraj'!$AC$2:$AC$14,0))</f>
        <v/>
      </c>
      <c r="C7" s="5">
        <f>INDEX('V_Arbitraj'!B$2:B$14,MATCH(LARGE('V_Arbitraj'!$AC$2:$AC$14,ROW()-3),'V_Arbitraj'!$AC$2:$AC$14,0))</f>
        <v/>
      </c>
      <c r="D7" s="5">
        <f>INDEX('V_Arbitraj'!C$2:C$14,MATCH(LARGE('V_Arbitraj'!$AC$2:$AC$14,ROW()-3),'V_Arbitraj'!$AC$2:$AC$14,0))</f>
        <v/>
      </c>
      <c r="E7" s="8">
        <f>INDEX('V_Arbitraj'!D$2:D$14,MATCH(LARGE('V_Arbitraj'!$AC$2:$AC$14,ROW()-3),'V_Arbitraj'!$AC$2:$AC$14,0))</f>
        <v/>
      </c>
      <c r="F7" s="9">
        <f>INDEX('V_Arbitraj'!E$2:E$14,MATCH(LARGE('V_Arbitraj'!$AC$2:$AC$14,ROW()-3),'V_Arbitraj'!$AC$2:$AC$14,0))</f>
        <v/>
      </c>
      <c r="G7" s="9">
        <f>INDEX('V_Arbitraj'!F$2:F$14,MATCH(LARGE('V_Arbitraj'!$AC$2:$AC$14,ROW()-3),'V_Arbitraj'!$AC$2:$AC$14,0))</f>
        <v/>
      </c>
      <c r="H7" s="9">
        <f>INDEX('V_Arbitraj'!G$2:G$14,MATCH(LARGE('V_Arbitraj'!$AC$2:$AC$14,ROW()-3),'V_Arbitraj'!$AC$2:$AC$14,0))</f>
        <v/>
      </c>
      <c r="I7" s="9">
        <f>INDEX('V_Arbitraj'!H$2:H$14,MATCH(LARGE('V_Arbitraj'!$AC$2:$AC$14,ROW()-3),'V_Arbitraj'!$AC$2:$AC$14,0))</f>
        <v/>
      </c>
      <c r="J7" s="9">
        <f>INDEX('V_Arbitraj'!I$2:I$14,MATCH(LARGE('V_Arbitraj'!$AC$2:$AC$14,ROW()-3),'V_Arbitraj'!$AC$2:$AC$14,0))</f>
        <v/>
      </c>
      <c r="K7" s="10">
        <f>INDEX('V_Arbitraj'!J$2:J$14,MATCH(LARGE('V_Arbitraj'!$AC$2:$AC$14,ROW()-3),'V_Arbitraj'!$AC$2:$AC$14,0))</f>
        <v/>
      </c>
      <c r="L7" s="10">
        <f>INDEX('V_Arbitraj'!K$2:K$14,MATCH(LARGE('V_Arbitraj'!$AC$2:$AC$14,ROW()-3),'V_Arbitraj'!$AC$2:$AC$14,0))</f>
        <v/>
      </c>
      <c r="M7" s="8">
        <f>INDEX('V_Arbitraj'!L$2:L$14,MATCH(LARGE('V_Arbitraj'!$AC$2:$AC$14,ROW()-3),'V_Arbitraj'!$AC$2:$AC$14,0))</f>
        <v/>
      </c>
      <c r="N7" s="11">
        <f>INDEX('V_Arbitraj'!M$2:M$14,MATCH(LARGE('V_Arbitraj'!$AC$2:$AC$14,ROW()-3),'V_Arbitraj'!$AC$2:$AC$14,0))</f>
        <v/>
      </c>
      <c r="O7" s="11">
        <f>INDEX('V_Arbitraj'!N$2:N$14,MATCH(LARGE('V_Arbitraj'!$AC$2:$AC$14,ROW()-3),'V_Arbitraj'!$AC$2:$AC$14,0))</f>
        <v/>
      </c>
      <c r="P7" s="8">
        <f>INDEX('V_Arbitraj'!O$2:O$14,MATCH(LARGE('V_Arbitraj'!$AC$2:$AC$14,ROW()-3),'V_Arbitraj'!$AC$2:$AC$14,0))</f>
        <v/>
      </c>
      <c r="Q7" s="9">
        <f>INDEX('V_Arbitraj'!P$2:P$14,MATCH(LARGE('V_Arbitraj'!$AC$2:$AC$14,ROW()-3),'V_Arbitraj'!$AC$2:$AC$14,0))</f>
        <v/>
      </c>
      <c r="R7" s="5">
        <f>INDEX('V_Arbitraj'!Q$2:Q$14,MATCH(LARGE('V_Arbitraj'!$AC$2:$AC$14,ROW()-3),'V_Arbitraj'!$AC$2:$AC$14,0))</f>
        <v/>
      </c>
      <c r="S7" s="8">
        <f>INDEX('V_Arbitraj'!R$2:R$14,MATCH(LARGE('V_Arbitraj'!$AC$2:$AC$14,ROW()-3),'V_Arbitraj'!$AC$2:$AC$14,0))</f>
        <v/>
      </c>
      <c r="T7" s="8">
        <f>INDEX('V_Arbitraj'!S$2:S$14,MATCH(LARGE('V_Arbitraj'!$AC$2:$AC$14,ROW()-3),'V_Arbitraj'!$AC$2:$AC$14,0))</f>
        <v/>
      </c>
      <c r="U7" s="8">
        <f>INDEX('V_Arbitraj'!T$2:T$14,MATCH(LARGE('V_Arbitraj'!$AC$2:$AC$14,ROW()-3),'V_Arbitraj'!$AC$2:$AC$14,0))</f>
        <v/>
      </c>
      <c r="V7" s="8">
        <f>INDEX('V_Arbitraj'!U$2:U$14,MATCH(LARGE('V_Arbitraj'!$AC$2:$AC$14,ROW()-3),'V_Arbitraj'!$AC$2:$AC$14,0))</f>
        <v/>
      </c>
      <c r="W7" s="8">
        <f>INDEX('V_Arbitraj'!V$2:V$14,MATCH(LARGE('V_Arbitraj'!$AC$2:$AC$14,ROW()-3),'V_Arbitraj'!$AC$2:$AC$14,0))</f>
        <v/>
      </c>
      <c r="X7" s="8">
        <f>INDEX('V_Arbitraj'!W$2:W$14,MATCH(LARGE('V_Arbitraj'!$AC$2:$AC$14,ROW()-3),'V_Arbitraj'!$AC$2:$AC$14,0))</f>
        <v/>
      </c>
      <c r="Y7" s="8">
        <f>INDEX('V_Arbitraj'!X$2:X$14,MATCH(LARGE('V_Arbitraj'!$AC$2:$AC$14,ROW()-3),'V_Arbitraj'!$AC$2:$AC$14,0))</f>
        <v/>
      </c>
      <c r="Z7" s="8">
        <f>INDEX('V_Arbitraj'!Y$2:Y$14,MATCH(LARGE('V_Arbitraj'!$AC$2:$AC$14,ROW()-3),'V_Arbitraj'!$AC$2:$AC$14,0))</f>
        <v/>
      </c>
      <c r="AA7" s="8">
        <f>INDEX('V_Arbitraj'!Z$2:Z$14,MATCH(LARGE('V_Arbitraj'!$AC$2:$AC$14,ROW()-3),'V_Arbitraj'!$AC$2:$AC$14,0))</f>
        <v/>
      </c>
      <c r="AB7" s="8">
        <f>INDEX('V_Arbitraj'!AA$2:AA$14,MATCH(LARGE('V_Arbitraj'!$AC$2:$AC$14,ROW()-3),'V_Arbitraj'!$AC$2:$AC$14,0))</f>
        <v/>
      </c>
    </row>
    <row r="8">
      <c r="A8" t="n">
        <v>5</v>
      </c>
      <c r="B8" s="5">
        <f>INDEX('V_Arbitraj'!A$2:A$14,MATCH(LARGE('V_Arbitraj'!$AC$2:$AC$14,ROW()-3),'V_Arbitraj'!$AC$2:$AC$14,0))</f>
        <v/>
      </c>
      <c r="C8" s="5">
        <f>INDEX('V_Arbitraj'!B$2:B$14,MATCH(LARGE('V_Arbitraj'!$AC$2:$AC$14,ROW()-3),'V_Arbitraj'!$AC$2:$AC$14,0))</f>
        <v/>
      </c>
      <c r="D8" s="5">
        <f>INDEX('V_Arbitraj'!C$2:C$14,MATCH(LARGE('V_Arbitraj'!$AC$2:$AC$14,ROW()-3),'V_Arbitraj'!$AC$2:$AC$14,0))</f>
        <v/>
      </c>
      <c r="E8" s="8">
        <f>INDEX('V_Arbitraj'!D$2:D$14,MATCH(LARGE('V_Arbitraj'!$AC$2:$AC$14,ROW()-3),'V_Arbitraj'!$AC$2:$AC$14,0))</f>
        <v/>
      </c>
      <c r="F8" s="9">
        <f>INDEX('V_Arbitraj'!E$2:E$14,MATCH(LARGE('V_Arbitraj'!$AC$2:$AC$14,ROW()-3),'V_Arbitraj'!$AC$2:$AC$14,0))</f>
        <v/>
      </c>
      <c r="G8" s="9">
        <f>INDEX('V_Arbitraj'!F$2:F$14,MATCH(LARGE('V_Arbitraj'!$AC$2:$AC$14,ROW()-3),'V_Arbitraj'!$AC$2:$AC$14,0))</f>
        <v/>
      </c>
      <c r="H8" s="9">
        <f>INDEX('V_Arbitraj'!G$2:G$14,MATCH(LARGE('V_Arbitraj'!$AC$2:$AC$14,ROW()-3),'V_Arbitraj'!$AC$2:$AC$14,0))</f>
        <v/>
      </c>
      <c r="I8" s="9">
        <f>INDEX('V_Arbitraj'!H$2:H$14,MATCH(LARGE('V_Arbitraj'!$AC$2:$AC$14,ROW()-3),'V_Arbitraj'!$AC$2:$AC$14,0))</f>
        <v/>
      </c>
      <c r="J8" s="9">
        <f>INDEX('V_Arbitraj'!I$2:I$14,MATCH(LARGE('V_Arbitraj'!$AC$2:$AC$14,ROW()-3),'V_Arbitraj'!$AC$2:$AC$14,0))</f>
        <v/>
      </c>
      <c r="K8" s="10">
        <f>INDEX('V_Arbitraj'!J$2:J$14,MATCH(LARGE('V_Arbitraj'!$AC$2:$AC$14,ROW()-3),'V_Arbitraj'!$AC$2:$AC$14,0))</f>
        <v/>
      </c>
      <c r="L8" s="10">
        <f>INDEX('V_Arbitraj'!K$2:K$14,MATCH(LARGE('V_Arbitraj'!$AC$2:$AC$14,ROW()-3),'V_Arbitraj'!$AC$2:$AC$14,0))</f>
        <v/>
      </c>
      <c r="M8" s="8">
        <f>INDEX('V_Arbitraj'!L$2:L$14,MATCH(LARGE('V_Arbitraj'!$AC$2:$AC$14,ROW()-3),'V_Arbitraj'!$AC$2:$AC$14,0))</f>
        <v/>
      </c>
      <c r="N8" s="11">
        <f>INDEX('V_Arbitraj'!M$2:M$14,MATCH(LARGE('V_Arbitraj'!$AC$2:$AC$14,ROW()-3),'V_Arbitraj'!$AC$2:$AC$14,0))</f>
        <v/>
      </c>
      <c r="O8" s="11">
        <f>INDEX('V_Arbitraj'!N$2:N$14,MATCH(LARGE('V_Arbitraj'!$AC$2:$AC$14,ROW()-3),'V_Arbitraj'!$AC$2:$AC$14,0))</f>
        <v/>
      </c>
      <c r="P8" s="8">
        <f>INDEX('V_Arbitraj'!O$2:O$14,MATCH(LARGE('V_Arbitraj'!$AC$2:$AC$14,ROW()-3),'V_Arbitraj'!$AC$2:$AC$14,0))</f>
        <v/>
      </c>
      <c r="Q8" s="9">
        <f>INDEX('V_Arbitraj'!P$2:P$14,MATCH(LARGE('V_Arbitraj'!$AC$2:$AC$14,ROW()-3),'V_Arbitraj'!$AC$2:$AC$14,0))</f>
        <v/>
      </c>
      <c r="R8" s="5">
        <f>INDEX('V_Arbitraj'!Q$2:Q$14,MATCH(LARGE('V_Arbitraj'!$AC$2:$AC$14,ROW()-3),'V_Arbitraj'!$AC$2:$AC$14,0))</f>
        <v/>
      </c>
      <c r="S8" s="8">
        <f>INDEX('V_Arbitraj'!R$2:R$14,MATCH(LARGE('V_Arbitraj'!$AC$2:$AC$14,ROW()-3),'V_Arbitraj'!$AC$2:$AC$14,0))</f>
        <v/>
      </c>
      <c r="T8" s="8">
        <f>INDEX('V_Arbitraj'!S$2:S$14,MATCH(LARGE('V_Arbitraj'!$AC$2:$AC$14,ROW()-3),'V_Arbitraj'!$AC$2:$AC$14,0))</f>
        <v/>
      </c>
      <c r="U8" s="8">
        <f>INDEX('V_Arbitraj'!T$2:T$14,MATCH(LARGE('V_Arbitraj'!$AC$2:$AC$14,ROW()-3),'V_Arbitraj'!$AC$2:$AC$14,0))</f>
        <v/>
      </c>
      <c r="V8" s="8">
        <f>INDEX('V_Arbitraj'!U$2:U$14,MATCH(LARGE('V_Arbitraj'!$AC$2:$AC$14,ROW()-3),'V_Arbitraj'!$AC$2:$AC$14,0))</f>
        <v/>
      </c>
      <c r="W8" s="8">
        <f>INDEX('V_Arbitraj'!V$2:V$14,MATCH(LARGE('V_Arbitraj'!$AC$2:$AC$14,ROW()-3),'V_Arbitraj'!$AC$2:$AC$14,0))</f>
        <v/>
      </c>
      <c r="X8" s="8">
        <f>INDEX('V_Arbitraj'!W$2:W$14,MATCH(LARGE('V_Arbitraj'!$AC$2:$AC$14,ROW()-3),'V_Arbitraj'!$AC$2:$AC$14,0))</f>
        <v/>
      </c>
      <c r="Y8" s="8">
        <f>INDEX('V_Arbitraj'!X$2:X$14,MATCH(LARGE('V_Arbitraj'!$AC$2:$AC$14,ROW()-3),'V_Arbitraj'!$AC$2:$AC$14,0))</f>
        <v/>
      </c>
      <c r="Z8" s="8">
        <f>INDEX('V_Arbitraj'!Y$2:Y$14,MATCH(LARGE('V_Arbitraj'!$AC$2:$AC$14,ROW()-3),'V_Arbitraj'!$AC$2:$AC$14,0))</f>
        <v/>
      </c>
      <c r="AA8" s="8">
        <f>INDEX('V_Arbitraj'!Z$2:Z$14,MATCH(LARGE('V_Arbitraj'!$AC$2:$AC$14,ROW()-3),'V_Arbitraj'!$AC$2:$AC$14,0))</f>
        <v/>
      </c>
      <c r="AB8" s="8">
        <f>INDEX('V_Arbitraj'!AA$2:AA$14,MATCH(LARGE('V_Arbitraj'!$AC$2:$AC$14,ROW()-3),'V_Arbitraj'!$AC$2:$AC$14,0))</f>
        <v/>
      </c>
    </row>
    <row r="9">
      <c r="A9" t="n">
        <v>6</v>
      </c>
      <c r="B9" s="5">
        <f>INDEX('V_Arbitraj'!A$2:A$14,MATCH(LARGE('V_Arbitraj'!$AC$2:$AC$14,ROW()-3),'V_Arbitraj'!$AC$2:$AC$14,0))</f>
        <v/>
      </c>
      <c r="C9" s="5">
        <f>INDEX('V_Arbitraj'!B$2:B$14,MATCH(LARGE('V_Arbitraj'!$AC$2:$AC$14,ROW()-3),'V_Arbitraj'!$AC$2:$AC$14,0))</f>
        <v/>
      </c>
      <c r="D9" s="5">
        <f>INDEX('V_Arbitraj'!C$2:C$14,MATCH(LARGE('V_Arbitraj'!$AC$2:$AC$14,ROW()-3),'V_Arbitraj'!$AC$2:$AC$14,0))</f>
        <v/>
      </c>
      <c r="E9" s="8">
        <f>INDEX('V_Arbitraj'!D$2:D$14,MATCH(LARGE('V_Arbitraj'!$AC$2:$AC$14,ROW()-3),'V_Arbitraj'!$AC$2:$AC$14,0))</f>
        <v/>
      </c>
      <c r="F9" s="9">
        <f>INDEX('V_Arbitraj'!E$2:E$14,MATCH(LARGE('V_Arbitraj'!$AC$2:$AC$14,ROW()-3),'V_Arbitraj'!$AC$2:$AC$14,0))</f>
        <v/>
      </c>
      <c r="G9" s="9">
        <f>INDEX('V_Arbitraj'!F$2:F$14,MATCH(LARGE('V_Arbitraj'!$AC$2:$AC$14,ROW()-3),'V_Arbitraj'!$AC$2:$AC$14,0))</f>
        <v/>
      </c>
      <c r="H9" s="9">
        <f>INDEX('V_Arbitraj'!G$2:G$14,MATCH(LARGE('V_Arbitraj'!$AC$2:$AC$14,ROW()-3),'V_Arbitraj'!$AC$2:$AC$14,0))</f>
        <v/>
      </c>
      <c r="I9" s="9">
        <f>INDEX('V_Arbitraj'!H$2:H$14,MATCH(LARGE('V_Arbitraj'!$AC$2:$AC$14,ROW()-3),'V_Arbitraj'!$AC$2:$AC$14,0))</f>
        <v/>
      </c>
      <c r="J9" s="9">
        <f>INDEX('V_Arbitraj'!I$2:I$14,MATCH(LARGE('V_Arbitraj'!$AC$2:$AC$14,ROW()-3),'V_Arbitraj'!$AC$2:$AC$14,0))</f>
        <v/>
      </c>
      <c r="K9" s="10">
        <f>INDEX('V_Arbitraj'!J$2:J$14,MATCH(LARGE('V_Arbitraj'!$AC$2:$AC$14,ROW()-3),'V_Arbitraj'!$AC$2:$AC$14,0))</f>
        <v/>
      </c>
      <c r="L9" s="10">
        <f>INDEX('V_Arbitraj'!K$2:K$14,MATCH(LARGE('V_Arbitraj'!$AC$2:$AC$14,ROW()-3),'V_Arbitraj'!$AC$2:$AC$14,0))</f>
        <v/>
      </c>
      <c r="M9" s="8">
        <f>INDEX('V_Arbitraj'!L$2:L$14,MATCH(LARGE('V_Arbitraj'!$AC$2:$AC$14,ROW()-3),'V_Arbitraj'!$AC$2:$AC$14,0))</f>
        <v/>
      </c>
      <c r="N9" s="11">
        <f>INDEX('V_Arbitraj'!M$2:M$14,MATCH(LARGE('V_Arbitraj'!$AC$2:$AC$14,ROW()-3),'V_Arbitraj'!$AC$2:$AC$14,0))</f>
        <v/>
      </c>
      <c r="O9" s="11">
        <f>INDEX('V_Arbitraj'!N$2:N$14,MATCH(LARGE('V_Arbitraj'!$AC$2:$AC$14,ROW()-3),'V_Arbitraj'!$AC$2:$AC$14,0))</f>
        <v/>
      </c>
      <c r="P9" s="8">
        <f>INDEX('V_Arbitraj'!O$2:O$14,MATCH(LARGE('V_Arbitraj'!$AC$2:$AC$14,ROW()-3),'V_Arbitraj'!$AC$2:$AC$14,0))</f>
        <v/>
      </c>
      <c r="Q9" s="9">
        <f>INDEX('V_Arbitraj'!P$2:P$14,MATCH(LARGE('V_Arbitraj'!$AC$2:$AC$14,ROW()-3),'V_Arbitraj'!$AC$2:$AC$14,0))</f>
        <v/>
      </c>
      <c r="R9" s="5">
        <f>INDEX('V_Arbitraj'!Q$2:Q$14,MATCH(LARGE('V_Arbitraj'!$AC$2:$AC$14,ROW()-3),'V_Arbitraj'!$AC$2:$AC$14,0))</f>
        <v/>
      </c>
      <c r="S9" s="8">
        <f>INDEX('V_Arbitraj'!R$2:R$14,MATCH(LARGE('V_Arbitraj'!$AC$2:$AC$14,ROW()-3),'V_Arbitraj'!$AC$2:$AC$14,0))</f>
        <v/>
      </c>
      <c r="T9" s="8">
        <f>INDEX('V_Arbitraj'!S$2:S$14,MATCH(LARGE('V_Arbitraj'!$AC$2:$AC$14,ROW()-3),'V_Arbitraj'!$AC$2:$AC$14,0))</f>
        <v/>
      </c>
      <c r="U9" s="8">
        <f>INDEX('V_Arbitraj'!T$2:T$14,MATCH(LARGE('V_Arbitraj'!$AC$2:$AC$14,ROW()-3),'V_Arbitraj'!$AC$2:$AC$14,0))</f>
        <v/>
      </c>
      <c r="V9" s="8">
        <f>INDEX('V_Arbitraj'!U$2:U$14,MATCH(LARGE('V_Arbitraj'!$AC$2:$AC$14,ROW()-3),'V_Arbitraj'!$AC$2:$AC$14,0))</f>
        <v/>
      </c>
      <c r="W9" s="8">
        <f>INDEX('V_Arbitraj'!V$2:V$14,MATCH(LARGE('V_Arbitraj'!$AC$2:$AC$14,ROW()-3),'V_Arbitraj'!$AC$2:$AC$14,0))</f>
        <v/>
      </c>
      <c r="X9" s="8">
        <f>INDEX('V_Arbitraj'!W$2:W$14,MATCH(LARGE('V_Arbitraj'!$AC$2:$AC$14,ROW()-3),'V_Arbitraj'!$AC$2:$AC$14,0))</f>
        <v/>
      </c>
      <c r="Y9" s="8">
        <f>INDEX('V_Arbitraj'!X$2:X$14,MATCH(LARGE('V_Arbitraj'!$AC$2:$AC$14,ROW()-3),'V_Arbitraj'!$AC$2:$AC$14,0))</f>
        <v/>
      </c>
      <c r="Z9" s="8">
        <f>INDEX('V_Arbitraj'!Y$2:Y$14,MATCH(LARGE('V_Arbitraj'!$AC$2:$AC$14,ROW()-3),'V_Arbitraj'!$AC$2:$AC$14,0))</f>
        <v/>
      </c>
      <c r="AA9" s="8">
        <f>INDEX('V_Arbitraj'!Z$2:Z$14,MATCH(LARGE('V_Arbitraj'!$AC$2:$AC$14,ROW()-3),'V_Arbitraj'!$AC$2:$AC$14,0))</f>
        <v/>
      </c>
      <c r="AB9" s="8">
        <f>INDEX('V_Arbitraj'!AA$2:AA$14,MATCH(LARGE('V_Arbitraj'!$AC$2:$AC$14,ROW()-3),'V_Arbitraj'!$AC$2:$AC$14,0))</f>
        <v/>
      </c>
    </row>
    <row r="10">
      <c r="A10" t="n">
        <v>7</v>
      </c>
      <c r="B10" s="5">
        <f>INDEX('V_Arbitraj'!A$2:A$14,MATCH(LARGE('V_Arbitraj'!$AC$2:$AC$14,ROW()-3),'V_Arbitraj'!$AC$2:$AC$14,0))</f>
        <v/>
      </c>
      <c r="C10" s="5">
        <f>INDEX('V_Arbitraj'!B$2:B$14,MATCH(LARGE('V_Arbitraj'!$AC$2:$AC$14,ROW()-3),'V_Arbitraj'!$AC$2:$AC$14,0))</f>
        <v/>
      </c>
      <c r="D10" s="5">
        <f>INDEX('V_Arbitraj'!C$2:C$14,MATCH(LARGE('V_Arbitraj'!$AC$2:$AC$14,ROW()-3),'V_Arbitraj'!$AC$2:$AC$14,0))</f>
        <v/>
      </c>
      <c r="E10" s="8">
        <f>INDEX('V_Arbitraj'!D$2:D$14,MATCH(LARGE('V_Arbitraj'!$AC$2:$AC$14,ROW()-3),'V_Arbitraj'!$AC$2:$AC$14,0))</f>
        <v/>
      </c>
      <c r="F10" s="9">
        <f>INDEX('V_Arbitraj'!E$2:E$14,MATCH(LARGE('V_Arbitraj'!$AC$2:$AC$14,ROW()-3),'V_Arbitraj'!$AC$2:$AC$14,0))</f>
        <v/>
      </c>
      <c r="G10" s="9">
        <f>INDEX('V_Arbitraj'!F$2:F$14,MATCH(LARGE('V_Arbitraj'!$AC$2:$AC$14,ROW()-3),'V_Arbitraj'!$AC$2:$AC$14,0))</f>
        <v/>
      </c>
      <c r="H10" s="9">
        <f>INDEX('V_Arbitraj'!G$2:G$14,MATCH(LARGE('V_Arbitraj'!$AC$2:$AC$14,ROW()-3),'V_Arbitraj'!$AC$2:$AC$14,0))</f>
        <v/>
      </c>
      <c r="I10" s="9">
        <f>INDEX('V_Arbitraj'!H$2:H$14,MATCH(LARGE('V_Arbitraj'!$AC$2:$AC$14,ROW()-3),'V_Arbitraj'!$AC$2:$AC$14,0))</f>
        <v/>
      </c>
      <c r="J10" s="9">
        <f>INDEX('V_Arbitraj'!I$2:I$14,MATCH(LARGE('V_Arbitraj'!$AC$2:$AC$14,ROW()-3),'V_Arbitraj'!$AC$2:$AC$14,0))</f>
        <v/>
      </c>
      <c r="K10" s="10">
        <f>INDEX('V_Arbitraj'!J$2:J$14,MATCH(LARGE('V_Arbitraj'!$AC$2:$AC$14,ROW()-3),'V_Arbitraj'!$AC$2:$AC$14,0))</f>
        <v/>
      </c>
      <c r="L10" s="10">
        <f>INDEX('V_Arbitraj'!K$2:K$14,MATCH(LARGE('V_Arbitraj'!$AC$2:$AC$14,ROW()-3),'V_Arbitraj'!$AC$2:$AC$14,0))</f>
        <v/>
      </c>
      <c r="M10" s="8">
        <f>INDEX('V_Arbitraj'!L$2:L$14,MATCH(LARGE('V_Arbitraj'!$AC$2:$AC$14,ROW()-3),'V_Arbitraj'!$AC$2:$AC$14,0))</f>
        <v/>
      </c>
      <c r="N10" s="11">
        <f>INDEX('V_Arbitraj'!M$2:M$14,MATCH(LARGE('V_Arbitraj'!$AC$2:$AC$14,ROW()-3),'V_Arbitraj'!$AC$2:$AC$14,0))</f>
        <v/>
      </c>
      <c r="O10" s="11">
        <f>INDEX('V_Arbitraj'!N$2:N$14,MATCH(LARGE('V_Arbitraj'!$AC$2:$AC$14,ROW()-3),'V_Arbitraj'!$AC$2:$AC$14,0))</f>
        <v/>
      </c>
      <c r="P10" s="8">
        <f>INDEX('V_Arbitraj'!O$2:O$14,MATCH(LARGE('V_Arbitraj'!$AC$2:$AC$14,ROW()-3),'V_Arbitraj'!$AC$2:$AC$14,0))</f>
        <v/>
      </c>
      <c r="Q10" s="9">
        <f>INDEX('V_Arbitraj'!P$2:P$14,MATCH(LARGE('V_Arbitraj'!$AC$2:$AC$14,ROW()-3),'V_Arbitraj'!$AC$2:$AC$14,0))</f>
        <v/>
      </c>
      <c r="R10" s="5">
        <f>INDEX('V_Arbitraj'!Q$2:Q$14,MATCH(LARGE('V_Arbitraj'!$AC$2:$AC$14,ROW()-3),'V_Arbitraj'!$AC$2:$AC$14,0))</f>
        <v/>
      </c>
      <c r="S10" s="8">
        <f>INDEX('V_Arbitraj'!R$2:R$14,MATCH(LARGE('V_Arbitraj'!$AC$2:$AC$14,ROW()-3),'V_Arbitraj'!$AC$2:$AC$14,0))</f>
        <v/>
      </c>
      <c r="T10" s="8">
        <f>INDEX('V_Arbitraj'!S$2:S$14,MATCH(LARGE('V_Arbitraj'!$AC$2:$AC$14,ROW()-3),'V_Arbitraj'!$AC$2:$AC$14,0))</f>
        <v/>
      </c>
      <c r="U10" s="8">
        <f>INDEX('V_Arbitraj'!T$2:T$14,MATCH(LARGE('V_Arbitraj'!$AC$2:$AC$14,ROW()-3),'V_Arbitraj'!$AC$2:$AC$14,0))</f>
        <v/>
      </c>
      <c r="V10" s="8">
        <f>INDEX('V_Arbitraj'!U$2:U$14,MATCH(LARGE('V_Arbitraj'!$AC$2:$AC$14,ROW()-3),'V_Arbitraj'!$AC$2:$AC$14,0))</f>
        <v/>
      </c>
      <c r="W10" s="8">
        <f>INDEX('V_Arbitraj'!V$2:V$14,MATCH(LARGE('V_Arbitraj'!$AC$2:$AC$14,ROW()-3),'V_Arbitraj'!$AC$2:$AC$14,0))</f>
        <v/>
      </c>
      <c r="X10" s="8">
        <f>INDEX('V_Arbitraj'!W$2:W$14,MATCH(LARGE('V_Arbitraj'!$AC$2:$AC$14,ROW()-3),'V_Arbitraj'!$AC$2:$AC$14,0))</f>
        <v/>
      </c>
      <c r="Y10" s="8">
        <f>INDEX('V_Arbitraj'!X$2:X$14,MATCH(LARGE('V_Arbitraj'!$AC$2:$AC$14,ROW()-3),'V_Arbitraj'!$AC$2:$AC$14,0))</f>
        <v/>
      </c>
      <c r="Z10" s="8">
        <f>INDEX('V_Arbitraj'!Y$2:Y$14,MATCH(LARGE('V_Arbitraj'!$AC$2:$AC$14,ROW()-3),'V_Arbitraj'!$AC$2:$AC$14,0))</f>
        <v/>
      </c>
      <c r="AA10" s="8">
        <f>INDEX('V_Arbitraj'!Z$2:Z$14,MATCH(LARGE('V_Arbitraj'!$AC$2:$AC$14,ROW()-3),'V_Arbitraj'!$AC$2:$AC$14,0))</f>
        <v/>
      </c>
      <c r="AB10" s="8">
        <f>INDEX('V_Arbitraj'!AA$2:AA$14,MATCH(LARGE('V_Arbitraj'!$AC$2:$AC$14,ROW()-3),'V_Arbitraj'!$AC$2:$AC$14,0))</f>
        <v/>
      </c>
    </row>
    <row r="11">
      <c r="A11" t="n">
        <v>8</v>
      </c>
      <c r="B11" s="5">
        <f>INDEX('V_Arbitraj'!A$2:A$14,MATCH(LARGE('V_Arbitraj'!$AC$2:$AC$14,ROW()-3),'V_Arbitraj'!$AC$2:$AC$14,0))</f>
        <v/>
      </c>
      <c r="C11" s="5">
        <f>INDEX('V_Arbitraj'!B$2:B$14,MATCH(LARGE('V_Arbitraj'!$AC$2:$AC$14,ROW()-3),'V_Arbitraj'!$AC$2:$AC$14,0))</f>
        <v/>
      </c>
      <c r="D11" s="5">
        <f>INDEX('V_Arbitraj'!C$2:C$14,MATCH(LARGE('V_Arbitraj'!$AC$2:$AC$14,ROW()-3),'V_Arbitraj'!$AC$2:$AC$14,0))</f>
        <v/>
      </c>
      <c r="E11" s="8">
        <f>INDEX('V_Arbitraj'!D$2:D$14,MATCH(LARGE('V_Arbitraj'!$AC$2:$AC$14,ROW()-3),'V_Arbitraj'!$AC$2:$AC$14,0))</f>
        <v/>
      </c>
      <c r="F11" s="9">
        <f>INDEX('V_Arbitraj'!E$2:E$14,MATCH(LARGE('V_Arbitraj'!$AC$2:$AC$14,ROW()-3),'V_Arbitraj'!$AC$2:$AC$14,0))</f>
        <v/>
      </c>
      <c r="G11" s="9">
        <f>INDEX('V_Arbitraj'!F$2:F$14,MATCH(LARGE('V_Arbitraj'!$AC$2:$AC$14,ROW()-3),'V_Arbitraj'!$AC$2:$AC$14,0))</f>
        <v/>
      </c>
      <c r="H11" s="9">
        <f>INDEX('V_Arbitraj'!G$2:G$14,MATCH(LARGE('V_Arbitraj'!$AC$2:$AC$14,ROW()-3),'V_Arbitraj'!$AC$2:$AC$14,0))</f>
        <v/>
      </c>
      <c r="I11" s="9">
        <f>INDEX('V_Arbitraj'!H$2:H$14,MATCH(LARGE('V_Arbitraj'!$AC$2:$AC$14,ROW()-3),'V_Arbitraj'!$AC$2:$AC$14,0))</f>
        <v/>
      </c>
      <c r="J11" s="9">
        <f>INDEX('V_Arbitraj'!I$2:I$14,MATCH(LARGE('V_Arbitraj'!$AC$2:$AC$14,ROW()-3),'V_Arbitraj'!$AC$2:$AC$14,0))</f>
        <v/>
      </c>
      <c r="K11" s="10">
        <f>INDEX('V_Arbitraj'!J$2:J$14,MATCH(LARGE('V_Arbitraj'!$AC$2:$AC$14,ROW()-3),'V_Arbitraj'!$AC$2:$AC$14,0))</f>
        <v/>
      </c>
      <c r="L11" s="10">
        <f>INDEX('V_Arbitraj'!K$2:K$14,MATCH(LARGE('V_Arbitraj'!$AC$2:$AC$14,ROW()-3),'V_Arbitraj'!$AC$2:$AC$14,0))</f>
        <v/>
      </c>
      <c r="M11" s="8">
        <f>INDEX('V_Arbitraj'!L$2:L$14,MATCH(LARGE('V_Arbitraj'!$AC$2:$AC$14,ROW()-3),'V_Arbitraj'!$AC$2:$AC$14,0))</f>
        <v/>
      </c>
      <c r="N11" s="11">
        <f>INDEX('V_Arbitraj'!M$2:M$14,MATCH(LARGE('V_Arbitraj'!$AC$2:$AC$14,ROW()-3),'V_Arbitraj'!$AC$2:$AC$14,0))</f>
        <v/>
      </c>
      <c r="O11" s="11">
        <f>INDEX('V_Arbitraj'!N$2:N$14,MATCH(LARGE('V_Arbitraj'!$AC$2:$AC$14,ROW()-3),'V_Arbitraj'!$AC$2:$AC$14,0))</f>
        <v/>
      </c>
      <c r="P11" s="8">
        <f>INDEX('V_Arbitraj'!O$2:O$14,MATCH(LARGE('V_Arbitraj'!$AC$2:$AC$14,ROW()-3),'V_Arbitraj'!$AC$2:$AC$14,0))</f>
        <v/>
      </c>
      <c r="Q11" s="9">
        <f>INDEX('V_Arbitraj'!P$2:P$14,MATCH(LARGE('V_Arbitraj'!$AC$2:$AC$14,ROW()-3),'V_Arbitraj'!$AC$2:$AC$14,0))</f>
        <v/>
      </c>
      <c r="R11" s="5">
        <f>INDEX('V_Arbitraj'!Q$2:Q$14,MATCH(LARGE('V_Arbitraj'!$AC$2:$AC$14,ROW()-3),'V_Arbitraj'!$AC$2:$AC$14,0))</f>
        <v/>
      </c>
      <c r="S11" s="8">
        <f>INDEX('V_Arbitraj'!R$2:R$14,MATCH(LARGE('V_Arbitraj'!$AC$2:$AC$14,ROW()-3),'V_Arbitraj'!$AC$2:$AC$14,0))</f>
        <v/>
      </c>
      <c r="T11" s="8">
        <f>INDEX('V_Arbitraj'!S$2:S$14,MATCH(LARGE('V_Arbitraj'!$AC$2:$AC$14,ROW()-3),'V_Arbitraj'!$AC$2:$AC$14,0))</f>
        <v/>
      </c>
      <c r="U11" s="8">
        <f>INDEX('V_Arbitraj'!T$2:T$14,MATCH(LARGE('V_Arbitraj'!$AC$2:$AC$14,ROW()-3),'V_Arbitraj'!$AC$2:$AC$14,0))</f>
        <v/>
      </c>
      <c r="V11" s="8">
        <f>INDEX('V_Arbitraj'!U$2:U$14,MATCH(LARGE('V_Arbitraj'!$AC$2:$AC$14,ROW()-3),'V_Arbitraj'!$AC$2:$AC$14,0))</f>
        <v/>
      </c>
      <c r="W11" s="8">
        <f>INDEX('V_Arbitraj'!V$2:V$14,MATCH(LARGE('V_Arbitraj'!$AC$2:$AC$14,ROW()-3),'V_Arbitraj'!$AC$2:$AC$14,0))</f>
        <v/>
      </c>
      <c r="X11" s="8">
        <f>INDEX('V_Arbitraj'!W$2:W$14,MATCH(LARGE('V_Arbitraj'!$AC$2:$AC$14,ROW()-3),'V_Arbitraj'!$AC$2:$AC$14,0))</f>
        <v/>
      </c>
      <c r="Y11" s="8">
        <f>INDEX('V_Arbitraj'!X$2:X$14,MATCH(LARGE('V_Arbitraj'!$AC$2:$AC$14,ROW()-3),'V_Arbitraj'!$AC$2:$AC$14,0))</f>
        <v/>
      </c>
      <c r="Z11" s="8">
        <f>INDEX('V_Arbitraj'!Y$2:Y$14,MATCH(LARGE('V_Arbitraj'!$AC$2:$AC$14,ROW()-3),'V_Arbitraj'!$AC$2:$AC$14,0))</f>
        <v/>
      </c>
      <c r="AA11" s="8">
        <f>INDEX('V_Arbitraj'!Z$2:Z$14,MATCH(LARGE('V_Arbitraj'!$AC$2:$AC$14,ROW()-3),'V_Arbitraj'!$AC$2:$AC$14,0))</f>
        <v/>
      </c>
      <c r="AB11" s="8">
        <f>INDEX('V_Arbitraj'!AA$2:AA$14,MATCH(LARGE('V_Arbitraj'!$AC$2:$AC$14,ROW()-3),'V_Arbitraj'!$AC$2:$AC$14,0))</f>
        <v/>
      </c>
    </row>
    <row r="12">
      <c r="A12" t="n">
        <v>9</v>
      </c>
      <c r="B12" s="5">
        <f>INDEX('V_Arbitraj'!A$2:A$14,MATCH(LARGE('V_Arbitraj'!$AC$2:$AC$14,ROW()-3),'V_Arbitraj'!$AC$2:$AC$14,0))</f>
        <v/>
      </c>
      <c r="C12" s="5">
        <f>INDEX('V_Arbitraj'!B$2:B$14,MATCH(LARGE('V_Arbitraj'!$AC$2:$AC$14,ROW()-3),'V_Arbitraj'!$AC$2:$AC$14,0))</f>
        <v/>
      </c>
      <c r="D12" s="5">
        <f>INDEX('V_Arbitraj'!C$2:C$14,MATCH(LARGE('V_Arbitraj'!$AC$2:$AC$14,ROW()-3),'V_Arbitraj'!$AC$2:$AC$14,0))</f>
        <v/>
      </c>
      <c r="E12" s="8">
        <f>INDEX('V_Arbitraj'!D$2:D$14,MATCH(LARGE('V_Arbitraj'!$AC$2:$AC$14,ROW()-3),'V_Arbitraj'!$AC$2:$AC$14,0))</f>
        <v/>
      </c>
      <c r="F12" s="9">
        <f>INDEX('V_Arbitraj'!E$2:E$14,MATCH(LARGE('V_Arbitraj'!$AC$2:$AC$14,ROW()-3),'V_Arbitraj'!$AC$2:$AC$14,0))</f>
        <v/>
      </c>
      <c r="G12" s="9">
        <f>INDEX('V_Arbitraj'!F$2:F$14,MATCH(LARGE('V_Arbitraj'!$AC$2:$AC$14,ROW()-3),'V_Arbitraj'!$AC$2:$AC$14,0))</f>
        <v/>
      </c>
      <c r="H12" s="9">
        <f>INDEX('V_Arbitraj'!G$2:G$14,MATCH(LARGE('V_Arbitraj'!$AC$2:$AC$14,ROW()-3),'V_Arbitraj'!$AC$2:$AC$14,0))</f>
        <v/>
      </c>
      <c r="I12" s="9">
        <f>INDEX('V_Arbitraj'!H$2:H$14,MATCH(LARGE('V_Arbitraj'!$AC$2:$AC$14,ROW()-3),'V_Arbitraj'!$AC$2:$AC$14,0))</f>
        <v/>
      </c>
      <c r="J12" s="9">
        <f>INDEX('V_Arbitraj'!I$2:I$14,MATCH(LARGE('V_Arbitraj'!$AC$2:$AC$14,ROW()-3),'V_Arbitraj'!$AC$2:$AC$14,0))</f>
        <v/>
      </c>
      <c r="K12" s="10">
        <f>INDEX('V_Arbitraj'!J$2:J$14,MATCH(LARGE('V_Arbitraj'!$AC$2:$AC$14,ROW()-3),'V_Arbitraj'!$AC$2:$AC$14,0))</f>
        <v/>
      </c>
      <c r="L12" s="10">
        <f>INDEX('V_Arbitraj'!K$2:K$14,MATCH(LARGE('V_Arbitraj'!$AC$2:$AC$14,ROW()-3),'V_Arbitraj'!$AC$2:$AC$14,0))</f>
        <v/>
      </c>
      <c r="M12" s="8">
        <f>INDEX('V_Arbitraj'!L$2:L$14,MATCH(LARGE('V_Arbitraj'!$AC$2:$AC$14,ROW()-3),'V_Arbitraj'!$AC$2:$AC$14,0))</f>
        <v/>
      </c>
      <c r="N12" s="11">
        <f>INDEX('V_Arbitraj'!M$2:M$14,MATCH(LARGE('V_Arbitraj'!$AC$2:$AC$14,ROW()-3),'V_Arbitraj'!$AC$2:$AC$14,0))</f>
        <v/>
      </c>
      <c r="O12" s="11">
        <f>INDEX('V_Arbitraj'!N$2:N$14,MATCH(LARGE('V_Arbitraj'!$AC$2:$AC$14,ROW()-3),'V_Arbitraj'!$AC$2:$AC$14,0))</f>
        <v/>
      </c>
      <c r="P12" s="8">
        <f>INDEX('V_Arbitraj'!O$2:O$14,MATCH(LARGE('V_Arbitraj'!$AC$2:$AC$14,ROW()-3),'V_Arbitraj'!$AC$2:$AC$14,0))</f>
        <v/>
      </c>
      <c r="Q12" s="9">
        <f>INDEX('V_Arbitraj'!P$2:P$14,MATCH(LARGE('V_Arbitraj'!$AC$2:$AC$14,ROW()-3),'V_Arbitraj'!$AC$2:$AC$14,0))</f>
        <v/>
      </c>
      <c r="R12" s="5">
        <f>INDEX('V_Arbitraj'!Q$2:Q$14,MATCH(LARGE('V_Arbitraj'!$AC$2:$AC$14,ROW()-3),'V_Arbitraj'!$AC$2:$AC$14,0))</f>
        <v/>
      </c>
      <c r="S12" s="8">
        <f>INDEX('V_Arbitraj'!R$2:R$14,MATCH(LARGE('V_Arbitraj'!$AC$2:$AC$14,ROW()-3),'V_Arbitraj'!$AC$2:$AC$14,0))</f>
        <v/>
      </c>
      <c r="T12" s="8">
        <f>INDEX('V_Arbitraj'!S$2:S$14,MATCH(LARGE('V_Arbitraj'!$AC$2:$AC$14,ROW()-3),'V_Arbitraj'!$AC$2:$AC$14,0))</f>
        <v/>
      </c>
      <c r="U12" s="8">
        <f>INDEX('V_Arbitraj'!T$2:T$14,MATCH(LARGE('V_Arbitraj'!$AC$2:$AC$14,ROW()-3),'V_Arbitraj'!$AC$2:$AC$14,0))</f>
        <v/>
      </c>
      <c r="V12" s="8">
        <f>INDEX('V_Arbitraj'!U$2:U$14,MATCH(LARGE('V_Arbitraj'!$AC$2:$AC$14,ROW()-3),'V_Arbitraj'!$AC$2:$AC$14,0))</f>
        <v/>
      </c>
      <c r="W12" s="8">
        <f>INDEX('V_Arbitraj'!V$2:V$14,MATCH(LARGE('V_Arbitraj'!$AC$2:$AC$14,ROW()-3),'V_Arbitraj'!$AC$2:$AC$14,0))</f>
        <v/>
      </c>
      <c r="X12" s="8">
        <f>INDEX('V_Arbitraj'!W$2:W$14,MATCH(LARGE('V_Arbitraj'!$AC$2:$AC$14,ROW()-3),'V_Arbitraj'!$AC$2:$AC$14,0))</f>
        <v/>
      </c>
      <c r="Y12" s="8">
        <f>INDEX('V_Arbitraj'!X$2:X$14,MATCH(LARGE('V_Arbitraj'!$AC$2:$AC$14,ROW()-3),'V_Arbitraj'!$AC$2:$AC$14,0))</f>
        <v/>
      </c>
      <c r="Z12" s="8">
        <f>INDEX('V_Arbitraj'!Y$2:Y$14,MATCH(LARGE('V_Arbitraj'!$AC$2:$AC$14,ROW()-3),'V_Arbitraj'!$AC$2:$AC$14,0))</f>
        <v/>
      </c>
      <c r="AA12" s="8">
        <f>INDEX('V_Arbitraj'!Z$2:Z$14,MATCH(LARGE('V_Arbitraj'!$AC$2:$AC$14,ROW()-3),'V_Arbitraj'!$AC$2:$AC$14,0))</f>
        <v/>
      </c>
      <c r="AB12" s="8">
        <f>INDEX('V_Arbitraj'!AA$2:AA$14,MATCH(LARGE('V_Arbitraj'!$AC$2:$AC$14,ROW()-3),'V_Arbitraj'!$AC$2:$AC$14,0))</f>
        <v/>
      </c>
    </row>
    <row r="13">
      <c r="A13" t="n">
        <v>10</v>
      </c>
      <c r="B13" s="5">
        <f>INDEX('V_Arbitraj'!A$2:A$14,MATCH(LARGE('V_Arbitraj'!$AC$2:$AC$14,ROW()-3),'V_Arbitraj'!$AC$2:$AC$14,0))</f>
        <v/>
      </c>
      <c r="C13" s="5">
        <f>INDEX('V_Arbitraj'!B$2:B$14,MATCH(LARGE('V_Arbitraj'!$AC$2:$AC$14,ROW()-3),'V_Arbitraj'!$AC$2:$AC$14,0))</f>
        <v/>
      </c>
      <c r="D13" s="5">
        <f>INDEX('V_Arbitraj'!C$2:C$14,MATCH(LARGE('V_Arbitraj'!$AC$2:$AC$14,ROW()-3),'V_Arbitraj'!$AC$2:$AC$14,0))</f>
        <v/>
      </c>
      <c r="E13" s="8">
        <f>INDEX('V_Arbitraj'!D$2:D$14,MATCH(LARGE('V_Arbitraj'!$AC$2:$AC$14,ROW()-3),'V_Arbitraj'!$AC$2:$AC$14,0))</f>
        <v/>
      </c>
      <c r="F13" s="9">
        <f>INDEX('V_Arbitraj'!E$2:E$14,MATCH(LARGE('V_Arbitraj'!$AC$2:$AC$14,ROW()-3),'V_Arbitraj'!$AC$2:$AC$14,0))</f>
        <v/>
      </c>
      <c r="G13" s="9">
        <f>INDEX('V_Arbitraj'!F$2:F$14,MATCH(LARGE('V_Arbitraj'!$AC$2:$AC$14,ROW()-3),'V_Arbitraj'!$AC$2:$AC$14,0))</f>
        <v/>
      </c>
      <c r="H13" s="9">
        <f>INDEX('V_Arbitraj'!G$2:G$14,MATCH(LARGE('V_Arbitraj'!$AC$2:$AC$14,ROW()-3),'V_Arbitraj'!$AC$2:$AC$14,0))</f>
        <v/>
      </c>
      <c r="I13" s="9">
        <f>INDEX('V_Arbitraj'!H$2:H$14,MATCH(LARGE('V_Arbitraj'!$AC$2:$AC$14,ROW()-3),'V_Arbitraj'!$AC$2:$AC$14,0))</f>
        <v/>
      </c>
      <c r="J13" s="9">
        <f>INDEX('V_Arbitraj'!I$2:I$14,MATCH(LARGE('V_Arbitraj'!$AC$2:$AC$14,ROW()-3),'V_Arbitraj'!$AC$2:$AC$14,0))</f>
        <v/>
      </c>
      <c r="K13" s="10">
        <f>INDEX('V_Arbitraj'!J$2:J$14,MATCH(LARGE('V_Arbitraj'!$AC$2:$AC$14,ROW()-3),'V_Arbitraj'!$AC$2:$AC$14,0))</f>
        <v/>
      </c>
      <c r="L13" s="10">
        <f>INDEX('V_Arbitraj'!K$2:K$14,MATCH(LARGE('V_Arbitraj'!$AC$2:$AC$14,ROW()-3),'V_Arbitraj'!$AC$2:$AC$14,0))</f>
        <v/>
      </c>
      <c r="M13" s="8">
        <f>INDEX('V_Arbitraj'!L$2:L$14,MATCH(LARGE('V_Arbitraj'!$AC$2:$AC$14,ROW()-3),'V_Arbitraj'!$AC$2:$AC$14,0))</f>
        <v/>
      </c>
      <c r="N13" s="11">
        <f>INDEX('V_Arbitraj'!M$2:M$14,MATCH(LARGE('V_Arbitraj'!$AC$2:$AC$14,ROW()-3),'V_Arbitraj'!$AC$2:$AC$14,0))</f>
        <v/>
      </c>
      <c r="O13" s="11">
        <f>INDEX('V_Arbitraj'!N$2:N$14,MATCH(LARGE('V_Arbitraj'!$AC$2:$AC$14,ROW()-3),'V_Arbitraj'!$AC$2:$AC$14,0))</f>
        <v/>
      </c>
      <c r="P13" s="8">
        <f>INDEX('V_Arbitraj'!O$2:O$14,MATCH(LARGE('V_Arbitraj'!$AC$2:$AC$14,ROW()-3),'V_Arbitraj'!$AC$2:$AC$14,0))</f>
        <v/>
      </c>
      <c r="Q13" s="9">
        <f>INDEX('V_Arbitraj'!P$2:P$14,MATCH(LARGE('V_Arbitraj'!$AC$2:$AC$14,ROW()-3),'V_Arbitraj'!$AC$2:$AC$14,0))</f>
        <v/>
      </c>
      <c r="R13" s="5">
        <f>INDEX('V_Arbitraj'!Q$2:Q$14,MATCH(LARGE('V_Arbitraj'!$AC$2:$AC$14,ROW()-3),'V_Arbitraj'!$AC$2:$AC$14,0))</f>
        <v/>
      </c>
      <c r="S13" s="8">
        <f>INDEX('V_Arbitraj'!R$2:R$14,MATCH(LARGE('V_Arbitraj'!$AC$2:$AC$14,ROW()-3),'V_Arbitraj'!$AC$2:$AC$14,0))</f>
        <v/>
      </c>
      <c r="T13" s="8">
        <f>INDEX('V_Arbitraj'!S$2:S$14,MATCH(LARGE('V_Arbitraj'!$AC$2:$AC$14,ROW()-3),'V_Arbitraj'!$AC$2:$AC$14,0))</f>
        <v/>
      </c>
      <c r="U13" s="8">
        <f>INDEX('V_Arbitraj'!T$2:T$14,MATCH(LARGE('V_Arbitraj'!$AC$2:$AC$14,ROW()-3),'V_Arbitraj'!$AC$2:$AC$14,0))</f>
        <v/>
      </c>
      <c r="V13" s="8">
        <f>INDEX('V_Arbitraj'!U$2:U$14,MATCH(LARGE('V_Arbitraj'!$AC$2:$AC$14,ROW()-3),'V_Arbitraj'!$AC$2:$AC$14,0))</f>
        <v/>
      </c>
      <c r="W13" s="8">
        <f>INDEX('V_Arbitraj'!V$2:V$14,MATCH(LARGE('V_Arbitraj'!$AC$2:$AC$14,ROW()-3),'V_Arbitraj'!$AC$2:$AC$14,0))</f>
        <v/>
      </c>
      <c r="X13" s="8">
        <f>INDEX('V_Arbitraj'!W$2:W$14,MATCH(LARGE('V_Arbitraj'!$AC$2:$AC$14,ROW()-3),'V_Arbitraj'!$AC$2:$AC$14,0))</f>
        <v/>
      </c>
      <c r="Y13" s="8">
        <f>INDEX('V_Arbitraj'!X$2:X$14,MATCH(LARGE('V_Arbitraj'!$AC$2:$AC$14,ROW()-3),'V_Arbitraj'!$AC$2:$AC$14,0))</f>
        <v/>
      </c>
      <c r="Z13" s="8">
        <f>INDEX('V_Arbitraj'!Y$2:Y$14,MATCH(LARGE('V_Arbitraj'!$AC$2:$AC$14,ROW()-3),'V_Arbitraj'!$AC$2:$AC$14,0))</f>
        <v/>
      </c>
      <c r="AA13" s="8">
        <f>INDEX('V_Arbitraj'!Z$2:Z$14,MATCH(LARGE('V_Arbitraj'!$AC$2:$AC$14,ROW()-3),'V_Arbitraj'!$AC$2:$AC$14,0))</f>
        <v/>
      </c>
      <c r="AB13" s="8">
        <f>INDEX('V_Arbitraj'!AA$2:AA$14,MATCH(LARGE('V_Arbitraj'!$AC$2:$AC$14,ROW()-3),'V_Arbitraj'!$AC$2:$AC$14,0))</f>
        <v/>
      </c>
    </row>
    <row r="14">
      <c r="A14" t="n">
        <v>11</v>
      </c>
      <c r="B14" s="5">
        <f>INDEX('V_Arbitraj'!A$2:A$14,MATCH(LARGE('V_Arbitraj'!$AC$2:$AC$14,ROW()-3),'V_Arbitraj'!$AC$2:$AC$14,0))</f>
        <v/>
      </c>
      <c r="C14" s="5">
        <f>INDEX('V_Arbitraj'!B$2:B$14,MATCH(LARGE('V_Arbitraj'!$AC$2:$AC$14,ROW()-3),'V_Arbitraj'!$AC$2:$AC$14,0))</f>
        <v/>
      </c>
      <c r="D14" s="5">
        <f>INDEX('V_Arbitraj'!C$2:C$14,MATCH(LARGE('V_Arbitraj'!$AC$2:$AC$14,ROW()-3),'V_Arbitraj'!$AC$2:$AC$14,0))</f>
        <v/>
      </c>
      <c r="E14" s="8">
        <f>INDEX('V_Arbitraj'!D$2:D$14,MATCH(LARGE('V_Arbitraj'!$AC$2:$AC$14,ROW()-3),'V_Arbitraj'!$AC$2:$AC$14,0))</f>
        <v/>
      </c>
      <c r="F14" s="9">
        <f>INDEX('V_Arbitraj'!E$2:E$14,MATCH(LARGE('V_Arbitraj'!$AC$2:$AC$14,ROW()-3),'V_Arbitraj'!$AC$2:$AC$14,0))</f>
        <v/>
      </c>
      <c r="G14" s="9">
        <f>INDEX('V_Arbitraj'!F$2:F$14,MATCH(LARGE('V_Arbitraj'!$AC$2:$AC$14,ROW()-3),'V_Arbitraj'!$AC$2:$AC$14,0))</f>
        <v/>
      </c>
      <c r="H14" s="9">
        <f>INDEX('V_Arbitraj'!G$2:G$14,MATCH(LARGE('V_Arbitraj'!$AC$2:$AC$14,ROW()-3),'V_Arbitraj'!$AC$2:$AC$14,0))</f>
        <v/>
      </c>
      <c r="I14" s="9">
        <f>INDEX('V_Arbitraj'!H$2:H$14,MATCH(LARGE('V_Arbitraj'!$AC$2:$AC$14,ROW()-3),'V_Arbitraj'!$AC$2:$AC$14,0))</f>
        <v/>
      </c>
      <c r="J14" s="9">
        <f>INDEX('V_Arbitraj'!I$2:I$14,MATCH(LARGE('V_Arbitraj'!$AC$2:$AC$14,ROW()-3),'V_Arbitraj'!$AC$2:$AC$14,0))</f>
        <v/>
      </c>
      <c r="K14" s="10">
        <f>INDEX('V_Arbitraj'!J$2:J$14,MATCH(LARGE('V_Arbitraj'!$AC$2:$AC$14,ROW()-3),'V_Arbitraj'!$AC$2:$AC$14,0))</f>
        <v/>
      </c>
      <c r="L14" s="10">
        <f>INDEX('V_Arbitraj'!K$2:K$14,MATCH(LARGE('V_Arbitraj'!$AC$2:$AC$14,ROW()-3),'V_Arbitraj'!$AC$2:$AC$14,0))</f>
        <v/>
      </c>
      <c r="M14" s="8">
        <f>INDEX('V_Arbitraj'!L$2:L$14,MATCH(LARGE('V_Arbitraj'!$AC$2:$AC$14,ROW()-3),'V_Arbitraj'!$AC$2:$AC$14,0))</f>
        <v/>
      </c>
      <c r="N14" s="11">
        <f>INDEX('V_Arbitraj'!M$2:M$14,MATCH(LARGE('V_Arbitraj'!$AC$2:$AC$14,ROW()-3),'V_Arbitraj'!$AC$2:$AC$14,0))</f>
        <v/>
      </c>
      <c r="O14" s="11">
        <f>INDEX('V_Arbitraj'!N$2:N$14,MATCH(LARGE('V_Arbitraj'!$AC$2:$AC$14,ROW()-3),'V_Arbitraj'!$AC$2:$AC$14,0))</f>
        <v/>
      </c>
      <c r="P14" s="8">
        <f>INDEX('V_Arbitraj'!O$2:O$14,MATCH(LARGE('V_Arbitraj'!$AC$2:$AC$14,ROW()-3),'V_Arbitraj'!$AC$2:$AC$14,0))</f>
        <v/>
      </c>
      <c r="Q14" s="9">
        <f>INDEX('V_Arbitraj'!P$2:P$14,MATCH(LARGE('V_Arbitraj'!$AC$2:$AC$14,ROW()-3),'V_Arbitraj'!$AC$2:$AC$14,0))</f>
        <v/>
      </c>
      <c r="R14" s="5">
        <f>INDEX('V_Arbitraj'!Q$2:Q$14,MATCH(LARGE('V_Arbitraj'!$AC$2:$AC$14,ROW()-3),'V_Arbitraj'!$AC$2:$AC$14,0))</f>
        <v/>
      </c>
      <c r="S14" s="8">
        <f>INDEX('V_Arbitraj'!R$2:R$14,MATCH(LARGE('V_Arbitraj'!$AC$2:$AC$14,ROW()-3),'V_Arbitraj'!$AC$2:$AC$14,0))</f>
        <v/>
      </c>
      <c r="T14" s="8">
        <f>INDEX('V_Arbitraj'!S$2:S$14,MATCH(LARGE('V_Arbitraj'!$AC$2:$AC$14,ROW()-3),'V_Arbitraj'!$AC$2:$AC$14,0))</f>
        <v/>
      </c>
      <c r="U14" s="8">
        <f>INDEX('V_Arbitraj'!T$2:T$14,MATCH(LARGE('V_Arbitraj'!$AC$2:$AC$14,ROW()-3),'V_Arbitraj'!$AC$2:$AC$14,0))</f>
        <v/>
      </c>
      <c r="V14" s="8">
        <f>INDEX('V_Arbitraj'!U$2:U$14,MATCH(LARGE('V_Arbitraj'!$AC$2:$AC$14,ROW()-3),'V_Arbitraj'!$AC$2:$AC$14,0))</f>
        <v/>
      </c>
      <c r="W14" s="8">
        <f>INDEX('V_Arbitraj'!V$2:V$14,MATCH(LARGE('V_Arbitraj'!$AC$2:$AC$14,ROW()-3),'V_Arbitraj'!$AC$2:$AC$14,0))</f>
        <v/>
      </c>
      <c r="X14" s="8">
        <f>INDEX('V_Arbitraj'!W$2:W$14,MATCH(LARGE('V_Arbitraj'!$AC$2:$AC$14,ROW()-3),'V_Arbitraj'!$AC$2:$AC$14,0))</f>
        <v/>
      </c>
      <c r="Y14" s="8">
        <f>INDEX('V_Arbitraj'!X$2:X$14,MATCH(LARGE('V_Arbitraj'!$AC$2:$AC$14,ROW()-3),'V_Arbitraj'!$AC$2:$AC$14,0))</f>
        <v/>
      </c>
      <c r="Z14" s="8">
        <f>INDEX('V_Arbitraj'!Y$2:Y$14,MATCH(LARGE('V_Arbitraj'!$AC$2:$AC$14,ROW()-3),'V_Arbitraj'!$AC$2:$AC$14,0))</f>
        <v/>
      </c>
      <c r="AA14" s="8">
        <f>INDEX('V_Arbitraj'!Z$2:Z$14,MATCH(LARGE('V_Arbitraj'!$AC$2:$AC$14,ROW()-3),'V_Arbitraj'!$AC$2:$AC$14,0))</f>
        <v/>
      </c>
      <c r="AB14" s="8">
        <f>INDEX('V_Arbitraj'!AA$2:AA$14,MATCH(LARGE('V_Arbitraj'!$AC$2:$AC$14,ROW()-3),'V_Arbitraj'!$AC$2:$AC$14,0))</f>
        <v/>
      </c>
    </row>
    <row r="15">
      <c r="A15" t="n">
        <v>12</v>
      </c>
      <c r="B15" s="5">
        <f>INDEX('V_Arbitraj'!A$2:A$14,MATCH(LARGE('V_Arbitraj'!$AC$2:$AC$14,ROW()-3),'V_Arbitraj'!$AC$2:$AC$14,0))</f>
        <v/>
      </c>
      <c r="C15" s="5">
        <f>INDEX('V_Arbitraj'!B$2:B$14,MATCH(LARGE('V_Arbitraj'!$AC$2:$AC$14,ROW()-3),'V_Arbitraj'!$AC$2:$AC$14,0))</f>
        <v/>
      </c>
      <c r="D15" s="5">
        <f>INDEX('V_Arbitraj'!C$2:C$14,MATCH(LARGE('V_Arbitraj'!$AC$2:$AC$14,ROW()-3),'V_Arbitraj'!$AC$2:$AC$14,0))</f>
        <v/>
      </c>
      <c r="E15" s="8">
        <f>INDEX('V_Arbitraj'!D$2:D$14,MATCH(LARGE('V_Arbitraj'!$AC$2:$AC$14,ROW()-3),'V_Arbitraj'!$AC$2:$AC$14,0))</f>
        <v/>
      </c>
      <c r="F15" s="9">
        <f>INDEX('V_Arbitraj'!E$2:E$14,MATCH(LARGE('V_Arbitraj'!$AC$2:$AC$14,ROW()-3),'V_Arbitraj'!$AC$2:$AC$14,0))</f>
        <v/>
      </c>
      <c r="G15" s="9">
        <f>INDEX('V_Arbitraj'!F$2:F$14,MATCH(LARGE('V_Arbitraj'!$AC$2:$AC$14,ROW()-3),'V_Arbitraj'!$AC$2:$AC$14,0))</f>
        <v/>
      </c>
      <c r="H15" s="9">
        <f>INDEX('V_Arbitraj'!G$2:G$14,MATCH(LARGE('V_Arbitraj'!$AC$2:$AC$14,ROW()-3),'V_Arbitraj'!$AC$2:$AC$14,0))</f>
        <v/>
      </c>
      <c r="I15" s="9">
        <f>INDEX('V_Arbitraj'!H$2:H$14,MATCH(LARGE('V_Arbitraj'!$AC$2:$AC$14,ROW()-3),'V_Arbitraj'!$AC$2:$AC$14,0))</f>
        <v/>
      </c>
      <c r="J15" s="9">
        <f>INDEX('V_Arbitraj'!I$2:I$14,MATCH(LARGE('V_Arbitraj'!$AC$2:$AC$14,ROW()-3),'V_Arbitraj'!$AC$2:$AC$14,0))</f>
        <v/>
      </c>
      <c r="K15" s="10">
        <f>INDEX('V_Arbitraj'!J$2:J$14,MATCH(LARGE('V_Arbitraj'!$AC$2:$AC$14,ROW()-3),'V_Arbitraj'!$AC$2:$AC$14,0))</f>
        <v/>
      </c>
      <c r="L15" s="10">
        <f>INDEX('V_Arbitraj'!K$2:K$14,MATCH(LARGE('V_Arbitraj'!$AC$2:$AC$14,ROW()-3),'V_Arbitraj'!$AC$2:$AC$14,0))</f>
        <v/>
      </c>
      <c r="M15" s="8">
        <f>INDEX('V_Arbitraj'!L$2:L$14,MATCH(LARGE('V_Arbitraj'!$AC$2:$AC$14,ROW()-3),'V_Arbitraj'!$AC$2:$AC$14,0))</f>
        <v/>
      </c>
      <c r="N15" s="11">
        <f>INDEX('V_Arbitraj'!M$2:M$14,MATCH(LARGE('V_Arbitraj'!$AC$2:$AC$14,ROW()-3),'V_Arbitraj'!$AC$2:$AC$14,0))</f>
        <v/>
      </c>
      <c r="O15" s="11">
        <f>INDEX('V_Arbitraj'!N$2:N$14,MATCH(LARGE('V_Arbitraj'!$AC$2:$AC$14,ROW()-3),'V_Arbitraj'!$AC$2:$AC$14,0))</f>
        <v/>
      </c>
      <c r="P15" s="8">
        <f>INDEX('V_Arbitraj'!O$2:O$14,MATCH(LARGE('V_Arbitraj'!$AC$2:$AC$14,ROW()-3),'V_Arbitraj'!$AC$2:$AC$14,0))</f>
        <v/>
      </c>
      <c r="Q15" s="9">
        <f>INDEX('V_Arbitraj'!P$2:P$14,MATCH(LARGE('V_Arbitraj'!$AC$2:$AC$14,ROW()-3),'V_Arbitraj'!$AC$2:$AC$14,0))</f>
        <v/>
      </c>
      <c r="R15" s="5">
        <f>INDEX('V_Arbitraj'!Q$2:Q$14,MATCH(LARGE('V_Arbitraj'!$AC$2:$AC$14,ROW()-3),'V_Arbitraj'!$AC$2:$AC$14,0))</f>
        <v/>
      </c>
      <c r="S15" s="8">
        <f>INDEX('V_Arbitraj'!R$2:R$14,MATCH(LARGE('V_Arbitraj'!$AC$2:$AC$14,ROW()-3),'V_Arbitraj'!$AC$2:$AC$14,0))</f>
        <v/>
      </c>
      <c r="T15" s="8">
        <f>INDEX('V_Arbitraj'!S$2:S$14,MATCH(LARGE('V_Arbitraj'!$AC$2:$AC$14,ROW()-3),'V_Arbitraj'!$AC$2:$AC$14,0))</f>
        <v/>
      </c>
      <c r="U15" s="8">
        <f>INDEX('V_Arbitraj'!T$2:T$14,MATCH(LARGE('V_Arbitraj'!$AC$2:$AC$14,ROW()-3),'V_Arbitraj'!$AC$2:$AC$14,0))</f>
        <v/>
      </c>
      <c r="V15" s="8">
        <f>INDEX('V_Arbitraj'!U$2:U$14,MATCH(LARGE('V_Arbitraj'!$AC$2:$AC$14,ROW()-3),'V_Arbitraj'!$AC$2:$AC$14,0))</f>
        <v/>
      </c>
      <c r="W15" s="8">
        <f>INDEX('V_Arbitraj'!V$2:V$14,MATCH(LARGE('V_Arbitraj'!$AC$2:$AC$14,ROW()-3),'V_Arbitraj'!$AC$2:$AC$14,0))</f>
        <v/>
      </c>
      <c r="X15" s="8">
        <f>INDEX('V_Arbitraj'!W$2:W$14,MATCH(LARGE('V_Arbitraj'!$AC$2:$AC$14,ROW()-3),'V_Arbitraj'!$AC$2:$AC$14,0))</f>
        <v/>
      </c>
      <c r="Y15" s="8">
        <f>INDEX('V_Arbitraj'!X$2:X$14,MATCH(LARGE('V_Arbitraj'!$AC$2:$AC$14,ROW()-3),'V_Arbitraj'!$AC$2:$AC$14,0))</f>
        <v/>
      </c>
      <c r="Z15" s="8">
        <f>INDEX('V_Arbitraj'!Y$2:Y$14,MATCH(LARGE('V_Arbitraj'!$AC$2:$AC$14,ROW()-3),'V_Arbitraj'!$AC$2:$AC$14,0))</f>
        <v/>
      </c>
      <c r="AA15" s="8">
        <f>INDEX('V_Arbitraj'!Z$2:Z$14,MATCH(LARGE('V_Arbitraj'!$AC$2:$AC$14,ROW()-3),'V_Arbitraj'!$AC$2:$AC$14,0))</f>
        <v/>
      </c>
      <c r="AB15" s="8">
        <f>INDEX('V_Arbitraj'!AA$2:AA$14,MATCH(LARGE('V_Arbitraj'!$AC$2:$AC$14,ROW()-3),'V_Arbitraj'!$AC$2:$AC$14,0))</f>
        <v/>
      </c>
    </row>
    <row r="16">
      <c r="A16" t="n">
        <v>13</v>
      </c>
      <c r="B16" s="5">
        <f>INDEX('V_Arbitraj'!A$2:A$14,MATCH(LARGE('V_Arbitraj'!$AC$2:$AC$14,ROW()-3),'V_Arbitraj'!$AC$2:$AC$14,0))</f>
        <v/>
      </c>
      <c r="C16" s="5">
        <f>INDEX('V_Arbitraj'!B$2:B$14,MATCH(LARGE('V_Arbitraj'!$AC$2:$AC$14,ROW()-3),'V_Arbitraj'!$AC$2:$AC$14,0))</f>
        <v/>
      </c>
      <c r="D16" s="5">
        <f>INDEX('V_Arbitraj'!C$2:C$14,MATCH(LARGE('V_Arbitraj'!$AC$2:$AC$14,ROW()-3),'V_Arbitraj'!$AC$2:$AC$14,0))</f>
        <v/>
      </c>
      <c r="E16" s="8">
        <f>INDEX('V_Arbitraj'!D$2:D$14,MATCH(LARGE('V_Arbitraj'!$AC$2:$AC$14,ROW()-3),'V_Arbitraj'!$AC$2:$AC$14,0))</f>
        <v/>
      </c>
      <c r="F16" s="9">
        <f>INDEX('V_Arbitraj'!E$2:E$14,MATCH(LARGE('V_Arbitraj'!$AC$2:$AC$14,ROW()-3),'V_Arbitraj'!$AC$2:$AC$14,0))</f>
        <v/>
      </c>
      <c r="G16" s="9">
        <f>INDEX('V_Arbitraj'!F$2:F$14,MATCH(LARGE('V_Arbitraj'!$AC$2:$AC$14,ROW()-3),'V_Arbitraj'!$AC$2:$AC$14,0))</f>
        <v/>
      </c>
      <c r="H16" s="9">
        <f>INDEX('V_Arbitraj'!G$2:G$14,MATCH(LARGE('V_Arbitraj'!$AC$2:$AC$14,ROW()-3),'V_Arbitraj'!$AC$2:$AC$14,0))</f>
        <v/>
      </c>
      <c r="I16" s="9">
        <f>INDEX('V_Arbitraj'!H$2:H$14,MATCH(LARGE('V_Arbitraj'!$AC$2:$AC$14,ROW()-3),'V_Arbitraj'!$AC$2:$AC$14,0))</f>
        <v/>
      </c>
      <c r="J16" s="9">
        <f>INDEX('V_Arbitraj'!I$2:I$14,MATCH(LARGE('V_Arbitraj'!$AC$2:$AC$14,ROW()-3),'V_Arbitraj'!$AC$2:$AC$14,0))</f>
        <v/>
      </c>
      <c r="K16" s="10">
        <f>INDEX('V_Arbitraj'!J$2:J$14,MATCH(LARGE('V_Arbitraj'!$AC$2:$AC$14,ROW()-3),'V_Arbitraj'!$AC$2:$AC$14,0))</f>
        <v/>
      </c>
      <c r="L16" s="10">
        <f>INDEX('V_Arbitraj'!K$2:K$14,MATCH(LARGE('V_Arbitraj'!$AC$2:$AC$14,ROW()-3),'V_Arbitraj'!$AC$2:$AC$14,0))</f>
        <v/>
      </c>
      <c r="M16" s="8">
        <f>INDEX('V_Arbitraj'!L$2:L$14,MATCH(LARGE('V_Arbitraj'!$AC$2:$AC$14,ROW()-3),'V_Arbitraj'!$AC$2:$AC$14,0))</f>
        <v/>
      </c>
      <c r="N16" s="11">
        <f>INDEX('V_Arbitraj'!M$2:M$14,MATCH(LARGE('V_Arbitraj'!$AC$2:$AC$14,ROW()-3),'V_Arbitraj'!$AC$2:$AC$14,0))</f>
        <v/>
      </c>
      <c r="O16" s="11">
        <f>INDEX('V_Arbitraj'!N$2:N$14,MATCH(LARGE('V_Arbitraj'!$AC$2:$AC$14,ROW()-3),'V_Arbitraj'!$AC$2:$AC$14,0))</f>
        <v/>
      </c>
      <c r="P16" s="8">
        <f>INDEX('V_Arbitraj'!O$2:O$14,MATCH(LARGE('V_Arbitraj'!$AC$2:$AC$14,ROW()-3),'V_Arbitraj'!$AC$2:$AC$14,0))</f>
        <v/>
      </c>
      <c r="Q16" s="9">
        <f>INDEX('V_Arbitraj'!P$2:P$14,MATCH(LARGE('V_Arbitraj'!$AC$2:$AC$14,ROW()-3),'V_Arbitraj'!$AC$2:$AC$14,0))</f>
        <v/>
      </c>
      <c r="R16" s="5">
        <f>INDEX('V_Arbitraj'!Q$2:Q$14,MATCH(LARGE('V_Arbitraj'!$AC$2:$AC$14,ROW()-3),'V_Arbitraj'!$AC$2:$AC$14,0))</f>
        <v/>
      </c>
      <c r="S16" s="8">
        <f>INDEX('V_Arbitraj'!R$2:R$14,MATCH(LARGE('V_Arbitraj'!$AC$2:$AC$14,ROW()-3),'V_Arbitraj'!$AC$2:$AC$14,0))</f>
        <v/>
      </c>
      <c r="T16" s="8">
        <f>INDEX('V_Arbitraj'!S$2:S$14,MATCH(LARGE('V_Arbitraj'!$AC$2:$AC$14,ROW()-3),'V_Arbitraj'!$AC$2:$AC$14,0))</f>
        <v/>
      </c>
      <c r="U16" s="8">
        <f>INDEX('V_Arbitraj'!T$2:T$14,MATCH(LARGE('V_Arbitraj'!$AC$2:$AC$14,ROW()-3),'V_Arbitraj'!$AC$2:$AC$14,0))</f>
        <v/>
      </c>
      <c r="V16" s="8">
        <f>INDEX('V_Arbitraj'!U$2:U$14,MATCH(LARGE('V_Arbitraj'!$AC$2:$AC$14,ROW()-3),'V_Arbitraj'!$AC$2:$AC$14,0))</f>
        <v/>
      </c>
      <c r="W16" s="8">
        <f>INDEX('V_Arbitraj'!V$2:V$14,MATCH(LARGE('V_Arbitraj'!$AC$2:$AC$14,ROW()-3),'V_Arbitraj'!$AC$2:$AC$14,0))</f>
        <v/>
      </c>
      <c r="X16" s="8">
        <f>INDEX('V_Arbitraj'!W$2:W$14,MATCH(LARGE('V_Arbitraj'!$AC$2:$AC$14,ROW()-3),'V_Arbitraj'!$AC$2:$AC$14,0))</f>
        <v/>
      </c>
      <c r="Y16" s="8">
        <f>INDEX('V_Arbitraj'!X$2:X$14,MATCH(LARGE('V_Arbitraj'!$AC$2:$AC$14,ROW()-3),'V_Arbitraj'!$AC$2:$AC$14,0))</f>
        <v/>
      </c>
      <c r="Z16" s="8">
        <f>INDEX('V_Arbitraj'!Y$2:Y$14,MATCH(LARGE('V_Arbitraj'!$AC$2:$AC$14,ROW()-3),'V_Arbitraj'!$AC$2:$AC$14,0))</f>
        <v/>
      </c>
      <c r="AA16" s="8">
        <f>INDEX('V_Arbitraj'!Z$2:Z$14,MATCH(LARGE('V_Arbitraj'!$AC$2:$AC$14,ROW()-3),'V_Arbitraj'!$AC$2:$AC$14,0))</f>
        <v/>
      </c>
      <c r="AB16" s="8">
        <f>INDEX('V_Arbitraj'!AA$2:AA$14,MATCH(LARGE('V_Arbitraj'!$AC$2:$AC$14,ROW()-3),'V_Arbitraj'!$AC$2:$AC$14,0))</f>
        <v/>
      </c>
    </row>
  </sheetData>
  <conditionalFormatting sqref="B4:AB16">
    <cfRule type="expression" priority="1" dxfId="0">
      <formula>OR($B4="BAI",$B4="BHI",$B4="BIS",$B4="BSD",$B4="BTE",$B4="BTK",$B4="BV1",$B4="BVD",$B4="BVF",$B4="BVV",$B4="BVZ",$B4="MTD",$B4="RUT",$B4="SPR")</formula>
    </cfRule>
  </conditionalFormatting>
  <dataValidations count="1">
    <dataValidation sqref="E2" showDropDown="0" showInputMessage="0" showErrorMessage="0" allowBlank="0" type="list">
      <formula1>"Günlük%,Haftalık,Aylık,Yılbaşına Göre,Yıllık"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 Kodu</t>
        </is>
      </c>
      <c r="B1" t="inlineStr">
        <is>
          <t>Mutlak Getiri Fonları</t>
        </is>
      </c>
      <c r="C1" t="inlineStr">
        <is>
          <t>Yönetici</t>
        </is>
      </c>
      <c r="D1" t="inlineStr">
        <is>
          <t>FYÜ%</t>
        </is>
      </c>
      <c r="E1" t="inlineStr">
        <is>
          <t>Günlük%</t>
        </is>
      </c>
      <c r="F1" t="inlineStr">
        <is>
          <t>Haftalık</t>
        </is>
      </c>
      <c r="G1" t="inlineStr">
        <is>
          <t>Aylık</t>
        </is>
      </c>
      <c r="H1" t="inlineStr">
        <is>
          <t>Yılbaşına Göre</t>
        </is>
      </c>
      <c r="I1" t="inlineStr">
        <is>
          <t>Yıllık</t>
        </is>
      </c>
      <c r="J1" t="inlineStr">
        <is>
          <t>Yatırımcı Sayısı T-30</t>
        </is>
      </c>
      <c r="K1" t="inlineStr">
        <is>
          <t>Yatırımcı Sayısı T-1</t>
        </is>
      </c>
      <c r="L1" t="inlineStr">
        <is>
          <t>YS Değişim</t>
        </is>
      </c>
      <c r="M1" t="inlineStr">
        <is>
          <t>Önceki Ay FTD</t>
        </is>
      </c>
      <c r="N1" t="inlineStr">
        <is>
          <t>T-1 FTD</t>
        </is>
      </c>
      <c r="O1" t="inlineStr">
        <is>
          <t>FTD Değişim</t>
        </is>
      </c>
      <c r="P1" t="inlineStr">
        <is>
          <t>Standart Sapma (Aylık)</t>
        </is>
      </c>
      <c r="Q1" t="inlineStr">
        <is>
          <t>TEFAS Durumu</t>
        </is>
      </c>
      <c r="R1" t="inlineStr">
        <is>
          <t>Mevduat (TL)</t>
        </is>
      </c>
      <c r="S1" t="inlineStr">
        <is>
          <t>Vadeli İşlemler Nakit Teminatları</t>
        </is>
      </c>
      <c r="T1" t="inlineStr">
        <is>
          <t>Ters Repo Oranı</t>
        </is>
      </c>
      <c r="U1" t="inlineStr">
        <is>
          <t>Hisse Oranı</t>
        </is>
      </c>
      <c r="V1" t="inlineStr">
        <is>
          <t>Para Piyasaları Oranı</t>
        </is>
      </c>
      <c r="W1" t="inlineStr">
        <is>
          <t>Yatırım Fonları Katılma Payları</t>
        </is>
      </c>
      <c r="X1" t="inlineStr">
        <is>
          <t>Özel Tahvil/Bono Oranı</t>
        </is>
      </c>
      <c r="Y1" t="inlineStr">
        <is>
          <t>Finansman Bonosu Oranı</t>
        </is>
      </c>
      <c r="Z1" t="inlineStr">
        <is>
          <t>Diğer Oran</t>
        </is>
      </c>
      <c r="AA1" t="inlineStr">
        <is>
          <t>Toplam</t>
        </is>
      </c>
    </row>
    <row r="2">
      <c r="A2" t="inlineStr">
        <is>
          <t>FS5</t>
        </is>
      </c>
      <c r="B2" t="inlineStr">
        <is>
          <t>One Portföy Birinci İstatistiksel Arbitraj Hisse Senedi Serbest Fon (Hisse Senedi Yoğun Fon)</t>
        </is>
      </c>
      <c r="C2" t="inlineStr">
        <is>
          <t>One Portföy</t>
        </is>
      </c>
      <c r="D2" t="n">
        <v>0.035</v>
      </c>
      <c r="E2" t="n">
        <v>2.273892305796665</v>
      </c>
      <c r="F2" t="n">
        <v>5.645591843734077</v>
      </c>
      <c r="G2" t="n">
        <v>-9.20619585815542</v>
      </c>
      <c r="H2" t="n">
        <v>-6.800420847824085</v>
      </c>
      <c r="I2" t="n">
        <v>7.62206120987563</v>
      </c>
      <c r="J2" t="n">
        <v>11</v>
      </c>
      <c r="K2" t="n">
        <v>9</v>
      </c>
      <c r="L2" t="n">
        <v>-0.1818181818181818</v>
      </c>
      <c r="M2" t="n">
        <v>12107861.72</v>
      </c>
      <c r="N2" t="n">
        <v>20671042.83</v>
      </c>
      <c r="O2" t="n">
        <v>0.7072414029849028</v>
      </c>
      <c r="P2" t="n">
        <v>1.730430079784872</v>
      </c>
      <c r="Q2" t="inlineStr">
        <is>
          <t>Görüyor</t>
        </is>
      </c>
      <c r="R2" t="n">
        <v>0</v>
      </c>
      <c r="S2" t="n">
        <v>0.0522</v>
      </c>
      <c r="T2" t="n">
        <v>0</v>
      </c>
      <c r="U2" t="n">
        <v>0.8854000000000001</v>
      </c>
      <c r="V2" t="n">
        <v>0</v>
      </c>
      <c r="W2" t="n">
        <v>0.0624</v>
      </c>
      <c r="X2" t="n">
        <v>0</v>
      </c>
      <c r="Y2" t="n">
        <v>0</v>
      </c>
      <c r="Z2" t="n">
        <v>0</v>
      </c>
      <c r="AA2" t="n">
        <v>1</v>
      </c>
      <c r="AC2">
        <f>IF(ISNUMBER(INDEX($A$2:$AA$25,1,MATCH('Mutlak Getiri'!$E$2,$A$1:$AA$1,0))),INDEX($A$2:$AA$25,1,MATCH('Mutlak Getiri'!$E$2,$A$1:$AA$1,0)),-1E+9)-ROW()/1E+7</f>
        <v/>
      </c>
    </row>
    <row r="3">
      <c r="A3" t="inlineStr">
        <is>
          <t>ZBO</t>
        </is>
      </c>
      <c r="B3" t="inlineStr">
        <is>
          <t>Ziraat Portföy Mutlak Getiri Hedefli Hisse Senedi Serbest Fon (Hisse Senedi Yoğun Fon)</t>
        </is>
      </c>
      <c r="C3" t="inlineStr">
        <is>
          <t>Ziraat Portföy</t>
        </is>
      </c>
      <c r="D3" t="n">
        <v>0.025</v>
      </c>
      <c r="E3" t="n">
        <v>1.745893744757487</v>
      </c>
      <c r="F3" t="n">
        <v>4.476983091863351</v>
      </c>
      <c r="G3" t="n">
        <v>1.676912269075692</v>
      </c>
      <c r="H3" t="n">
        <v>19.08734920876583</v>
      </c>
      <c r="I3" t="n">
        <v>27.24573412587659</v>
      </c>
      <c r="J3" t="n">
        <v>237</v>
      </c>
      <c r="K3" t="n">
        <v>222</v>
      </c>
      <c r="L3" t="n">
        <v>-0.06329113924050633</v>
      </c>
      <c r="M3" t="n">
        <v>439210016.74</v>
      </c>
      <c r="N3" t="n">
        <v>451060329.29</v>
      </c>
      <c r="O3" t="n">
        <v>0.02698097060253302</v>
      </c>
      <c r="P3" t="n">
        <v>0.7954401833243923</v>
      </c>
      <c r="Q3" t="inlineStr">
        <is>
          <t>Görüyor</t>
        </is>
      </c>
      <c r="R3" t="n">
        <v>0</v>
      </c>
      <c r="S3" t="n">
        <v>0.1061</v>
      </c>
      <c r="T3" t="n">
        <v>0.0012</v>
      </c>
      <c r="U3" t="n">
        <v>0.8926999999999999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0.9999999999999999</v>
      </c>
      <c r="AC3">
        <f>IF(ISNUMBER(INDEX($A$2:$AA$25,2,MATCH('Mutlak Getiri'!$E$2,$A$1:$AA$1,0))),INDEX($A$2:$AA$25,2,MATCH('Mutlak Getiri'!$E$2,$A$1:$AA$1,0)),-1E+9)-ROW()/1E+7</f>
        <v/>
      </c>
    </row>
    <row r="4">
      <c r="A4" t="inlineStr">
        <is>
          <t>FYF</t>
        </is>
      </c>
      <c r="B4" t="inlineStr">
        <is>
          <t>Strateji Portföy Mutlak Getiri Hedefli Hisse Senedi Serbest Fon(hisse Senedi Yoğun)</t>
        </is>
      </c>
      <c r="C4" t="inlineStr">
        <is>
          <t>Strateji Portföy</t>
        </is>
      </c>
      <c r="D4" t="n">
        <v>0.025</v>
      </c>
      <c r="E4" t="n">
        <v>1.225120735840535</v>
      </c>
      <c r="F4" t="n">
        <v>3.432747964289207</v>
      </c>
      <c r="G4" t="n">
        <v>2.059011442179237</v>
      </c>
      <c r="H4" t="n">
        <v>10.79013461397</v>
      </c>
      <c r="I4" t="n">
        <v>28.71479324616342</v>
      </c>
      <c r="J4" t="n">
        <v>11</v>
      </c>
      <c r="K4" t="n">
        <v>11</v>
      </c>
      <c r="L4" t="n">
        <v>0</v>
      </c>
      <c r="M4" t="n">
        <v>36228788.55</v>
      </c>
      <c r="N4" t="n">
        <v>36974933.58</v>
      </c>
      <c r="O4" t="n">
        <v>0.02059536241379512</v>
      </c>
      <c r="P4" t="n">
        <v>0.4873121995187996</v>
      </c>
      <c r="Q4" t="inlineStr">
        <is>
          <t>Görmüyor</t>
        </is>
      </c>
      <c r="R4" t="n">
        <v>0</v>
      </c>
      <c r="S4" t="n">
        <v>0.1916</v>
      </c>
      <c r="T4" t="n">
        <v>0</v>
      </c>
      <c r="U4" t="n">
        <v>0.8084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1</v>
      </c>
      <c r="AC4">
        <f>IF(ISNUMBER(INDEX($A$2:$AA$25,3,MATCH('Mutlak Getiri'!$E$2,$A$1:$AA$1,0))),INDEX($A$2:$AA$25,3,MATCH('Mutlak Getiri'!$E$2,$A$1:$AA$1,0)),-1E+9)-ROW()/1E+7</f>
        <v/>
      </c>
    </row>
    <row r="5">
      <c r="A5" t="inlineStr">
        <is>
          <t>MUT</t>
        </is>
      </c>
      <c r="B5" t="inlineStr">
        <is>
          <t>Garanti Portföy Mutlak Getiri Hedefli Hisse Senedi Serbest Fon (Hisse Senedi Yoğun Fon)</t>
        </is>
      </c>
      <c r="C5" t="inlineStr">
        <is>
          <t>Garanti Portföy</t>
        </is>
      </c>
      <c r="D5" t="n">
        <v>0.025</v>
      </c>
      <c r="E5" t="n">
        <v>0.9462872391109656</v>
      </c>
      <c r="F5" t="n">
        <v>3.450767700195256</v>
      </c>
      <c r="G5" t="n">
        <v>2.537626813743477</v>
      </c>
      <c r="H5" t="n">
        <v>13.1358592048552</v>
      </c>
      <c r="I5" t="n">
        <v>31.9178360327077</v>
      </c>
      <c r="J5" t="n">
        <v>1613</v>
      </c>
      <c r="K5" t="n">
        <v>1481</v>
      </c>
      <c r="L5" t="n">
        <v>-0.08183508989460631</v>
      </c>
      <c r="M5" t="n">
        <v>943098750.78</v>
      </c>
      <c r="N5" t="n">
        <v>838376355.21</v>
      </c>
      <c r="O5" t="n">
        <v>-0.1110407531378746</v>
      </c>
      <c r="P5" t="n">
        <v>0.4685540512017742</v>
      </c>
      <c r="Q5" t="inlineStr">
        <is>
          <t>Görüyor</t>
        </is>
      </c>
      <c r="R5" t="n">
        <v>0</v>
      </c>
      <c r="S5" t="n">
        <v>0.1372</v>
      </c>
      <c r="T5" t="n">
        <v>0</v>
      </c>
      <c r="U5" t="n">
        <v>0.8068000000000001</v>
      </c>
      <c r="V5" t="n">
        <v>0.0556</v>
      </c>
      <c r="W5" t="n">
        <v>0.0004</v>
      </c>
      <c r="X5" t="n">
        <v>0</v>
      </c>
      <c r="Y5" t="n">
        <v>0</v>
      </c>
      <c r="Z5" t="n">
        <v>0</v>
      </c>
      <c r="AA5" t="n">
        <v>1</v>
      </c>
      <c r="AC5">
        <f>IF(ISNUMBER(INDEX($A$2:$AA$25,4,MATCH('Mutlak Getiri'!$E$2,$A$1:$AA$1,0))),INDEX($A$2:$AA$25,4,MATCH('Mutlak Getiri'!$E$2,$A$1:$AA$1,0)),-1E+9)-ROW()/1E+7</f>
        <v/>
      </c>
    </row>
    <row r="6">
      <c r="A6" t="inlineStr">
        <is>
          <t>MGB</t>
        </is>
      </c>
      <c r="B6" t="inlineStr">
        <is>
          <t>İŞ Portföy Mutlak Getiri Hedefli Hisse Senedi Serbest Fon (Hisse Senedi Yoğun Fon)</t>
        </is>
      </c>
      <c r="C6" t="inlineStr">
        <is>
          <t>İŞ Portföy</t>
        </is>
      </c>
      <c r="D6" t="n">
        <v>0.032</v>
      </c>
      <c r="E6" t="n">
        <v>0.9319760643785813</v>
      </c>
      <c r="F6" t="n">
        <v>0.1161209746643355</v>
      </c>
      <c r="G6" t="n">
        <v>-2.134781836456789</v>
      </c>
      <c r="H6" t="n">
        <v>8.97214206908259</v>
      </c>
      <c r="I6" t="n">
        <v>28.4374246443212</v>
      </c>
      <c r="J6" t="n">
        <v>546</v>
      </c>
      <c r="K6" t="n">
        <v>511</v>
      </c>
      <c r="L6" t="n">
        <v>-0.0641025641025641</v>
      </c>
      <c r="M6" t="n">
        <v>80141884.92</v>
      </c>
      <c r="N6" t="n">
        <v>69039182.44</v>
      </c>
      <c r="O6" t="n">
        <v>-0.138538075203535</v>
      </c>
      <c r="P6" t="n">
        <v>0.5554369707915391</v>
      </c>
      <c r="Q6" t="inlineStr">
        <is>
          <t>Görüyor</t>
        </is>
      </c>
      <c r="R6" t="n">
        <v>0</v>
      </c>
      <c r="S6" t="n">
        <v>0.1073</v>
      </c>
      <c r="T6" t="n">
        <v>0</v>
      </c>
      <c r="U6" t="n">
        <v>0.8926999999999999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1</v>
      </c>
      <c r="AC6">
        <f>IF(ISNUMBER(INDEX($A$2:$AA$25,5,MATCH('Mutlak Getiri'!$E$2,$A$1:$AA$1,0))),INDEX($A$2:$AA$25,5,MATCH('Mutlak Getiri'!$E$2,$A$1:$AA$1,0)),-1E+9)-ROW()/1E+7</f>
        <v/>
      </c>
    </row>
    <row r="7">
      <c r="A7" t="inlineStr">
        <is>
          <t>NSH</t>
        </is>
      </c>
      <c r="B7" t="inlineStr">
        <is>
          <t>Nurol Portföy İstatistiksel Arbitraj Hisse Senedi Serbest Fon (Hisse Senedi Yoğun Fon)</t>
        </is>
      </c>
      <c r="C7" t="inlineStr">
        <is>
          <t>Nurol Portföy</t>
        </is>
      </c>
      <c r="D7" t="n">
        <v>0.04</v>
      </c>
      <c r="E7" t="n">
        <v>0.795593955235141</v>
      </c>
      <c r="F7" t="n">
        <v>0.8913618543752166</v>
      </c>
      <c r="G7" t="n">
        <v>2.861191052144729</v>
      </c>
      <c r="H7" t="n">
        <v>22.65096003299112</v>
      </c>
      <c r="I7" t="n">
        <v>44.44094035525561</v>
      </c>
      <c r="J7" t="n">
        <v>1298</v>
      </c>
      <c r="K7" t="n">
        <v>1270</v>
      </c>
      <c r="L7" t="n">
        <v>-0.02157164869029271</v>
      </c>
      <c r="M7" t="n">
        <v>1538030265.49</v>
      </c>
      <c r="N7" t="n">
        <v>1756408472.14</v>
      </c>
      <c r="O7" t="n">
        <v>0.1419856367913717</v>
      </c>
      <c r="P7" t="n">
        <v>0.2093061235653093</v>
      </c>
      <c r="Q7" t="inlineStr">
        <is>
          <t>Görüyor</t>
        </is>
      </c>
      <c r="R7" t="n">
        <v>0</v>
      </c>
      <c r="S7" t="n">
        <v>0.1695</v>
      </c>
      <c r="T7" t="n">
        <v>0</v>
      </c>
      <c r="U7" t="n">
        <v>0.7048000000000001</v>
      </c>
      <c r="V7" t="n">
        <v>0</v>
      </c>
      <c r="W7" t="n">
        <v>0.1257</v>
      </c>
      <c r="X7" t="n">
        <v>0</v>
      </c>
      <c r="Y7" t="n">
        <v>0</v>
      </c>
      <c r="Z7" t="n">
        <v>0</v>
      </c>
      <c r="AA7" t="n">
        <v>1</v>
      </c>
      <c r="AC7">
        <f>IF(ISNUMBER(INDEX($A$2:$AA$25,6,MATCH('Mutlak Getiri'!$E$2,$A$1:$AA$1,0))),INDEX($A$2:$AA$25,6,MATCH('Mutlak Getiri'!$E$2,$A$1:$AA$1,0)),-1E+9)-ROW()/1E+7</f>
        <v/>
      </c>
    </row>
    <row r="8">
      <c r="A8" t="inlineStr">
        <is>
          <t>MGH</t>
        </is>
      </c>
      <c r="B8" t="inlineStr">
        <is>
          <t>Teb Portföy Mutlak Getiri Hedefli Hisse Senedi Serbest Fon (Hisse Senedi Yoğun Fon)</t>
        </is>
      </c>
      <c r="C8" t="inlineStr">
        <is>
          <t>Teb Portföy</t>
        </is>
      </c>
      <c r="D8" t="n">
        <v>0.025</v>
      </c>
      <c r="E8" t="n">
        <v>0.6945797853202373</v>
      </c>
      <c r="F8" t="n">
        <v>1.856574116768406</v>
      </c>
      <c r="G8" t="n">
        <v>2.22955959586737</v>
      </c>
      <c r="H8" t="n">
        <v>11.9997123608246</v>
      </c>
      <c r="I8" t="n">
        <v>27.24184637825986</v>
      </c>
      <c r="J8" t="n">
        <v>792</v>
      </c>
      <c r="K8" t="n">
        <v>749</v>
      </c>
      <c r="L8" t="n">
        <v>-0.05429292929292928</v>
      </c>
      <c r="M8" t="n">
        <v>496518142.2</v>
      </c>
      <c r="N8" t="n">
        <v>469788846.37</v>
      </c>
      <c r="O8" t="n">
        <v>-0.05383347265331806</v>
      </c>
      <c r="P8" t="n">
        <v>0.3456759054722983</v>
      </c>
      <c r="Q8" t="inlineStr">
        <is>
          <t>Görüyor</t>
        </is>
      </c>
      <c r="R8" t="n">
        <v>0.0127</v>
      </c>
      <c r="S8" t="n">
        <v>0.1572</v>
      </c>
      <c r="T8" t="n">
        <v>0</v>
      </c>
      <c r="U8" t="n">
        <v>0.8301000000000001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1</v>
      </c>
      <c r="AC8">
        <f>IF(ISNUMBER(INDEX($A$2:$AA$25,7,MATCH('Mutlak Getiri'!$E$2,$A$1:$AA$1,0))),INDEX($A$2:$AA$25,7,MATCH('Mutlak Getiri'!$E$2,$A$1:$AA$1,0)),-1E+9)-ROW()/1E+7</f>
        <v/>
      </c>
    </row>
    <row r="9">
      <c r="A9" t="inlineStr">
        <is>
          <t>MTF</t>
        </is>
      </c>
      <c r="B9" t="inlineStr">
        <is>
          <t>MT Portföy Birinci İstatistiksel Arbitraj Hisse Senedi Serbest (TL) Fon (Hisse Senedi Yoğun Fon)</t>
        </is>
      </c>
      <c r="C9" t="inlineStr">
        <is>
          <t>MT Portföy</t>
        </is>
      </c>
      <c r="D9" t="n">
        <v>0.0315</v>
      </c>
      <c r="E9" t="n">
        <v>0.5701428649825369</v>
      </c>
      <c r="F9" t="n">
        <v>0.5604302582588483</v>
      </c>
      <c r="G9" t="n">
        <v>2.196553711173488</v>
      </c>
      <c r="H9" t="n">
        <v>17.84920255887672</v>
      </c>
      <c r="I9" t="n">
        <v>33.11281303326301</v>
      </c>
      <c r="J9" t="n">
        <v>44</v>
      </c>
      <c r="K9" t="n">
        <v>44</v>
      </c>
      <c r="L9" t="n">
        <v>0</v>
      </c>
      <c r="M9" t="n">
        <v>66736905.46</v>
      </c>
      <c r="N9" t="n">
        <v>69118403.06</v>
      </c>
      <c r="O9" t="n">
        <v>0.03568486706995122</v>
      </c>
      <c r="P9" t="n">
        <v>0.2322903688206047</v>
      </c>
      <c r="Q9" t="inlineStr">
        <is>
          <t>Görüyor</t>
        </is>
      </c>
      <c r="R9" t="n">
        <v>0</v>
      </c>
      <c r="S9" t="n">
        <v>0.2405</v>
      </c>
      <c r="T9" t="n">
        <v>0</v>
      </c>
      <c r="U9" t="n">
        <v>0.7595000000000001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1</v>
      </c>
      <c r="AC9">
        <f>IF(ISNUMBER(INDEX($A$2:$AA$25,8,MATCH('Mutlak Getiri'!$E$2,$A$1:$AA$1,0))),INDEX($A$2:$AA$25,8,MATCH('Mutlak Getiri'!$E$2,$A$1:$AA$1,0)),-1E+9)-ROW()/1E+7</f>
        <v/>
      </c>
    </row>
    <row r="10">
      <c r="A10" t="inlineStr">
        <is>
          <t>MTG</t>
        </is>
      </c>
      <c r="B10" t="inlineStr">
        <is>
          <t>Deniz Portföy Mutlak Getiri Hedefli Hisse Senedi Serbest Fon (Hisse Senedi Yogun Fon)</t>
        </is>
      </c>
      <c r="C10" t="inlineStr">
        <is>
          <t>Deniz Portföy</t>
        </is>
      </c>
      <c r="D10" t="n">
        <v>0.02</v>
      </c>
      <c r="E10" t="n">
        <v>0.521083317293769</v>
      </c>
      <c r="F10" t="n">
        <v>1.428444119391448</v>
      </c>
      <c r="G10" t="n">
        <v>3.790887079022687</v>
      </c>
      <c r="H10" t="n">
        <v>18.81130168347454</v>
      </c>
      <c r="I10" t="n">
        <v>37.7629394288729</v>
      </c>
      <c r="J10" t="n">
        <v>222</v>
      </c>
      <c r="K10" t="n">
        <v>214</v>
      </c>
      <c r="L10" t="n">
        <v>-0.036036036036036</v>
      </c>
      <c r="M10" t="n">
        <v>81533645.63</v>
      </c>
      <c r="N10" t="n">
        <v>144538929.83</v>
      </c>
      <c r="O10" t="n">
        <v>0.7727519567310683</v>
      </c>
      <c r="P10" t="n">
        <v>0.280490518399542</v>
      </c>
      <c r="Q10" t="inlineStr">
        <is>
          <t>Görüyor</t>
        </is>
      </c>
      <c r="R10" t="n">
        <v>0.0017</v>
      </c>
      <c r="S10" t="n">
        <v>0.1549</v>
      </c>
      <c r="T10" t="n">
        <v>0</v>
      </c>
      <c r="U10" t="n">
        <v>0.8170000000000001</v>
      </c>
      <c r="V10" t="n">
        <v>0.0264</v>
      </c>
      <c r="W10" t="n">
        <v>0</v>
      </c>
      <c r="X10" t="n">
        <v>0</v>
      </c>
      <c r="Y10" t="n">
        <v>0</v>
      </c>
      <c r="Z10" t="n">
        <v>0</v>
      </c>
      <c r="AA10" t="n">
        <v>1</v>
      </c>
      <c r="AC10">
        <f>IF(ISNUMBER(INDEX($A$2:$AA$25,9,MATCH('Mutlak Getiri'!$E$2,$A$1:$AA$1,0))),INDEX($A$2:$AA$25,9,MATCH('Mutlak Getiri'!$E$2,$A$1:$AA$1,0)),-1E+9)-ROW()/1E+7</f>
        <v/>
      </c>
    </row>
    <row r="11">
      <c r="A11" t="inlineStr">
        <is>
          <t>HIM</t>
        </is>
      </c>
      <c r="B11" t="inlineStr">
        <is>
          <t>Hedef Portföy İkinci Mutlak Getiri Hedefli Hisse Senedi Serbest Fon (Hisse Senedi Yoğun Fon)</t>
        </is>
      </c>
      <c r="C11" t="inlineStr">
        <is>
          <t>Hedef Portföy</t>
        </is>
      </c>
      <c r="D11" t="n">
        <v>0.0375</v>
      </c>
      <c r="E11" t="n">
        <v>0.4780538068391627</v>
      </c>
      <c r="F11" t="n">
        <v>0.8378059208341782</v>
      </c>
      <c r="G11" t="n">
        <v>2.883958737213921</v>
      </c>
      <c r="H11" t="n">
        <v>19.87108931074415</v>
      </c>
      <c r="I11" t="n">
        <v>39.81679757264877</v>
      </c>
      <c r="J11" t="n">
        <v>251</v>
      </c>
      <c r="K11" t="n">
        <v>228</v>
      </c>
      <c r="L11" t="n">
        <v>-0.0916334661354582</v>
      </c>
      <c r="M11" t="n">
        <v>287686369.43</v>
      </c>
      <c r="N11" t="n">
        <v>281182311.22</v>
      </c>
      <c r="O11" t="n">
        <v>-0.02260815562060392</v>
      </c>
      <c r="P11" t="n">
        <v>0.1208161858702896</v>
      </c>
      <c r="Q11" t="inlineStr">
        <is>
          <t>Görüyor</t>
        </is>
      </c>
      <c r="R11" t="n">
        <v>0</v>
      </c>
      <c r="S11" t="n">
        <v>0.09949999999999999</v>
      </c>
      <c r="T11" t="n">
        <v>0</v>
      </c>
      <c r="U11" t="n">
        <v>0.8140999999999999</v>
      </c>
      <c r="V11" t="n">
        <v>-0.27</v>
      </c>
      <c r="W11" t="n">
        <v>0.1975</v>
      </c>
      <c r="X11" t="n">
        <v>0</v>
      </c>
      <c r="Y11" t="n">
        <v>0.1222</v>
      </c>
      <c r="Z11" t="n">
        <v>-0.0001</v>
      </c>
      <c r="AA11" t="n">
        <v>0.9631999999999999</v>
      </c>
      <c r="AC11">
        <f>IF(ISNUMBER(INDEX($A$2:$AA$25,10,MATCH('Mutlak Getiri'!$E$2,$A$1:$AA$1,0))),INDEX($A$2:$AA$25,10,MATCH('Mutlak Getiri'!$E$2,$A$1:$AA$1,0)),-1E+9)-ROW()/1E+7</f>
        <v/>
      </c>
    </row>
    <row r="12">
      <c r="A12" t="inlineStr">
        <is>
          <t>IAU</t>
        </is>
      </c>
      <c r="B12" t="inlineStr">
        <is>
          <t>Pardus Portföy İkinci İstatistiksel Arbitraj Hisse Senedi Serbest (TL) Fon (Hisse Senedi Yoğun Fon)</t>
        </is>
      </c>
      <c r="C12" t="inlineStr">
        <is>
          <t>Pardus Portföy</t>
        </is>
      </c>
      <c r="D12" t="n">
        <v>0.015</v>
      </c>
      <c r="E12" t="n">
        <v>0.4483428365419373</v>
      </c>
      <c r="F12" t="n">
        <v>0.655112406357361</v>
      </c>
      <c r="G12" t="n">
        <v>2.702677904653705</v>
      </c>
      <c r="H12" t="n">
        <v>19.15006562663719</v>
      </c>
      <c r="I12" t="n">
        <v>39.2461033039569</v>
      </c>
      <c r="J12" t="n">
        <v>259</v>
      </c>
      <c r="K12" t="n">
        <v>235</v>
      </c>
      <c r="L12" t="n">
        <v>-0.0926640926640927</v>
      </c>
      <c r="M12" t="n">
        <v>35237595.22</v>
      </c>
      <c r="N12" t="n">
        <v>34403641.1</v>
      </c>
      <c r="O12" t="n">
        <v>-0.02366660138960519</v>
      </c>
      <c r="P12" t="n">
        <v>0.1679944665411152</v>
      </c>
      <c r="Q12" t="inlineStr">
        <is>
          <t>Görüyor</t>
        </is>
      </c>
      <c r="R12" t="n">
        <v>0</v>
      </c>
      <c r="S12" t="n">
        <v>0.1635</v>
      </c>
      <c r="T12" t="n">
        <v>0</v>
      </c>
      <c r="U12" t="n">
        <v>0.8365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1</v>
      </c>
      <c r="AC12">
        <f>IF(ISNUMBER(INDEX($A$2:$AA$25,11,MATCH('Mutlak Getiri'!$E$2,$A$1:$AA$1,0))),INDEX($A$2:$AA$25,11,MATCH('Mutlak Getiri'!$E$2,$A$1:$AA$1,0)),-1E+9)-ROW()/1E+7</f>
        <v/>
      </c>
    </row>
    <row r="13">
      <c r="A13" t="inlineStr">
        <is>
          <t>LTC</t>
        </is>
      </c>
      <c r="B13" t="inlineStr">
        <is>
          <t>AK Portföy Birinci İstatistiksel Arbitraj Hisse Senedi Serbest Fon (Hisse Senedi Yoğun Fon)</t>
        </is>
      </c>
      <c r="C13" t="inlineStr">
        <is>
          <t>AK Portföy</t>
        </is>
      </c>
      <c r="D13" t="n">
        <v>0.015</v>
      </c>
      <c r="E13" t="n">
        <v>0.4378813482798227</v>
      </c>
      <c r="F13" t="n">
        <v>0.5497531792896693</v>
      </c>
      <c r="G13" t="n">
        <v>2.417706874745562</v>
      </c>
      <c r="H13" t="n">
        <v>18.10664880767736</v>
      </c>
      <c r="I13" t="n">
        <v>38.59314354168764</v>
      </c>
      <c r="J13" t="n">
        <v>351</v>
      </c>
      <c r="K13" t="n">
        <v>338</v>
      </c>
      <c r="L13" t="n">
        <v>-0.03703703703703709</v>
      </c>
      <c r="M13" t="n">
        <v>15341086.13</v>
      </c>
      <c r="N13" t="n">
        <v>15519938.79</v>
      </c>
      <c r="O13" t="n">
        <v>0.01165840922112071</v>
      </c>
      <c r="P13" t="n">
        <v>0.2074832925038169</v>
      </c>
      <c r="Q13" t="inlineStr">
        <is>
          <t>Görmüyor</t>
        </is>
      </c>
      <c r="R13" t="n">
        <v>0</v>
      </c>
      <c r="S13" t="n">
        <v>0.1395</v>
      </c>
      <c r="T13" t="n">
        <v>0</v>
      </c>
      <c r="U13" t="n">
        <v>0.8436</v>
      </c>
      <c r="V13" t="n">
        <v>0.0169</v>
      </c>
      <c r="W13" t="n">
        <v>0</v>
      </c>
      <c r="X13" t="n">
        <v>0</v>
      </c>
      <c r="Y13" t="n">
        <v>0</v>
      </c>
      <c r="Z13" t="n">
        <v>0</v>
      </c>
      <c r="AA13" t="n">
        <v>1</v>
      </c>
      <c r="AC13">
        <f>IF(ISNUMBER(INDEX($A$2:$AA$25,12,MATCH('Mutlak Getiri'!$E$2,$A$1:$AA$1,0))),INDEX($A$2:$AA$25,12,MATCH('Mutlak Getiri'!$E$2,$A$1:$AA$1,0)),-1E+9)-ROW()/1E+7</f>
        <v/>
      </c>
    </row>
    <row r="14">
      <c r="A14" t="inlineStr">
        <is>
          <t>BHI</t>
        </is>
      </c>
      <c r="B14" t="inlineStr">
        <is>
          <t>BV Portföy Mutlak Getiri Hedefli Hisse Senedi Serbest (TL) Fon (Hisse Senedi Yoğun Fon)</t>
        </is>
      </c>
      <c r="C14" t="inlineStr">
        <is>
          <t>BV Portföy</t>
        </is>
      </c>
      <c r="D14" t="n">
        <v>0.0315</v>
      </c>
      <c r="E14" t="n">
        <v>0.3283003924363648</v>
      </c>
      <c r="F14" t="n">
        <v>0.7461201134838502</v>
      </c>
      <c r="G14" t="n">
        <v>3.232733809362776</v>
      </c>
      <c r="H14" t="n">
        <v>23.59340822132783</v>
      </c>
      <c r="I14" t="n">
        <v>45.34488963990984</v>
      </c>
      <c r="J14" t="n">
        <v>402</v>
      </c>
      <c r="K14" t="n">
        <v>424</v>
      </c>
      <c r="L14" t="n">
        <v>0.05472636815920406</v>
      </c>
      <c r="M14" t="n">
        <v>1330929316.47</v>
      </c>
      <c r="N14" t="n">
        <v>1872644861.72</v>
      </c>
      <c r="O14" t="n">
        <v>0.4070205220866141</v>
      </c>
      <c r="P14" t="n">
        <v>0.0817089372664619</v>
      </c>
      <c r="Q14" t="inlineStr">
        <is>
          <t>Görüyor</t>
        </is>
      </c>
      <c r="R14" t="n">
        <v>0</v>
      </c>
      <c r="S14" t="n">
        <v>0.1006</v>
      </c>
      <c r="T14" t="n">
        <v>0.1435</v>
      </c>
      <c r="U14" t="n">
        <v>0.7027</v>
      </c>
      <c r="V14" t="n">
        <v>0</v>
      </c>
      <c r="W14" t="n">
        <v>0.007800000000000001</v>
      </c>
      <c r="X14" t="n">
        <v>0</v>
      </c>
      <c r="Y14" t="n">
        <v>0.0217</v>
      </c>
      <c r="Z14" t="n">
        <v>0</v>
      </c>
      <c r="AA14" t="n">
        <v>0.9762999999999999</v>
      </c>
      <c r="AC14">
        <f>IF(ISNUMBER(INDEX($A$2:$AA$25,13,MATCH('Mutlak Getiri'!$E$2,$A$1:$AA$1,0))),INDEX($A$2:$AA$25,13,MATCH('Mutlak Getiri'!$E$2,$A$1:$AA$1,0)),-1E+9)-ROW()/1E+7</f>
        <v/>
      </c>
    </row>
    <row r="15">
      <c r="A15" t="inlineStr">
        <is>
          <t>SPN</t>
        </is>
      </c>
      <c r="B15" t="inlineStr">
        <is>
          <t>Azimut Portföy İstatistiksel Arbitraj Hisse Senedi Serbest Fon (Hisse Senedi Yoğun Fon)</t>
        </is>
      </c>
      <c r="C15" t="inlineStr">
        <is>
          <t>Azimut Portföy</t>
        </is>
      </c>
      <c r="D15" t="n">
        <v>0.032</v>
      </c>
      <c r="E15" t="n">
        <v>0.3034376978865883</v>
      </c>
      <c r="F15" t="n">
        <v>0.5499992860511504</v>
      </c>
      <c r="G15" t="n">
        <v>2.507629227456976</v>
      </c>
      <c r="H15" t="n">
        <v>18.97040184119419</v>
      </c>
      <c r="I15" t="n">
        <v>39.70585571429353</v>
      </c>
      <c r="J15" t="n">
        <v>422</v>
      </c>
      <c r="K15" t="n">
        <v>399</v>
      </c>
      <c r="L15" t="n">
        <v>-0.0545023696682464</v>
      </c>
      <c r="M15" t="n">
        <v>1821441718.3</v>
      </c>
      <c r="N15" t="n">
        <v>1840088193.32</v>
      </c>
      <c r="O15" t="n">
        <v>0.0102372065121048</v>
      </c>
      <c r="P15" t="n">
        <v>0.1753809613627091</v>
      </c>
      <c r="Q15" t="inlineStr">
        <is>
          <t>Görüyor</t>
        </is>
      </c>
      <c r="R15" t="n">
        <v>0</v>
      </c>
      <c r="S15" t="n">
        <v>0.0394</v>
      </c>
      <c r="T15" t="n">
        <v>0</v>
      </c>
      <c r="U15" t="n">
        <v>0.8376</v>
      </c>
      <c r="V15" t="n">
        <v>0</v>
      </c>
      <c r="W15" t="n">
        <v>0.073</v>
      </c>
      <c r="X15" t="n">
        <v>0.0223</v>
      </c>
      <c r="Y15" t="n">
        <v>0.2187</v>
      </c>
      <c r="Z15" t="n">
        <v>0.0001</v>
      </c>
      <c r="AA15" t="n">
        <v>1.1911</v>
      </c>
      <c r="AC15">
        <f>IF(ISNUMBER(INDEX($A$2:$AA$25,14,MATCH('Mutlak Getiri'!$E$2,$A$1:$AA$1,0))),INDEX($A$2:$AA$25,14,MATCH('Mutlak Getiri'!$E$2,$A$1:$AA$1,0)),-1E+9)-ROW()/1E+7</f>
        <v/>
      </c>
    </row>
    <row r="16">
      <c r="A16" t="inlineStr">
        <is>
          <t>PPM</t>
        </is>
      </c>
      <c r="B16" t="inlineStr">
        <is>
          <t>Piramit Portföy Mutlak Getiri Hedefli Hisse Senedi Serbest Fon (Hisse Senedi Yoğun Fon)</t>
        </is>
      </c>
      <c r="C16" t="inlineStr">
        <is>
          <t>Piramit Portföy</t>
        </is>
      </c>
      <c r="D16" t="n">
        <v>0.021</v>
      </c>
      <c r="E16" t="n">
        <v>0.2655960674341262</v>
      </c>
      <c r="F16" t="n">
        <v>0.6501229833817845</v>
      </c>
      <c r="G16" t="n">
        <v>3.052697006097693</v>
      </c>
      <c r="H16" t="n">
        <v>21.03690421975015</v>
      </c>
      <c r="I16" t="n">
        <v>44.04719106019876</v>
      </c>
      <c r="J16" t="n">
        <v>173</v>
      </c>
      <c r="K16" t="n">
        <v>158</v>
      </c>
      <c r="L16" t="n">
        <v>-0.08670520231213874</v>
      </c>
      <c r="M16" t="n">
        <v>199455050.35</v>
      </c>
      <c r="N16" t="n">
        <v>149473426.93</v>
      </c>
      <c r="O16" t="n">
        <v>-0.2505909142550824</v>
      </c>
      <c r="P16" t="n">
        <v>0.1030874169767617</v>
      </c>
      <c r="Q16" t="inlineStr">
        <is>
          <t>Görüyor</t>
        </is>
      </c>
      <c r="R16" t="n">
        <v>0</v>
      </c>
      <c r="S16" t="n">
        <v>0.09</v>
      </c>
      <c r="T16" t="n">
        <v>0</v>
      </c>
      <c r="U16" t="n">
        <v>0.7938</v>
      </c>
      <c r="V16" t="n">
        <v>0.0664</v>
      </c>
      <c r="W16" t="n">
        <v>0.0498</v>
      </c>
      <c r="X16" t="n">
        <v>0</v>
      </c>
      <c r="Y16" t="n">
        <v>0</v>
      </c>
      <c r="Z16" t="n">
        <v>0</v>
      </c>
      <c r="AA16" t="n">
        <v>1</v>
      </c>
      <c r="AC16">
        <f>IF(ISNUMBER(INDEX($A$2:$AA$25,15,MATCH('Mutlak Getiri'!$E$2,$A$1:$AA$1,0))),INDEX($A$2:$AA$25,15,MATCH('Mutlak Getiri'!$E$2,$A$1:$AA$1,0)),-1E+9)-ROW()/1E+7</f>
        <v/>
      </c>
    </row>
    <row r="17">
      <c r="A17" t="inlineStr">
        <is>
          <t>YMH</t>
        </is>
      </c>
      <c r="B17" t="inlineStr">
        <is>
          <t>Yapı Kredi Portföy Mutlak Getiri Hedefli Hisse Senedi Serbest Fon (Hisse Senedi Yoğun Fon)</t>
        </is>
      </c>
      <c r="C17" t="inlineStr">
        <is>
          <t>Yapı Kredi Portföy</t>
        </is>
      </c>
      <c r="D17" t="n">
        <v>0.025</v>
      </c>
      <c r="E17" t="n">
        <v>0.264815405410479</v>
      </c>
      <c r="F17" t="n">
        <v>0.6115008036458036</v>
      </c>
      <c r="G17" t="n">
        <v>2.817483048476688</v>
      </c>
      <c r="H17" t="n">
        <v>17.27897937414338</v>
      </c>
      <c r="I17" t="n">
        <v>34.66940721172802</v>
      </c>
      <c r="J17" t="n">
        <v>334</v>
      </c>
      <c r="K17" t="n">
        <v>327</v>
      </c>
      <c r="L17" t="n">
        <v>-0.02095808383233533</v>
      </c>
      <c r="M17" t="n">
        <v>477201145.95</v>
      </c>
      <c r="N17" t="n">
        <v>460629497.86</v>
      </c>
      <c r="O17" t="n">
        <v>-0.03472675669504011</v>
      </c>
      <c r="P17" t="n">
        <v>0.1282285606601485</v>
      </c>
      <c r="Q17" t="inlineStr">
        <is>
          <t>Görüyor</t>
        </is>
      </c>
      <c r="R17" t="n">
        <v>0</v>
      </c>
      <c r="S17" t="n">
        <v>0.1309</v>
      </c>
      <c r="T17" t="n">
        <v>0</v>
      </c>
      <c r="U17" t="n">
        <v>0.8568000000000001</v>
      </c>
      <c r="V17" t="n">
        <v>0.0123</v>
      </c>
      <c r="W17" t="n">
        <v>0</v>
      </c>
      <c r="X17" t="n">
        <v>0</v>
      </c>
      <c r="Y17" t="n">
        <v>0</v>
      </c>
      <c r="Z17" t="n">
        <v>0</v>
      </c>
      <c r="AA17" t="n">
        <v>1</v>
      </c>
      <c r="AC17">
        <f>IF(ISNUMBER(INDEX($A$2:$AA$25,16,MATCH('Mutlak Getiri'!$E$2,$A$1:$AA$1,0))),INDEX($A$2:$AA$25,16,MATCH('Mutlak Getiri'!$E$2,$A$1:$AA$1,0)),-1E+9)-ROW()/1E+7</f>
        <v/>
      </c>
    </row>
    <row r="18">
      <c r="A18" t="inlineStr">
        <is>
          <t>HEH</t>
        </is>
      </c>
      <c r="B18" t="inlineStr">
        <is>
          <t>Hedef Portföy Algo Everest İstatistiksel Arbitraj Hisse Senedi Serbest Fon (Hisse Senedi Yoğun Fon)</t>
        </is>
      </c>
      <c r="C18" t="inlineStr">
        <is>
          <t>Hedef Portföy</t>
        </is>
      </c>
      <c r="D18" t="n">
        <v>0.045</v>
      </c>
      <c r="E18" t="n">
        <v>0.2525110085774829</v>
      </c>
      <c r="F18" t="n">
        <v>0.4986914650094709</v>
      </c>
      <c r="G18" t="n">
        <v>3.358765900200433</v>
      </c>
      <c r="H18" t="n">
        <v>20.54457469420239</v>
      </c>
      <c r="I18" t="n">
        <v>40.61615711426229</v>
      </c>
      <c r="J18" t="n">
        <v>1643</v>
      </c>
      <c r="K18" t="n">
        <v>1584</v>
      </c>
      <c r="L18" t="n">
        <v>-0.03590992087644551</v>
      </c>
      <c r="M18" t="n">
        <v>669154679.36</v>
      </c>
      <c r="N18" t="n">
        <v>665481572.35</v>
      </c>
      <c r="O18" t="n">
        <v>-0.00548917481009481</v>
      </c>
      <c r="P18" t="n">
        <v>0.1129354586390775</v>
      </c>
      <c r="Q18" t="inlineStr">
        <is>
          <t>Görüyor</t>
        </is>
      </c>
      <c r="R18" t="n">
        <v>0</v>
      </c>
      <c r="S18" t="n">
        <v>0.1867</v>
      </c>
      <c r="T18" t="n">
        <v>0</v>
      </c>
      <c r="U18" t="n">
        <v>0.8133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1</v>
      </c>
      <c r="AC18">
        <f>IF(ISNUMBER(INDEX($A$2:$AA$25,17,MATCH('Mutlak Getiri'!$E$2,$A$1:$AA$1,0))),INDEX($A$2:$AA$25,17,MATCH('Mutlak Getiri'!$E$2,$A$1:$AA$1,0)),-1E+9)-ROW()/1E+7</f>
        <v/>
      </c>
    </row>
    <row r="19">
      <c r="A19" t="inlineStr">
        <is>
          <t>HMG</t>
        </is>
      </c>
      <c r="B19" t="inlineStr">
        <is>
          <t>Hsbc Pyş Mutlak Getiri Hedefli Hisse Senedi Serbest (TL) Fon(hisse Senedi Yoğun Fon)</t>
        </is>
      </c>
      <c r="C19" t="inlineStr">
        <is>
          <t>Hsbc Portföy</t>
        </is>
      </c>
      <c r="D19" t="n">
        <v>0.025</v>
      </c>
      <c r="E19" t="n">
        <v>0.2500037879361816</v>
      </c>
      <c r="F19" t="n">
        <v>0.8689819190779602</v>
      </c>
      <c r="G19" t="n">
        <v>2.405200433369448</v>
      </c>
      <c r="H19" t="n">
        <v>14.23934250738124</v>
      </c>
      <c r="I19" t="n">
        <v>27.93966934158369</v>
      </c>
      <c r="J19" t="n">
        <v>5613</v>
      </c>
      <c r="K19" t="n">
        <v>6231</v>
      </c>
      <c r="L19" t="n">
        <v>0.1101015499732763</v>
      </c>
      <c r="M19" t="n">
        <v>4722184499.91</v>
      </c>
      <c r="N19" t="n">
        <v>5906677069.4</v>
      </c>
      <c r="O19" t="n">
        <v>0.2508357243374491</v>
      </c>
      <c r="P19" t="n">
        <v>0.1500965192006822</v>
      </c>
      <c r="Q19" t="inlineStr">
        <is>
          <t>Görüyor</t>
        </is>
      </c>
      <c r="R19" t="n">
        <v>0</v>
      </c>
      <c r="S19" t="n">
        <v>0.111</v>
      </c>
      <c r="T19" t="n">
        <v>0</v>
      </c>
      <c r="U19" t="n">
        <v>0.8140999999999999</v>
      </c>
      <c r="V19" t="n">
        <v>0.07490000000000001</v>
      </c>
      <c r="W19" t="n">
        <v>0</v>
      </c>
      <c r="X19" t="n">
        <v>0</v>
      </c>
      <c r="Y19" t="n">
        <v>0</v>
      </c>
      <c r="Z19" t="n">
        <v>0</v>
      </c>
      <c r="AA19" t="n">
        <v>1</v>
      </c>
      <c r="AC19">
        <f>IF(ISNUMBER(INDEX($A$2:$AA$25,18,MATCH('Mutlak Getiri'!$E$2,$A$1:$AA$1,0))),INDEX($A$2:$AA$25,18,MATCH('Mutlak Getiri'!$E$2,$A$1:$AA$1,0)),-1E+9)-ROW()/1E+7</f>
        <v/>
      </c>
    </row>
    <row r="20">
      <c r="A20" t="inlineStr">
        <is>
          <t>HDK</t>
        </is>
      </c>
      <c r="B20" t="inlineStr">
        <is>
          <t>Hedef Portföy Vega İstatistiksel Arbitraj Hisse Senedi Serbest Fon (Hisse Senedi Yoğun Fon)</t>
        </is>
      </c>
      <c r="C20" t="inlineStr">
        <is>
          <t>Hedef Portföy</t>
        </is>
      </c>
      <c r="D20" t="n">
        <v>0.05</v>
      </c>
      <c r="E20" t="n">
        <v>0.248971365907491</v>
      </c>
      <c r="F20" t="n">
        <v>0.4669569793726902</v>
      </c>
      <c r="G20" t="n">
        <v>1.508455299813938</v>
      </c>
      <c r="H20" t="n">
        <v>13.99305450608488</v>
      </c>
      <c r="I20" t="n">
        <v>29.4389620172516</v>
      </c>
      <c r="J20" t="n">
        <v>138</v>
      </c>
      <c r="K20" t="n">
        <v>131</v>
      </c>
      <c r="L20" t="n">
        <v>-0.05072463768115942</v>
      </c>
      <c r="M20" t="n">
        <v>11938781.51</v>
      </c>
      <c r="N20" t="n">
        <v>12031550.53</v>
      </c>
      <c r="O20" t="n">
        <v>0.007770392642020951</v>
      </c>
      <c r="P20" t="n">
        <v>0.2126119614830032</v>
      </c>
      <c r="Q20" t="inlineStr">
        <is>
          <t>Görüyor</t>
        </is>
      </c>
      <c r="R20" t="n">
        <v>0</v>
      </c>
      <c r="S20" t="n">
        <v>0.1908</v>
      </c>
      <c r="T20" t="n">
        <v>0</v>
      </c>
      <c r="U20" t="n">
        <v>0.8079999999999999</v>
      </c>
      <c r="V20" t="n">
        <v>0</v>
      </c>
      <c r="W20" t="n">
        <v>0.0012</v>
      </c>
      <c r="X20" t="n">
        <v>0</v>
      </c>
      <c r="Y20" t="n">
        <v>0</v>
      </c>
      <c r="Z20" t="n">
        <v>0</v>
      </c>
      <c r="AA20" t="n">
        <v>0.9999999999999999</v>
      </c>
      <c r="AC20">
        <f>IF(ISNUMBER(INDEX($A$2:$AA$25,19,MATCH('Mutlak Getiri'!$E$2,$A$1:$AA$1,0))),INDEX($A$2:$AA$25,19,MATCH('Mutlak Getiri'!$E$2,$A$1:$AA$1,0)),-1E+9)-ROW()/1E+7</f>
        <v/>
      </c>
    </row>
    <row r="21">
      <c r="A21" t="inlineStr">
        <is>
          <t>HVN</t>
        </is>
      </c>
      <c r="B21" t="inlineStr">
        <is>
          <t>Hedef Portföy Mutlak Getiri Hedefli Hisse Senedi Serbest Fon (Hisse Senedi Yoğun Fon)</t>
        </is>
      </c>
      <c r="C21" t="inlineStr">
        <is>
          <t>Hedef Portföy</t>
        </is>
      </c>
      <c r="D21" t="n">
        <v>0.03</v>
      </c>
      <c r="E21" t="n">
        <v>0.1164463012032657</v>
      </c>
      <c r="F21" t="n">
        <v>0.4977910123194373</v>
      </c>
      <c r="G21" t="n">
        <v>1.053822412292238</v>
      </c>
      <c r="H21" t="n">
        <v>13.09923986791128</v>
      </c>
      <c r="I21" t="n">
        <v>14.74650503714185</v>
      </c>
      <c r="J21" t="n">
        <v>12</v>
      </c>
      <c r="K21" t="n">
        <v>12</v>
      </c>
      <c r="L21" t="n">
        <v>0</v>
      </c>
      <c r="M21" t="n">
        <v>5723745.79</v>
      </c>
      <c r="N21" t="n">
        <v>5784063.43</v>
      </c>
      <c r="O21" t="n">
        <v>0.01053814096799699</v>
      </c>
      <c r="P21" t="n">
        <v>0.1807250926937858</v>
      </c>
      <c r="Q21" t="inlineStr">
        <is>
          <t>Görmüyor</t>
        </is>
      </c>
      <c r="R21" t="n">
        <v>0</v>
      </c>
      <c r="S21" t="n">
        <v>0.1252</v>
      </c>
      <c r="T21" t="n">
        <v>0</v>
      </c>
      <c r="U21" t="n">
        <v>0.8345999999999999</v>
      </c>
      <c r="V21" t="n">
        <v>0</v>
      </c>
      <c r="W21" t="n">
        <v>0.04019999999999999</v>
      </c>
      <c r="X21" t="n">
        <v>0</v>
      </c>
      <c r="Y21" t="n">
        <v>0</v>
      </c>
      <c r="Z21" t="n">
        <v>0</v>
      </c>
      <c r="AA21" t="n">
        <v>0.9999999999999999</v>
      </c>
      <c r="AC21">
        <f>IF(ISNUMBER(INDEX($A$2:$AA$25,20,MATCH('Mutlak Getiri'!$E$2,$A$1:$AA$1,0))),INDEX($A$2:$AA$25,20,MATCH('Mutlak Getiri'!$E$2,$A$1:$AA$1,0)),-1E+9)-ROW()/1E+7</f>
        <v/>
      </c>
    </row>
    <row r="22">
      <c r="A22" t="inlineStr">
        <is>
          <t>KIH</t>
        </is>
      </c>
      <c r="B22" t="inlineStr">
        <is>
          <t>Kare Portföy İstatistiksel Arbitraj Serbest Fon</t>
        </is>
      </c>
      <c r="C22" t="inlineStr">
        <is>
          <t>Kare Portföy</t>
        </is>
      </c>
      <c r="D22" t="n">
        <v>0.04</v>
      </c>
      <c r="E22" t="n">
        <v>0.1100621847982319</v>
      </c>
      <c r="F22" t="n">
        <v>0.6584471193952446</v>
      </c>
      <c r="G22" t="n">
        <v>2.884896426061689</v>
      </c>
      <c r="H22" t="n">
        <v>18.75731277501416</v>
      </c>
      <c r="I22" t="n">
        <v>33.07647139260461</v>
      </c>
      <c r="J22" t="n">
        <v>34</v>
      </c>
      <c r="K22" t="n">
        <v>27</v>
      </c>
      <c r="L22" t="n">
        <v>-0.2058823529411765</v>
      </c>
      <c r="M22" t="n">
        <v>56186573.84</v>
      </c>
      <c r="N22" t="n">
        <v>57794076.72</v>
      </c>
      <c r="O22" t="n">
        <v>0.02861008903261486</v>
      </c>
      <c r="P22" t="n">
        <v>0.06303739716067489</v>
      </c>
      <c r="Q22" t="inlineStr">
        <is>
          <t>Görüyor</t>
        </is>
      </c>
      <c r="R22" t="n">
        <v>0</v>
      </c>
      <c r="S22" t="n">
        <v>0.1368</v>
      </c>
      <c r="T22" t="n">
        <v>0.8632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1</v>
      </c>
      <c r="AC22">
        <f>IF(ISNUMBER(INDEX($A$2:$AA$25,21,MATCH('Mutlak Getiri'!$E$2,$A$1:$AA$1,0))),INDEX($A$2:$AA$25,21,MATCH('Mutlak Getiri'!$E$2,$A$1:$AA$1,0)),-1E+9)-ROW()/1E+7</f>
        <v/>
      </c>
    </row>
    <row r="23">
      <c r="A23" t="inlineStr">
        <is>
          <t>HDA</t>
        </is>
      </c>
      <c r="B23" t="inlineStr">
        <is>
          <t>Hedef Portföy Dördüncü İstatistiksel Arbitraj Hisse Senedi Serbest (TL) Fon (Hisse Senedi Yoğun Fon)</t>
        </is>
      </c>
      <c r="C23" t="inlineStr">
        <is>
          <t>Hedef Portföy</t>
        </is>
      </c>
      <c r="D23" t="n">
        <v>0.035</v>
      </c>
      <c r="E23" t="n">
        <v>0.03331218638544797</v>
      </c>
      <c r="F23" t="n">
        <v>0.4634317417122835</v>
      </c>
      <c r="G23" t="n">
        <v>2.607686887705629</v>
      </c>
      <c r="H23" t="n">
        <v>18.36199427829601</v>
      </c>
      <c r="I23" t="n">
        <v>38.01593278038473</v>
      </c>
      <c r="J23" t="n">
        <v>651</v>
      </c>
      <c r="K23" t="n">
        <v>589</v>
      </c>
      <c r="L23" t="n">
        <v>-0.09523809523809523</v>
      </c>
      <c r="M23" t="n">
        <v>343663705.29</v>
      </c>
      <c r="N23" t="n">
        <v>131462631.78</v>
      </c>
      <c r="O23" t="n">
        <v>-0.6174672222978406</v>
      </c>
      <c r="P23" t="n">
        <v>0.2049750326864413</v>
      </c>
      <c r="Q23" t="inlineStr">
        <is>
          <t>Görüyor</t>
        </is>
      </c>
      <c r="R23" t="n">
        <v>0</v>
      </c>
      <c r="S23" t="n">
        <v>0.009399999999999999</v>
      </c>
      <c r="T23" t="n">
        <v>0</v>
      </c>
      <c r="U23" t="n">
        <v>0.9453</v>
      </c>
      <c r="V23" t="n">
        <v>0</v>
      </c>
      <c r="W23" t="n">
        <v>0.0453</v>
      </c>
      <c r="X23" t="n">
        <v>0</v>
      </c>
      <c r="Y23" t="n">
        <v>0</v>
      </c>
      <c r="Z23" t="n">
        <v>0</v>
      </c>
      <c r="AA23" t="n">
        <v>1</v>
      </c>
      <c r="AC23">
        <f>IF(ISNUMBER(INDEX($A$2:$AA$25,22,MATCH('Mutlak Getiri'!$E$2,$A$1:$AA$1,0))),INDEX($A$2:$AA$25,22,MATCH('Mutlak Getiri'!$E$2,$A$1:$AA$1,0)),-1E+9)-ROW()/1E+7</f>
        <v/>
      </c>
    </row>
    <row r="24">
      <c r="A24" t="inlineStr">
        <is>
          <t>HAT</t>
        </is>
      </c>
      <c r="B24" t="inlineStr">
        <is>
          <t>Hedef Portföy Atlas İstatistiksel Arbitraj Hisse Senedi Serbest Fon (Hisse Senedi Yoğun Fon)</t>
        </is>
      </c>
      <c r="C24" t="inlineStr">
        <is>
          <t>Hedef Portföy</t>
        </is>
      </c>
      <c r="D24" t="n">
        <v>0.04</v>
      </c>
      <c r="E24" t="n">
        <v>-0.02003238479364455</v>
      </c>
      <c r="F24" t="n">
        <v>0.1428220233173905</v>
      </c>
      <c r="G24" t="n">
        <v>0.5542982148162068</v>
      </c>
      <c r="H24" t="n">
        <v>11.60295120040142</v>
      </c>
      <c r="I24" t="n">
        <v>28.53098919065214</v>
      </c>
      <c r="J24" t="n">
        <v>103</v>
      </c>
      <c r="K24" t="n">
        <v>94</v>
      </c>
      <c r="L24" t="n">
        <v>-0.08737864077669899</v>
      </c>
      <c r="M24" t="n">
        <v>5563580.73</v>
      </c>
      <c r="N24" t="n">
        <v>4972059.25</v>
      </c>
      <c r="O24" t="n">
        <v>-0.1063202834121543</v>
      </c>
      <c r="P24" t="n">
        <v>0.2572168643582138</v>
      </c>
      <c r="Q24" t="inlineStr">
        <is>
          <t>Görüyor</t>
        </is>
      </c>
      <c r="R24" t="n">
        <v>0</v>
      </c>
      <c r="S24" t="n">
        <v>0.1015</v>
      </c>
      <c r="T24" t="n">
        <v>0</v>
      </c>
      <c r="U24" t="n">
        <v>0.8985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1</v>
      </c>
      <c r="AC24">
        <f>IF(ISNUMBER(INDEX($A$2:$AA$25,23,MATCH('Mutlak Getiri'!$E$2,$A$1:$AA$1,0))),INDEX($A$2:$AA$25,23,MATCH('Mutlak Getiri'!$E$2,$A$1:$AA$1,0)),-1E+9)-ROW()/1E+7</f>
        <v/>
      </c>
    </row>
    <row r="25">
      <c r="A25" t="inlineStr">
        <is>
          <t>HIS</t>
        </is>
      </c>
      <c r="B25" t="inlineStr">
        <is>
          <t>Hedef Portföy İkinci İstatistiksel Arbitraj Hisse Senedi Serbest Fon (Hisse Senedi Yoğun Fon)</t>
        </is>
      </c>
      <c r="C25" t="inlineStr">
        <is>
          <t>Hedef Portföy</t>
        </is>
      </c>
      <c r="D25" t="n">
        <v>0.03</v>
      </c>
      <c r="E25" t="n">
        <v>-0.04335069533335512</v>
      </c>
      <c r="F25" t="n">
        <v>-0.2918664626583301</v>
      </c>
      <c r="G25" t="n">
        <v>-3.881235141636186</v>
      </c>
      <c r="H25" t="n">
        <v>-11.61091832876272</v>
      </c>
      <c r="I25" t="n">
        <v>-0.5836910930936634</v>
      </c>
      <c r="J25" t="n">
        <v>12</v>
      </c>
      <c r="K25" t="n">
        <v>12</v>
      </c>
      <c r="L25" t="n">
        <v>0</v>
      </c>
      <c r="M25" t="n">
        <v>1364756.88</v>
      </c>
      <c r="N25" t="n">
        <v>1311787.42</v>
      </c>
      <c r="O25" t="n">
        <v>-0.03881237806985816</v>
      </c>
      <c r="P25" t="n">
        <v>0.6104076075036668</v>
      </c>
      <c r="Q25" t="inlineStr">
        <is>
          <t>Görmüyor</t>
        </is>
      </c>
      <c r="R25" t="n">
        <v>0</v>
      </c>
      <c r="S25" t="n">
        <v>0.1295</v>
      </c>
      <c r="T25" t="n">
        <v>0</v>
      </c>
      <c r="U25" t="n">
        <v>0.8704999999999999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1</v>
      </c>
      <c r="AC25">
        <f>IF(ISNUMBER(INDEX($A$2:$AA$25,24,MATCH('Mutlak Getiri'!$E$2,$A$1:$AA$1,0))),INDEX($A$2:$AA$25,24,MATCH('Mutlak Getiri'!$E$2,$A$1:$AA$1,0)),-1E+9)-ROW()/1E+7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27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2" max="2"/>
    <col width="68" customWidth="1" min="3" max="3"/>
    <col width="2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>
      <c r="F1" s="6" t="n">
        <v>46219</v>
      </c>
      <c r="G1" s="6" t="n">
        <v>46213</v>
      </c>
      <c r="H1" s="6" t="n">
        <v>46190</v>
      </c>
      <c r="I1" s="6" t="n">
        <v>46022</v>
      </c>
      <c r="J1" s="6" t="n">
        <v>45855</v>
      </c>
    </row>
    <row r="2">
      <c r="B2" s="3" t="inlineStr">
        <is>
          <t>T-1: 17.07.2026</t>
        </is>
      </c>
      <c r="D2" s="7" t="inlineStr">
        <is>
          <t>Sırala:</t>
        </is>
      </c>
      <c r="E2" s="2" t="inlineStr">
        <is>
          <t>Günlük%</t>
        </is>
      </c>
    </row>
    <row r="3">
      <c r="B3" s="4" t="inlineStr">
        <is>
          <t>Fon Kodu</t>
        </is>
      </c>
      <c r="C3" s="4" t="inlineStr">
        <is>
          <t>Mutlak Getiri Fonları</t>
        </is>
      </c>
      <c r="D3" s="4" t="inlineStr">
        <is>
          <t>Yönetici</t>
        </is>
      </c>
      <c r="E3" s="4" t="inlineStr">
        <is>
          <t>FYÜ%</t>
        </is>
      </c>
      <c r="F3" s="4" t="inlineStr">
        <is>
          <t>Günlük%</t>
        </is>
      </c>
      <c r="G3" s="4" t="inlineStr">
        <is>
          <t>Haftalık</t>
        </is>
      </c>
      <c r="H3" s="4" t="inlineStr">
        <is>
          <t>Aylık</t>
        </is>
      </c>
      <c r="I3" s="4" t="inlineStr">
        <is>
          <t>Yılbaşına Göre</t>
        </is>
      </c>
      <c r="J3" s="4" t="inlineStr">
        <is>
          <t>Yıllık</t>
        </is>
      </c>
      <c r="K3" s="4" t="inlineStr">
        <is>
          <t>Yatırımcı Sayısı T-30</t>
        </is>
      </c>
      <c r="L3" s="4" t="inlineStr">
        <is>
          <t>Yatırımcı Sayısı T-1</t>
        </is>
      </c>
      <c r="M3" s="4" t="inlineStr">
        <is>
          <t>YS Değişim</t>
        </is>
      </c>
      <c r="N3" s="4" t="inlineStr">
        <is>
          <t>Önceki Ay FTD</t>
        </is>
      </c>
      <c r="O3" s="4" t="inlineStr">
        <is>
          <t>T-1 FTD</t>
        </is>
      </c>
      <c r="P3" s="4" t="inlineStr">
        <is>
          <t>FTD Değişim</t>
        </is>
      </c>
      <c r="Q3" s="4" t="inlineStr">
        <is>
          <t>Standart Sapma (Aylık)</t>
        </is>
      </c>
      <c r="R3" s="4" t="inlineStr">
        <is>
          <t>TEFAS Durumu</t>
        </is>
      </c>
      <c r="S3" s="4" t="inlineStr">
        <is>
          <t>Mevduat (TL)</t>
        </is>
      </c>
      <c r="T3" s="4" t="inlineStr">
        <is>
          <t>Vadeli İşlemler Nakit Teminatları</t>
        </is>
      </c>
      <c r="U3" s="4" t="inlineStr">
        <is>
          <t>Ters Repo Oranı</t>
        </is>
      </c>
      <c r="V3" s="4" t="inlineStr">
        <is>
          <t>Hisse Oranı</t>
        </is>
      </c>
      <c r="W3" s="4" t="inlineStr">
        <is>
          <t>Para Piyasaları Oranı</t>
        </is>
      </c>
      <c r="X3" s="4" t="inlineStr">
        <is>
          <t>Yatırım Fonları Katılma Payları</t>
        </is>
      </c>
      <c r="Y3" s="4" t="inlineStr">
        <is>
          <t>Özel Tahvil/Bono Oranı</t>
        </is>
      </c>
      <c r="Z3" s="4" t="inlineStr">
        <is>
          <t>Finansman Bonosu Oranı</t>
        </is>
      </c>
      <c r="AA3" s="4" t="inlineStr">
        <is>
          <t>Diğer Oran</t>
        </is>
      </c>
      <c r="AB3" s="4" t="inlineStr">
        <is>
          <t>Toplam</t>
        </is>
      </c>
    </row>
    <row r="4">
      <c r="A4" t="n">
        <v>1</v>
      </c>
      <c r="B4" s="5">
        <f>INDEX('V_Mutlak Getiri'!A$2:A$25,MATCH(LARGE('V_Mutlak Getiri'!$AC$2:$AC$25,ROW()-3),'V_Mutlak Getiri'!$AC$2:$AC$25,0))</f>
        <v/>
      </c>
      <c r="C4" s="5">
        <f>INDEX('V_Mutlak Getiri'!B$2:B$25,MATCH(LARGE('V_Mutlak Getiri'!$AC$2:$AC$25,ROW()-3),'V_Mutlak Getiri'!$AC$2:$AC$25,0))</f>
        <v/>
      </c>
      <c r="D4" s="5">
        <f>INDEX('V_Mutlak Getiri'!C$2:C$25,MATCH(LARGE('V_Mutlak Getiri'!$AC$2:$AC$25,ROW()-3),'V_Mutlak Getiri'!$AC$2:$AC$25,0))</f>
        <v/>
      </c>
      <c r="E4" s="8">
        <f>INDEX('V_Mutlak Getiri'!D$2:D$25,MATCH(LARGE('V_Mutlak Getiri'!$AC$2:$AC$25,ROW()-3),'V_Mutlak Getiri'!$AC$2:$AC$25,0))</f>
        <v/>
      </c>
      <c r="F4" s="9">
        <f>INDEX('V_Mutlak Getiri'!E$2:E$25,MATCH(LARGE('V_Mutlak Getiri'!$AC$2:$AC$25,ROW()-3),'V_Mutlak Getiri'!$AC$2:$AC$25,0))</f>
        <v/>
      </c>
      <c r="G4" s="9">
        <f>INDEX('V_Mutlak Getiri'!F$2:F$25,MATCH(LARGE('V_Mutlak Getiri'!$AC$2:$AC$25,ROW()-3),'V_Mutlak Getiri'!$AC$2:$AC$25,0))</f>
        <v/>
      </c>
      <c r="H4" s="9">
        <f>INDEX('V_Mutlak Getiri'!G$2:G$25,MATCH(LARGE('V_Mutlak Getiri'!$AC$2:$AC$25,ROW()-3),'V_Mutlak Getiri'!$AC$2:$AC$25,0))</f>
        <v/>
      </c>
      <c r="I4" s="9">
        <f>INDEX('V_Mutlak Getiri'!H$2:H$25,MATCH(LARGE('V_Mutlak Getiri'!$AC$2:$AC$25,ROW()-3),'V_Mutlak Getiri'!$AC$2:$AC$25,0))</f>
        <v/>
      </c>
      <c r="J4" s="9">
        <f>INDEX('V_Mutlak Getiri'!I$2:I$25,MATCH(LARGE('V_Mutlak Getiri'!$AC$2:$AC$25,ROW()-3),'V_Mutlak Getiri'!$AC$2:$AC$25,0))</f>
        <v/>
      </c>
      <c r="K4" s="10">
        <f>INDEX('V_Mutlak Getiri'!J$2:J$25,MATCH(LARGE('V_Mutlak Getiri'!$AC$2:$AC$25,ROW()-3),'V_Mutlak Getiri'!$AC$2:$AC$25,0))</f>
        <v/>
      </c>
      <c r="L4" s="10">
        <f>INDEX('V_Mutlak Getiri'!K$2:K$25,MATCH(LARGE('V_Mutlak Getiri'!$AC$2:$AC$25,ROW()-3),'V_Mutlak Getiri'!$AC$2:$AC$25,0))</f>
        <v/>
      </c>
      <c r="M4" s="8">
        <f>INDEX('V_Mutlak Getiri'!L$2:L$25,MATCH(LARGE('V_Mutlak Getiri'!$AC$2:$AC$25,ROW()-3),'V_Mutlak Getiri'!$AC$2:$AC$25,0))</f>
        <v/>
      </c>
      <c r="N4" s="11">
        <f>INDEX('V_Mutlak Getiri'!M$2:M$25,MATCH(LARGE('V_Mutlak Getiri'!$AC$2:$AC$25,ROW()-3),'V_Mutlak Getiri'!$AC$2:$AC$25,0))</f>
        <v/>
      </c>
      <c r="O4" s="11">
        <f>INDEX('V_Mutlak Getiri'!N$2:N$25,MATCH(LARGE('V_Mutlak Getiri'!$AC$2:$AC$25,ROW()-3),'V_Mutlak Getiri'!$AC$2:$AC$25,0))</f>
        <v/>
      </c>
      <c r="P4" s="8">
        <f>INDEX('V_Mutlak Getiri'!O$2:O$25,MATCH(LARGE('V_Mutlak Getiri'!$AC$2:$AC$25,ROW()-3),'V_Mutlak Getiri'!$AC$2:$AC$25,0))</f>
        <v/>
      </c>
      <c r="Q4" s="9">
        <f>INDEX('V_Mutlak Getiri'!P$2:P$25,MATCH(LARGE('V_Mutlak Getiri'!$AC$2:$AC$25,ROW()-3),'V_Mutlak Getiri'!$AC$2:$AC$25,0))</f>
        <v/>
      </c>
      <c r="R4" s="5">
        <f>INDEX('V_Mutlak Getiri'!Q$2:Q$25,MATCH(LARGE('V_Mutlak Getiri'!$AC$2:$AC$25,ROW()-3),'V_Mutlak Getiri'!$AC$2:$AC$25,0))</f>
        <v/>
      </c>
      <c r="S4" s="8">
        <f>INDEX('V_Mutlak Getiri'!R$2:R$25,MATCH(LARGE('V_Mutlak Getiri'!$AC$2:$AC$25,ROW()-3),'V_Mutlak Getiri'!$AC$2:$AC$25,0))</f>
        <v/>
      </c>
      <c r="T4" s="8">
        <f>INDEX('V_Mutlak Getiri'!S$2:S$25,MATCH(LARGE('V_Mutlak Getiri'!$AC$2:$AC$25,ROW()-3),'V_Mutlak Getiri'!$AC$2:$AC$25,0))</f>
        <v/>
      </c>
      <c r="U4" s="8">
        <f>INDEX('V_Mutlak Getiri'!T$2:T$25,MATCH(LARGE('V_Mutlak Getiri'!$AC$2:$AC$25,ROW()-3),'V_Mutlak Getiri'!$AC$2:$AC$25,0))</f>
        <v/>
      </c>
      <c r="V4" s="8">
        <f>INDEX('V_Mutlak Getiri'!U$2:U$25,MATCH(LARGE('V_Mutlak Getiri'!$AC$2:$AC$25,ROW()-3),'V_Mutlak Getiri'!$AC$2:$AC$25,0))</f>
        <v/>
      </c>
      <c r="W4" s="8">
        <f>INDEX('V_Mutlak Getiri'!V$2:V$25,MATCH(LARGE('V_Mutlak Getiri'!$AC$2:$AC$25,ROW()-3),'V_Mutlak Getiri'!$AC$2:$AC$25,0))</f>
        <v/>
      </c>
      <c r="X4" s="8">
        <f>INDEX('V_Mutlak Getiri'!W$2:W$25,MATCH(LARGE('V_Mutlak Getiri'!$AC$2:$AC$25,ROW()-3),'V_Mutlak Getiri'!$AC$2:$AC$25,0))</f>
        <v/>
      </c>
      <c r="Y4" s="8">
        <f>INDEX('V_Mutlak Getiri'!X$2:X$25,MATCH(LARGE('V_Mutlak Getiri'!$AC$2:$AC$25,ROW()-3),'V_Mutlak Getiri'!$AC$2:$AC$25,0))</f>
        <v/>
      </c>
      <c r="Z4" s="8">
        <f>INDEX('V_Mutlak Getiri'!Y$2:Y$25,MATCH(LARGE('V_Mutlak Getiri'!$AC$2:$AC$25,ROW()-3),'V_Mutlak Getiri'!$AC$2:$AC$25,0))</f>
        <v/>
      </c>
      <c r="AA4" s="8">
        <f>INDEX('V_Mutlak Getiri'!Z$2:Z$25,MATCH(LARGE('V_Mutlak Getiri'!$AC$2:$AC$25,ROW()-3),'V_Mutlak Getiri'!$AC$2:$AC$25,0))</f>
        <v/>
      </c>
      <c r="AB4" s="8">
        <f>INDEX('V_Mutlak Getiri'!AA$2:AA$25,MATCH(LARGE('V_Mutlak Getiri'!$AC$2:$AC$25,ROW()-3),'V_Mutlak Getiri'!$AC$2:$AC$25,0))</f>
        <v/>
      </c>
    </row>
    <row r="5">
      <c r="A5" t="n">
        <v>2</v>
      </c>
      <c r="B5" s="5">
        <f>INDEX('V_Mutlak Getiri'!A$2:A$25,MATCH(LARGE('V_Mutlak Getiri'!$AC$2:$AC$25,ROW()-3),'V_Mutlak Getiri'!$AC$2:$AC$25,0))</f>
        <v/>
      </c>
      <c r="C5" s="5">
        <f>INDEX('V_Mutlak Getiri'!B$2:B$25,MATCH(LARGE('V_Mutlak Getiri'!$AC$2:$AC$25,ROW()-3),'V_Mutlak Getiri'!$AC$2:$AC$25,0))</f>
        <v/>
      </c>
      <c r="D5" s="5">
        <f>INDEX('V_Mutlak Getiri'!C$2:C$25,MATCH(LARGE('V_Mutlak Getiri'!$AC$2:$AC$25,ROW()-3),'V_Mutlak Getiri'!$AC$2:$AC$25,0))</f>
        <v/>
      </c>
      <c r="E5" s="8">
        <f>INDEX('V_Mutlak Getiri'!D$2:D$25,MATCH(LARGE('V_Mutlak Getiri'!$AC$2:$AC$25,ROW()-3),'V_Mutlak Getiri'!$AC$2:$AC$25,0))</f>
        <v/>
      </c>
      <c r="F5" s="9">
        <f>INDEX('V_Mutlak Getiri'!E$2:E$25,MATCH(LARGE('V_Mutlak Getiri'!$AC$2:$AC$25,ROW()-3),'V_Mutlak Getiri'!$AC$2:$AC$25,0))</f>
        <v/>
      </c>
      <c r="G5" s="9">
        <f>INDEX('V_Mutlak Getiri'!F$2:F$25,MATCH(LARGE('V_Mutlak Getiri'!$AC$2:$AC$25,ROW()-3),'V_Mutlak Getiri'!$AC$2:$AC$25,0))</f>
        <v/>
      </c>
      <c r="H5" s="9">
        <f>INDEX('V_Mutlak Getiri'!G$2:G$25,MATCH(LARGE('V_Mutlak Getiri'!$AC$2:$AC$25,ROW()-3),'V_Mutlak Getiri'!$AC$2:$AC$25,0))</f>
        <v/>
      </c>
      <c r="I5" s="9">
        <f>INDEX('V_Mutlak Getiri'!H$2:H$25,MATCH(LARGE('V_Mutlak Getiri'!$AC$2:$AC$25,ROW()-3),'V_Mutlak Getiri'!$AC$2:$AC$25,0))</f>
        <v/>
      </c>
      <c r="J5" s="9">
        <f>INDEX('V_Mutlak Getiri'!I$2:I$25,MATCH(LARGE('V_Mutlak Getiri'!$AC$2:$AC$25,ROW()-3),'V_Mutlak Getiri'!$AC$2:$AC$25,0))</f>
        <v/>
      </c>
      <c r="K5" s="10">
        <f>INDEX('V_Mutlak Getiri'!J$2:J$25,MATCH(LARGE('V_Mutlak Getiri'!$AC$2:$AC$25,ROW()-3),'V_Mutlak Getiri'!$AC$2:$AC$25,0))</f>
        <v/>
      </c>
      <c r="L5" s="10">
        <f>INDEX('V_Mutlak Getiri'!K$2:K$25,MATCH(LARGE('V_Mutlak Getiri'!$AC$2:$AC$25,ROW()-3),'V_Mutlak Getiri'!$AC$2:$AC$25,0))</f>
        <v/>
      </c>
      <c r="M5" s="8">
        <f>INDEX('V_Mutlak Getiri'!L$2:L$25,MATCH(LARGE('V_Mutlak Getiri'!$AC$2:$AC$25,ROW()-3),'V_Mutlak Getiri'!$AC$2:$AC$25,0))</f>
        <v/>
      </c>
      <c r="N5" s="11">
        <f>INDEX('V_Mutlak Getiri'!M$2:M$25,MATCH(LARGE('V_Mutlak Getiri'!$AC$2:$AC$25,ROW()-3),'V_Mutlak Getiri'!$AC$2:$AC$25,0))</f>
        <v/>
      </c>
      <c r="O5" s="11">
        <f>INDEX('V_Mutlak Getiri'!N$2:N$25,MATCH(LARGE('V_Mutlak Getiri'!$AC$2:$AC$25,ROW()-3),'V_Mutlak Getiri'!$AC$2:$AC$25,0))</f>
        <v/>
      </c>
      <c r="P5" s="8">
        <f>INDEX('V_Mutlak Getiri'!O$2:O$25,MATCH(LARGE('V_Mutlak Getiri'!$AC$2:$AC$25,ROW()-3),'V_Mutlak Getiri'!$AC$2:$AC$25,0))</f>
        <v/>
      </c>
      <c r="Q5" s="9">
        <f>INDEX('V_Mutlak Getiri'!P$2:P$25,MATCH(LARGE('V_Mutlak Getiri'!$AC$2:$AC$25,ROW()-3),'V_Mutlak Getiri'!$AC$2:$AC$25,0))</f>
        <v/>
      </c>
      <c r="R5" s="5">
        <f>INDEX('V_Mutlak Getiri'!Q$2:Q$25,MATCH(LARGE('V_Mutlak Getiri'!$AC$2:$AC$25,ROW()-3),'V_Mutlak Getiri'!$AC$2:$AC$25,0))</f>
        <v/>
      </c>
      <c r="S5" s="8">
        <f>INDEX('V_Mutlak Getiri'!R$2:R$25,MATCH(LARGE('V_Mutlak Getiri'!$AC$2:$AC$25,ROW()-3),'V_Mutlak Getiri'!$AC$2:$AC$25,0))</f>
        <v/>
      </c>
      <c r="T5" s="8">
        <f>INDEX('V_Mutlak Getiri'!S$2:S$25,MATCH(LARGE('V_Mutlak Getiri'!$AC$2:$AC$25,ROW()-3),'V_Mutlak Getiri'!$AC$2:$AC$25,0))</f>
        <v/>
      </c>
      <c r="U5" s="8">
        <f>INDEX('V_Mutlak Getiri'!T$2:T$25,MATCH(LARGE('V_Mutlak Getiri'!$AC$2:$AC$25,ROW()-3),'V_Mutlak Getiri'!$AC$2:$AC$25,0))</f>
        <v/>
      </c>
      <c r="V5" s="8">
        <f>INDEX('V_Mutlak Getiri'!U$2:U$25,MATCH(LARGE('V_Mutlak Getiri'!$AC$2:$AC$25,ROW()-3),'V_Mutlak Getiri'!$AC$2:$AC$25,0))</f>
        <v/>
      </c>
      <c r="W5" s="8">
        <f>INDEX('V_Mutlak Getiri'!V$2:V$25,MATCH(LARGE('V_Mutlak Getiri'!$AC$2:$AC$25,ROW()-3),'V_Mutlak Getiri'!$AC$2:$AC$25,0))</f>
        <v/>
      </c>
      <c r="X5" s="8">
        <f>INDEX('V_Mutlak Getiri'!W$2:W$25,MATCH(LARGE('V_Mutlak Getiri'!$AC$2:$AC$25,ROW()-3),'V_Mutlak Getiri'!$AC$2:$AC$25,0))</f>
        <v/>
      </c>
      <c r="Y5" s="8">
        <f>INDEX('V_Mutlak Getiri'!X$2:X$25,MATCH(LARGE('V_Mutlak Getiri'!$AC$2:$AC$25,ROW()-3),'V_Mutlak Getiri'!$AC$2:$AC$25,0))</f>
        <v/>
      </c>
      <c r="Z5" s="8">
        <f>INDEX('V_Mutlak Getiri'!Y$2:Y$25,MATCH(LARGE('V_Mutlak Getiri'!$AC$2:$AC$25,ROW()-3),'V_Mutlak Getiri'!$AC$2:$AC$25,0))</f>
        <v/>
      </c>
      <c r="AA5" s="8">
        <f>INDEX('V_Mutlak Getiri'!Z$2:Z$25,MATCH(LARGE('V_Mutlak Getiri'!$AC$2:$AC$25,ROW()-3),'V_Mutlak Getiri'!$AC$2:$AC$25,0))</f>
        <v/>
      </c>
      <c r="AB5" s="8">
        <f>INDEX('V_Mutlak Getiri'!AA$2:AA$25,MATCH(LARGE('V_Mutlak Getiri'!$AC$2:$AC$25,ROW()-3),'V_Mutlak Getiri'!$AC$2:$AC$25,0))</f>
        <v/>
      </c>
    </row>
    <row r="6">
      <c r="A6" t="n">
        <v>3</v>
      </c>
      <c r="B6" s="5">
        <f>INDEX('V_Mutlak Getiri'!A$2:A$25,MATCH(LARGE('V_Mutlak Getiri'!$AC$2:$AC$25,ROW()-3),'V_Mutlak Getiri'!$AC$2:$AC$25,0))</f>
        <v/>
      </c>
      <c r="C6" s="5">
        <f>INDEX('V_Mutlak Getiri'!B$2:B$25,MATCH(LARGE('V_Mutlak Getiri'!$AC$2:$AC$25,ROW()-3),'V_Mutlak Getiri'!$AC$2:$AC$25,0))</f>
        <v/>
      </c>
      <c r="D6" s="5">
        <f>INDEX('V_Mutlak Getiri'!C$2:C$25,MATCH(LARGE('V_Mutlak Getiri'!$AC$2:$AC$25,ROW()-3),'V_Mutlak Getiri'!$AC$2:$AC$25,0))</f>
        <v/>
      </c>
      <c r="E6" s="8">
        <f>INDEX('V_Mutlak Getiri'!D$2:D$25,MATCH(LARGE('V_Mutlak Getiri'!$AC$2:$AC$25,ROW()-3),'V_Mutlak Getiri'!$AC$2:$AC$25,0))</f>
        <v/>
      </c>
      <c r="F6" s="9">
        <f>INDEX('V_Mutlak Getiri'!E$2:E$25,MATCH(LARGE('V_Mutlak Getiri'!$AC$2:$AC$25,ROW()-3),'V_Mutlak Getiri'!$AC$2:$AC$25,0))</f>
        <v/>
      </c>
      <c r="G6" s="9">
        <f>INDEX('V_Mutlak Getiri'!F$2:F$25,MATCH(LARGE('V_Mutlak Getiri'!$AC$2:$AC$25,ROW()-3),'V_Mutlak Getiri'!$AC$2:$AC$25,0))</f>
        <v/>
      </c>
      <c r="H6" s="9">
        <f>INDEX('V_Mutlak Getiri'!G$2:G$25,MATCH(LARGE('V_Mutlak Getiri'!$AC$2:$AC$25,ROW()-3),'V_Mutlak Getiri'!$AC$2:$AC$25,0))</f>
        <v/>
      </c>
      <c r="I6" s="9">
        <f>INDEX('V_Mutlak Getiri'!H$2:H$25,MATCH(LARGE('V_Mutlak Getiri'!$AC$2:$AC$25,ROW()-3),'V_Mutlak Getiri'!$AC$2:$AC$25,0))</f>
        <v/>
      </c>
      <c r="J6" s="9">
        <f>INDEX('V_Mutlak Getiri'!I$2:I$25,MATCH(LARGE('V_Mutlak Getiri'!$AC$2:$AC$25,ROW()-3),'V_Mutlak Getiri'!$AC$2:$AC$25,0))</f>
        <v/>
      </c>
      <c r="K6" s="10">
        <f>INDEX('V_Mutlak Getiri'!J$2:J$25,MATCH(LARGE('V_Mutlak Getiri'!$AC$2:$AC$25,ROW()-3),'V_Mutlak Getiri'!$AC$2:$AC$25,0))</f>
        <v/>
      </c>
      <c r="L6" s="10">
        <f>INDEX('V_Mutlak Getiri'!K$2:K$25,MATCH(LARGE('V_Mutlak Getiri'!$AC$2:$AC$25,ROW()-3),'V_Mutlak Getiri'!$AC$2:$AC$25,0))</f>
        <v/>
      </c>
      <c r="M6" s="8">
        <f>INDEX('V_Mutlak Getiri'!L$2:L$25,MATCH(LARGE('V_Mutlak Getiri'!$AC$2:$AC$25,ROW()-3),'V_Mutlak Getiri'!$AC$2:$AC$25,0))</f>
        <v/>
      </c>
      <c r="N6" s="11">
        <f>INDEX('V_Mutlak Getiri'!M$2:M$25,MATCH(LARGE('V_Mutlak Getiri'!$AC$2:$AC$25,ROW()-3),'V_Mutlak Getiri'!$AC$2:$AC$25,0))</f>
        <v/>
      </c>
      <c r="O6" s="11">
        <f>INDEX('V_Mutlak Getiri'!N$2:N$25,MATCH(LARGE('V_Mutlak Getiri'!$AC$2:$AC$25,ROW()-3),'V_Mutlak Getiri'!$AC$2:$AC$25,0))</f>
        <v/>
      </c>
      <c r="P6" s="8">
        <f>INDEX('V_Mutlak Getiri'!O$2:O$25,MATCH(LARGE('V_Mutlak Getiri'!$AC$2:$AC$25,ROW()-3),'V_Mutlak Getiri'!$AC$2:$AC$25,0))</f>
        <v/>
      </c>
      <c r="Q6" s="9">
        <f>INDEX('V_Mutlak Getiri'!P$2:P$25,MATCH(LARGE('V_Mutlak Getiri'!$AC$2:$AC$25,ROW()-3),'V_Mutlak Getiri'!$AC$2:$AC$25,0))</f>
        <v/>
      </c>
      <c r="R6" s="5">
        <f>INDEX('V_Mutlak Getiri'!Q$2:Q$25,MATCH(LARGE('V_Mutlak Getiri'!$AC$2:$AC$25,ROW()-3),'V_Mutlak Getiri'!$AC$2:$AC$25,0))</f>
        <v/>
      </c>
      <c r="S6" s="8">
        <f>INDEX('V_Mutlak Getiri'!R$2:R$25,MATCH(LARGE('V_Mutlak Getiri'!$AC$2:$AC$25,ROW()-3),'V_Mutlak Getiri'!$AC$2:$AC$25,0))</f>
        <v/>
      </c>
      <c r="T6" s="8">
        <f>INDEX('V_Mutlak Getiri'!S$2:S$25,MATCH(LARGE('V_Mutlak Getiri'!$AC$2:$AC$25,ROW()-3),'V_Mutlak Getiri'!$AC$2:$AC$25,0))</f>
        <v/>
      </c>
      <c r="U6" s="8">
        <f>INDEX('V_Mutlak Getiri'!T$2:T$25,MATCH(LARGE('V_Mutlak Getiri'!$AC$2:$AC$25,ROW()-3),'V_Mutlak Getiri'!$AC$2:$AC$25,0))</f>
        <v/>
      </c>
      <c r="V6" s="8">
        <f>INDEX('V_Mutlak Getiri'!U$2:U$25,MATCH(LARGE('V_Mutlak Getiri'!$AC$2:$AC$25,ROW()-3),'V_Mutlak Getiri'!$AC$2:$AC$25,0))</f>
        <v/>
      </c>
      <c r="W6" s="8">
        <f>INDEX('V_Mutlak Getiri'!V$2:V$25,MATCH(LARGE('V_Mutlak Getiri'!$AC$2:$AC$25,ROW()-3),'V_Mutlak Getiri'!$AC$2:$AC$25,0))</f>
        <v/>
      </c>
      <c r="X6" s="8">
        <f>INDEX('V_Mutlak Getiri'!W$2:W$25,MATCH(LARGE('V_Mutlak Getiri'!$AC$2:$AC$25,ROW()-3),'V_Mutlak Getiri'!$AC$2:$AC$25,0))</f>
        <v/>
      </c>
      <c r="Y6" s="8">
        <f>INDEX('V_Mutlak Getiri'!X$2:X$25,MATCH(LARGE('V_Mutlak Getiri'!$AC$2:$AC$25,ROW()-3),'V_Mutlak Getiri'!$AC$2:$AC$25,0))</f>
        <v/>
      </c>
      <c r="Z6" s="8">
        <f>INDEX('V_Mutlak Getiri'!Y$2:Y$25,MATCH(LARGE('V_Mutlak Getiri'!$AC$2:$AC$25,ROW()-3),'V_Mutlak Getiri'!$AC$2:$AC$25,0))</f>
        <v/>
      </c>
      <c r="AA6" s="8">
        <f>INDEX('V_Mutlak Getiri'!Z$2:Z$25,MATCH(LARGE('V_Mutlak Getiri'!$AC$2:$AC$25,ROW()-3),'V_Mutlak Getiri'!$AC$2:$AC$25,0))</f>
        <v/>
      </c>
      <c r="AB6" s="8">
        <f>INDEX('V_Mutlak Getiri'!AA$2:AA$25,MATCH(LARGE('V_Mutlak Getiri'!$AC$2:$AC$25,ROW()-3),'V_Mutlak Getiri'!$AC$2:$AC$25,0))</f>
        <v/>
      </c>
    </row>
    <row r="7">
      <c r="A7" t="n">
        <v>4</v>
      </c>
      <c r="B7" s="5">
        <f>INDEX('V_Mutlak Getiri'!A$2:A$25,MATCH(LARGE('V_Mutlak Getiri'!$AC$2:$AC$25,ROW()-3),'V_Mutlak Getiri'!$AC$2:$AC$25,0))</f>
        <v/>
      </c>
      <c r="C7" s="5">
        <f>INDEX('V_Mutlak Getiri'!B$2:B$25,MATCH(LARGE('V_Mutlak Getiri'!$AC$2:$AC$25,ROW()-3),'V_Mutlak Getiri'!$AC$2:$AC$25,0))</f>
        <v/>
      </c>
      <c r="D7" s="5">
        <f>INDEX('V_Mutlak Getiri'!C$2:C$25,MATCH(LARGE('V_Mutlak Getiri'!$AC$2:$AC$25,ROW()-3),'V_Mutlak Getiri'!$AC$2:$AC$25,0))</f>
        <v/>
      </c>
      <c r="E7" s="8">
        <f>INDEX('V_Mutlak Getiri'!D$2:D$25,MATCH(LARGE('V_Mutlak Getiri'!$AC$2:$AC$25,ROW()-3),'V_Mutlak Getiri'!$AC$2:$AC$25,0))</f>
        <v/>
      </c>
      <c r="F7" s="9">
        <f>INDEX('V_Mutlak Getiri'!E$2:E$25,MATCH(LARGE('V_Mutlak Getiri'!$AC$2:$AC$25,ROW()-3),'V_Mutlak Getiri'!$AC$2:$AC$25,0))</f>
        <v/>
      </c>
      <c r="G7" s="9">
        <f>INDEX('V_Mutlak Getiri'!F$2:F$25,MATCH(LARGE('V_Mutlak Getiri'!$AC$2:$AC$25,ROW()-3),'V_Mutlak Getiri'!$AC$2:$AC$25,0))</f>
        <v/>
      </c>
      <c r="H7" s="9">
        <f>INDEX('V_Mutlak Getiri'!G$2:G$25,MATCH(LARGE('V_Mutlak Getiri'!$AC$2:$AC$25,ROW()-3),'V_Mutlak Getiri'!$AC$2:$AC$25,0))</f>
        <v/>
      </c>
      <c r="I7" s="9">
        <f>INDEX('V_Mutlak Getiri'!H$2:H$25,MATCH(LARGE('V_Mutlak Getiri'!$AC$2:$AC$25,ROW()-3),'V_Mutlak Getiri'!$AC$2:$AC$25,0))</f>
        <v/>
      </c>
      <c r="J7" s="9">
        <f>INDEX('V_Mutlak Getiri'!I$2:I$25,MATCH(LARGE('V_Mutlak Getiri'!$AC$2:$AC$25,ROW()-3),'V_Mutlak Getiri'!$AC$2:$AC$25,0))</f>
        <v/>
      </c>
      <c r="K7" s="10">
        <f>INDEX('V_Mutlak Getiri'!J$2:J$25,MATCH(LARGE('V_Mutlak Getiri'!$AC$2:$AC$25,ROW()-3),'V_Mutlak Getiri'!$AC$2:$AC$25,0))</f>
        <v/>
      </c>
      <c r="L7" s="10">
        <f>INDEX('V_Mutlak Getiri'!K$2:K$25,MATCH(LARGE('V_Mutlak Getiri'!$AC$2:$AC$25,ROW()-3),'V_Mutlak Getiri'!$AC$2:$AC$25,0))</f>
        <v/>
      </c>
      <c r="M7" s="8">
        <f>INDEX('V_Mutlak Getiri'!L$2:L$25,MATCH(LARGE('V_Mutlak Getiri'!$AC$2:$AC$25,ROW()-3),'V_Mutlak Getiri'!$AC$2:$AC$25,0))</f>
        <v/>
      </c>
      <c r="N7" s="11">
        <f>INDEX('V_Mutlak Getiri'!M$2:M$25,MATCH(LARGE('V_Mutlak Getiri'!$AC$2:$AC$25,ROW()-3),'V_Mutlak Getiri'!$AC$2:$AC$25,0))</f>
        <v/>
      </c>
      <c r="O7" s="11">
        <f>INDEX('V_Mutlak Getiri'!N$2:N$25,MATCH(LARGE('V_Mutlak Getiri'!$AC$2:$AC$25,ROW()-3),'V_Mutlak Getiri'!$AC$2:$AC$25,0))</f>
        <v/>
      </c>
      <c r="P7" s="8">
        <f>INDEX('V_Mutlak Getiri'!O$2:O$25,MATCH(LARGE('V_Mutlak Getiri'!$AC$2:$AC$25,ROW()-3),'V_Mutlak Getiri'!$AC$2:$AC$25,0))</f>
        <v/>
      </c>
      <c r="Q7" s="9">
        <f>INDEX('V_Mutlak Getiri'!P$2:P$25,MATCH(LARGE('V_Mutlak Getiri'!$AC$2:$AC$25,ROW()-3),'V_Mutlak Getiri'!$AC$2:$AC$25,0))</f>
        <v/>
      </c>
      <c r="R7" s="5">
        <f>INDEX('V_Mutlak Getiri'!Q$2:Q$25,MATCH(LARGE('V_Mutlak Getiri'!$AC$2:$AC$25,ROW()-3),'V_Mutlak Getiri'!$AC$2:$AC$25,0))</f>
        <v/>
      </c>
      <c r="S7" s="8">
        <f>INDEX('V_Mutlak Getiri'!R$2:R$25,MATCH(LARGE('V_Mutlak Getiri'!$AC$2:$AC$25,ROW()-3),'V_Mutlak Getiri'!$AC$2:$AC$25,0))</f>
        <v/>
      </c>
      <c r="T7" s="8">
        <f>INDEX('V_Mutlak Getiri'!S$2:S$25,MATCH(LARGE('V_Mutlak Getiri'!$AC$2:$AC$25,ROW()-3),'V_Mutlak Getiri'!$AC$2:$AC$25,0))</f>
        <v/>
      </c>
      <c r="U7" s="8">
        <f>INDEX('V_Mutlak Getiri'!T$2:T$25,MATCH(LARGE('V_Mutlak Getiri'!$AC$2:$AC$25,ROW()-3),'V_Mutlak Getiri'!$AC$2:$AC$25,0))</f>
        <v/>
      </c>
      <c r="V7" s="8">
        <f>INDEX('V_Mutlak Getiri'!U$2:U$25,MATCH(LARGE('V_Mutlak Getiri'!$AC$2:$AC$25,ROW()-3),'V_Mutlak Getiri'!$AC$2:$AC$25,0))</f>
        <v/>
      </c>
      <c r="W7" s="8">
        <f>INDEX('V_Mutlak Getiri'!V$2:V$25,MATCH(LARGE('V_Mutlak Getiri'!$AC$2:$AC$25,ROW()-3),'V_Mutlak Getiri'!$AC$2:$AC$25,0))</f>
        <v/>
      </c>
      <c r="X7" s="8">
        <f>INDEX('V_Mutlak Getiri'!W$2:W$25,MATCH(LARGE('V_Mutlak Getiri'!$AC$2:$AC$25,ROW()-3),'V_Mutlak Getiri'!$AC$2:$AC$25,0))</f>
        <v/>
      </c>
      <c r="Y7" s="8">
        <f>INDEX('V_Mutlak Getiri'!X$2:X$25,MATCH(LARGE('V_Mutlak Getiri'!$AC$2:$AC$25,ROW()-3),'V_Mutlak Getiri'!$AC$2:$AC$25,0))</f>
        <v/>
      </c>
      <c r="Z7" s="8">
        <f>INDEX('V_Mutlak Getiri'!Y$2:Y$25,MATCH(LARGE('V_Mutlak Getiri'!$AC$2:$AC$25,ROW()-3),'V_Mutlak Getiri'!$AC$2:$AC$25,0))</f>
        <v/>
      </c>
      <c r="AA7" s="8">
        <f>INDEX('V_Mutlak Getiri'!Z$2:Z$25,MATCH(LARGE('V_Mutlak Getiri'!$AC$2:$AC$25,ROW()-3),'V_Mutlak Getiri'!$AC$2:$AC$25,0))</f>
        <v/>
      </c>
      <c r="AB7" s="8">
        <f>INDEX('V_Mutlak Getiri'!AA$2:AA$25,MATCH(LARGE('V_Mutlak Getiri'!$AC$2:$AC$25,ROW()-3),'V_Mutlak Getiri'!$AC$2:$AC$25,0))</f>
        <v/>
      </c>
    </row>
    <row r="8">
      <c r="A8" t="n">
        <v>5</v>
      </c>
      <c r="B8" s="5">
        <f>INDEX('V_Mutlak Getiri'!A$2:A$25,MATCH(LARGE('V_Mutlak Getiri'!$AC$2:$AC$25,ROW()-3),'V_Mutlak Getiri'!$AC$2:$AC$25,0))</f>
        <v/>
      </c>
      <c r="C8" s="5">
        <f>INDEX('V_Mutlak Getiri'!B$2:B$25,MATCH(LARGE('V_Mutlak Getiri'!$AC$2:$AC$25,ROW()-3),'V_Mutlak Getiri'!$AC$2:$AC$25,0))</f>
        <v/>
      </c>
      <c r="D8" s="5">
        <f>INDEX('V_Mutlak Getiri'!C$2:C$25,MATCH(LARGE('V_Mutlak Getiri'!$AC$2:$AC$25,ROW()-3),'V_Mutlak Getiri'!$AC$2:$AC$25,0))</f>
        <v/>
      </c>
      <c r="E8" s="8">
        <f>INDEX('V_Mutlak Getiri'!D$2:D$25,MATCH(LARGE('V_Mutlak Getiri'!$AC$2:$AC$25,ROW()-3),'V_Mutlak Getiri'!$AC$2:$AC$25,0))</f>
        <v/>
      </c>
      <c r="F8" s="9">
        <f>INDEX('V_Mutlak Getiri'!E$2:E$25,MATCH(LARGE('V_Mutlak Getiri'!$AC$2:$AC$25,ROW()-3),'V_Mutlak Getiri'!$AC$2:$AC$25,0))</f>
        <v/>
      </c>
      <c r="G8" s="9">
        <f>INDEX('V_Mutlak Getiri'!F$2:F$25,MATCH(LARGE('V_Mutlak Getiri'!$AC$2:$AC$25,ROW()-3),'V_Mutlak Getiri'!$AC$2:$AC$25,0))</f>
        <v/>
      </c>
      <c r="H8" s="9">
        <f>INDEX('V_Mutlak Getiri'!G$2:G$25,MATCH(LARGE('V_Mutlak Getiri'!$AC$2:$AC$25,ROW()-3),'V_Mutlak Getiri'!$AC$2:$AC$25,0))</f>
        <v/>
      </c>
      <c r="I8" s="9">
        <f>INDEX('V_Mutlak Getiri'!H$2:H$25,MATCH(LARGE('V_Mutlak Getiri'!$AC$2:$AC$25,ROW()-3),'V_Mutlak Getiri'!$AC$2:$AC$25,0))</f>
        <v/>
      </c>
      <c r="J8" s="9">
        <f>INDEX('V_Mutlak Getiri'!I$2:I$25,MATCH(LARGE('V_Mutlak Getiri'!$AC$2:$AC$25,ROW()-3),'V_Mutlak Getiri'!$AC$2:$AC$25,0))</f>
        <v/>
      </c>
      <c r="K8" s="10">
        <f>INDEX('V_Mutlak Getiri'!J$2:J$25,MATCH(LARGE('V_Mutlak Getiri'!$AC$2:$AC$25,ROW()-3),'V_Mutlak Getiri'!$AC$2:$AC$25,0))</f>
        <v/>
      </c>
      <c r="L8" s="10">
        <f>INDEX('V_Mutlak Getiri'!K$2:K$25,MATCH(LARGE('V_Mutlak Getiri'!$AC$2:$AC$25,ROW()-3),'V_Mutlak Getiri'!$AC$2:$AC$25,0))</f>
        <v/>
      </c>
      <c r="M8" s="8">
        <f>INDEX('V_Mutlak Getiri'!L$2:L$25,MATCH(LARGE('V_Mutlak Getiri'!$AC$2:$AC$25,ROW()-3),'V_Mutlak Getiri'!$AC$2:$AC$25,0))</f>
        <v/>
      </c>
      <c r="N8" s="11">
        <f>INDEX('V_Mutlak Getiri'!M$2:M$25,MATCH(LARGE('V_Mutlak Getiri'!$AC$2:$AC$25,ROW()-3),'V_Mutlak Getiri'!$AC$2:$AC$25,0))</f>
        <v/>
      </c>
      <c r="O8" s="11">
        <f>INDEX('V_Mutlak Getiri'!N$2:N$25,MATCH(LARGE('V_Mutlak Getiri'!$AC$2:$AC$25,ROW()-3),'V_Mutlak Getiri'!$AC$2:$AC$25,0))</f>
        <v/>
      </c>
      <c r="P8" s="8">
        <f>INDEX('V_Mutlak Getiri'!O$2:O$25,MATCH(LARGE('V_Mutlak Getiri'!$AC$2:$AC$25,ROW()-3),'V_Mutlak Getiri'!$AC$2:$AC$25,0))</f>
        <v/>
      </c>
      <c r="Q8" s="9">
        <f>INDEX('V_Mutlak Getiri'!P$2:P$25,MATCH(LARGE('V_Mutlak Getiri'!$AC$2:$AC$25,ROW()-3),'V_Mutlak Getiri'!$AC$2:$AC$25,0))</f>
        <v/>
      </c>
      <c r="R8" s="5">
        <f>INDEX('V_Mutlak Getiri'!Q$2:Q$25,MATCH(LARGE('V_Mutlak Getiri'!$AC$2:$AC$25,ROW()-3),'V_Mutlak Getiri'!$AC$2:$AC$25,0))</f>
        <v/>
      </c>
      <c r="S8" s="8">
        <f>INDEX('V_Mutlak Getiri'!R$2:R$25,MATCH(LARGE('V_Mutlak Getiri'!$AC$2:$AC$25,ROW()-3),'V_Mutlak Getiri'!$AC$2:$AC$25,0))</f>
        <v/>
      </c>
      <c r="T8" s="8">
        <f>INDEX('V_Mutlak Getiri'!S$2:S$25,MATCH(LARGE('V_Mutlak Getiri'!$AC$2:$AC$25,ROW()-3),'V_Mutlak Getiri'!$AC$2:$AC$25,0))</f>
        <v/>
      </c>
      <c r="U8" s="8">
        <f>INDEX('V_Mutlak Getiri'!T$2:T$25,MATCH(LARGE('V_Mutlak Getiri'!$AC$2:$AC$25,ROW()-3),'V_Mutlak Getiri'!$AC$2:$AC$25,0))</f>
        <v/>
      </c>
      <c r="V8" s="8">
        <f>INDEX('V_Mutlak Getiri'!U$2:U$25,MATCH(LARGE('V_Mutlak Getiri'!$AC$2:$AC$25,ROW()-3),'V_Mutlak Getiri'!$AC$2:$AC$25,0))</f>
        <v/>
      </c>
      <c r="W8" s="8">
        <f>INDEX('V_Mutlak Getiri'!V$2:V$25,MATCH(LARGE('V_Mutlak Getiri'!$AC$2:$AC$25,ROW()-3),'V_Mutlak Getiri'!$AC$2:$AC$25,0))</f>
        <v/>
      </c>
      <c r="X8" s="8">
        <f>INDEX('V_Mutlak Getiri'!W$2:W$25,MATCH(LARGE('V_Mutlak Getiri'!$AC$2:$AC$25,ROW()-3),'V_Mutlak Getiri'!$AC$2:$AC$25,0))</f>
        <v/>
      </c>
      <c r="Y8" s="8">
        <f>INDEX('V_Mutlak Getiri'!X$2:X$25,MATCH(LARGE('V_Mutlak Getiri'!$AC$2:$AC$25,ROW()-3),'V_Mutlak Getiri'!$AC$2:$AC$25,0))</f>
        <v/>
      </c>
      <c r="Z8" s="8">
        <f>INDEX('V_Mutlak Getiri'!Y$2:Y$25,MATCH(LARGE('V_Mutlak Getiri'!$AC$2:$AC$25,ROW()-3),'V_Mutlak Getiri'!$AC$2:$AC$25,0))</f>
        <v/>
      </c>
      <c r="AA8" s="8">
        <f>INDEX('V_Mutlak Getiri'!Z$2:Z$25,MATCH(LARGE('V_Mutlak Getiri'!$AC$2:$AC$25,ROW()-3),'V_Mutlak Getiri'!$AC$2:$AC$25,0))</f>
        <v/>
      </c>
      <c r="AB8" s="8">
        <f>INDEX('V_Mutlak Getiri'!AA$2:AA$25,MATCH(LARGE('V_Mutlak Getiri'!$AC$2:$AC$25,ROW()-3),'V_Mutlak Getiri'!$AC$2:$AC$25,0))</f>
        <v/>
      </c>
    </row>
    <row r="9">
      <c r="A9" t="n">
        <v>6</v>
      </c>
      <c r="B9" s="5">
        <f>INDEX('V_Mutlak Getiri'!A$2:A$25,MATCH(LARGE('V_Mutlak Getiri'!$AC$2:$AC$25,ROW()-3),'V_Mutlak Getiri'!$AC$2:$AC$25,0))</f>
        <v/>
      </c>
      <c r="C9" s="5">
        <f>INDEX('V_Mutlak Getiri'!B$2:B$25,MATCH(LARGE('V_Mutlak Getiri'!$AC$2:$AC$25,ROW()-3),'V_Mutlak Getiri'!$AC$2:$AC$25,0))</f>
        <v/>
      </c>
      <c r="D9" s="5">
        <f>INDEX('V_Mutlak Getiri'!C$2:C$25,MATCH(LARGE('V_Mutlak Getiri'!$AC$2:$AC$25,ROW()-3),'V_Mutlak Getiri'!$AC$2:$AC$25,0))</f>
        <v/>
      </c>
      <c r="E9" s="8">
        <f>INDEX('V_Mutlak Getiri'!D$2:D$25,MATCH(LARGE('V_Mutlak Getiri'!$AC$2:$AC$25,ROW()-3),'V_Mutlak Getiri'!$AC$2:$AC$25,0))</f>
        <v/>
      </c>
      <c r="F9" s="9">
        <f>INDEX('V_Mutlak Getiri'!E$2:E$25,MATCH(LARGE('V_Mutlak Getiri'!$AC$2:$AC$25,ROW()-3),'V_Mutlak Getiri'!$AC$2:$AC$25,0))</f>
        <v/>
      </c>
      <c r="G9" s="9">
        <f>INDEX('V_Mutlak Getiri'!F$2:F$25,MATCH(LARGE('V_Mutlak Getiri'!$AC$2:$AC$25,ROW()-3),'V_Mutlak Getiri'!$AC$2:$AC$25,0))</f>
        <v/>
      </c>
      <c r="H9" s="9">
        <f>INDEX('V_Mutlak Getiri'!G$2:G$25,MATCH(LARGE('V_Mutlak Getiri'!$AC$2:$AC$25,ROW()-3),'V_Mutlak Getiri'!$AC$2:$AC$25,0))</f>
        <v/>
      </c>
      <c r="I9" s="9">
        <f>INDEX('V_Mutlak Getiri'!H$2:H$25,MATCH(LARGE('V_Mutlak Getiri'!$AC$2:$AC$25,ROW()-3),'V_Mutlak Getiri'!$AC$2:$AC$25,0))</f>
        <v/>
      </c>
      <c r="J9" s="9">
        <f>INDEX('V_Mutlak Getiri'!I$2:I$25,MATCH(LARGE('V_Mutlak Getiri'!$AC$2:$AC$25,ROW()-3),'V_Mutlak Getiri'!$AC$2:$AC$25,0))</f>
        <v/>
      </c>
      <c r="K9" s="10">
        <f>INDEX('V_Mutlak Getiri'!J$2:J$25,MATCH(LARGE('V_Mutlak Getiri'!$AC$2:$AC$25,ROW()-3),'V_Mutlak Getiri'!$AC$2:$AC$25,0))</f>
        <v/>
      </c>
      <c r="L9" s="10">
        <f>INDEX('V_Mutlak Getiri'!K$2:K$25,MATCH(LARGE('V_Mutlak Getiri'!$AC$2:$AC$25,ROW()-3),'V_Mutlak Getiri'!$AC$2:$AC$25,0))</f>
        <v/>
      </c>
      <c r="M9" s="8">
        <f>INDEX('V_Mutlak Getiri'!L$2:L$25,MATCH(LARGE('V_Mutlak Getiri'!$AC$2:$AC$25,ROW()-3),'V_Mutlak Getiri'!$AC$2:$AC$25,0))</f>
        <v/>
      </c>
      <c r="N9" s="11">
        <f>INDEX('V_Mutlak Getiri'!M$2:M$25,MATCH(LARGE('V_Mutlak Getiri'!$AC$2:$AC$25,ROW()-3),'V_Mutlak Getiri'!$AC$2:$AC$25,0))</f>
        <v/>
      </c>
      <c r="O9" s="11">
        <f>INDEX('V_Mutlak Getiri'!N$2:N$25,MATCH(LARGE('V_Mutlak Getiri'!$AC$2:$AC$25,ROW()-3),'V_Mutlak Getiri'!$AC$2:$AC$25,0))</f>
        <v/>
      </c>
      <c r="P9" s="8">
        <f>INDEX('V_Mutlak Getiri'!O$2:O$25,MATCH(LARGE('V_Mutlak Getiri'!$AC$2:$AC$25,ROW()-3),'V_Mutlak Getiri'!$AC$2:$AC$25,0))</f>
        <v/>
      </c>
      <c r="Q9" s="9">
        <f>INDEX('V_Mutlak Getiri'!P$2:P$25,MATCH(LARGE('V_Mutlak Getiri'!$AC$2:$AC$25,ROW()-3),'V_Mutlak Getiri'!$AC$2:$AC$25,0))</f>
        <v/>
      </c>
      <c r="R9" s="5">
        <f>INDEX('V_Mutlak Getiri'!Q$2:Q$25,MATCH(LARGE('V_Mutlak Getiri'!$AC$2:$AC$25,ROW()-3),'V_Mutlak Getiri'!$AC$2:$AC$25,0))</f>
        <v/>
      </c>
      <c r="S9" s="8">
        <f>INDEX('V_Mutlak Getiri'!R$2:R$25,MATCH(LARGE('V_Mutlak Getiri'!$AC$2:$AC$25,ROW()-3),'V_Mutlak Getiri'!$AC$2:$AC$25,0))</f>
        <v/>
      </c>
      <c r="T9" s="8">
        <f>INDEX('V_Mutlak Getiri'!S$2:S$25,MATCH(LARGE('V_Mutlak Getiri'!$AC$2:$AC$25,ROW()-3),'V_Mutlak Getiri'!$AC$2:$AC$25,0))</f>
        <v/>
      </c>
      <c r="U9" s="8">
        <f>INDEX('V_Mutlak Getiri'!T$2:T$25,MATCH(LARGE('V_Mutlak Getiri'!$AC$2:$AC$25,ROW()-3),'V_Mutlak Getiri'!$AC$2:$AC$25,0))</f>
        <v/>
      </c>
      <c r="V9" s="8">
        <f>INDEX('V_Mutlak Getiri'!U$2:U$25,MATCH(LARGE('V_Mutlak Getiri'!$AC$2:$AC$25,ROW()-3),'V_Mutlak Getiri'!$AC$2:$AC$25,0))</f>
        <v/>
      </c>
      <c r="W9" s="8">
        <f>INDEX('V_Mutlak Getiri'!V$2:V$25,MATCH(LARGE('V_Mutlak Getiri'!$AC$2:$AC$25,ROW()-3),'V_Mutlak Getiri'!$AC$2:$AC$25,0))</f>
        <v/>
      </c>
      <c r="X9" s="8">
        <f>INDEX('V_Mutlak Getiri'!W$2:W$25,MATCH(LARGE('V_Mutlak Getiri'!$AC$2:$AC$25,ROW()-3),'V_Mutlak Getiri'!$AC$2:$AC$25,0))</f>
        <v/>
      </c>
      <c r="Y9" s="8">
        <f>INDEX('V_Mutlak Getiri'!X$2:X$25,MATCH(LARGE('V_Mutlak Getiri'!$AC$2:$AC$25,ROW()-3),'V_Mutlak Getiri'!$AC$2:$AC$25,0))</f>
        <v/>
      </c>
      <c r="Z9" s="8">
        <f>INDEX('V_Mutlak Getiri'!Y$2:Y$25,MATCH(LARGE('V_Mutlak Getiri'!$AC$2:$AC$25,ROW()-3),'V_Mutlak Getiri'!$AC$2:$AC$25,0))</f>
        <v/>
      </c>
      <c r="AA9" s="8">
        <f>INDEX('V_Mutlak Getiri'!Z$2:Z$25,MATCH(LARGE('V_Mutlak Getiri'!$AC$2:$AC$25,ROW()-3),'V_Mutlak Getiri'!$AC$2:$AC$25,0))</f>
        <v/>
      </c>
      <c r="AB9" s="8">
        <f>INDEX('V_Mutlak Getiri'!AA$2:AA$25,MATCH(LARGE('V_Mutlak Getiri'!$AC$2:$AC$25,ROW()-3),'V_Mutlak Getiri'!$AC$2:$AC$25,0))</f>
        <v/>
      </c>
    </row>
    <row r="10">
      <c r="A10" t="n">
        <v>7</v>
      </c>
      <c r="B10" s="5">
        <f>INDEX('V_Mutlak Getiri'!A$2:A$25,MATCH(LARGE('V_Mutlak Getiri'!$AC$2:$AC$25,ROW()-3),'V_Mutlak Getiri'!$AC$2:$AC$25,0))</f>
        <v/>
      </c>
      <c r="C10" s="5">
        <f>INDEX('V_Mutlak Getiri'!B$2:B$25,MATCH(LARGE('V_Mutlak Getiri'!$AC$2:$AC$25,ROW()-3),'V_Mutlak Getiri'!$AC$2:$AC$25,0))</f>
        <v/>
      </c>
      <c r="D10" s="5">
        <f>INDEX('V_Mutlak Getiri'!C$2:C$25,MATCH(LARGE('V_Mutlak Getiri'!$AC$2:$AC$25,ROW()-3),'V_Mutlak Getiri'!$AC$2:$AC$25,0))</f>
        <v/>
      </c>
      <c r="E10" s="8">
        <f>INDEX('V_Mutlak Getiri'!D$2:D$25,MATCH(LARGE('V_Mutlak Getiri'!$AC$2:$AC$25,ROW()-3),'V_Mutlak Getiri'!$AC$2:$AC$25,0))</f>
        <v/>
      </c>
      <c r="F10" s="9">
        <f>INDEX('V_Mutlak Getiri'!E$2:E$25,MATCH(LARGE('V_Mutlak Getiri'!$AC$2:$AC$25,ROW()-3),'V_Mutlak Getiri'!$AC$2:$AC$25,0))</f>
        <v/>
      </c>
      <c r="G10" s="9">
        <f>INDEX('V_Mutlak Getiri'!F$2:F$25,MATCH(LARGE('V_Mutlak Getiri'!$AC$2:$AC$25,ROW()-3),'V_Mutlak Getiri'!$AC$2:$AC$25,0))</f>
        <v/>
      </c>
      <c r="H10" s="9">
        <f>INDEX('V_Mutlak Getiri'!G$2:G$25,MATCH(LARGE('V_Mutlak Getiri'!$AC$2:$AC$25,ROW()-3),'V_Mutlak Getiri'!$AC$2:$AC$25,0))</f>
        <v/>
      </c>
      <c r="I10" s="9">
        <f>INDEX('V_Mutlak Getiri'!H$2:H$25,MATCH(LARGE('V_Mutlak Getiri'!$AC$2:$AC$25,ROW()-3),'V_Mutlak Getiri'!$AC$2:$AC$25,0))</f>
        <v/>
      </c>
      <c r="J10" s="9">
        <f>INDEX('V_Mutlak Getiri'!I$2:I$25,MATCH(LARGE('V_Mutlak Getiri'!$AC$2:$AC$25,ROW()-3),'V_Mutlak Getiri'!$AC$2:$AC$25,0))</f>
        <v/>
      </c>
      <c r="K10" s="10">
        <f>INDEX('V_Mutlak Getiri'!J$2:J$25,MATCH(LARGE('V_Mutlak Getiri'!$AC$2:$AC$25,ROW()-3),'V_Mutlak Getiri'!$AC$2:$AC$25,0))</f>
        <v/>
      </c>
      <c r="L10" s="10">
        <f>INDEX('V_Mutlak Getiri'!K$2:K$25,MATCH(LARGE('V_Mutlak Getiri'!$AC$2:$AC$25,ROW()-3),'V_Mutlak Getiri'!$AC$2:$AC$25,0))</f>
        <v/>
      </c>
      <c r="M10" s="8">
        <f>INDEX('V_Mutlak Getiri'!L$2:L$25,MATCH(LARGE('V_Mutlak Getiri'!$AC$2:$AC$25,ROW()-3),'V_Mutlak Getiri'!$AC$2:$AC$25,0))</f>
        <v/>
      </c>
      <c r="N10" s="11">
        <f>INDEX('V_Mutlak Getiri'!M$2:M$25,MATCH(LARGE('V_Mutlak Getiri'!$AC$2:$AC$25,ROW()-3),'V_Mutlak Getiri'!$AC$2:$AC$25,0))</f>
        <v/>
      </c>
      <c r="O10" s="11">
        <f>INDEX('V_Mutlak Getiri'!N$2:N$25,MATCH(LARGE('V_Mutlak Getiri'!$AC$2:$AC$25,ROW()-3),'V_Mutlak Getiri'!$AC$2:$AC$25,0))</f>
        <v/>
      </c>
      <c r="P10" s="8">
        <f>INDEX('V_Mutlak Getiri'!O$2:O$25,MATCH(LARGE('V_Mutlak Getiri'!$AC$2:$AC$25,ROW()-3),'V_Mutlak Getiri'!$AC$2:$AC$25,0))</f>
        <v/>
      </c>
      <c r="Q10" s="9">
        <f>INDEX('V_Mutlak Getiri'!P$2:P$25,MATCH(LARGE('V_Mutlak Getiri'!$AC$2:$AC$25,ROW()-3),'V_Mutlak Getiri'!$AC$2:$AC$25,0))</f>
        <v/>
      </c>
      <c r="R10" s="5">
        <f>INDEX('V_Mutlak Getiri'!Q$2:Q$25,MATCH(LARGE('V_Mutlak Getiri'!$AC$2:$AC$25,ROW()-3),'V_Mutlak Getiri'!$AC$2:$AC$25,0))</f>
        <v/>
      </c>
      <c r="S10" s="8">
        <f>INDEX('V_Mutlak Getiri'!R$2:R$25,MATCH(LARGE('V_Mutlak Getiri'!$AC$2:$AC$25,ROW()-3),'V_Mutlak Getiri'!$AC$2:$AC$25,0))</f>
        <v/>
      </c>
      <c r="T10" s="8">
        <f>INDEX('V_Mutlak Getiri'!S$2:S$25,MATCH(LARGE('V_Mutlak Getiri'!$AC$2:$AC$25,ROW()-3),'V_Mutlak Getiri'!$AC$2:$AC$25,0))</f>
        <v/>
      </c>
      <c r="U10" s="8">
        <f>INDEX('V_Mutlak Getiri'!T$2:T$25,MATCH(LARGE('V_Mutlak Getiri'!$AC$2:$AC$25,ROW()-3),'V_Mutlak Getiri'!$AC$2:$AC$25,0))</f>
        <v/>
      </c>
      <c r="V10" s="8">
        <f>INDEX('V_Mutlak Getiri'!U$2:U$25,MATCH(LARGE('V_Mutlak Getiri'!$AC$2:$AC$25,ROW()-3),'V_Mutlak Getiri'!$AC$2:$AC$25,0))</f>
        <v/>
      </c>
      <c r="W10" s="8">
        <f>INDEX('V_Mutlak Getiri'!V$2:V$25,MATCH(LARGE('V_Mutlak Getiri'!$AC$2:$AC$25,ROW()-3),'V_Mutlak Getiri'!$AC$2:$AC$25,0))</f>
        <v/>
      </c>
      <c r="X10" s="8">
        <f>INDEX('V_Mutlak Getiri'!W$2:W$25,MATCH(LARGE('V_Mutlak Getiri'!$AC$2:$AC$25,ROW()-3),'V_Mutlak Getiri'!$AC$2:$AC$25,0))</f>
        <v/>
      </c>
      <c r="Y10" s="8">
        <f>INDEX('V_Mutlak Getiri'!X$2:X$25,MATCH(LARGE('V_Mutlak Getiri'!$AC$2:$AC$25,ROW()-3),'V_Mutlak Getiri'!$AC$2:$AC$25,0))</f>
        <v/>
      </c>
      <c r="Z10" s="8">
        <f>INDEX('V_Mutlak Getiri'!Y$2:Y$25,MATCH(LARGE('V_Mutlak Getiri'!$AC$2:$AC$25,ROW()-3),'V_Mutlak Getiri'!$AC$2:$AC$25,0))</f>
        <v/>
      </c>
      <c r="AA10" s="8">
        <f>INDEX('V_Mutlak Getiri'!Z$2:Z$25,MATCH(LARGE('V_Mutlak Getiri'!$AC$2:$AC$25,ROW()-3),'V_Mutlak Getiri'!$AC$2:$AC$25,0))</f>
        <v/>
      </c>
      <c r="AB10" s="8">
        <f>INDEX('V_Mutlak Getiri'!AA$2:AA$25,MATCH(LARGE('V_Mutlak Getiri'!$AC$2:$AC$25,ROW()-3),'V_Mutlak Getiri'!$AC$2:$AC$25,0))</f>
        <v/>
      </c>
    </row>
    <row r="11">
      <c r="A11" t="n">
        <v>8</v>
      </c>
      <c r="B11" s="5">
        <f>INDEX('V_Mutlak Getiri'!A$2:A$25,MATCH(LARGE('V_Mutlak Getiri'!$AC$2:$AC$25,ROW()-3),'V_Mutlak Getiri'!$AC$2:$AC$25,0))</f>
        <v/>
      </c>
      <c r="C11" s="5">
        <f>INDEX('V_Mutlak Getiri'!B$2:B$25,MATCH(LARGE('V_Mutlak Getiri'!$AC$2:$AC$25,ROW()-3),'V_Mutlak Getiri'!$AC$2:$AC$25,0))</f>
        <v/>
      </c>
      <c r="D11" s="5">
        <f>INDEX('V_Mutlak Getiri'!C$2:C$25,MATCH(LARGE('V_Mutlak Getiri'!$AC$2:$AC$25,ROW()-3),'V_Mutlak Getiri'!$AC$2:$AC$25,0))</f>
        <v/>
      </c>
      <c r="E11" s="8">
        <f>INDEX('V_Mutlak Getiri'!D$2:D$25,MATCH(LARGE('V_Mutlak Getiri'!$AC$2:$AC$25,ROW()-3),'V_Mutlak Getiri'!$AC$2:$AC$25,0))</f>
        <v/>
      </c>
      <c r="F11" s="9">
        <f>INDEX('V_Mutlak Getiri'!E$2:E$25,MATCH(LARGE('V_Mutlak Getiri'!$AC$2:$AC$25,ROW()-3),'V_Mutlak Getiri'!$AC$2:$AC$25,0))</f>
        <v/>
      </c>
      <c r="G11" s="9">
        <f>INDEX('V_Mutlak Getiri'!F$2:F$25,MATCH(LARGE('V_Mutlak Getiri'!$AC$2:$AC$25,ROW()-3),'V_Mutlak Getiri'!$AC$2:$AC$25,0))</f>
        <v/>
      </c>
      <c r="H11" s="9">
        <f>INDEX('V_Mutlak Getiri'!G$2:G$25,MATCH(LARGE('V_Mutlak Getiri'!$AC$2:$AC$25,ROW()-3),'V_Mutlak Getiri'!$AC$2:$AC$25,0))</f>
        <v/>
      </c>
      <c r="I11" s="9">
        <f>INDEX('V_Mutlak Getiri'!H$2:H$25,MATCH(LARGE('V_Mutlak Getiri'!$AC$2:$AC$25,ROW()-3),'V_Mutlak Getiri'!$AC$2:$AC$25,0))</f>
        <v/>
      </c>
      <c r="J11" s="9">
        <f>INDEX('V_Mutlak Getiri'!I$2:I$25,MATCH(LARGE('V_Mutlak Getiri'!$AC$2:$AC$25,ROW()-3),'V_Mutlak Getiri'!$AC$2:$AC$25,0))</f>
        <v/>
      </c>
      <c r="K11" s="10">
        <f>INDEX('V_Mutlak Getiri'!J$2:J$25,MATCH(LARGE('V_Mutlak Getiri'!$AC$2:$AC$25,ROW()-3),'V_Mutlak Getiri'!$AC$2:$AC$25,0))</f>
        <v/>
      </c>
      <c r="L11" s="10">
        <f>INDEX('V_Mutlak Getiri'!K$2:K$25,MATCH(LARGE('V_Mutlak Getiri'!$AC$2:$AC$25,ROW()-3),'V_Mutlak Getiri'!$AC$2:$AC$25,0))</f>
        <v/>
      </c>
      <c r="M11" s="8">
        <f>INDEX('V_Mutlak Getiri'!L$2:L$25,MATCH(LARGE('V_Mutlak Getiri'!$AC$2:$AC$25,ROW()-3),'V_Mutlak Getiri'!$AC$2:$AC$25,0))</f>
        <v/>
      </c>
      <c r="N11" s="11">
        <f>INDEX('V_Mutlak Getiri'!M$2:M$25,MATCH(LARGE('V_Mutlak Getiri'!$AC$2:$AC$25,ROW()-3),'V_Mutlak Getiri'!$AC$2:$AC$25,0))</f>
        <v/>
      </c>
      <c r="O11" s="11">
        <f>INDEX('V_Mutlak Getiri'!N$2:N$25,MATCH(LARGE('V_Mutlak Getiri'!$AC$2:$AC$25,ROW()-3),'V_Mutlak Getiri'!$AC$2:$AC$25,0))</f>
        <v/>
      </c>
      <c r="P11" s="8">
        <f>INDEX('V_Mutlak Getiri'!O$2:O$25,MATCH(LARGE('V_Mutlak Getiri'!$AC$2:$AC$25,ROW()-3),'V_Mutlak Getiri'!$AC$2:$AC$25,0))</f>
        <v/>
      </c>
      <c r="Q11" s="9">
        <f>INDEX('V_Mutlak Getiri'!P$2:P$25,MATCH(LARGE('V_Mutlak Getiri'!$AC$2:$AC$25,ROW()-3),'V_Mutlak Getiri'!$AC$2:$AC$25,0))</f>
        <v/>
      </c>
      <c r="R11" s="5">
        <f>INDEX('V_Mutlak Getiri'!Q$2:Q$25,MATCH(LARGE('V_Mutlak Getiri'!$AC$2:$AC$25,ROW()-3),'V_Mutlak Getiri'!$AC$2:$AC$25,0))</f>
        <v/>
      </c>
      <c r="S11" s="8">
        <f>INDEX('V_Mutlak Getiri'!R$2:R$25,MATCH(LARGE('V_Mutlak Getiri'!$AC$2:$AC$25,ROW()-3),'V_Mutlak Getiri'!$AC$2:$AC$25,0))</f>
        <v/>
      </c>
      <c r="T11" s="8">
        <f>INDEX('V_Mutlak Getiri'!S$2:S$25,MATCH(LARGE('V_Mutlak Getiri'!$AC$2:$AC$25,ROW()-3),'V_Mutlak Getiri'!$AC$2:$AC$25,0))</f>
        <v/>
      </c>
      <c r="U11" s="8">
        <f>INDEX('V_Mutlak Getiri'!T$2:T$25,MATCH(LARGE('V_Mutlak Getiri'!$AC$2:$AC$25,ROW()-3),'V_Mutlak Getiri'!$AC$2:$AC$25,0))</f>
        <v/>
      </c>
      <c r="V11" s="8">
        <f>INDEX('V_Mutlak Getiri'!U$2:U$25,MATCH(LARGE('V_Mutlak Getiri'!$AC$2:$AC$25,ROW()-3),'V_Mutlak Getiri'!$AC$2:$AC$25,0))</f>
        <v/>
      </c>
      <c r="W11" s="8">
        <f>INDEX('V_Mutlak Getiri'!V$2:V$25,MATCH(LARGE('V_Mutlak Getiri'!$AC$2:$AC$25,ROW()-3),'V_Mutlak Getiri'!$AC$2:$AC$25,0))</f>
        <v/>
      </c>
      <c r="X11" s="8">
        <f>INDEX('V_Mutlak Getiri'!W$2:W$25,MATCH(LARGE('V_Mutlak Getiri'!$AC$2:$AC$25,ROW()-3),'V_Mutlak Getiri'!$AC$2:$AC$25,0))</f>
        <v/>
      </c>
      <c r="Y11" s="8">
        <f>INDEX('V_Mutlak Getiri'!X$2:X$25,MATCH(LARGE('V_Mutlak Getiri'!$AC$2:$AC$25,ROW()-3),'V_Mutlak Getiri'!$AC$2:$AC$25,0))</f>
        <v/>
      </c>
      <c r="Z11" s="8">
        <f>INDEX('V_Mutlak Getiri'!Y$2:Y$25,MATCH(LARGE('V_Mutlak Getiri'!$AC$2:$AC$25,ROW()-3),'V_Mutlak Getiri'!$AC$2:$AC$25,0))</f>
        <v/>
      </c>
      <c r="AA11" s="8">
        <f>INDEX('V_Mutlak Getiri'!Z$2:Z$25,MATCH(LARGE('V_Mutlak Getiri'!$AC$2:$AC$25,ROW()-3),'V_Mutlak Getiri'!$AC$2:$AC$25,0))</f>
        <v/>
      </c>
      <c r="AB11" s="8">
        <f>INDEX('V_Mutlak Getiri'!AA$2:AA$25,MATCH(LARGE('V_Mutlak Getiri'!$AC$2:$AC$25,ROW()-3),'V_Mutlak Getiri'!$AC$2:$AC$25,0))</f>
        <v/>
      </c>
    </row>
    <row r="12">
      <c r="A12" t="n">
        <v>9</v>
      </c>
      <c r="B12" s="5">
        <f>INDEX('V_Mutlak Getiri'!A$2:A$25,MATCH(LARGE('V_Mutlak Getiri'!$AC$2:$AC$25,ROW()-3),'V_Mutlak Getiri'!$AC$2:$AC$25,0))</f>
        <v/>
      </c>
      <c r="C12" s="5">
        <f>INDEX('V_Mutlak Getiri'!B$2:B$25,MATCH(LARGE('V_Mutlak Getiri'!$AC$2:$AC$25,ROW()-3),'V_Mutlak Getiri'!$AC$2:$AC$25,0))</f>
        <v/>
      </c>
      <c r="D12" s="5">
        <f>INDEX('V_Mutlak Getiri'!C$2:C$25,MATCH(LARGE('V_Mutlak Getiri'!$AC$2:$AC$25,ROW()-3),'V_Mutlak Getiri'!$AC$2:$AC$25,0))</f>
        <v/>
      </c>
      <c r="E12" s="8">
        <f>INDEX('V_Mutlak Getiri'!D$2:D$25,MATCH(LARGE('V_Mutlak Getiri'!$AC$2:$AC$25,ROW()-3),'V_Mutlak Getiri'!$AC$2:$AC$25,0))</f>
        <v/>
      </c>
      <c r="F12" s="9">
        <f>INDEX('V_Mutlak Getiri'!E$2:E$25,MATCH(LARGE('V_Mutlak Getiri'!$AC$2:$AC$25,ROW()-3),'V_Mutlak Getiri'!$AC$2:$AC$25,0))</f>
        <v/>
      </c>
      <c r="G12" s="9">
        <f>INDEX('V_Mutlak Getiri'!F$2:F$25,MATCH(LARGE('V_Mutlak Getiri'!$AC$2:$AC$25,ROW()-3),'V_Mutlak Getiri'!$AC$2:$AC$25,0))</f>
        <v/>
      </c>
      <c r="H12" s="9">
        <f>INDEX('V_Mutlak Getiri'!G$2:G$25,MATCH(LARGE('V_Mutlak Getiri'!$AC$2:$AC$25,ROW()-3),'V_Mutlak Getiri'!$AC$2:$AC$25,0))</f>
        <v/>
      </c>
      <c r="I12" s="9">
        <f>INDEX('V_Mutlak Getiri'!H$2:H$25,MATCH(LARGE('V_Mutlak Getiri'!$AC$2:$AC$25,ROW()-3),'V_Mutlak Getiri'!$AC$2:$AC$25,0))</f>
        <v/>
      </c>
      <c r="J12" s="9">
        <f>INDEX('V_Mutlak Getiri'!I$2:I$25,MATCH(LARGE('V_Mutlak Getiri'!$AC$2:$AC$25,ROW()-3),'V_Mutlak Getiri'!$AC$2:$AC$25,0))</f>
        <v/>
      </c>
      <c r="K12" s="10">
        <f>INDEX('V_Mutlak Getiri'!J$2:J$25,MATCH(LARGE('V_Mutlak Getiri'!$AC$2:$AC$25,ROW()-3),'V_Mutlak Getiri'!$AC$2:$AC$25,0))</f>
        <v/>
      </c>
      <c r="L12" s="10">
        <f>INDEX('V_Mutlak Getiri'!K$2:K$25,MATCH(LARGE('V_Mutlak Getiri'!$AC$2:$AC$25,ROW()-3),'V_Mutlak Getiri'!$AC$2:$AC$25,0))</f>
        <v/>
      </c>
      <c r="M12" s="8">
        <f>INDEX('V_Mutlak Getiri'!L$2:L$25,MATCH(LARGE('V_Mutlak Getiri'!$AC$2:$AC$25,ROW()-3),'V_Mutlak Getiri'!$AC$2:$AC$25,0))</f>
        <v/>
      </c>
      <c r="N12" s="11">
        <f>INDEX('V_Mutlak Getiri'!M$2:M$25,MATCH(LARGE('V_Mutlak Getiri'!$AC$2:$AC$25,ROW()-3),'V_Mutlak Getiri'!$AC$2:$AC$25,0))</f>
        <v/>
      </c>
      <c r="O12" s="11">
        <f>INDEX('V_Mutlak Getiri'!N$2:N$25,MATCH(LARGE('V_Mutlak Getiri'!$AC$2:$AC$25,ROW()-3),'V_Mutlak Getiri'!$AC$2:$AC$25,0))</f>
        <v/>
      </c>
      <c r="P12" s="8">
        <f>INDEX('V_Mutlak Getiri'!O$2:O$25,MATCH(LARGE('V_Mutlak Getiri'!$AC$2:$AC$25,ROW()-3),'V_Mutlak Getiri'!$AC$2:$AC$25,0))</f>
        <v/>
      </c>
      <c r="Q12" s="9">
        <f>INDEX('V_Mutlak Getiri'!P$2:P$25,MATCH(LARGE('V_Mutlak Getiri'!$AC$2:$AC$25,ROW()-3),'V_Mutlak Getiri'!$AC$2:$AC$25,0))</f>
        <v/>
      </c>
      <c r="R12" s="5">
        <f>INDEX('V_Mutlak Getiri'!Q$2:Q$25,MATCH(LARGE('V_Mutlak Getiri'!$AC$2:$AC$25,ROW()-3),'V_Mutlak Getiri'!$AC$2:$AC$25,0))</f>
        <v/>
      </c>
      <c r="S12" s="8">
        <f>INDEX('V_Mutlak Getiri'!R$2:R$25,MATCH(LARGE('V_Mutlak Getiri'!$AC$2:$AC$25,ROW()-3),'V_Mutlak Getiri'!$AC$2:$AC$25,0))</f>
        <v/>
      </c>
      <c r="T12" s="8">
        <f>INDEX('V_Mutlak Getiri'!S$2:S$25,MATCH(LARGE('V_Mutlak Getiri'!$AC$2:$AC$25,ROW()-3),'V_Mutlak Getiri'!$AC$2:$AC$25,0))</f>
        <v/>
      </c>
      <c r="U12" s="8">
        <f>INDEX('V_Mutlak Getiri'!T$2:T$25,MATCH(LARGE('V_Mutlak Getiri'!$AC$2:$AC$25,ROW()-3),'V_Mutlak Getiri'!$AC$2:$AC$25,0))</f>
        <v/>
      </c>
      <c r="V12" s="8">
        <f>INDEX('V_Mutlak Getiri'!U$2:U$25,MATCH(LARGE('V_Mutlak Getiri'!$AC$2:$AC$25,ROW()-3),'V_Mutlak Getiri'!$AC$2:$AC$25,0))</f>
        <v/>
      </c>
      <c r="W12" s="8">
        <f>INDEX('V_Mutlak Getiri'!V$2:V$25,MATCH(LARGE('V_Mutlak Getiri'!$AC$2:$AC$25,ROW()-3),'V_Mutlak Getiri'!$AC$2:$AC$25,0))</f>
        <v/>
      </c>
      <c r="X12" s="8">
        <f>INDEX('V_Mutlak Getiri'!W$2:W$25,MATCH(LARGE('V_Mutlak Getiri'!$AC$2:$AC$25,ROW()-3),'V_Mutlak Getiri'!$AC$2:$AC$25,0))</f>
        <v/>
      </c>
      <c r="Y12" s="8">
        <f>INDEX('V_Mutlak Getiri'!X$2:X$25,MATCH(LARGE('V_Mutlak Getiri'!$AC$2:$AC$25,ROW()-3),'V_Mutlak Getiri'!$AC$2:$AC$25,0))</f>
        <v/>
      </c>
      <c r="Z12" s="8">
        <f>INDEX('V_Mutlak Getiri'!Y$2:Y$25,MATCH(LARGE('V_Mutlak Getiri'!$AC$2:$AC$25,ROW()-3),'V_Mutlak Getiri'!$AC$2:$AC$25,0))</f>
        <v/>
      </c>
      <c r="AA12" s="8">
        <f>INDEX('V_Mutlak Getiri'!Z$2:Z$25,MATCH(LARGE('V_Mutlak Getiri'!$AC$2:$AC$25,ROW()-3),'V_Mutlak Getiri'!$AC$2:$AC$25,0))</f>
        <v/>
      </c>
      <c r="AB12" s="8">
        <f>INDEX('V_Mutlak Getiri'!AA$2:AA$25,MATCH(LARGE('V_Mutlak Getiri'!$AC$2:$AC$25,ROW()-3),'V_Mutlak Getiri'!$AC$2:$AC$25,0))</f>
        <v/>
      </c>
    </row>
    <row r="13">
      <c r="A13" t="n">
        <v>10</v>
      </c>
      <c r="B13" s="5">
        <f>INDEX('V_Mutlak Getiri'!A$2:A$25,MATCH(LARGE('V_Mutlak Getiri'!$AC$2:$AC$25,ROW()-3),'V_Mutlak Getiri'!$AC$2:$AC$25,0))</f>
        <v/>
      </c>
      <c r="C13" s="5">
        <f>INDEX('V_Mutlak Getiri'!B$2:B$25,MATCH(LARGE('V_Mutlak Getiri'!$AC$2:$AC$25,ROW()-3),'V_Mutlak Getiri'!$AC$2:$AC$25,0))</f>
        <v/>
      </c>
      <c r="D13" s="5">
        <f>INDEX('V_Mutlak Getiri'!C$2:C$25,MATCH(LARGE('V_Mutlak Getiri'!$AC$2:$AC$25,ROW()-3),'V_Mutlak Getiri'!$AC$2:$AC$25,0))</f>
        <v/>
      </c>
      <c r="E13" s="8">
        <f>INDEX('V_Mutlak Getiri'!D$2:D$25,MATCH(LARGE('V_Mutlak Getiri'!$AC$2:$AC$25,ROW()-3),'V_Mutlak Getiri'!$AC$2:$AC$25,0))</f>
        <v/>
      </c>
      <c r="F13" s="9">
        <f>INDEX('V_Mutlak Getiri'!E$2:E$25,MATCH(LARGE('V_Mutlak Getiri'!$AC$2:$AC$25,ROW()-3),'V_Mutlak Getiri'!$AC$2:$AC$25,0))</f>
        <v/>
      </c>
      <c r="G13" s="9">
        <f>INDEX('V_Mutlak Getiri'!F$2:F$25,MATCH(LARGE('V_Mutlak Getiri'!$AC$2:$AC$25,ROW()-3),'V_Mutlak Getiri'!$AC$2:$AC$25,0))</f>
        <v/>
      </c>
      <c r="H13" s="9">
        <f>INDEX('V_Mutlak Getiri'!G$2:G$25,MATCH(LARGE('V_Mutlak Getiri'!$AC$2:$AC$25,ROW()-3),'V_Mutlak Getiri'!$AC$2:$AC$25,0))</f>
        <v/>
      </c>
      <c r="I13" s="9">
        <f>INDEX('V_Mutlak Getiri'!H$2:H$25,MATCH(LARGE('V_Mutlak Getiri'!$AC$2:$AC$25,ROW()-3),'V_Mutlak Getiri'!$AC$2:$AC$25,0))</f>
        <v/>
      </c>
      <c r="J13" s="9">
        <f>INDEX('V_Mutlak Getiri'!I$2:I$25,MATCH(LARGE('V_Mutlak Getiri'!$AC$2:$AC$25,ROW()-3),'V_Mutlak Getiri'!$AC$2:$AC$25,0))</f>
        <v/>
      </c>
      <c r="K13" s="10">
        <f>INDEX('V_Mutlak Getiri'!J$2:J$25,MATCH(LARGE('V_Mutlak Getiri'!$AC$2:$AC$25,ROW()-3),'V_Mutlak Getiri'!$AC$2:$AC$25,0))</f>
        <v/>
      </c>
      <c r="L13" s="10">
        <f>INDEX('V_Mutlak Getiri'!K$2:K$25,MATCH(LARGE('V_Mutlak Getiri'!$AC$2:$AC$25,ROW()-3),'V_Mutlak Getiri'!$AC$2:$AC$25,0))</f>
        <v/>
      </c>
      <c r="M13" s="8">
        <f>INDEX('V_Mutlak Getiri'!L$2:L$25,MATCH(LARGE('V_Mutlak Getiri'!$AC$2:$AC$25,ROW()-3),'V_Mutlak Getiri'!$AC$2:$AC$25,0))</f>
        <v/>
      </c>
      <c r="N13" s="11">
        <f>INDEX('V_Mutlak Getiri'!M$2:M$25,MATCH(LARGE('V_Mutlak Getiri'!$AC$2:$AC$25,ROW()-3),'V_Mutlak Getiri'!$AC$2:$AC$25,0))</f>
        <v/>
      </c>
      <c r="O13" s="11">
        <f>INDEX('V_Mutlak Getiri'!N$2:N$25,MATCH(LARGE('V_Mutlak Getiri'!$AC$2:$AC$25,ROW()-3),'V_Mutlak Getiri'!$AC$2:$AC$25,0))</f>
        <v/>
      </c>
      <c r="P13" s="8">
        <f>INDEX('V_Mutlak Getiri'!O$2:O$25,MATCH(LARGE('V_Mutlak Getiri'!$AC$2:$AC$25,ROW()-3),'V_Mutlak Getiri'!$AC$2:$AC$25,0))</f>
        <v/>
      </c>
      <c r="Q13" s="9">
        <f>INDEX('V_Mutlak Getiri'!P$2:P$25,MATCH(LARGE('V_Mutlak Getiri'!$AC$2:$AC$25,ROW()-3),'V_Mutlak Getiri'!$AC$2:$AC$25,0))</f>
        <v/>
      </c>
      <c r="R13" s="5">
        <f>INDEX('V_Mutlak Getiri'!Q$2:Q$25,MATCH(LARGE('V_Mutlak Getiri'!$AC$2:$AC$25,ROW()-3),'V_Mutlak Getiri'!$AC$2:$AC$25,0))</f>
        <v/>
      </c>
      <c r="S13" s="8">
        <f>INDEX('V_Mutlak Getiri'!R$2:R$25,MATCH(LARGE('V_Mutlak Getiri'!$AC$2:$AC$25,ROW()-3),'V_Mutlak Getiri'!$AC$2:$AC$25,0))</f>
        <v/>
      </c>
      <c r="T13" s="8">
        <f>INDEX('V_Mutlak Getiri'!S$2:S$25,MATCH(LARGE('V_Mutlak Getiri'!$AC$2:$AC$25,ROW()-3),'V_Mutlak Getiri'!$AC$2:$AC$25,0))</f>
        <v/>
      </c>
      <c r="U13" s="8">
        <f>INDEX('V_Mutlak Getiri'!T$2:T$25,MATCH(LARGE('V_Mutlak Getiri'!$AC$2:$AC$25,ROW()-3),'V_Mutlak Getiri'!$AC$2:$AC$25,0))</f>
        <v/>
      </c>
      <c r="V13" s="8">
        <f>INDEX('V_Mutlak Getiri'!U$2:U$25,MATCH(LARGE('V_Mutlak Getiri'!$AC$2:$AC$25,ROW()-3),'V_Mutlak Getiri'!$AC$2:$AC$25,0))</f>
        <v/>
      </c>
      <c r="W13" s="8">
        <f>INDEX('V_Mutlak Getiri'!V$2:V$25,MATCH(LARGE('V_Mutlak Getiri'!$AC$2:$AC$25,ROW()-3),'V_Mutlak Getiri'!$AC$2:$AC$25,0))</f>
        <v/>
      </c>
      <c r="X13" s="8">
        <f>INDEX('V_Mutlak Getiri'!W$2:W$25,MATCH(LARGE('V_Mutlak Getiri'!$AC$2:$AC$25,ROW()-3),'V_Mutlak Getiri'!$AC$2:$AC$25,0))</f>
        <v/>
      </c>
      <c r="Y13" s="8">
        <f>INDEX('V_Mutlak Getiri'!X$2:X$25,MATCH(LARGE('V_Mutlak Getiri'!$AC$2:$AC$25,ROW()-3),'V_Mutlak Getiri'!$AC$2:$AC$25,0))</f>
        <v/>
      </c>
      <c r="Z13" s="8">
        <f>INDEX('V_Mutlak Getiri'!Y$2:Y$25,MATCH(LARGE('V_Mutlak Getiri'!$AC$2:$AC$25,ROW()-3),'V_Mutlak Getiri'!$AC$2:$AC$25,0))</f>
        <v/>
      </c>
      <c r="AA13" s="8">
        <f>INDEX('V_Mutlak Getiri'!Z$2:Z$25,MATCH(LARGE('V_Mutlak Getiri'!$AC$2:$AC$25,ROW()-3),'V_Mutlak Getiri'!$AC$2:$AC$25,0))</f>
        <v/>
      </c>
      <c r="AB13" s="8">
        <f>INDEX('V_Mutlak Getiri'!AA$2:AA$25,MATCH(LARGE('V_Mutlak Getiri'!$AC$2:$AC$25,ROW()-3),'V_Mutlak Getiri'!$AC$2:$AC$25,0))</f>
        <v/>
      </c>
    </row>
    <row r="14">
      <c r="A14" t="n">
        <v>11</v>
      </c>
      <c r="B14" s="5">
        <f>INDEX('V_Mutlak Getiri'!A$2:A$25,MATCH(LARGE('V_Mutlak Getiri'!$AC$2:$AC$25,ROW()-3),'V_Mutlak Getiri'!$AC$2:$AC$25,0))</f>
        <v/>
      </c>
      <c r="C14" s="5">
        <f>INDEX('V_Mutlak Getiri'!B$2:B$25,MATCH(LARGE('V_Mutlak Getiri'!$AC$2:$AC$25,ROW()-3),'V_Mutlak Getiri'!$AC$2:$AC$25,0))</f>
        <v/>
      </c>
      <c r="D14" s="5">
        <f>INDEX('V_Mutlak Getiri'!C$2:C$25,MATCH(LARGE('V_Mutlak Getiri'!$AC$2:$AC$25,ROW()-3),'V_Mutlak Getiri'!$AC$2:$AC$25,0))</f>
        <v/>
      </c>
      <c r="E14" s="8">
        <f>INDEX('V_Mutlak Getiri'!D$2:D$25,MATCH(LARGE('V_Mutlak Getiri'!$AC$2:$AC$25,ROW()-3),'V_Mutlak Getiri'!$AC$2:$AC$25,0))</f>
        <v/>
      </c>
      <c r="F14" s="9">
        <f>INDEX('V_Mutlak Getiri'!E$2:E$25,MATCH(LARGE('V_Mutlak Getiri'!$AC$2:$AC$25,ROW()-3),'V_Mutlak Getiri'!$AC$2:$AC$25,0))</f>
        <v/>
      </c>
      <c r="G14" s="9">
        <f>INDEX('V_Mutlak Getiri'!F$2:F$25,MATCH(LARGE('V_Mutlak Getiri'!$AC$2:$AC$25,ROW()-3),'V_Mutlak Getiri'!$AC$2:$AC$25,0))</f>
        <v/>
      </c>
      <c r="H14" s="9">
        <f>INDEX('V_Mutlak Getiri'!G$2:G$25,MATCH(LARGE('V_Mutlak Getiri'!$AC$2:$AC$25,ROW()-3),'V_Mutlak Getiri'!$AC$2:$AC$25,0))</f>
        <v/>
      </c>
      <c r="I14" s="9">
        <f>INDEX('V_Mutlak Getiri'!H$2:H$25,MATCH(LARGE('V_Mutlak Getiri'!$AC$2:$AC$25,ROW()-3),'V_Mutlak Getiri'!$AC$2:$AC$25,0))</f>
        <v/>
      </c>
      <c r="J14" s="9">
        <f>INDEX('V_Mutlak Getiri'!I$2:I$25,MATCH(LARGE('V_Mutlak Getiri'!$AC$2:$AC$25,ROW()-3),'V_Mutlak Getiri'!$AC$2:$AC$25,0))</f>
        <v/>
      </c>
      <c r="K14" s="10">
        <f>INDEX('V_Mutlak Getiri'!J$2:J$25,MATCH(LARGE('V_Mutlak Getiri'!$AC$2:$AC$25,ROW()-3),'V_Mutlak Getiri'!$AC$2:$AC$25,0))</f>
        <v/>
      </c>
      <c r="L14" s="10">
        <f>INDEX('V_Mutlak Getiri'!K$2:K$25,MATCH(LARGE('V_Mutlak Getiri'!$AC$2:$AC$25,ROW()-3),'V_Mutlak Getiri'!$AC$2:$AC$25,0))</f>
        <v/>
      </c>
      <c r="M14" s="8">
        <f>INDEX('V_Mutlak Getiri'!L$2:L$25,MATCH(LARGE('V_Mutlak Getiri'!$AC$2:$AC$25,ROW()-3),'V_Mutlak Getiri'!$AC$2:$AC$25,0))</f>
        <v/>
      </c>
      <c r="N14" s="11">
        <f>INDEX('V_Mutlak Getiri'!M$2:M$25,MATCH(LARGE('V_Mutlak Getiri'!$AC$2:$AC$25,ROW()-3),'V_Mutlak Getiri'!$AC$2:$AC$25,0))</f>
        <v/>
      </c>
      <c r="O14" s="11">
        <f>INDEX('V_Mutlak Getiri'!N$2:N$25,MATCH(LARGE('V_Mutlak Getiri'!$AC$2:$AC$25,ROW()-3),'V_Mutlak Getiri'!$AC$2:$AC$25,0))</f>
        <v/>
      </c>
      <c r="P14" s="8">
        <f>INDEX('V_Mutlak Getiri'!O$2:O$25,MATCH(LARGE('V_Mutlak Getiri'!$AC$2:$AC$25,ROW()-3),'V_Mutlak Getiri'!$AC$2:$AC$25,0))</f>
        <v/>
      </c>
      <c r="Q14" s="9">
        <f>INDEX('V_Mutlak Getiri'!P$2:P$25,MATCH(LARGE('V_Mutlak Getiri'!$AC$2:$AC$25,ROW()-3),'V_Mutlak Getiri'!$AC$2:$AC$25,0))</f>
        <v/>
      </c>
      <c r="R14" s="5">
        <f>INDEX('V_Mutlak Getiri'!Q$2:Q$25,MATCH(LARGE('V_Mutlak Getiri'!$AC$2:$AC$25,ROW()-3),'V_Mutlak Getiri'!$AC$2:$AC$25,0))</f>
        <v/>
      </c>
      <c r="S14" s="8">
        <f>INDEX('V_Mutlak Getiri'!R$2:R$25,MATCH(LARGE('V_Mutlak Getiri'!$AC$2:$AC$25,ROW()-3),'V_Mutlak Getiri'!$AC$2:$AC$25,0))</f>
        <v/>
      </c>
      <c r="T14" s="8">
        <f>INDEX('V_Mutlak Getiri'!S$2:S$25,MATCH(LARGE('V_Mutlak Getiri'!$AC$2:$AC$25,ROW()-3),'V_Mutlak Getiri'!$AC$2:$AC$25,0))</f>
        <v/>
      </c>
      <c r="U14" s="8">
        <f>INDEX('V_Mutlak Getiri'!T$2:T$25,MATCH(LARGE('V_Mutlak Getiri'!$AC$2:$AC$25,ROW()-3),'V_Mutlak Getiri'!$AC$2:$AC$25,0))</f>
        <v/>
      </c>
      <c r="V14" s="8">
        <f>INDEX('V_Mutlak Getiri'!U$2:U$25,MATCH(LARGE('V_Mutlak Getiri'!$AC$2:$AC$25,ROW()-3),'V_Mutlak Getiri'!$AC$2:$AC$25,0))</f>
        <v/>
      </c>
      <c r="W14" s="8">
        <f>INDEX('V_Mutlak Getiri'!V$2:V$25,MATCH(LARGE('V_Mutlak Getiri'!$AC$2:$AC$25,ROW()-3),'V_Mutlak Getiri'!$AC$2:$AC$25,0))</f>
        <v/>
      </c>
      <c r="X14" s="8">
        <f>INDEX('V_Mutlak Getiri'!W$2:W$25,MATCH(LARGE('V_Mutlak Getiri'!$AC$2:$AC$25,ROW()-3),'V_Mutlak Getiri'!$AC$2:$AC$25,0))</f>
        <v/>
      </c>
      <c r="Y14" s="8">
        <f>INDEX('V_Mutlak Getiri'!X$2:X$25,MATCH(LARGE('V_Mutlak Getiri'!$AC$2:$AC$25,ROW()-3),'V_Mutlak Getiri'!$AC$2:$AC$25,0))</f>
        <v/>
      </c>
      <c r="Z14" s="8">
        <f>INDEX('V_Mutlak Getiri'!Y$2:Y$25,MATCH(LARGE('V_Mutlak Getiri'!$AC$2:$AC$25,ROW()-3),'V_Mutlak Getiri'!$AC$2:$AC$25,0))</f>
        <v/>
      </c>
      <c r="AA14" s="8">
        <f>INDEX('V_Mutlak Getiri'!Z$2:Z$25,MATCH(LARGE('V_Mutlak Getiri'!$AC$2:$AC$25,ROW()-3),'V_Mutlak Getiri'!$AC$2:$AC$25,0))</f>
        <v/>
      </c>
      <c r="AB14" s="8">
        <f>INDEX('V_Mutlak Getiri'!AA$2:AA$25,MATCH(LARGE('V_Mutlak Getiri'!$AC$2:$AC$25,ROW()-3),'V_Mutlak Getiri'!$AC$2:$AC$25,0))</f>
        <v/>
      </c>
    </row>
    <row r="15">
      <c r="A15" t="n">
        <v>12</v>
      </c>
      <c r="B15" s="5">
        <f>INDEX('V_Mutlak Getiri'!A$2:A$25,MATCH(LARGE('V_Mutlak Getiri'!$AC$2:$AC$25,ROW()-3),'V_Mutlak Getiri'!$AC$2:$AC$25,0))</f>
        <v/>
      </c>
      <c r="C15" s="5">
        <f>INDEX('V_Mutlak Getiri'!B$2:B$25,MATCH(LARGE('V_Mutlak Getiri'!$AC$2:$AC$25,ROW()-3),'V_Mutlak Getiri'!$AC$2:$AC$25,0))</f>
        <v/>
      </c>
      <c r="D15" s="5">
        <f>INDEX('V_Mutlak Getiri'!C$2:C$25,MATCH(LARGE('V_Mutlak Getiri'!$AC$2:$AC$25,ROW()-3),'V_Mutlak Getiri'!$AC$2:$AC$25,0))</f>
        <v/>
      </c>
      <c r="E15" s="8">
        <f>INDEX('V_Mutlak Getiri'!D$2:D$25,MATCH(LARGE('V_Mutlak Getiri'!$AC$2:$AC$25,ROW()-3),'V_Mutlak Getiri'!$AC$2:$AC$25,0))</f>
        <v/>
      </c>
      <c r="F15" s="9">
        <f>INDEX('V_Mutlak Getiri'!E$2:E$25,MATCH(LARGE('V_Mutlak Getiri'!$AC$2:$AC$25,ROW()-3),'V_Mutlak Getiri'!$AC$2:$AC$25,0))</f>
        <v/>
      </c>
      <c r="G15" s="9">
        <f>INDEX('V_Mutlak Getiri'!F$2:F$25,MATCH(LARGE('V_Mutlak Getiri'!$AC$2:$AC$25,ROW()-3),'V_Mutlak Getiri'!$AC$2:$AC$25,0))</f>
        <v/>
      </c>
      <c r="H15" s="9">
        <f>INDEX('V_Mutlak Getiri'!G$2:G$25,MATCH(LARGE('V_Mutlak Getiri'!$AC$2:$AC$25,ROW()-3),'V_Mutlak Getiri'!$AC$2:$AC$25,0))</f>
        <v/>
      </c>
      <c r="I15" s="9">
        <f>INDEX('V_Mutlak Getiri'!H$2:H$25,MATCH(LARGE('V_Mutlak Getiri'!$AC$2:$AC$25,ROW()-3),'V_Mutlak Getiri'!$AC$2:$AC$25,0))</f>
        <v/>
      </c>
      <c r="J15" s="9">
        <f>INDEX('V_Mutlak Getiri'!I$2:I$25,MATCH(LARGE('V_Mutlak Getiri'!$AC$2:$AC$25,ROW()-3),'V_Mutlak Getiri'!$AC$2:$AC$25,0))</f>
        <v/>
      </c>
      <c r="K15" s="10">
        <f>INDEX('V_Mutlak Getiri'!J$2:J$25,MATCH(LARGE('V_Mutlak Getiri'!$AC$2:$AC$25,ROW()-3),'V_Mutlak Getiri'!$AC$2:$AC$25,0))</f>
        <v/>
      </c>
      <c r="L15" s="10">
        <f>INDEX('V_Mutlak Getiri'!K$2:K$25,MATCH(LARGE('V_Mutlak Getiri'!$AC$2:$AC$25,ROW()-3),'V_Mutlak Getiri'!$AC$2:$AC$25,0))</f>
        <v/>
      </c>
      <c r="M15" s="8">
        <f>INDEX('V_Mutlak Getiri'!L$2:L$25,MATCH(LARGE('V_Mutlak Getiri'!$AC$2:$AC$25,ROW()-3),'V_Mutlak Getiri'!$AC$2:$AC$25,0))</f>
        <v/>
      </c>
      <c r="N15" s="11">
        <f>INDEX('V_Mutlak Getiri'!M$2:M$25,MATCH(LARGE('V_Mutlak Getiri'!$AC$2:$AC$25,ROW()-3),'V_Mutlak Getiri'!$AC$2:$AC$25,0))</f>
        <v/>
      </c>
      <c r="O15" s="11">
        <f>INDEX('V_Mutlak Getiri'!N$2:N$25,MATCH(LARGE('V_Mutlak Getiri'!$AC$2:$AC$25,ROW()-3),'V_Mutlak Getiri'!$AC$2:$AC$25,0))</f>
        <v/>
      </c>
      <c r="P15" s="8">
        <f>INDEX('V_Mutlak Getiri'!O$2:O$25,MATCH(LARGE('V_Mutlak Getiri'!$AC$2:$AC$25,ROW()-3),'V_Mutlak Getiri'!$AC$2:$AC$25,0))</f>
        <v/>
      </c>
      <c r="Q15" s="9">
        <f>INDEX('V_Mutlak Getiri'!P$2:P$25,MATCH(LARGE('V_Mutlak Getiri'!$AC$2:$AC$25,ROW()-3),'V_Mutlak Getiri'!$AC$2:$AC$25,0))</f>
        <v/>
      </c>
      <c r="R15" s="5">
        <f>INDEX('V_Mutlak Getiri'!Q$2:Q$25,MATCH(LARGE('V_Mutlak Getiri'!$AC$2:$AC$25,ROW()-3),'V_Mutlak Getiri'!$AC$2:$AC$25,0))</f>
        <v/>
      </c>
      <c r="S15" s="8">
        <f>INDEX('V_Mutlak Getiri'!R$2:R$25,MATCH(LARGE('V_Mutlak Getiri'!$AC$2:$AC$25,ROW()-3),'V_Mutlak Getiri'!$AC$2:$AC$25,0))</f>
        <v/>
      </c>
      <c r="T15" s="8">
        <f>INDEX('V_Mutlak Getiri'!S$2:S$25,MATCH(LARGE('V_Mutlak Getiri'!$AC$2:$AC$25,ROW()-3),'V_Mutlak Getiri'!$AC$2:$AC$25,0))</f>
        <v/>
      </c>
      <c r="U15" s="8">
        <f>INDEX('V_Mutlak Getiri'!T$2:T$25,MATCH(LARGE('V_Mutlak Getiri'!$AC$2:$AC$25,ROW()-3),'V_Mutlak Getiri'!$AC$2:$AC$25,0))</f>
        <v/>
      </c>
      <c r="V15" s="8">
        <f>INDEX('V_Mutlak Getiri'!U$2:U$25,MATCH(LARGE('V_Mutlak Getiri'!$AC$2:$AC$25,ROW()-3),'V_Mutlak Getiri'!$AC$2:$AC$25,0))</f>
        <v/>
      </c>
      <c r="W15" s="8">
        <f>INDEX('V_Mutlak Getiri'!V$2:V$25,MATCH(LARGE('V_Mutlak Getiri'!$AC$2:$AC$25,ROW()-3),'V_Mutlak Getiri'!$AC$2:$AC$25,0))</f>
        <v/>
      </c>
      <c r="X15" s="8">
        <f>INDEX('V_Mutlak Getiri'!W$2:W$25,MATCH(LARGE('V_Mutlak Getiri'!$AC$2:$AC$25,ROW()-3),'V_Mutlak Getiri'!$AC$2:$AC$25,0))</f>
        <v/>
      </c>
      <c r="Y15" s="8">
        <f>INDEX('V_Mutlak Getiri'!X$2:X$25,MATCH(LARGE('V_Mutlak Getiri'!$AC$2:$AC$25,ROW()-3),'V_Mutlak Getiri'!$AC$2:$AC$25,0))</f>
        <v/>
      </c>
      <c r="Z15" s="8">
        <f>INDEX('V_Mutlak Getiri'!Y$2:Y$25,MATCH(LARGE('V_Mutlak Getiri'!$AC$2:$AC$25,ROW()-3),'V_Mutlak Getiri'!$AC$2:$AC$25,0))</f>
        <v/>
      </c>
      <c r="AA15" s="8">
        <f>INDEX('V_Mutlak Getiri'!Z$2:Z$25,MATCH(LARGE('V_Mutlak Getiri'!$AC$2:$AC$25,ROW()-3),'V_Mutlak Getiri'!$AC$2:$AC$25,0))</f>
        <v/>
      </c>
      <c r="AB15" s="8">
        <f>INDEX('V_Mutlak Getiri'!AA$2:AA$25,MATCH(LARGE('V_Mutlak Getiri'!$AC$2:$AC$25,ROW()-3),'V_Mutlak Getiri'!$AC$2:$AC$25,0))</f>
        <v/>
      </c>
    </row>
    <row r="16">
      <c r="A16" t="n">
        <v>13</v>
      </c>
      <c r="B16" s="5">
        <f>INDEX('V_Mutlak Getiri'!A$2:A$25,MATCH(LARGE('V_Mutlak Getiri'!$AC$2:$AC$25,ROW()-3),'V_Mutlak Getiri'!$AC$2:$AC$25,0))</f>
        <v/>
      </c>
      <c r="C16" s="5">
        <f>INDEX('V_Mutlak Getiri'!B$2:B$25,MATCH(LARGE('V_Mutlak Getiri'!$AC$2:$AC$25,ROW()-3),'V_Mutlak Getiri'!$AC$2:$AC$25,0))</f>
        <v/>
      </c>
      <c r="D16" s="5">
        <f>INDEX('V_Mutlak Getiri'!C$2:C$25,MATCH(LARGE('V_Mutlak Getiri'!$AC$2:$AC$25,ROW()-3),'V_Mutlak Getiri'!$AC$2:$AC$25,0))</f>
        <v/>
      </c>
      <c r="E16" s="8">
        <f>INDEX('V_Mutlak Getiri'!D$2:D$25,MATCH(LARGE('V_Mutlak Getiri'!$AC$2:$AC$25,ROW()-3),'V_Mutlak Getiri'!$AC$2:$AC$25,0))</f>
        <v/>
      </c>
      <c r="F16" s="9">
        <f>INDEX('V_Mutlak Getiri'!E$2:E$25,MATCH(LARGE('V_Mutlak Getiri'!$AC$2:$AC$25,ROW()-3),'V_Mutlak Getiri'!$AC$2:$AC$25,0))</f>
        <v/>
      </c>
      <c r="G16" s="9">
        <f>INDEX('V_Mutlak Getiri'!F$2:F$25,MATCH(LARGE('V_Mutlak Getiri'!$AC$2:$AC$25,ROW()-3),'V_Mutlak Getiri'!$AC$2:$AC$25,0))</f>
        <v/>
      </c>
      <c r="H16" s="9">
        <f>INDEX('V_Mutlak Getiri'!G$2:G$25,MATCH(LARGE('V_Mutlak Getiri'!$AC$2:$AC$25,ROW()-3),'V_Mutlak Getiri'!$AC$2:$AC$25,0))</f>
        <v/>
      </c>
      <c r="I16" s="9">
        <f>INDEX('V_Mutlak Getiri'!H$2:H$25,MATCH(LARGE('V_Mutlak Getiri'!$AC$2:$AC$25,ROW()-3),'V_Mutlak Getiri'!$AC$2:$AC$25,0))</f>
        <v/>
      </c>
      <c r="J16" s="9">
        <f>INDEX('V_Mutlak Getiri'!I$2:I$25,MATCH(LARGE('V_Mutlak Getiri'!$AC$2:$AC$25,ROW()-3),'V_Mutlak Getiri'!$AC$2:$AC$25,0))</f>
        <v/>
      </c>
      <c r="K16" s="10">
        <f>INDEX('V_Mutlak Getiri'!J$2:J$25,MATCH(LARGE('V_Mutlak Getiri'!$AC$2:$AC$25,ROW()-3),'V_Mutlak Getiri'!$AC$2:$AC$25,0))</f>
        <v/>
      </c>
      <c r="L16" s="10">
        <f>INDEX('V_Mutlak Getiri'!K$2:K$25,MATCH(LARGE('V_Mutlak Getiri'!$AC$2:$AC$25,ROW()-3),'V_Mutlak Getiri'!$AC$2:$AC$25,0))</f>
        <v/>
      </c>
      <c r="M16" s="8">
        <f>INDEX('V_Mutlak Getiri'!L$2:L$25,MATCH(LARGE('V_Mutlak Getiri'!$AC$2:$AC$25,ROW()-3),'V_Mutlak Getiri'!$AC$2:$AC$25,0))</f>
        <v/>
      </c>
      <c r="N16" s="11">
        <f>INDEX('V_Mutlak Getiri'!M$2:M$25,MATCH(LARGE('V_Mutlak Getiri'!$AC$2:$AC$25,ROW()-3),'V_Mutlak Getiri'!$AC$2:$AC$25,0))</f>
        <v/>
      </c>
      <c r="O16" s="11">
        <f>INDEX('V_Mutlak Getiri'!N$2:N$25,MATCH(LARGE('V_Mutlak Getiri'!$AC$2:$AC$25,ROW()-3),'V_Mutlak Getiri'!$AC$2:$AC$25,0))</f>
        <v/>
      </c>
      <c r="P16" s="8">
        <f>INDEX('V_Mutlak Getiri'!O$2:O$25,MATCH(LARGE('V_Mutlak Getiri'!$AC$2:$AC$25,ROW()-3),'V_Mutlak Getiri'!$AC$2:$AC$25,0))</f>
        <v/>
      </c>
      <c r="Q16" s="9">
        <f>INDEX('V_Mutlak Getiri'!P$2:P$25,MATCH(LARGE('V_Mutlak Getiri'!$AC$2:$AC$25,ROW()-3),'V_Mutlak Getiri'!$AC$2:$AC$25,0))</f>
        <v/>
      </c>
      <c r="R16" s="5">
        <f>INDEX('V_Mutlak Getiri'!Q$2:Q$25,MATCH(LARGE('V_Mutlak Getiri'!$AC$2:$AC$25,ROW()-3),'V_Mutlak Getiri'!$AC$2:$AC$25,0))</f>
        <v/>
      </c>
      <c r="S16" s="8">
        <f>INDEX('V_Mutlak Getiri'!R$2:R$25,MATCH(LARGE('V_Mutlak Getiri'!$AC$2:$AC$25,ROW()-3),'V_Mutlak Getiri'!$AC$2:$AC$25,0))</f>
        <v/>
      </c>
      <c r="T16" s="8">
        <f>INDEX('V_Mutlak Getiri'!S$2:S$25,MATCH(LARGE('V_Mutlak Getiri'!$AC$2:$AC$25,ROW()-3),'V_Mutlak Getiri'!$AC$2:$AC$25,0))</f>
        <v/>
      </c>
      <c r="U16" s="8">
        <f>INDEX('V_Mutlak Getiri'!T$2:T$25,MATCH(LARGE('V_Mutlak Getiri'!$AC$2:$AC$25,ROW()-3),'V_Mutlak Getiri'!$AC$2:$AC$25,0))</f>
        <v/>
      </c>
      <c r="V16" s="8">
        <f>INDEX('V_Mutlak Getiri'!U$2:U$25,MATCH(LARGE('V_Mutlak Getiri'!$AC$2:$AC$25,ROW()-3),'V_Mutlak Getiri'!$AC$2:$AC$25,0))</f>
        <v/>
      </c>
      <c r="W16" s="8">
        <f>INDEX('V_Mutlak Getiri'!V$2:V$25,MATCH(LARGE('V_Mutlak Getiri'!$AC$2:$AC$25,ROW()-3),'V_Mutlak Getiri'!$AC$2:$AC$25,0))</f>
        <v/>
      </c>
      <c r="X16" s="8">
        <f>INDEX('V_Mutlak Getiri'!W$2:W$25,MATCH(LARGE('V_Mutlak Getiri'!$AC$2:$AC$25,ROW()-3),'V_Mutlak Getiri'!$AC$2:$AC$25,0))</f>
        <v/>
      </c>
      <c r="Y16" s="8">
        <f>INDEX('V_Mutlak Getiri'!X$2:X$25,MATCH(LARGE('V_Mutlak Getiri'!$AC$2:$AC$25,ROW()-3),'V_Mutlak Getiri'!$AC$2:$AC$25,0))</f>
        <v/>
      </c>
      <c r="Z16" s="8">
        <f>INDEX('V_Mutlak Getiri'!Y$2:Y$25,MATCH(LARGE('V_Mutlak Getiri'!$AC$2:$AC$25,ROW()-3),'V_Mutlak Getiri'!$AC$2:$AC$25,0))</f>
        <v/>
      </c>
      <c r="AA16" s="8">
        <f>INDEX('V_Mutlak Getiri'!Z$2:Z$25,MATCH(LARGE('V_Mutlak Getiri'!$AC$2:$AC$25,ROW()-3),'V_Mutlak Getiri'!$AC$2:$AC$25,0))</f>
        <v/>
      </c>
      <c r="AB16" s="8">
        <f>INDEX('V_Mutlak Getiri'!AA$2:AA$25,MATCH(LARGE('V_Mutlak Getiri'!$AC$2:$AC$25,ROW()-3),'V_Mutlak Getiri'!$AC$2:$AC$25,0))</f>
        <v/>
      </c>
    </row>
    <row r="17">
      <c r="A17" t="n">
        <v>14</v>
      </c>
      <c r="B17" s="5">
        <f>INDEX('V_Mutlak Getiri'!A$2:A$25,MATCH(LARGE('V_Mutlak Getiri'!$AC$2:$AC$25,ROW()-3),'V_Mutlak Getiri'!$AC$2:$AC$25,0))</f>
        <v/>
      </c>
      <c r="C17" s="5">
        <f>INDEX('V_Mutlak Getiri'!B$2:B$25,MATCH(LARGE('V_Mutlak Getiri'!$AC$2:$AC$25,ROW()-3),'V_Mutlak Getiri'!$AC$2:$AC$25,0))</f>
        <v/>
      </c>
      <c r="D17" s="5">
        <f>INDEX('V_Mutlak Getiri'!C$2:C$25,MATCH(LARGE('V_Mutlak Getiri'!$AC$2:$AC$25,ROW()-3),'V_Mutlak Getiri'!$AC$2:$AC$25,0))</f>
        <v/>
      </c>
      <c r="E17" s="8">
        <f>INDEX('V_Mutlak Getiri'!D$2:D$25,MATCH(LARGE('V_Mutlak Getiri'!$AC$2:$AC$25,ROW()-3),'V_Mutlak Getiri'!$AC$2:$AC$25,0))</f>
        <v/>
      </c>
      <c r="F17" s="9">
        <f>INDEX('V_Mutlak Getiri'!E$2:E$25,MATCH(LARGE('V_Mutlak Getiri'!$AC$2:$AC$25,ROW()-3),'V_Mutlak Getiri'!$AC$2:$AC$25,0))</f>
        <v/>
      </c>
      <c r="G17" s="9">
        <f>INDEX('V_Mutlak Getiri'!F$2:F$25,MATCH(LARGE('V_Mutlak Getiri'!$AC$2:$AC$25,ROW()-3),'V_Mutlak Getiri'!$AC$2:$AC$25,0))</f>
        <v/>
      </c>
      <c r="H17" s="9">
        <f>INDEX('V_Mutlak Getiri'!G$2:G$25,MATCH(LARGE('V_Mutlak Getiri'!$AC$2:$AC$25,ROW()-3),'V_Mutlak Getiri'!$AC$2:$AC$25,0))</f>
        <v/>
      </c>
      <c r="I17" s="9">
        <f>INDEX('V_Mutlak Getiri'!H$2:H$25,MATCH(LARGE('V_Mutlak Getiri'!$AC$2:$AC$25,ROW()-3),'V_Mutlak Getiri'!$AC$2:$AC$25,0))</f>
        <v/>
      </c>
      <c r="J17" s="9">
        <f>INDEX('V_Mutlak Getiri'!I$2:I$25,MATCH(LARGE('V_Mutlak Getiri'!$AC$2:$AC$25,ROW()-3),'V_Mutlak Getiri'!$AC$2:$AC$25,0))</f>
        <v/>
      </c>
      <c r="K17" s="10">
        <f>INDEX('V_Mutlak Getiri'!J$2:J$25,MATCH(LARGE('V_Mutlak Getiri'!$AC$2:$AC$25,ROW()-3),'V_Mutlak Getiri'!$AC$2:$AC$25,0))</f>
        <v/>
      </c>
      <c r="L17" s="10">
        <f>INDEX('V_Mutlak Getiri'!K$2:K$25,MATCH(LARGE('V_Mutlak Getiri'!$AC$2:$AC$25,ROW()-3),'V_Mutlak Getiri'!$AC$2:$AC$25,0))</f>
        <v/>
      </c>
      <c r="M17" s="8">
        <f>INDEX('V_Mutlak Getiri'!L$2:L$25,MATCH(LARGE('V_Mutlak Getiri'!$AC$2:$AC$25,ROW()-3),'V_Mutlak Getiri'!$AC$2:$AC$25,0))</f>
        <v/>
      </c>
      <c r="N17" s="11">
        <f>INDEX('V_Mutlak Getiri'!M$2:M$25,MATCH(LARGE('V_Mutlak Getiri'!$AC$2:$AC$25,ROW()-3),'V_Mutlak Getiri'!$AC$2:$AC$25,0))</f>
        <v/>
      </c>
      <c r="O17" s="11">
        <f>INDEX('V_Mutlak Getiri'!N$2:N$25,MATCH(LARGE('V_Mutlak Getiri'!$AC$2:$AC$25,ROW()-3),'V_Mutlak Getiri'!$AC$2:$AC$25,0))</f>
        <v/>
      </c>
      <c r="P17" s="8">
        <f>INDEX('V_Mutlak Getiri'!O$2:O$25,MATCH(LARGE('V_Mutlak Getiri'!$AC$2:$AC$25,ROW()-3),'V_Mutlak Getiri'!$AC$2:$AC$25,0))</f>
        <v/>
      </c>
      <c r="Q17" s="9">
        <f>INDEX('V_Mutlak Getiri'!P$2:P$25,MATCH(LARGE('V_Mutlak Getiri'!$AC$2:$AC$25,ROW()-3),'V_Mutlak Getiri'!$AC$2:$AC$25,0))</f>
        <v/>
      </c>
      <c r="R17" s="5">
        <f>INDEX('V_Mutlak Getiri'!Q$2:Q$25,MATCH(LARGE('V_Mutlak Getiri'!$AC$2:$AC$25,ROW()-3),'V_Mutlak Getiri'!$AC$2:$AC$25,0))</f>
        <v/>
      </c>
      <c r="S17" s="8">
        <f>INDEX('V_Mutlak Getiri'!R$2:R$25,MATCH(LARGE('V_Mutlak Getiri'!$AC$2:$AC$25,ROW()-3),'V_Mutlak Getiri'!$AC$2:$AC$25,0))</f>
        <v/>
      </c>
      <c r="T17" s="8">
        <f>INDEX('V_Mutlak Getiri'!S$2:S$25,MATCH(LARGE('V_Mutlak Getiri'!$AC$2:$AC$25,ROW()-3),'V_Mutlak Getiri'!$AC$2:$AC$25,0))</f>
        <v/>
      </c>
      <c r="U17" s="8">
        <f>INDEX('V_Mutlak Getiri'!T$2:T$25,MATCH(LARGE('V_Mutlak Getiri'!$AC$2:$AC$25,ROW()-3),'V_Mutlak Getiri'!$AC$2:$AC$25,0))</f>
        <v/>
      </c>
      <c r="V17" s="8">
        <f>INDEX('V_Mutlak Getiri'!U$2:U$25,MATCH(LARGE('V_Mutlak Getiri'!$AC$2:$AC$25,ROW()-3),'V_Mutlak Getiri'!$AC$2:$AC$25,0))</f>
        <v/>
      </c>
      <c r="W17" s="8">
        <f>INDEX('V_Mutlak Getiri'!V$2:V$25,MATCH(LARGE('V_Mutlak Getiri'!$AC$2:$AC$25,ROW()-3),'V_Mutlak Getiri'!$AC$2:$AC$25,0))</f>
        <v/>
      </c>
      <c r="X17" s="8">
        <f>INDEX('V_Mutlak Getiri'!W$2:W$25,MATCH(LARGE('V_Mutlak Getiri'!$AC$2:$AC$25,ROW()-3),'V_Mutlak Getiri'!$AC$2:$AC$25,0))</f>
        <v/>
      </c>
      <c r="Y17" s="8">
        <f>INDEX('V_Mutlak Getiri'!X$2:X$25,MATCH(LARGE('V_Mutlak Getiri'!$AC$2:$AC$25,ROW()-3),'V_Mutlak Getiri'!$AC$2:$AC$25,0))</f>
        <v/>
      </c>
      <c r="Z17" s="8">
        <f>INDEX('V_Mutlak Getiri'!Y$2:Y$25,MATCH(LARGE('V_Mutlak Getiri'!$AC$2:$AC$25,ROW()-3),'V_Mutlak Getiri'!$AC$2:$AC$25,0))</f>
        <v/>
      </c>
      <c r="AA17" s="8">
        <f>INDEX('V_Mutlak Getiri'!Z$2:Z$25,MATCH(LARGE('V_Mutlak Getiri'!$AC$2:$AC$25,ROW()-3),'V_Mutlak Getiri'!$AC$2:$AC$25,0))</f>
        <v/>
      </c>
      <c r="AB17" s="8">
        <f>INDEX('V_Mutlak Getiri'!AA$2:AA$25,MATCH(LARGE('V_Mutlak Getiri'!$AC$2:$AC$25,ROW()-3),'V_Mutlak Getiri'!$AC$2:$AC$25,0))</f>
        <v/>
      </c>
    </row>
    <row r="18">
      <c r="A18" t="n">
        <v>15</v>
      </c>
      <c r="B18" s="5">
        <f>INDEX('V_Mutlak Getiri'!A$2:A$25,MATCH(LARGE('V_Mutlak Getiri'!$AC$2:$AC$25,ROW()-3),'V_Mutlak Getiri'!$AC$2:$AC$25,0))</f>
        <v/>
      </c>
      <c r="C18" s="5">
        <f>INDEX('V_Mutlak Getiri'!B$2:B$25,MATCH(LARGE('V_Mutlak Getiri'!$AC$2:$AC$25,ROW()-3),'V_Mutlak Getiri'!$AC$2:$AC$25,0))</f>
        <v/>
      </c>
      <c r="D18" s="5">
        <f>INDEX('V_Mutlak Getiri'!C$2:C$25,MATCH(LARGE('V_Mutlak Getiri'!$AC$2:$AC$25,ROW()-3),'V_Mutlak Getiri'!$AC$2:$AC$25,0))</f>
        <v/>
      </c>
      <c r="E18" s="8">
        <f>INDEX('V_Mutlak Getiri'!D$2:D$25,MATCH(LARGE('V_Mutlak Getiri'!$AC$2:$AC$25,ROW()-3),'V_Mutlak Getiri'!$AC$2:$AC$25,0))</f>
        <v/>
      </c>
      <c r="F18" s="9">
        <f>INDEX('V_Mutlak Getiri'!E$2:E$25,MATCH(LARGE('V_Mutlak Getiri'!$AC$2:$AC$25,ROW()-3),'V_Mutlak Getiri'!$AC$2:$AC$25,0))</f>
        <v/>
      </c>
      <c r="G18" s="9">
        <f>INDEX('V_Mutlak Getiri'!F$2:F$25,MATCH(LARGE('V_Mutlak Getiri'!$AC$2:$AC$25,ROW()-3),'V_Mutlak Getiri'!$AC$2:$AC$25,0))</f>
        <v/>
      </c>
      <c r="H18" s="9">
        <f>INDEX('V_Mutlak Getiri'!G$2:G$25,MATCH(LARGE('V_Mutlak Getiri'!$AC$2:$AC$25,ROW()-3),'V_Mutlak Getiri'!$AC$2:$AC$25,0))</f>
        <v/>
      </c>
      <c r="I18" s="9">
        <f>INDEX('V_Mutlak Getiri'!H$2:H$25,MATCH(LARGE('V_Mutlak Getiri'!$AC$2:$AC$25,ROW()-3),'V_Mutlak Getiri'!$AC$2:$AC$25,0))</f>
        <v/>
      </c>
      <c r="J18" s="9">
        <f>INDEX('V_Mutlak Getiri'!I$2:I$25,MATCH(LARGE('V_Mutlak Getiri'!$AC$2:$AC$25,ROW()-3),'V_Mutlak Getiri'!$AC$2:$AC$25,0))</f>
        <v/>
      </c>
      <c r="K18" s="10">
        <f>INDEX('V_Mutlak Getiri'!J$2:J$25,MATCH(LARGE('V_Mutlak Getiri'!$AC$2:$AC$25,ROW()-3),'V_Mutlak Getiri'!$AC$2:$AC$25,0))</f>
        <v/>
      </c>
      <c r="L18" s="10">
        <f>INDEX('V_Mutlak Getiri'!K$2:K$25,MATCH(LARGE('V_Mutlak Getiri'!$AC$2:$AC$25,ROW()-3),'V_Mutlak Getiri'!$AC$2:$AC$25,0))</f>
        <v/>
      </c>
      <c r="M18" s="8">
        <f>INDEX('V_Mutlak Getiri'!L$2:L$25,MATCH(LARGE('V_Mutlak Getiri'!$AC$2:$AC$25,ROW()-3),'V_Mutlak Getiri'!$AC$2:$AC$25,0))</f>
        <v/>
      </c>
      <c r="N18" s="11">
        <f>INDEX('V_Mutlak Getiri'!M$2:M$25,MATCH(LARGE('V_Mutlak Getiri'!$AC$2:$AC$25,ROW()-3),'V_Mutlak Getiri'!$AC$2:$AC$25,0))</f>
        <v/>
      </c>
      <c r="O18" s="11">
        <f>INDEX('V_Mutlak Getiri'!N$2:N$25,MATCH(LARGE('V_Mutlak Getiri'!$AC$2:$AC$25,ROW()-3),'V_Mutlak Getiri'!$AC$2:$AC$25,0))</f>
        <v/>
      </c>
      <c r="P18" s="8">
        <f>INDEX('V_Mutlak Getiri'!O$2:O$25,MATCH(LARGE('V_Mutlak Getiri'!$AC$2:$AC$25,ROW()-3),'V_Mutlak Getiri'!$AC$2:$AC$25,0))</f>
        <v/>
      </c>
      <c r="Q18" s="9">
        <f>INDEX('V_Mutlak Getiri'!P$2:P$25,MATCH(LARGE('V_Mutlak Getiri'!$AC$2:$AC$25,ROW()-3),'V_Mutlak Getiri'!$AC$2:$AC$25,0))</f>
        <v/>
      </c>
      <c r="R18" s="5">
        <f>INDEX('V_Mutlak Getiri'!Q$2:Q$25,MATCH(LARGE('V_Mutlak Getiri'!$AC$2:$AC$25,ROW()-3),'V_Mutlak Getiri'!$AC$2:$AC$25,0))</f>
        <v/>
      </c>
      <c r="S18" s="8">
        <f>INDEX('V_Mutlak Getiri'!R$2:R$25,MATCH(LARGE('V_Mutlak Getiri'!$AC$2:$AC$25,ROW()-3),'V_Mutlak Getiri'!$AC$2:$AC$25,0))</f>
        <v/>
      </c>
      <c r="T18" s="8">
        <f>INDEX('V_Mutlak Getiri'!S$2:S$25,MATCH(LARGE('V_Mutlak Getiri'!$AC$2:$AC$25,ROW()-3),'V_Mutlak Getiri'!$AC$2:$AC$25,0))</f>
        <v/>
      </c>
      <c r="U18" s="8">
        <f>INDEX('V_Mutlak Getiri'!T$2:T$25,MATCH(LARGE('V_Mutlak Getiri'!$AC$2:$AC$25,ROW()-3),'V_Mutlak Getiri'!$AC$2:$AC$25,0))</f>
        <v/>
      </c>
      <c r="V18" s="8">
        <f>INDEX('V_Mutlak Getiri'!U$2:U$25,MATCH(LARGE('V_Mutlak Getiri'!$AC$2:$AC$25,ROW()-3),'V_Mutlak Getiri'!$AC$2:$AC$25,0))</f>
        <v/>
      </c>
      <c r="W18" s="8">
        <f>INDEX('V_Mutlak Getiri'!V$2:V$25,MATCH(LARGE('V_Mutlak Getiri'!$AC$2:$AC$25,ROW()-3),'V_Mutlak Getiri'!$AC$2:$AC$25,0))</f>
        <v/>
      </c>
      <c r="X18" s="8">
        <f>INDEX('V_Mutlak Getiri'!W$2:W$25,MATCH(LARGE('V_Mutlak Getiri'!$AC$2:$AC$25,ROW()-3),'V_Mutlak Getiri'!$AC$2:$AC$25,0))</f>
        <v/>
      </c>
      <c r="Y18" s="8">
        <f>INDEX('V_Mutlak Getiri'!X$2:X$25,MATCH(LARGE('V_Mutlak Getiri'!$AC$2:$AC$25,ROW()-3),'V_Mutlak Getiri'!$AC$2:$AC$25,0))</f>
        <v/>
      </c>
      <c r="Z18" s="8">
        <f>INDEX('V_Mutlak Getiri'!Y$2:Y$25,MATCH(LARGE('V_Mutlak Getiri'!$AC$2:$AC$25,ROW()-3),'V_Mutlak Getiri'!$AC$2:$AC$25,0))</f>
        <v/>
      </c>
      <c r="AA18" s="8">
        <f>INDEX('V_Mutlak Getiri'!Z$2:Z$25,MATCH(LARGE('V_Mutlak Getiri'!$AC$2:$AC$25,ROW()-3),'V_Mutlak Getiri'!$AC$2:$AC$25,0))</f>
        <v/>
      </c>
      <c r="AB18" s="8">
        <f>INDEX('V_Mutlak Getiri'!AA$2:AA$25,MATCH(LARGE('V_Mutlak Getiri'!$AC$2:$AC$25,ROW()-3),'V_Mutlak Getiri'!$AC$2:$AC$25,0))</f>
        <v/>
      </c>
    </row>
    <row r="19">
      <c r="A19" t="n">
        <v>16</v>
      </c>
      <c r="B19" s="5">
        <f>INDEX('V_Mutlak Getiri'!A$2:A$25,MATCH(LARGE('V_Mutlak Getiri'!$AC$2:$AC$25,ROW()-3),'V_Mutlak Getiri'!$AC$2:$AC$25,0))</f>
        <v/>
      </c>
      <c r="C19" s="5">
        <f>INDEX('V_Mutlak Getiri'!B$2:B$25,MATCH(LARGE('V_Mutlak Getiri'!$AC$2:$AC$25,ROW()-3),'V_Mutlak Getiri'!$AC$2:$AC$25,0))</f>
        <v/>
      </c>
      <c r="D19" s="5">
        <f>INDEX('V_Mutlak Getiri'!C$2:C$25,MATCH(LARGE('V_Mutlak Getiri'!$AC$2:$AC$25,ROW()-3),'V_Mutlak Getiri'!$AC$2:$AC$25,0))</f>
        <v/>
      </c>
      <c r="E19" s="8">
        <f>INDEX('V_Mutlak Getiri'!D$2:D$25,MATCH(LARGE('V_Mutlak Getiri'!$AC$2:$AC$25,ROW()-3),'V_Mutlak Getiri'!$AC$2:$AC$25,0))</f>
        <v/>
      </c>
      <c r="F19" s="9">
        <f>INDEX('V_Mutlak Getiri'!E$2:E$25,MATCH(LARGE('V_Mutlak Getiri'!$AC$2:$AC$25,ROW()-3),'V_Mutlak Getiri'!$AC$2:$AC$25,0))</f>
        <v/>
      </c>
      <c r="G19" s="9">
        <f>INDEX('V_Mutlak Getiri'!F$2:F$25,MATCH(LARGE('V_Mutlak Getiri'!$AC$2:$AC$25,ROW()-3),'V_Mutlak Getiri'!$AC$2:$AC$25,0))</f>
        <v/>
      </c>
      <c r="H19" s="9">
        <f>INDEX('V_Mutlak Getiri'!G$2:G$25,MATCH(LARGE('V_Mutlak Getiri'!$AC$2:$AC$25,ROW()-3),'V_Mutlak Getiri'!$AC$2:$AC$25,0))</f>
        <v/>
      </c>
      <c r="I19" s="9">
        <f>INDEX('V_Mutlak Getiri'!H$2:H$25,MATCH(LARGE('V_Mutlak Getiri'!$AC$2:$AC$25,ROW()-3),'V_Mutlak Getiri'!$AC$2:$AC$25,0))</f>
        <v/>
      </c>
      <c r="J19" s="9">
        <f>INDEX('V_Mutlak Getiri'!I$2:I$25,MATCH(LARGE('V_Mutlak Getiri'!$AC$2:$AC$25,ROW()-3),'V_Mutlak Getiri'!$AC$2:$AC$25,0))</f>
        <v/>
      </c>
      <c r="K19" s="10">
        <f>INDEX('V_Mutlak Getiri'!J$2:J$25,MATCH(LARGE('V_Mutlak Getiri'!$AC$2:$AC$25,ROW()-3),'V_Mutlak Getiri'!$AC$2:$AC$25,0))</f>
        <v/>
      </c>
      <c r="L19" s="10">
        <f>INDEX('V_Mutlak Getiri'!K$2:K$25,MATCH(LARGE('V_Mutlak Getiri'!$AC$2:$AC$25,ROW()-3),'V_Mutlak Getiri'!$AC$2:$AC$25,0))</f>
        <v/>
      </c>
      <c r="M19" s="8">
        <f>INDEX('V_Mutlak Getiri'!L$2:L$25,MATCH(LARGE('V_Mutlak Getiri'!$AC$2:$AC$25,ROW()-3),'V_Mutlak Getiri'!$AC$2:$AC$25,0))</f>
        <v/>
      </c>
      <c r="N19" s="11">
        <f>INDEX('V_Mutlak Getiri'!M$2:M$25,MATCH(LARGE('V_Mutlak Getiri'!$AC$2:$AC$25,ROW()-3),'V_Mutlak Getiri'!$AC$2:$AC$25,0))</f>
        <v/>
      </c>
      <c r="O19" s="11">
        <f>INDEX('V_Mutlak Getiri'!N$2:N$25,MATCH(LARGE('V_Mutlak Getiri'!$AC$2:$AC$25,ROW()-3),'V_Mutlak Getiri'!$AC$2:$AC$25,0))</f>
        <v/>
      </c>
      <c r="P19" s="8">
        <f>INDEX('V_Mutlak Getiri'!O$2:O$25,MATCH(LARGE('V_Mutlak Getiri'!$AC$2:$AC$25,ROW()-3),'V_Mutlak Getiri'!$AC$2:$AC$25,0))</f>
        <v/>
      </c>
      <c r="Q19" s="9">
        <f>INDEX('V_Mutlak Getiri'!P$2:P$25,MATCH(LARGE('V_Mutlak Getiri'!$AC$2:$AC$25,ROW()-3),'V_Mutlak Getiri'!$AC$2:$AC$25,0))</f>
        <v/>
      </c>
      <c r="R19" s="5">
        <f>INDEX('V_Mutlak Getiri'!Q$2:Q$25,MATCH(LARGE('V_Mutlak Getiri'!$AC$2:$AC$25,ROW()-3),'V_Mutlak Getiri'!$AC$2:$AC$25,0))</f>
        <v/>
      </c>
      <c r="S19" s="8">
        <f>INDEX('V_Mutlak Getiri'!R$2:R$25,MATCH(LARGE('V_Mutlak Getiri'!$AC$2:$AC$25,ROW()-3),'V_Mutlak Getiri'!$AC$2:$AC$25,0))</f>
        <v/>
      </c>
      <c r="T19" s="8">
        <f>INDEX('V_Mutlak Getiri'!S$2:S$25,MATCH(LARGE('V_Mutlak Getiri'!$AC$2:$AC$25,ROW()-3),'V_Mutlak Getiri'!$AC$2:$AC$25,0))</f>
        <v/>
      </c>
      <c r="U19" s="8">
        <f>INDEX('V_Mutlak Getiri'!T$2:T$25,MATCH(LARGE('V_Mutlak Getiri'!$AC$2:$AC$25,ROW()-3),'V_Mutlak Getiri'!$AC$2:$AC$25,0))</f>
        <v/>
      </c>
      <c r="V19" s="8">
        <f>INDEX('V_Mutlak Getiri'!U$2:U$25,MATCH(LARGE('V_Mutlak Getiri'!$AC$2:$AC$25,ROW()-3),'V_Mutlak Getiri'!$AC$2:$AC$25,0))</f>
        <v/>
      </c>
      <c r="W19" s="8">
        <f>INDEX('V_Mutlak Getiri'!V$2:V$25,MATCH(LARGE('V_Mutlak Getiri'!$AC$2:$AC$25,ROW()-3),'V_Mutlak Getiri'!$AC$2:$AC$25,0))</f>
        <v/>
      </c>
      <c r="X19" s="8">
        <f>INDEX('V_Mutlak Getiri'!W$2:W$25,MATCH(LARGE('V_Mutlak Getiri'!$AC$2:$AC$25,ROW()-3),'V_Mutlak Getiri'!$AC$2:$AC$25,0))</f>
        <v/>
      </c>
      <c r="Y19" s="8">
        <f>INDEX('V_Mutlak Getiri'!X$2:X$25,MATCH(LARGE('V_Mutlak Getiri'!$AC$2:$AC$25,ROW()-3),'V_Mutlak Getiri'!$AC$2:$AC$25,0))</f>
        <v/>
      </c>
      <c r="Z19" s="8">
        <f>INDEX('V_Mutlak Getiri'!Y$2:Y$25,MATCH(LARGE('V_Mutlak Getiri'!$AC$2:$AC$25,ROW()-3),'V_Mutlak Getiri'!$AC$2:$AC$25,0))</f>
        <v/>
      </c>
      <c r="AA19" s="8">
        <f>INDEX('V_Mutlak Getiri'!Z$2:Z$25,MATCH(LARGE('V_Mutlak Getiri'!$AC$2:$AC$25,ROW()-3),'V_Mutlak Getiri'!$AC$2:$AC$25,0))</f>
        <v/>
      </c>
      <c r="AB19" s="8">
        <f>INDEX('V_Mutlak Getiri'!AA$2:AA$25,MATCH(LARGE('V_Mutlak Getiri'!$AC$2:$AC$25,ROW()-3),'V_Mutlak Getiri'!$AC$2:$AC$25,0))</f>
        <v/>
      </c>
    </row>
    <row r="20">
      <c r="A20" t="n">
        <v>17</v>
      </c>
      <c r="B20" s="5">
        <f>INDEX('V_Mutlak Getiri'!A$2:A$25,MATCH(LARGE('V_Mutlak Getiri'!$AC$2:$AC$25,ROW()-3),'V_Mutlak Getiri'!$AC$2:$AC$25,0))</f>
        <v/>
      </c>
      <c r="C20" s="5">
        <f>INDEX('V_Mutlak Getiri'!B$2:B$25,MATCH(LARGE('V_Mutlak Getiri'!$AC$2:$AC$25,ROW()-3),'V_Mutlak Getiri'!$AC$2:$AC$25,0))</f>
        <v/>
      </c>
      <c r="D20" s="5">
        <f>INDEX('V_Mutlak Getiri'!C$2:C$25,MATCH(LARGE('V_Mutlak Getiri'!$AC$2:$AC$25,ROW()-3),'V_Mutlak Getiri'!$AC$2:$AC$25,0))</f>
        <v/>
      </c>
      <c r="E20" s="8">
        <f>INDEX('V_Mutlak Getiri'!D$2:D$25,MATCH(LARGE('V_Mutlak Getiri'!$AC$2:$AC$25,ROW()-3),'V_Mutlak Getiri'!$AC$2:$AC$25,0))</f>
        <v/>
      </c>
      <c r="F20" s="9">
        <f>INDEX('V_Mutlak Getiri'!E$2:E$25,MATCH(LARGE('V_Mutlak Getiri'!$AC$2:$AC$25,ROW()-3),'V_Mutlak Getiri'!$AC$2:$AC$25,0))</f>
        <v/>
      </c>
      <c r="G20" s="9">
        <f>INDEX('V_Mutlak Getiri'!F$2:F$25,MATCH(LARGE('V_Mutlak Getiri'!$AC$2:$AC$25,ROW()-3),'V_Mutlak Getiri'!$AC$2:$AC$25,0))</f>
        <v/>
      </c>
      <c r="H20" s="9">
        <f>INDEX('V_Mutlak Getiri'!G$2:G$25,MATCH(LARGE('V_Mutlak Getiri'!$AC$2:$AC$25,ROW()-3),'V_Mutlak Getiri'!$AC$2:$AC$25,0))</f>
        <v/>
      </c>
      <c r="I20" s="9">
        <f>INDEX('V_Mutlak Getiri'!H$2:H$25,MATCH(LARGE('V_Mutlak Getiri'!$AC$2:$AC$25,ROW()-3),'V_Mutlak Getiri'!$AC$2:$AC$25,0))</f>
        <v/>
      </c>
      <c r="J20" s="9">
        <f>INDEX('V_Mutlak Getiri'!I$2:I$25,MATCH(LARGE('V_Mutlak Getiri'!$AC$2:$AC$25,ROW()-3),'V_Mutlak Getiri'!$AC$2:$AC$25,0))</f>
        <v/>
      </c>
      <c r="K20" s="10">
        <f>INDEX('V_Mutlak Getiri'!J$2:J$25,MATCH(LARGE('V_Mutlak Getiri'!$AC$2:$AC$25,ROW()-3),'V_Mutlak Getiri'!$AC$2:$AC$25,0))</f>
        <v/>
      </c>
      <c r="L20" s="10">
        <f>INDEX('V_Mutlak Getiri'!K$2:K$25,MATCH(LARGE('V_Mutlak Getiri'!$AC$2:$AC$25,ROW()-3),'V_Mutlak Getiri'!$AC$2:$AC$25,0))</f>
        <v/>
      </c>
      <c r="M20" s="8">
        <f>INDEX('V_Mutlak Getiri'!L$2:L$25,MATCH(LARGE('V_Mutlak Getiri'!$AC$2:$AC$25,ROW()-3),'V_Mutlak Getiri'!$AC$2:$AC$25,0))</f>
        <v/>
      </c>
      <c r="N20" s="11">
        <f>INDEX('V_Mutlak Getiri'!M$2:M$25,MATCH(LARGE('V_Mutlak Getiri'!$AC$2:$AC$25,ROW()-3),'V_Mutlak Getiri'!$AC$2:$AC$25,0))</f>
        <v/>
      </c>
      <c r="O20" s="11">
        <f>INDEX('V_Mutlak Getiri'!N$2:N$25,MATCH(LARGE('V_Mutlak Getiri'!$AC$2:$AC$25,ROW()-3),'V_Mutlak Getiri'!$AC$2:$AC$25,0))</f>
        <v/>
      </c>
      <c r="P20" s="8">
        <f>INDEX('V_Mutlak Getiri'!O$2:O$25,MATCH(LARGE('V_Mutlak Getiri'!$AC$2:$AC$25,ROW()-3),'V_Mutlak Getiri'!$AC$2:$AC$25,0))</f>
        <v/>
      </c>
      <c r="Q20" s="9">
        <f>INDEX('V_Mutlak Getiri'!P$2:P$25,MATCH(LARGE('V_Mutlak Getiri'!$AC$2:$AC$25,ROW()-3),'V_Mutlak Getiri'!$AC$2:$AC$25,0))</f>
        <v/>
      </c>
      <c r="R20" s="5">
        <f>INDEX('V_Mutlak Getiri'!Q$2:Q$25,MATCH(LARGE('V_Mutlak Getiri'!$AC$2:$AC$25,ROW()-3),'V_Mutlak Getiri'!$AC$2:$AC$25,0))</f>
        <v/>
      </c>
      <c r="S20" s="8">
        <f>INDEX('V_Mutlak Getiri'!R$2:R$25,MATCH(LARGE('V_Mutlak Getiri'!$AC$2:$AC$25,ROW()-3),'V_Mutlak Getiri'!$AC$2:$AC$25,0))</f>
        <v/>
      </c>
      <c r="T20" s="8">
        <f>INDEX('V_Mutlak Getiri'!S$2:S$25,MATCH(LARGE('V_Mutlak Getiri'!$AC$2:$AC$25,ROW()-3),'V_Mutlak Getiri'!$AC$2:$AC$25,0))</f>
        <v/>
      </c>
      <c r="U20" s="8">
        <f>INDEX('V_Mutlak Getiri'!T$2:T$25,MATCH(LARGE('V_Mutlak Getiri'!$AC$2:$AC$25,ROW()-3),'V_Mutlak Getiri'!$AC$2:$AC$25,0))</f>
        <v/>
      </c>
      <c r="V20" s="8">
        <f>INDEX('V_Mutlak Getiri'!U$2:U$25,MATCH(LARGE('V_Mutlak Getiri'!$AC$2:$AC$25,ROW()-3),'V_Mutlak Getiri'!$AC$2:$AC$25,0))</f>
        <v/>
      </c>
      <c r="W20" s="8">
        <f>INDEX('V_Mutlak Getiri'!V$2:V$25,MATCH(LARGE('V_Mutlak Getiri'!$AC$2:$AC$25,ROW()-3),'V_Mutlak Getiri'!$AC$2:$AC$25,0))</f>
        <v/>
      </c>
      <c r="X20" s="8">
        <f>INDEX('V_Mutlak Getiri'!W$2:W$25,MATCH(LARGE('V_Mutlak Getiri'!$AC$2:$AC$25,ROW()-3),'V_Mutlak Getiri'!$AC$2:$AC$25,0))</f>
        <v/>
      </c>
      <c r="Y20" s="8">
        <f>INDEX('V_Mutlak Getiri'!X$2:X$25,MATCH(LARGE('V_Mutlak Getiri'!$AC$2:$AC$25,ROW()-3),'V_Mutlak Getiri'!$AC$2:$AC$25,0))</f>
        <v/>
      </c>
      <c r="Z20" s="8">
        <f>INDEX('V_Mutlak Getiri'!Y$2:Y$25,MATCH(LARGE('V_Mutlak Getiri'!$AC$2:$AC$25,ROW()-3),'V_Mutlak Getiri'!$AC$2:$AC$25,0))</f>
        <v/>
      </c>
      <c r="AA20" s="8">
        <f>INDEX('V_Mutlak Getiri'!Z$2:Z$25,MATCH(LARGE('V_Mutlak Getiri'!$AC$2:$AC$25,ROW()-3),'V_Mutlak Getiri'!$AC$2:$AC$25,0))</f>
        <v/>
      </c>
      <c r="AB20" s="8">
        <f>INDEX('V_Mutlak Getiri'!AA$2:AA$25,MATCH(LARGE('V_Mutlak Getiri'!$AC$2:$AC$25,ROW()-3),'V_Mutlak Getiri'!$AC$2:$AC$25,0))</f>
        <v/>
      </c>
    </row>
    <row r="21">
      <c r="A21" t="n">
        <v>18</v>
      </c>
      <c r="B21" s="5">
        <f>INDEX('V_Mutlak Getiri'!A$2:A$25,MATCH(LARGE('V_Mutlak Getiri'!$AC$2:$AC$25,ROW()-3),'V_Mutlak Getiri'!$AC$2:$AC$25,0))</f>
        <v/>
      </c>
      <c r="C21" s="5">
        <f>INDEX('V_Mutlak Getiri'!B$2:B$25,MATCH(LARGE('V_Mutlak Getiri'!$AC$2:$AC$25,ROW()-3),'V_Mutlak Getiri'!$AC$2:$AC$25,0))</f>
        <v/>
      </c>
      <c r="D21" s="5">
        <f>INDEX('V_Mutlak Getiri'!C$2:C$25,MATCH(LARGE('V_Mutlak Getiri'!$AC$2:$AC$25,ROW()-3),'V_Mutlak Getiri'!$AC$2:$AC$25,0))</f>
        <v/>
      </c>
      <c r="E21" s="8">
        <f>INDEX('V_Mutlak Getiri'!D$2:D$25,MATCH(LARGE('V_Mutlak Getiri'!$AC$2:$AC$25,ROW()-3),'V_Mutlak Getiri'!$AC$2:$AC$25,0))</f>
        <v/>
      </c>
      <c r="F21" s="9">
        <f>INDEX('V_Mutlak Getiri'!E$2:E$25,MATCH(LARGE('V_Mutlak Getiri'!$AC$2:$AC$25,ROW()-3),'V_Mutlak Getiri'!$AC$2:$AC$25,0))</f>
        <v/>
      </c>
      <c r="G21" s="9">
        <f>INDEX('V_Mutlak Getiri'!F$2:F$25,MATCH(LARGE('V_Mutlak Getiri'!$AC$2:$AC$25,ROW()-3),'V_Mutlak Getiri'!$AC$2:$AC$25,0))</f>
        <v/>
      </c>
      <c r="H21" s="9">
        <f>INDEX('V_Mutlak Getiri'!G$2:G$25,MATCH(LARGE('V_Mutlak Getiri'!$AC$2:$AC$25,ROW()-3),'V_Mutlak Getiri'!$AC$2:$AC$25,0))</f>
        <v/>
      </c>
      <c r="I21" s="9">
        <f>INDEX('V_Mutlak Getiri'!H$2:H$25,MATCH(LARGE('V_Mutlak Getiri'!$AC$2:$AC$25,ROW()-3),'V_Mutlak Getiri'!$AC$2:$AC$25,0))</f>
        <v/>
      </c>
      <c r="J21" s="9">
        <f>INDEX('V_Mutlak Getiri'!I$2:I$25,MATCH(LARGE('V_Mutlak Getiri'!$AC$2:$AC$25,ROW()-3),'V_Mutlak Getiri'!$AC$2:$AC$25,0))</f>
        <v/>
      </c>
      <c r="K21" s="10">
        <f>INDEX('V_Mutlak Getiri'!J$2:J$25,MATCH(LARGE('V_Mutlak Getiri'!$AC$2:$AC$25,ROW()-3),'V_Mutlak Getiri'!$AC$2:$AC$25,0))</f>
        <v/>
      </c>
      <c r="L21" s="10">
        <f>INDEX('V_Mutlak Getiri'!K$2:K$25,MATCH(LARGE('V_Mutlak Getiri'!$AC$2:$AC$25,ROW()-3),'V_Mutlak Getiri'!$AC$2:$AC$25,0))</f>
        <v/>
      </c>
      <c r="M21" s="8">
        <f>INDEX('V_Mutlak Getiri'!L$2:L$25,MATCH(LARGE('V_Mutlak Getiri'!$AC$2:$AC$25,ROW()-3),'V_Mutlak Getiri'!$AC$2:$AC$25,0))</f>
        <v/>
      </c>
      <c r="N21" s="11">
        <f>INDEX('V_Mutlak Getiri'!M$2:M$25,MATCH(LARGE('V_Mutlak Getiri'!$AC$2:$AC$25,ROW()-3),'V_Mutlak Getiri'!$AC$2:$AC$25,0))</f>
        <v/>
      </c>
      <c r="O21" s="11">
        <f>INDEX('V_Mutlak Getiri'!N$2:N$25,MATCH(LARGE('V_Mutlak Getiri'!$AC$2:$AC$25,ROW()-3),'V_Mutlak Getiri'!$AC$2:$AC$25,0))</f>
        <v/>
      </c>
      <c r="P21" s="8">
        <f>INDEX('V_Mutlak Getiri'!O$2:O$25,MATCH(LARGE('V_Mutlak Getiri'!$AC$2:$AC$25,ROW()-3),'V_Mutlak Getiri'!$AC$2:$AC$25,0))</f>
        <v/>
      </c>
      <c r="Q21" s="9">
        <f>INDEX('V_Mutlak Getiri'!P$2:P$25,MATCH(LARGE('V_Mutlak Getiri'!$AC$2:$AC$25,ROW()-3),'V_Mutlak Getiri'!$AC$2:$AC$25,0))</f>
        <v/>
      </c>
      <c r="R21" s="5">
        <f>INDEX('V_Mutlak Getiri'!Q$2:Q$25,MATCH(LARGE('V_Mutlak Getiri'!$AC$2:$AC$25,ROW()-3),'V_Mutlak Getiri'!$AC$2:$AC$25,0))</f>
        <v/>
      </c>
      <c r="S21" s="8">
        <f>INDEX('V_Mutlak Getiri'!R$2:R$25,MATCH(LARGE('V_Mutlak Getiri'!$AC$2:$AC$25,ROW()-3),'V_Mutlak Getiri'!$AC$2:$AC$25,0))</f>
        <v/>
      </c>
      <c r="T21" s="8">
        <f>INDEX('V_Mutlak Getiri'!S$2:S$25,MATCH(LARGE('V_Mutlak Getiri'!$AC$2:$AC$25,ROW()-3),'V_Mutlak Getiri'!$AC$2:$AC$25,0))</f>
        <v/>
      </c>
      <c r="U21" s="8">
        <f>INDEX('V_Mutlak Getiri'!T$2:T$25,MATCH(LARGE('V_Mutlak Getiri'!$AC$2:$AC$25,ROW()-3),'V_Mutlak Getiri'!$AC$2:$AC$25,0))</f>
        <v/>
      </c>
      <c r="V21" s="8">
        <f>INDEX('V_Mutlak Getiri'!U$2:U$25,MATCH(LARGE('V_Mutlak Getiri'!$AC$2:$AC$25,ROW()-3),'V_Mutlak Getiri'!$AC$2:$AC$25,0))</f>
        <v/>
      </c>
      <c r="W21" s="8">
        <f>INDEX('V_Mutlak Getiri'!V$2:V$25,MATCH(LARGE('V_Mutlak Getiri'!$AC$2:$AC$25,ROW()-3),'V_Mutlak Getiri'!$AC$2:$AC$25,0))</f>
        <v/>
      </c>
      <c r="X21" s="8">
        <f>INDEX('V_Mutlak Getiri'!W$2:W$25,MATCH(LARGE('V_Mutlak Getiri'!$AC$2:$AC$25,ROW()-3),'V_Mutlak Getiri'!$AC$2:$AC$25,0))</f>
        <v/>
      </c>
      <c r="Y21" s="8">
        <f>INDEX('V_Mutlak Getiri'!X$2:X$25,MATCH(LARGE('V_Mutlak Getiri'!$AC$2:$AC$25,ROW()-3),'V_Mutlak Getiri'!$AC$2:$AC$25,0))</f>
        <v/>
      </c>
      <c r="Z21" s="8">
        <f>INDEX('V_Mutlak Getiri'!Y$2:Y$25,MATCH(LARGE('V_Mutlak Getiri'!$AC$2:$AC$25,ROW()-3),'V_Mutlak Getiri'!$AC$2:$AC$25,0))</f>
        <v/>
      </c>
      <c r="AA21" s="8">
        <f>INDEX('V_Mutlak Getiri'!Z$2:Z$25,MATCH(LARGE('V_Mutlak Getiri'!$AC$2:$AC$25,ROW()-3),'V_Mutlak Getiri'!$AC$2:$AC$25,0))</f>
        <v/>
      </c>
      <c r="AB21" s="8">
        <f>INDEX('V_Mutlak Getiri'!AA$2:AA$25,MATCH(LARGE('V_Mutlak Getiri'!$AC$2:$AC$25,ROW()-3),'V_Mutlak Getiri'!$AC$2:$AC$25,0))</f>
        <v/>
      </c>
    </row>
    <row r="22">
      <c r="A22" t="n">
        <v>19</v>
      </c>
      <c r="B22" s="5">
        <f>INDEX('V_Mutlak Getiri'!A$2:A$25,MATCH(LARGE('V_Mutlak Getiri'!$AC$2:$AC$25,ROW()-3),'V_Mutlak Getiri'!$AC$2:$AC$25,0))</f>
        <v/>
      </c>
      <c r="C22" s="5">
        <f>INDEX('V_Mutlak Getiri'!B$2:B$25,MATCH(LARGE('V_Mutlak Getiri'!$AC$2:$AC$25,ROW()-3),'V_Mutlak Getiri'!$AC$2:$AC$25,0))</f>
        <v/>
      </c>
      <c r="D22" s="5">
        <f>INDEX('V_Mutlak Getiri'!C$2:C$25,MATCH(LARGE('V_Mutlak Getiri'!$AC$2:$AC$25,ROW()-3),'V_Mutlak Getiri'!$AC$2:$AC$25,0))</f>
        <v/>
      </c>
      <c r="E22" s="8">
        <f>INDEX('V_Mutlak Getiri'!D$2:D$25,MATCH(LARGE('V_Mutlak Getiri'!$AC$2:$AC$25,ROW()-3),'V_Mutlak Getiri'!$AC$2:$AC$25,0))</f>
        <v/>
      </c>
      <c r="F22" s="9">
        <f>INDEX('V_Mutlak Getiri'!E$2:E$25,MATCH(LARGE('V_Mutlak Getiri'!$AC$2:$AC$25,ROW()-3),'V_Mutlak Getiri'!$AC$2:$AC$25,0))</f>
        <v/>
      </c>
      <c r="G22" s="9">
        <f>INDEX('V_Mutlak Getiri'!F$2:F$25,MATCH(LARGE('V_Mutlak Getiri'!$AC$2:$AC$25,ROW()-3),'V_Mutlak Getiri'!$AC$2:$AC$25,0))</f>
        <v/>
      </c>
      <c r="H22" s="9">
        <f>INDEX('V_Mutlak Getiri'!G$2:G$25,MATCH(LARGE('V_Mutlak Getiri'!$AC$2:$AC$25,ROW()-3),'V_Mutlak Getiri'!$AC$2:$AC$25,0))</f>
        <v/>
      </c>
      <c r="I22" s="9">
        <f>INDEX('V_Mutlak Getiri'!H$2:H$25,MATCH(LARGE('V_Mutlak Getiri'!$AC$2:$AC$25,ROW()-3),'V_Mutlak Getiri'!$AC$2:$AC$25,0))</f>
        <v/>
      </c>
      <c r="J22" s="9">
        <f>INDEX('V_Mutlak Getiri'!I$2:I$25,MATCH(LARGE('V_Mutlak Getiri'!$AC$2:$AC$25,ROW()-3),'V_Mutlak Getiri'!$AC$2:$AC$25,0))</f>
        <v/>
      </c>
      <c r="K22" s="10">
        <f>INDEX('V_Mutlak Getiri'!J$2:J$25,MATCH(LARGE('V_Mutlak Getiri'!$AC$2:$AC$25,ROW()-3),'V_Mutlak Getiri'!$AC$2:$AC$25,0))</f>
        <v/>
      </c>
      <c r="L22" s="10">
        <f>INDEX('V_Mutlak Getiri'!K$2:K$25,MATCH(LARGE('V_Mutlak Getiri'!$AC$2:$AC$25,ROW()-3),'V_Mutlak Getiri'!$AC$2:$AC$25,0))</f>
        <v/>
      </c>
      <c r="M22" s="8">
        <f>INDEX('V_Mutlak Getiri'!L$2:L$25,MATCH(LARGE('V_Mutlak Getiri'!$AC$2:$AC$25,ROW()-3),'V_Mutlak Getiri'!$AC$2:$AC$25,0))</f>
        <v/>
      </c>
      <c r="N22" s="11">
        <f>INDEX('V_Mutlak Getiri'!M$2:M$25,MATCH(LARGE('V_Mutlak Getiri'!$AC$2:$AC$25,ROW()-3),'V_Mutlak Getiri'!$AC$2:$AC$25,0))</f>
        <v/>
      </c>
      <c r="O22" s="11">
        <f>INDEX('V_Mutlak Getiri'!N$2:N$25,MATCH(LARGE('V_Mutlak Getiri'!$AC$2:$AC$25,ROW()-3),'V_Mutlak Getiri'!$AC$2:$AC$25,0))</f>
        <v/>
      </c>
      <c r="P22" s="8">
        <f>INDEX('V_Mutlak Getiri'!O$2:O$25,MATCH(LARGE('V_Mutlak Getiri'!$AC$2:$AC$25,ROW()-3),'V_Mutlak Getiri'!$AC$2:$AC$25,0))</f>
        <v/>
      </c>
      <c r="Q22" s="9">
        <f>INDEX('V_Mutlak Getiri'!P$2:P$25,MATCH(LARGE('V_Mutlak Getiri'!$AC$2:$AC$25,ROW()-3),'V_Mutlak Getiri'!$AC$2:$AC$25,0))</f>
        <v/>
      </c>
      <c r="R22" s="5">
        <f>INDEX('V_Mutlak Getiri'!Q$2:Q$25,MATCH(LARGE('V_Mutlak Getiri'!$AC$2:$AC$25,ROW()-3),'V_Mutlak Getiri'!$AC$2:$AC$25,0))</f>
        <v/>
      </c>
      <c r="S22" s="8">
        <f>INDEX('V_Mutlak Getiri'!R$2:R$25,MATCH(LARGE('V_Mutlak Getiri'!$AC$2:$AC$25,ROW()-3),'V_Mutlak Getiri'!$AC$2:$AC$25,0))</f>
        <v/>
      </c>
      <c r="T22" s="8">
        <f>INDEX('V_Mutlak Getiri'!S$2:S$25,MATCH(LARGE('V_Mutlak Getiri'!$AC$2:$AC$25,ROW()-3),'V_Mutlak Getiri'!$AC$2:$AC$25,0))</f>
        <v/>
      </c>
      <c r="U22" s="8">
        <f>INDEX('V_Mutlak Getiri'!T$2:T$25,MATCH(LARGE('V_Mutlak Getiri'!$AC$2:$AC$25,ROW()-3),'V_Mutlak Getiri'!$AC$2:$AC$25,0))</f>
        <v/>
      </c>
      <c r="V22" s="8">
        <f>INDEX('V_Mutlak Getiri'!U$2:U$25,MATCH(LARGE('V_Mutlak Getiri'!$AC$2:$AC$25,ROW()-3),'V_Mutlak Getiri'!$AC$2:$AC$25,0))</f>
        <v/>
      </c>
      <c r="W22" s="8">
        <f>INDEX('V_Mutlak Getiri'!V$2:V$25,MATCH(LARGE('V_Mutlak Getiri'!$AC$2:$AC$25,ROW()-3),'V_Mutlak Getiri'!$AC$2:$AC$25,0))</f>
        <v/>
      </c>
      <c r="X22" s="8">
        <f>INDEX('V_Mutlak Getiri'!W$2:W$25,MATCH(LARGE('V_Mutlak Getiri'!$AC$2:$AC$25,ROW()-3),'V_Mutlak Getiri'!$AC$2:$AC$25,0))</f>
        <v/>
      </c>
      <c r="Y22" s="8">
        <f>INDEX('V_Mutlak Getiri'!X$2:X$25,MATCH(LARGE('V_Mutlak Getiri'!$AC$2:$AC$25,ROW()-3),'V_Mutlak Getiri'!$AC$2:$AC$25,0))</f>
        <v/>
      </c>
      <c r="Z22" s="8">
        <f>INDEX('V_Mutlak Getiri'!Y$2:Y$25,MATCH(LARGE('V_Mutlak Getiri'!$AC$2:$AC$25,ROW()-3),'V_Mutlak Getiri'!$AC$2:$AC$25,0))</f>
        <v/>
      </c>
      <c r="AA22" s="8">
        <f>INDEX('V_Mutlak Getiri'!Z$2:Z$25,MATCH(LARGE('V_Mutlak Getiri'!$AC$2:$AC$25,ROW()-3),'V_Mutlak Getiri'!$AC$2:$AC$25,0))</f>
        <v/>
      </c>
      <c r="AB22" s="8">
        <f>INDEX('V_Mutlak Getiri'!AA$2:AA$25,MATCH(LARGE('V_Mutlak Getiri'!$AC$2:$AC$25,ROW()-3),'V_Mutlak Getiri'!$AC$2:$AC$25,0))</f>
        <v/>
      </c>
    </row>
    <row r="23">
      <c r="A23" t="n">
        <v>20</v>
      </c>
      <c r="B23" s="5">
        <f>INDEX('V_Mutlak Getiri'!A$2:A$25,MATCH(LARGE('V_Mutlak Getiri'!$AC$2:$AC$25,ROW()-3),'V_Mutlak Getiri'!$AC$2:$AC$25,0))</f>
        <v/>
      </c>
      <c r="C23" s="5">
        <f>INDEX('V_Mutlak Getiri'!B$2:B$25,MATCH(LARGE('V_Mutlak Getiri'!$AC$2:$AC$25,ROW()-3),'V_Mutlak Getiri'!$AC$2:$AC$25,0))</f>
        <v/>
      </c>
      <c r="D23" s="5">
        <f>INDEX('V_Mutlak Getiri'!C$2:C$25,MATCH(LARGE('V_Mutlak Getiri'!$AC$2:$AC$25,ROW()-3),'V_Mutlak Getiri'!$AC$2:$AC$25,0))</f>
        <v/>
      </c>
      <c r="E23" s="8">
        <f>INDEX('V_Mutlak Getiri'!D$2:D$25,MATCH(LARGE('V_Mutlak Getiri'!$AC$2:$AC$25,ROW()-3),'V_Mutlak Getiri'!$AC$2:$AC$25,0))</f>
        <v/>
      </c>
      <c r="F23" s="9">
        <f>INDEX('V_Mutlak Getiri'!E$2:E$25,MATCH(LARGE('V_Mutlak Getiri'!$AC$2:$AC$25,ROW()-3),'V_Mutlak Getiri'!$AC$2:$AC$25,0))</f>
        <v/>
      </c>
      <c r="G23" s="9">
        <f>INDEX('V_Mutlak Getiri'!F$2:F$25,MATCH(LARGE('V_Mutlak Getiri'!$AC$2:$AC$25,ROW()-3),'V_Mutlak Getiri'!$AC$2:$AC$25,0))</f>
        <v/>
      </c>
      <c r="H23" s="9">
        <f>INDEX('V_Mutlak Getiri'!G$2:G$25,MATCH(LARGE('V_Mutlak Getiri'!$AC$2:$AC$25,ROW()-3),'V_Mutlak Getiri'!$AC$2:$AC$25,0))</f>
        <v/>
      </c>
      <c r="I23" s="9">
        <f>INDEX('V_Mutlak Getiri'!H$2:H$25,MATCH(LARGE('V_Mutlak Getiri'!$AC$2:$AC$25,ROW()-3),'V_Mutlak Getiri'!$AC$2:$AC$25,0))</f>
        <v/>
      </c>
      <c r="J23" s="9">
        <f>INDEX('V_Mutlak Getiri'!I$2:I$25,MATCH(LARGE('V_Mutlak Getiri'!$AC$2:$AC$25,ROW()-3),'V_Mutlak Getiri'!$AC$2:$AC$25,0))</f>
        <v/>
      </c>
      <c r="K23" s="10">
        <f>INDEX('V_Mutlak Getiri'!J$2:J$25,MATCH(LARGE('V_Mutlak Getiri'!$AC$2:$AC$25,ROW()-3),'V_Mutlak Getiri'!$AC$2:$AC$25,0))</f>
        <v/>
      </c>
      <c r="L23" s="10">
        <f>INDEX('V_Mutlak Getiri'!K$2:K$25,MATCH(LARGE('V_Mutlak Getiri'!$AC$2:$AC$25,ROW()-3),'V_Mutlak Getiri'!$AC$2:$AC$25,0))</f>
        <v/>
      </c>
      <c r="M23" s="8">
        <f>INDEX('V_Mutlak Getiri'!L$2:L$25,MATCH(LARGE('V_Mutlak Getiri'!$AC$2:$AC$25,ROW()-3),'V_Mutlak Getiri'!$AC$2:$AC$25,0))</f>
        <v/>
      </c>
      <c r="N23" s="11">
        <f>INDEX('V_Mutlak Getiri'!M$2:M$25,MATCH(LARGE('V_Mutlak Getiri'!$AC$2:$AC$25,ROW()-3),'V_Mutlak Getiri'!$AC$2:$AC$25,0))</f>
        <v/>
      </c>
      <c r="O23" s="11">
        <f>INDEX('V_Mutlak Getiri'!N$2:N$25,MATCH(LARGE('V_Mutlak Getiri'!$AC$2:$AC$25,ROW()-3),'V_Mutlak Getiri'!$AC$2:$AC$25,0))</f>
        <v/>
      </c>
      <c r="P23" s="8">
        <f>INDEX('V_Mutlak Getiri'!O$2:O$25,MATCH(LARGE('V_Mutlak Getiri'!$AC$2:$AC$25,ROW()-3),'V_Mutlak Getiri'!$AC$2:$AC$25,0))</f>
        <v/>
      </c>
      <c r="Q23" s="9">
        <f>INDEX('V_Mutlak Getiri'!P$2:P$25,MATCH(LARGE('V_Mutlak Getiri'!$AC$2:$AC$25,ROW()-3),'V_Mutlak Getiri'!$AC$2:$AC$25,0))</f>
        <v/>
      </c>
      <c r="R23" s="5">
        <f>INDEX('V_Mutlak Getiri'!Q$2:Q$25,MATCH(LARGE('V_Mutlak Getiri'!$AC$2:$AC$25,ROW()-3),'V_Mutlak Getiri'!$AC$2:$AC$25,0))</f>
        <v/>
      </c>
      <c r="S23" s="8">
        <f>INDEX('V_Mutlak Getiri'!R$2:R$25,MATCH(LARGE('V_Mutlak Getiri'!$AC$2:$AC$25,ROW()-3),'V_Mutlak Getiri'!$AC$2:$AC$25,0))</f>
        <v/>
      </c>
      <c r="T23" s="8">
        <f>INDEX('V_Mutlak Getiri'!S$2:S$25,MATCH(LARGE('V_Mutlak Getiri'!$AC$2:$AC$25,ROW()-3),'V_Mutlak Getiri'!$AC$2:$AC$25,0))</f>
        <v/>
      </c>
      <c r="U23" s="8">
        <f>INDEX('V_Mutlak Getiri'!T$2:T$25,MATCH(LARGE('V_Mutlak Getiri'!$AC$2:$AC$25,ROW()-3),'V_Mutlak Getiri'!$AC$2:$AC$25,0))</f>
        <v/>
      </c>
      <c r="V23" s="8">
        <f>INDEX('V_Mutlak Getiri'!U$2:U$25,MATCH(LARGE('V_Mutlak Getiri'!$AC$2:$AC$25,ROW()-3),'V_Mutlak Getiri'!$AC$2:$AC$25,0))</f>
        <v/>
      </c>
      <c r="W23" s="8">
        <f>INDEX('V_Mutlak Getiri'!V$2:V$25,MATCH(LARGE('V_Mutlak Getiri'!$AC$2:$AC$25,ROW()-3),'V_Mutlak Getiri'!$AC$2:$AC$25,0))</f>
        <v/>
      </c>
      <c r="X23" s="8">
        <f>INDEX('V_Mutlak Getiri'!W$2:W$25,MATCH(LARGE('V_Mutlak Getiri'!$AC$2:$AC$25,ROW()-3),'V_Mutlak Getiri'!$AC$2:$AC$25,0))</f>
        <v/>
      </c>
      <c r="Y23" s="8">
        <f>INDEX('V_Mutlak Getiri'!X$2:X$25,MATCH(LARGE('V_Mutlak Getiri'!$AC$2:$AC$25,ROW()-3),'V_Mutlak Getiri'!$AC$2:$AC$25,0))</f>
        <v/>
      </c>
      <c r="Z23" s="8">
        <f>INDEX('V_Mutlak Getiri'!Y$2:Y$25,MATCH(LARGE('V_Mutlak Getiri'!$AC$2:$AC$25,ROW()-3),'V_Mutlak Getiri'!$AC$2:$AC$25,0))</f>
        <v/>
      </c>
      <c r="AA23" s="8">
        <f>INDEX('V_Mutlak Getiri'!Z$2:Z$25,MATCH(LARGE('V_Mutlak Getiri'!$AC$2:$AC$25,ROW()-3),'V_Mutlak Getiri'!$AC$2:$AC$25,0))</f>
        <v/>
      </c>
      <c r="AB23" s="8">
        <f>INDEX('V_Mutlak Getiri'!AA$2:AA$25,MATCH(LARGE('V_Mutlak Getiri'!$AC$2:$AC$25,ROW()-3),'V_Mutlak Getiri'!$AC$2:$AC$25,0))</f>
        <v/>
      </c>
    </row>
    <row r="24">
      <c r="A24" t="n">
        <v>21</v>
      </c>
      <c r="B24" s="5">
        <f>INDEX('V_Mutlak Getiri'!A$2:A$25,MATCH(LARGE('V_Mutlak Getiri'!$AC$2:$AC$25,ROW()-3),'V_Mutlak Getiri'!$AC$2:$AC$25,0))</f>
        <v/>
      </c>
      <c r="C24" s="5">
        <f>INDEX('V_Mutlak Getiri'!B$2:B$25,MATCH(LARGE('V_Mutlak Getiri'!$AC$2:$AC$25,ROW()-3),'V_Mutlak Getiri'!$AC$2:$AC$25,0))</f>
        <v/>
      </c>
      <c r="D24" s="5">
        <f>INDEX('V_Mutlak Getiri'!C$2:C$25,MATCH(LARGE('V_Mutlak Getiri'!$AC$2:$AC$25,ROW()-3),'V_Mutlak Getiri'!$AC$2:$AC$25,0))</f>
        <v/>
      </c>
      <c r="E24" s="8">
        <f>INDEX('V_Mutlak Getiri'!D$2:D$25,MATCH(LARGE('V_Mutlak Getiri'!$AC$2:$AC$25,ROW()-3),'V_Mutlak Getiri'!$AC$2:$AC$25,0))</f>
        <v/>
      </c>
      <c r="F24" s="9">
        <f>INDEX('V_Mutlak Getiri'!E$2:E$25,MATCH(LARGE('V_Mutlak Getiri'!$AC$2:$AC$25,ROW()-3),'V_Mutlak Getiri'!$AC$2:$AC$25,0))</f>
        <v/>
      </c>
      <c r="G24" s="9">
        <f>INDEX('V_Mutlak Getiri'!F$2:F$25,MATCH(LARGE('V_Mutlak Getiri'!$AC$2:$AC$25,ROW()-3),'V_Mutlak Getiri'!$AC$2:$AC$25,0))</f>
        <v/>
      </c>
      <c r="H24" s="9">
        <f>INDEX('V_Mutlak Getiri'!G$2:G$25,MATCH(LARGE('V_Mutlak Getiri'!$AC$2:$AC$25,ROW()-3),'V_Mutlak Getiri'!$AC$2:$AC$25,0))</f>
        <v/>
      </c>
      <c r="I24" s="9">
        <f>INDEX('V_Mutlak Getiri'!H$2:H$25,MATCH(LARGE('V_Mutlak Getiri'!$AC$2:$AC$25,ROW()-3),'V_Mutlak Getiri'!$AC$2:$AC$25,0))</f>
        <v/>
      </c>
      <c r="J24" s="9">
        <f>INDEX('V_Mutlak Getiri'!I$2:I$25,MATCH(LARGE('V_Mutlak Getiri'!$AC$2:$AC$25,ROW()-3),'V_Mutlak Getiri'!$AC$2:$AC$25,0))</f>
        <v/>
      </c>
      <c r="K24" s="10">
        <f>INDEX('V_Mutlak Getiri'!J$2:J$25,MATCH(LARGE('V_Mutlak Getiri'!$AC$2:$AC$25,ROW()-3),'V_Mutlak Getiri'!$AC$2:$AC$25,0))</f>
        <v/>
      </c>
      <c r="L24" s="10">
        <f>INDEX('V_Mutlak Getiri'!K$2:K$25,MATCH(LARGE('V_Mutlak Getiri'!$AC$2:$AC$25,ROW()-3),'V_Mutlak Getiri'!$AC$2:$AC$25,0))</f>
        <v/>
      </c>
      <c r="M24" s="8">
        <f>INDEX('V_Mutlak Getiri'!L$2:L$25,MATCH(LARGE('V_Mutlak Getiri'!$AC$2:$AC$25,ROW()-3),'V_Mutlak Getiri'!$AC$2:$AC$25,0))</f>
        <v/>
      </c>
      <c r="N24" s="11">
        <f>INDEX('V_Mutlak Getiri'!M$2:M$25,MATCH(LARGE('V_Mutlak Getiri'!$AC$2:$AC$25,ROW()-3),'V_Mutlak Getiri'!$AC$2:$AC$25,0))</f>
        <v/>
      </c>
      <c r="O24" s="11">
        <f>INDEX('V_Mutlak Getiri'!N$2:N$25,MATCH(LARGE('V_Mutlak Getiri'!$AC$2:$AC$25,ROW()-3),'V_Mutlak Getiri'!$AC$2:$AC$25,0))</f>
        <v/>
      </c>
      <c r="P24" s="8">
        <f>INDEX('V_Mutlak Getiri'!O$2:O$25,MATCH(LARGE('V_Mutlak Getiri'!$AC$2:$AC$25,ROW()-3),'V_Mutlak Getiri'!$AC$2:$AC$25,0))</f>
        <v/>
      </c>
      <c r="Q24" s="9">
        <f>INDEX('V_Mutlak Getiri'!P$2:P$25,MATCH(LARGE('V_Mutlak Getiri'!$AC$2:$AC$25,ROW()-3),'V_Mutlak Getiri'!$AC$2:$AC$25,0))</f>
        <v/>
      </c>
      <c r="R24" s="5">
        <f>INDEX('V_Mutlak Getiri'!Q$2:Q$25,MATCH(LARGE('V_Mutlak Getiri'!$AC$2:$AC$25,ROW()-3),'V_Mutlak Getiri'!$AC$2:$AC$25,0))</f>
        <v/>
      </c>
      <c r="S24" s="8">
        <f>INDEX('V_Mutlak Getiri'!R$2:R$25,MATCH(LARGE('V_Mutlak Getiri'!$AC$2:$AC$25,ROW()-3),'V_Mutlak Getiri'!$AC$2:$AC$25,0))</f>
        <v/>
      </c>
      <c r="T24" s="8">
        <f>INDEX('V_Mutlak Getiri'!S$2:S$25,MATCH(LARGE('V_Mutlak Getiri'!$AC$2:$AC$25,ROW()-3),'V_Mutlak Getiri'!$AC$2:$AC$25,0))</f>
        <v/>
      </c>
      <c r="U24" s="8">
        <f>INDEX('V_Mutlak Getiri'!T$2:T$25,MATCH(LARGE('V_Mutlak Getiri'!$AC$2:$AC$25,ROW()-3),'V_Mutlak Getiri'!$AC$2:$AC$25,0))</f>
        <v/>
      </c>
      <c r="V24" s="8">
        <f>INDEX('V_Mutlak Getiri'!U$2:U$25,MATCH(LARGE('V_Mutlak Getiri'!$AC$2:$AC$25,ROW()-3),'V_Mutlak Getiri'!$AC$2:$AC$25,0))</f>
        <v/>
      </c>
      <c r="W24" s="8">
        <f>INDEX('V_Mutlak Getiri'!V$2:V$25,MATCH(LARGE('V_Mutlak Getiri'!$AC$2:$AC$25,ROW()-3),'V_Mutlak Getiri'!$AC$2:$AC$25,0))</f>
        <v/>
      </c>
      <c r="X24" s="8">
        <f>INDEX('V_Mutlak Getiri'!W$2:W$25,MATCH(LARGE('V_Mutlak Getiri'!$AC$2:$AC$25,ROW()-3),'V_Mutlak Getiri'!$AC$2:$AC$25,0))</f>
        <v/>
      </c>
      <c r="Y24" s="8">
        <f>INDEX('V_Mutlak Getiri'!X$2:X$25,MATCH(LARGE('V_Mutlak Getiri'!$AC$2:$AC$25,ROW()-3),'V_Mutlak Getiri'!$AC$2:$AC$25,0))</f>
        <v/>
      </c>
      <c r="Z24" s="8">
        <f>INDEX('V_Mutlak Getiri'!Y$2:Y$25,MATCH(LARGE('V_Mutlak Getiri'!$AC$2:$AC$25,ROW()-3),'V_Mutlak Getiri'!$AC$2:$AC$25,0))</f>
        <v/>
      </c>
      <c r="AA24" s="8">
        <f>INDEX('V_Mutlak Getiri'!Z$2:Z$25,MATCH(LARGE('V_Mutlak Getiri'!$AC$2:$AC$25,ROW()-3),'V_Mutlak Getiri'!$AC$2:$AC$25,0))</f>
        <v/>
      </c>
      <c r="AB24" s="8">
        <f>INDEX('V_Mutlak Getiri'!AA$2:AA$25,MATCH(LARGE('V_Mutlak Getiri'!$AC$2:$AC$25,ROW()-3),'V_Mutlak Getiri'!$AC$2:$AC$25,0))</f>
        <v/>
      </c>
    </row>
    <row r="25">
      <c r="A25" t="n">
        <v>22</v>
      </c>
      <c r="B25" s="5">
        <f>INDEX('V_Mutlak Getiri'!A$2:A$25,MATCH(LARGE('V_Mutlak Getiri'!$AC$2:$AC$25,ROW()-3),'V_Mutlak Getiri'!$AC$2:$AC$25,0))</f>
        <v/>
      </c>
      <c r="C25" s="5">
        <f>INDEX('V_Mutlak Getiri'!B$2:B$25,MATCH(LARGE('V_Mutlak Getiri'!$AC$2:$AC$25,ROW()-3),'V_Mutlak Getiri'!$AC$2:$AC$25,0))</f>
        <v/>
      </c>
      <c r="D25" s="5">
        <f>INDEX('V_Mutlak Getiri'!C$2:C$25,MATCH(LARGE('V_Mutlak Getiri'!$AC$2:$AC$25,ROW()-3),'V_Mutlak Getiri'!$AC$2:$AC$25,0))</f>
        <v/>
      </c>
      <c r="E25" s="8">
        <f>INDEX('V_Mutlak Getiri'!D$2:D$25,MATCH(LARGE('V_Mutlak Getiri'!$AC$2:$AC$25,ROW()-3),'V_Mutlak Getiri'!$AC$2:$AC$25,0))</f>
        <v/>
      </c>
      <c r="F25" s="9">
        <f>INDEX('V_Mutlak Getiri'!E$2:E$25,MATCH(LARGE('V_Mutlak Getiri'!$AC$2:$AC$25,ROW()-3),'V_Mutlak Getiri'!$AC$2:$AC$25,0))</f>
        <v/>
      </c>
      <c r="G25" s="9">
        <f>INDEX('V_Mutlak Getiri'!F$2:F$25,MATCH(LARGE('V_Mutlak Getiri'!$AC$2:$AC$25,ROW()-3),'V_Mutlak Getiri'!$AC$2:$AC$25,0))</f>
        <v/>
      </c>
      <c r="H25" s="9">
        <f>INDEX('V_Mutlak Getiri'!G$2:G$25,MATCH(LARGE('V_Mutlak Getiri'!$AC$2:$AC$25,ROW()-3),'V_Mutlak Getiri'!$AC$2:$AC$25,0))</f>
        <v/>
      </c>
      <c r="I25" s="9">
        <f>INDEX('V_Mutlak Getiri'!H$2:H$25,MATCH(LARGE('V_Mutlak Getiri'!$AC$2:$AC$25,ROW()-3),'V_Mutlak Getiri'!$AC$2:$AC$25,0))</f>
        <v/>
      </c>
      <c r="J25" s="9">
        <f>INDEX('V_Mutlak Getiri'!I$2:I$25,MATCH(LARGE('V_Mutlak Getiri'!$AC$2:$AC$25,ROW()-3),'V_Mutlak Getiri'!$AC$2:$AC$25,0))</f>
        <v/>
      </c>
      <c r="K25" s="10">
        <f>INDEX('V_Mutlak Getiri'!J$2:J$25,MATCH(LARGE('V_Mutlak Getiri'!$AC$2:$AC$25,ROW()-3),'V_Mutlak Getiri'!$AC$2:$AC$25,0))</f>
        <v/>
      </c>
      <c r="L25" s="10">
        <f>INDEX('V_Mutlak Getiri'!K$2:K$25,MATCH(LARGE('V_Mutlak Getiri'!$AC$2:$AC$25,ROW()-3),'V_Mutlak Getiri'!$AC$2:$AC$25,0))</f>
        <v/>
      </c>
      <c r="M25" s="8">
        <f>INDEX('V_Mutlak Getiri'!L$2:L$25,MATCH(LARGE('V_Mutlak Getiri'!$AC$2:$AC$25,ROW()-3),'V_Mutlak Getiri'!$AC$2:$AC$25,0))</f>
        <v/>
      </c>
      <c r="N25" s="11">
        <f>INDEX('V_Mutlak Getiri'!M$2:M$25,MATCH(LARGE('V_Mutlak Getiri'!$AC$2:$AC$25,ROW()-3),'V_Mutlak Getiri'!$AC$2:$AC$25,0))</f>
        <v/>
      </c>
      <c r="O25" s="11">
        <f>INDEX('V_Mutlak Getiri'!N$2:N$25,MATCH(LARGE('V_Mutlak Getiri'!$AC$2:$AC$25,ROW()-3),'V_Mutlak Getiri'!$AC$2:$AC$25,0))</f>
        <v/>
      </c>
      <c r="P25" s="8">
        <f>INDEX('V_Mutlak Getiri'!O$2:O$25,MATCH(LARGE('V_Mutlak Getiri'!$AC$2:$AC$25,ROW()-3),'V_Mutlak Getiri'!$AC$2:$AC$25,0))</f>
        <v/>
      </c>
      <c r="Q25" s="9">
        <f>INDEX('V_Mutlak Getiri'!P$2:P$25,MATCH(LARGE('V_Mutlak Getiri'!$AC$2:$AC$25,ROW()-3),'V_Mutlak Getiri'!$AC$2:$AC$25,0))</f>
        <v/>
      </c>
      <c r="R25" s="5">
        <f>INDEX('V_Mutlak Getiri'!Q$2:Q$25,MATCH(LARGE('V_Mutlak Getiri'!$AC$2:$AC$25,ROW()-3),'V_Mutlak Getiri'!$AC$2:$AC$25,0))</f>
        <v/>
      </c>
      <c r="S25" s="8">
        <f>INDEX('V_Mutlak Getiri'!R$2:R$25,MATCH(LARGE('V_Mutlak Getiri'!$AC$2:$AC$25,ROW()-3),'V_Mutlak Getiri'!$AC$2:$AC$25,0))</f>
        <v/>
      </c>
      <c r="T25" s="8">
        <f>INDEX('V_Mutlak Getiri'!S$2:S$25,MATCH(LARGE('V_Mutlak Getiri'!$AC$2:$AC$25,ROW()-3),'V_Mutlak Getiri'!$AC$2:$AC$25,0))</f>
        <v/>
      </c>
      <c r="U25" s="8">
        <f>INDEX('V_Mutlak Getiri'!T$2:T$25,MATCH(LARGE('V_Mutlak Getiri'!$AC$2:$AC$25,ROW()-3),'V_Mutlak Getiri'!$AC$2:$AC$25,0))</f>
        <v/>
      </c>
      <c r="V25" s="8">
        <f>INDEX('V_Mutlak Getiri'!U$2:U$25,MATCH(LARGE('V_Mutlak Getiri'!$AC$2:$AC$25,ROW()-3),'V_Mutlak Getiri'!$AC$2:$AC$25,0))</f>
        <v/>
      </c>
      <c r="W25" s="8">
        <f>INDEX('V_Mutlak Getiri'!V$2:V$25,MATCH(LARGE('V_Mutlak Getiri'!$AC$2:$AC$25,ROW()-3),'V_Mutlak Getiri'!$AC$2:$AC$25,0))</f>
        <v/>
      </c>
      <c r="X25" s="8">
        <f>INDEX('V_Mutlak Getiri'!W$2:W$25,MATCH(LARGE('V_Mutlak Getiri'!$AC$2:$AC$25,ROW()-3),'V_Mutlak Getiri'!$AC$2:$AC$25,0))</f>
        <v/>
      </c>
      <c r="Y25" s="8">
        <f>INDEX('V_Mutlak Getiri'!X$2:X$25,MATCH(LARGE('V_Mutlak Getiri'!$AC$2:$AC$25,ROW()-3),'V_Mutlak Getiri'!$AC$2:$AC$25,0))</f>
        <v/>
      </c>
      <c r="Z25" s="8">
        <f>INDEX('V_Mutlak Getiri'!Y$2:Y$25,MATCH(LARGE('V_Mutlak Getiri'!$AC$2:$AC$25,ROW()-3),'V_Mutlak Getiri'!$AC$2:$AC$25,0))</f>
        <v/>
      </c>
      <c r="AA25" s="8">
        <f>INDEX('V_Mutlak Getiri'!Z$2:Z$25,MATCH(LARGE('V_Mutlak Getiri'!$AC$2:$AC$25,ROW()-3),'V_Mutlak Getiri'!$AC$2:$AC$25,0))</f>
        <v/>
      </c>
      <c r="AB25" s="8">
        <f>INDEX('V_Mutlak Getiri'!AA$2:AA$25,MATCH(LARGE('V_Mutlak Getiri'!$AC$2:$AC$25,ROW()-3),'V_Mutlak Getiri'!$AC$2:$AC$25,0))</f>
        <v/>
      </c>
    </row>
    <row r="26">
      <c r="A26" t="n">
        <v>23</v>
      </c>
      <c r="B26" s="5">
        <f>INDEX('V_Mutlak Getiri'!A$2:A$25,MATCH(LARGE('V_Mutlak Getiri'!$AC$2:$AC$25,ROW()-3),'V_Mutlak Getiri'!$AC$2:$AC$25,0))</f>
        <v/>
      </c>
      <c r="C26" s="5">
        <f>INDEX('V_Mutlak Getiri'!B$2:B$25,MATCH(LARGE('V_Mutlak Getiri'!$AC$2:$AC$25,ROW()-3),'V_Mutlak Getiri'!$AC$2:$AC$25,0))</f>
        <v/>
      </c>
      <c r="D26" s="5">
        <f>INDEX('V_Mutlak Getiri'!C$2:C$25,MATCH(LARGE('V_Mutlak Getiri'!$AC$2:$AC$25,ROW()-3),'V_Mutlak Getiri'!$AC$2:$AC$25,0))</f>
        <v/>
      </c>
      <c r="E26" s="8">
        <f>INDEX('V_Mutlak Getiri'!D$2:D$25,MATCH(LARGE('V_Mutlak Getiri'!$AC$2:$AC$25,ROW()-3),'V_Mutlak Getiri'!$AC$2:$AC$25,0))</f>
        <v/>
      </c>
      <c r="F26" s="9">
        <f>INDEX('V_Mutlak Getiri'!E$2:E$25,MATCH(LARGE('V_Mutlak Getiri'!$AC$2:$AC$25,ROW()-3),'V_Mutlak Getiri'!$AC$2:$AC$25,0))</f>
        <v/>
      </c>
      <c r="G26" s="9">
        <f>INDEX('V_Mutlak Getiri'!F$2:F$25,MATCH(LARGE('V_Mutlak Getiri'!$AC$2:$AC$25,ROW()-3),'V_Mutlak Getiri'!$AC$2:$AC$25,0))</f>
        <v/>
      </c>
      <c r="H26" s="9">
        <f>INDEX('V_Mutlak Getiri'!G$2:G$25,MATCH(LARGE('V_Mutlak Getiri'!$AC$2:$AC$25,ROW()-3),'V_Mutlak Getiri'!$AC$2:$AC$25,0))</f>
        <v/>
      </c>
      <c r="I26" s="9">
        <f>INDEX('V_Mutlak Getiri'!H$2:H$25,MATCH(LARGE('V_Mutlak Getiri'!$AC$2:$AC$25,ROW()-3),'V_Mutlak Getiri'!$AC$2:$AC$25,0))</f>
        <v/>
      </c>
      <c r="J26" s="9">
        <f>INDEX('V_Mutlak Getiri'!I$2:I$25,MATCH(LARGE('V_Mutlak Getiri'!$AC$2:$AC$25,ROW()-3),'V_Mutlak Getiri'!$AC$2:$AC$25,0))</f>
        <v/>
      </c>
      <c r="K26" s="10">
        <f>INDEX('V_Mutlak Getiri'!J$2:J$25,MATCH(LARGE('V_Mutlak Getiri'!$AC$2:$AC$25,ROW()-3),'V_Mutlak Getiri'!$AC$2:$AC$25,0))</f>
        <v/>
      </c>
      <c r="L26" s="10">
        <f>INDEX('V_Mutlak Getiri'!K$2:K$25,MATCH(LARGE('V_Mutlak Getiri'!$AC$2:$AC$25,ROW()-3),'V_Mutlak Getiri'!$AC$2:$AC$25,0))</f>
        <v/>
      </c>
      <c r="M26" s="8">
        <f>INDEX('V_Mutlak Getiri'!L$2:L$25,MATCH(LARGE('V_Mutlak Getiri'!$AC$2:$AC$25,ROW()-3),'V_Mutlak Getiri'!$AC$2:$AC$25,0))</f>
        <v/>
      </c>
      <c r="N26" s="11">
        <f>INDEX('V_Mutlak Getiri'!M$2:M$25,MATCH(LARGE('V_Mutlak Getiri'!$AC$2:$AC$25,ROW()-3),'V_Mutlak Getiri'!$AC$2:$AC$25,0))</f>
        <v/>
      </c>
      <c r="O26" s="11">
        <f>INDEX('V_Mutlak Getiri'!N$2:N$25,MATCH(LARGE('V_Mutlak Getiri'!$AC$2:$AC$25,ROW()-3),'V_Mutlak Getiri'!$AC$2:$AC$25,0))</f>
        <v/>
      </c>
      <c r="P26" s="8">
        <f>INDEX('V_Mutlak Getiri'!O$2:O$25,MATCH(LARGE('V_Mutlak Getiri'!$AC$2:$AC$25,ROW()-3),'V_Mutlak Getiri'!$AC$2:$AC$25,0))</f>
        <v/>
      </c>
      <c r="Q26" s="9">
        <f>INDEX('V_Mutlak Getiri'!P$2:P$25,MATCH(LARGE('V_Mutlak Getiri'!$AC$2:$AC$25,ROW()-3),'V_Mutlak Getiri'!$AC$2:$AC$25,0))</f>
        <v/>
      </c>
      <c r="R26" s="5">
        <f>INDEX('V_Mutlak Getiri'!Q$2:Q$25,MATCH(LARGE('V_Mutlak Getiri'!$AC$2:$AC$25,ROW()-3),'V_Mutlak Getiri'!$AC$2:$AC$25,0))</f>
        <v/>
      </c>
      <c r="S26" s="8">
        <f>INDEX('V_Mutlak Getiri'!R$2:R$25,MATCH(LARGE('V_Mutlak Getiri'!$AC$2:$AC$25,ROW()-3),'V_Mutlak Getiri'!$AC$2:$AC$25,0))</f>
        <v/>
      </c>
      <c r="T26" s="8">
        <f>INDEX('V_Mutlak Getiri'!S$2:S$25,MATCH(LARGE('V_Mutlak Getiri'!$AC$2:$AC$25,ROW()-3),'V_Mutlak Getiri'!$AC$2:$AC$25,0))</f>
        <v/>
      </c>
      <c r="U26" s="8">
        <f>INDEX('V_Mutlak Getiri'!T$2:T$25,MATCH(LARGE('V_Mutlak Getiri'!$AC$2:$AC$25,ROW()-3),'V_Mutlak Getiri'!$AC$2:$AC$25,0))</f>
        <v/>
      </c>
      <c r="V26" s="8">
        <f>INDEX('V_Mutlak Getiri'!U$2:U$25,MATCH(LARGE('V_Mutlak Getiri'!$AC$2:$AC$25,ROW()-3),'V_Mutlak Getiri'!$AC$2:$AC$25,0))</f>
        <v/>
      </c>
      <c r="W26" s="8">
        <f>INDEX('V_Mutlak Getiri'!V$2:V$25,MATCH(LARGE('V_Mutlak Getiri'!$AC$2:$AC$25,ROW()-3),'V_Mutlak Getiri'!$AC$2:$AC$25,0))</f>
        <v/>
      </c>
      <c r="X26" s="8">
        <f>INDEX('V_Mutlak Getiri'!W$2:W$25,MATCH(LARGE('V_Mutlak Getiri'!$AC$2:$AC$25,ROW()-3),'V_Mutlak Getiri'!$AC$2:$AC$25,0))</f>
        <v/>
      </c>
      <c r="Y26" s="8">
        <f>INDEX('V_Mutlak Getiri'!X$2:X$25,MATCH(LARGE('V_Mutlak Getiri'!$AC$2:$AC$25,ROW()-3),'V_Mutlak Getiri'!$AC$2:$AC$25,0))</f>
        <v/>
      </c>
      <c r="Z26" s="8">
        <f>INDEX('V_Mutlak Getiri'!Y$2:Y$25,MATCH(LARGE('V_Mutlak Getiri'!$AC$2:$AC$25,ROW()-3),'V_Mutlak Getiri'!$AC$2:$AC$25,0))</f>
        <v/>
      </c>
      <c r="AA26" s="8">
        <f>INDEX('V_Mutlak Getiri'!Z$2:Z$25,MATCH(LARGE('V_Mutlak Getiri'!$AC$2:$AC$25,ROW()-3),'V_Mutlak Getiri'!$AC$2:$AC$25,0))</f>
        <v/>
      </c>
      <c r="AB26" s="8">
        <f>INDEX('V_Mutlak Getiri'!AA$2:AA$25,MATCH(LARGE('V_Mutlak Getiri'!$AC$2:$AC$25,ROW()-3),'V_Mutlak Getiri'!$AC$2:$AC$25,0))</f>
        <v/>
      </c>
    </row>
    <row r="27">
      <c r="A27" t="n">
        <v>24</v>
      </c>
      <c r="B27" s="5">
        <f>INDEX('V_Mutlak Getiri'!A$2:A$25,MATCH(LARGE('V_Mutlak Getiri'!$AC$2:$AC$25,ROW()-3),'V_Mutlak Getiri'!$AC$2:$AC$25,0))</f>
        <v/>
      </c>
      <c r="C27" s="5">
        <f>INDEX('V_Mutlak Getiri'!B$2:B$25,MATCH(LARGE('V_Mutlak Getiri'!$AC$2:$AC$25,ROW()-3),'V_Mutlak Getiri'!$AC$2:$AC$25,0))</f>
        <v/>
      </c>
      <c r="D27" s="5">
        <f>INDEX('V_Mutlak Getiri'!C$2:C$25,MATCH(LARGE('V_Mutlak Getiri'!$AC$2:$AC$25,ROW()-3),'V_Mutlak Getiri'!$AC$2:$AC$25,0))</f>
        <v/>
      </c>
      <c r="E27" s="8">
        <f>INDEX('V_Mutlak Getiri'!D$2:D$25,MATCH(LARGE('V_Mutlak Getiri'!$AC$2:$AC$25,ROW()-3),'V_Mutlak Getiri'!$AC$2:$AC$25,0))</f>
        <v/>
      </c>
      <c r="F27" s="9">
        <f>INDEX('V_Mutlak Getiri'!E$2:E$25,MATCH(LARGE('V_Mutlak Getiri'!$AC$2:$AC$25,ROW()-3),'V_Mutlak Getiri'!$AC$2:$AC$25,0))</f>
        <v/>
      </c>
      <c r="G27" s="9">
        <f>INDEX('V_Mutlak Getiri'!F$2:F$25,MATCH(LARGE('V_Mutlak Getiri'!$AC$2:$AC$25,ROW()-3),'V_Mutlak Getiri'!$AC$2:$AC$25,0))</f>
        <v/>
      </c>
      <c r="H27" s="9">
        <f>INDEX('V_Mutlak Getiri'!G$2:G$25,MATCH(LARGE('V_Mutlak Getiri'!$AC$2:$AC$25,ROW()-3),'V_Mutlak Getiri'!$AC$2:$AC$25,0))</f>
        <v/>
      </c>
      <c r="I27" s="9">
        <f>INDEX('V_Mutlak Getiri'!H$2:H$25,MATCH(LARGE('V_Mutlak Getiri'!$AC$2:$AC$25,ROW()-3),'V_Mutlak Getiri'!$AC$2:$AC$25,0))</f>
        <v/>
      </c>
      <c r="J27" s="9">
        <f>INDEX('V_Mutlak Getiri'!I$2:I$25,MATCH(LARGE('V_Mutlak Getiri'!$AC$2:$AC$25,ROW()-3),'V_Mutlak Getiri'!$AC$2:$AC$25,0))</f>
        <v/>
      </c>
      <c r="K27" s="10">
        <f>INDEX('V_Mutlak Getiri'!J$2:J$25,MATCH(LARGE('V_Mutlak Getiri'!$AC$2:$AC$25,ROW()-3),'V_Mutlak Getiri'!$AC$2:$AC$25,0))</f>
        <v/>
      </c>
      <c r="L27" s="10">
        <f>INDEX('V_Mutlak Getiri'!K$2:K$25,MATCH(LARGE('V_Mutlak Getiri'!$AC$2:$AC$25,ROW()-3),'V_Mutlak Getiri'!$AC$2:$AC$25,0))</f>
        <v/>
      </c>
      <c r="M27" s="8">
        <f>INDEX('V_Mutlak Getiri'!L$2:L$25,MATCH(LARGE('V_Mutlak Getiri'!$AC$2:$AC$25,ROW()-3),'V_Mutlak Getiri'!$AC$2:$AC$25,0))</f>
        <v/>
      </c>
      <c r="N27" s="11">
        <f>INDEX('V_Mutlak Getiri'!M$2:M$25,MATCH(LARGE('V_Mutlak Getiri'!$AC$2:$AC$25,ROW()-3),'V_Mutlak Getiri'!$AC$2:$AC$25,0))</f>
        <v/>
      </c>
      <c r="O27" s="11">
        <f>INDEX('V_Mutlak Getiri'!N$2:N$25,MATCH(LARGE('V_Mutlak Getiri'!$AC$2:$AC$25,ROW()-3),'V_Mutlak Getiri'!$AC$2:$AC$25,0))</f>
        <v/>
      </c>
      <c r="P27" s="8">
        <f>INDEX('V_Mutlak Getiri'!O$2:O$25,MATCH(LARGE('V_Mutlak Getiri'!$AC$2:$AC$25,ROW()-3),'V_Mutlak Getiri'!$AC$2:$AC$25,0))</f>
        <v/>
      </c>
      <c r="Q27" s="9">
        <f>INDEX('V_Mutlak Getiri'!P$2:P$25,MATCH(LARGE('V_Mutlak Getiri'!$AC$2:$AC$25,ROW()-3),'V_Mutlak Getiri'!$AC$2:$AC$25,0))</f>
        <v/>
      </c>
      <c r="R27" s="5">
        <f>INDEX('V_Mutlak Getiri'!Q$2:Q$25,MATCH(LARGE('V_Mutlak Getiri'!$AC$2:$AC$25,ROW()-3),'V_Mutlak Getiri'!$AC$2:$AC$25,0))</f>
        <v/>
      </c>
      <c r="S27" s="8">
        <f>INDEX('V_Mutlak Getiri'!R$2:R$25,MATCH(LARGE('V_Mutlak Getiri'!$AC$2:$AC$25,ROW()-3),'V_Mutlak Getiri'!$AC$2:$AC$25,0))</f>
        <v/>
      </c>
      <c r="T27" s="8">
        <f>INDEX('V_Mutlak Getiri'!S$2:S$25,MATCH(LARGE('V_Mutlak Getiri'!$AC$2:$AC$25,ROW()-3),'V_Mutlak Getiri'!$AC$2:$AC$25,0))</f>
        <v/>
      </c>
      <c r="U27" s="8">
        <f>INDEX('V_Mutlak Getiri'!T$2:T$25,MATCH(LARGE('V_Mutlak Getiri'!$AC$2:$AC$25,ROW()-3),'V_Mutlak Getiri'!$AC$2:$AC$25,0))</f>
        <v/>
      </c>
      <c r="V27" s="8">
        <f>INDEX('V_Mutlak Getiri'!U$2:U$25,MATCH(LARGE('V_Mutlak Getiri'!$AC$2:$AC$25,ROW()-3),'V_Mutlak Getiri'!$AC$2:$AC$25,0))</f>
        <v/>
      </c>
      <c r="W27" s="8">
        <f>INDEX('V_Mutlak Getiri'!V$2:V$25,MATCH(LARGE('V_Mutlak Getiri'!$AC$2:$AC$25,ROW()-3),'V_Mutlak Getiri'!$AC$2:$AC$25,0))</f>
        <v/>
      </c>
      <c r="X27" s="8">
        <f>INDEX('V_Mutlak Getiri'!W$2:W$25,MATCH(LARGE('V_Mutlak Getiri'!$AC$2:$AC$25,ROW()-3),'V_Mutlak Getiri'!$AC$2:$AC$25,0))</f>
        <v/>
      </c>
      <c r="Y27" s="8">
        <f>INDEX('V_Mutlak Getiri'!X$2:X$25,MATCH(LARGE('V_Mutlak Getiri'!$AC$2:$AC$25,ROW()-3),'V_Mutlak Getiri'!$AC$2:$AC$25,0))</f>
        <v/>
      </c>
      <c r="Z27" s="8">
        <f>INDEX('V_Mutlak Getiri'!Y$2:Y$25,MATCH(LARGE('V_Mutlak Getiri'!$AC$2:$AC$25,ROW()-3),'V_Mutlak Getiri'!$AC$2:$AC$25,0))</f>
        <v/>
      </c>
      <c r="AA27" s="8">
        <f>INDEX('V_Mutlak Getiri'!Z$2:Z$25,MATCH(LARGE('V_Mutlak Getiri'!$AC$2:$AC$25,ROW()-3),'V_Mutlak Getiri'!$AC$2:$AC$25,0))</f>
        <v/>
      </c>
      <c r="AB27" s="8">
        <f>INDEX('V_Mutlak Getiri'!AA$2:AA$25,MATCH(LARGE('V_Mutlak Getiri'!$AC$2:$AC$25,ROW()-3),'V_Mutlak Getiri'!$AC$2:$AC$25,0))</f>
        <v/>
      </c>
    </row>
  </sheetData>
  <conditionalFormatting sqref="B4:AB27">
    <cfRule type="expression" priority="1" dxfId="0">
      <formula>OR($B4="BAI",$B4="BHI",$B4="BIS",$B4="BSD",$B4="BTE",$B4="BTK",$B4="BV1",$B4="BVD",$B4="BVF",$B4="BVV",$B4="BVZ",$B4="MTD",$B4="RUT",$B4="SPR")</formula>
    </cfRule>
  </conditionalFormatting>
  <dataValidations count="1">
    <dataValidation sqref="E2" showDropDown="0" showInputMessage="0" showErrorMessage="0" allowBlank="0" type="list">
      <formula1>"Günlük%,Haftalık,Aylık,Yılbaşına Göre,Yıllık"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 Kodu</t>
        </is>
      </c>
      <c r="B1" t="inlineStr">
        <is>
          <t>Para Piyasası Fonları</t>
        </is>
      </c>
      <c r="C1" t="inlineStr">
        <is>
          <t>Yönetici</t>
        </is>
      </c>
      <c r="D1" t="inlineStr">
        <is>
          <t>FYÜ%</t>
        </is>
      </c>
      <c r="E1" t="inlineStr">
        <is>
          <t>Günlük%</t>
        </is>
      </c>
      <c r="F1" t="inlineStr">
        <is>
          <t>Haftalık</t>
        </is>
      </c>
      <c r="G1" t="inlineStr">
        <is>
          <t>Aylık</t>
        </is>
      </c>
      <c r="H1" t="inlineStr">
        <is>
          <t>Yılbaşına Göre</t>
        </is>
      </c>
      <c r="I1" t="inlineStr">
        <is>
          <t>Yıllık</t>
        </is>
      </c>
      <c r="J1" t="inlineStr">
        <is>
          <t>Yatırımcı Sayısı T-30</t>
        </is>
      </c>
      <c r="K1" t="inlineStr">
        <is>
          <t>Yatırımcı Sayısı T-1</t>
        </is>
      </c>
      <c r="L1" t="inlineStr">
        <is>
          <t>YS Değişim</t>
        </is>
      </c>
      <c r="M1" t="inlineStr">
        <is>
          <t>Önceki Ay FTD</t>
        </is>
      </c>
      <c r="N1" t="inlineStr">
        <is>
          <t>T-1 FTD</t>
        </is>
      </c>
      <c r="O1" t="inlineStr">
        <is>
          <t>FTD Değişim</t>
        </is>
      </c>
      <c r="P1" t="inlineStr">
        <is>
          <t>Standart Sapma (Aylık)</t>
        </is>
      </c>
      <c r="Q1" t="inlineStr">
        <is>
          <t>TEFAS Durumu</t>
        </is>
      </c>
      <c r="R1" t="inlineStr">
        <is>
          <t>Mevduat (TL)</t>
        </is>
      </c>
      <c r="S1" t="inlineStr">
        <is>
          <t>Vadeli İşlemler Nakit Teminatları</t>
        </is>
      </c>
      <c r="T1" t="inlineStr">
        <is>
          <t>Ters Repo Oranı</t>
        </is>
      </c>
      <c r="U1" t="inlineStr">
        <is>
          <t>Hisse Oranı</t>
        </is>
      </c>
      <c r="V1" t="inlineStr">
        <is>
          <t>Para Piyasaları Oranı</t>
        </is>
      </c>
      <c r="W1" t="inlineStr">
        <is>
          <t>Yatırım Fonları Katılma Payları</t>
        </is>
      </c>
      <c r="X1" t="inlineStr">
        <is>
          <t>Özel Tahvil/Bono Oranı</t>
        </is>
      </c>
      <c r="Y1" t="inlineStr">
        <is>
          <t>Finansman Bonosu Oranı</t>
        </is>
      </c>
      <c r="Z1" t="inlineStr">
        <is>
          <t>Diğer Oran</t>
        </is>
      </c>
      <c r="AA1" t="inlineStr">
        <is>
          <t>Toplam</t>
        </is>
      </c>
    </row>
    <row r="2">
      <c r="A2" t="inlineStr">
        <is>
          <t>MPL</t>
        </is>
      </c>
      <c r="B2" t="inlineStr">
        <is>
          <t>MT Portföy Para Piyasası (TL) Fonu</t>
        </is>
      </c>
      <c r="C2" t="inlineStr">
        <is>
          <t>MT Portföy</t>
        </is>
      </c>
      <c r="D2" t="n">
        <v>0.00735</v>
      </c>
      <c r="E2" t="n">
        <v>0.7855313403453801</v>
      </c>
      <c r="F2" t="n">
        <v>1.534717924649764</v>
      </c>
      <c r="G2" t="n">
        <v>4.404754850381942</v>
      </c>
      <c r="H2" t="n">
        <v>23.16643385886179</v>
      </c>
      <c r="I2" t="n">
        <v>50.20029645103565</v>
      </c>
      <c r="J2" t="n">
        <v>883</v>
      </c>
      <c r="K2" t="n">
        <v>856</v>
      </c>
      <c r="L2" t="n">
        <v>-0.0305775764439411</v>
      </c>
      <c r="M2" t="n">
        <v>728292343.83</v>
      </c>
      <c r="N2" t="n">
        <v>849537119.11</v>
      </c>
      <c r="O2" t="n">
        <v>0.1664781681520755</v>
      </c>
      <c r="P2" t="n">
        <v>0.1640107040771816</v>
      </c>
      <c r="Q2" t="inlineStr">
        <is>
          <t>Görüyor</t>
        </is>
      </c>
      <c r="R2" t="n">
        <v>0.029</v>
      </c>
      <c r="S2" t="n">
        <v>0</v>
      </c>
      <c r="T2" t="n">
        <v>0.3842</v>
      </c>
      <c r="U2" t="n">
        <v>0</v>
      </c>
      <c r="V2" t="n">
        <v>0.1746</v>
      </c>
      <c r="W2" t="n">
        <v>0</v>
      </c>
      <c r="X2" t="n">
        <v>0</v>
      </c>
      <c r="Y2" t="n">
        <v>0.2468</v>
      </c>
      <c r="Z2" t="n">
        <v>0</v>
      </c>
      <c r="AA2" t="n">
        <v>0.8346</v>
      </c>
      <c r="AC2">
        <f>IF(ISNUMBER(INDEX($A$2:$AA$62,1,MATCH('Para Piyasası'!$E$2,$A$1:$AA$1,0))),INDEX($A$2:$AA$62,1,MATCH('Para Piyasası'!$E$2,$A$1:$AA$1,0)),-1E+9)-ROW()/1E+7</f>
        <v/>
      </c>
    </row>
    <row r="3">
      <c r="A3" t="inlineStr">
        <is>
          <t>PRY</t>
        </is>
      </c>
      <c r="B3" t="inlineStr">
        <is>
          <t>Pusula Portföy Para Piyasası (TL) Fonu</t>
        </is>
      </c>
      <c r="C3" t="inlineStr">
        <is>
          <t>Pusula Portföy</t>
        </is>
      </c>
      <c r="D3" t="n">
        <v>0.0125</v>
      </c>
      <c r="E3" t="n">
        <v>0.1335131583863447</v>
      </c>
      <c r="F3" t="n">
        <v>0.911094406214219</v>
      </c>
      <c r="G3" t="n">
        <v>3.913564429340899</v>
      </c>
      <c r="H3" t="n">
        <v>28.79080025311975</v>
      </c>
      <c r="I3" t="n">
        <v>59.55860387360951</v>
      </c>
      <c r="J3" t="n">
        <v>42720</v>
      </c>
      <c r="K3" t="n">
        <v>47242</v>
      </c>
      <c r="L3" t="n">
        <v>0.1058520599250936</v>
      </c>
      <c r="M3" t="n">
        <v>94828783576.8</v>
      </c>
      <c r="N3" t="n">
        <v>117368266509.48</v>
      </c>
      <c r="O3" t="n">
        <v>0.2376860915275338</v>
      </c>
      <c r="P3" t="n">
        <v>0.1025231826158121</v>
      </c>
      <c r="Q3" t="inlineStr">
        <is>
          <t>Görüyor</t>
        </is>
      </c>
      <c r="R3" t="n">
        <v>0.1004</v>
      </c>
      <c r="S3" t="n">
        <v>0</v>
      </c>
      <c r="T3" t="n">
        <v>0.5547</v>
      </c>
      <c r="U3" t="n">
        <v>0</v>
      </c>
      <c r="V3" t="n">
        <v>0.1953</v>
      </c>
      <c r="W3" t="n">
        <v>0</v>
      </c>
      <c r="X3" t="n">
        <v>0.0005</v>
      </c>
      <c r="Y3" t="n">
        <v>0.0073</v>
      </c>
      <c r="Z3" t="n">
        <v>0.0021</v>
      </c>
      <c r="AA3" t="n">
        <v>0.8603</v>
      </c>
      <c r="AC3">
        <f>IF(ISNUMBER(INDEX($A$2:$AA$62,2,MATCH('Para Piyasası'!$E$2,$A$1:$AA$1,0))),INDEX($A$2:$AA$62,2,MATCH('Para Piyasası'!$E$2,$A$1:$AA$1,0)),-1E+9)-ROW()/1E+7</f>
        <v/>
      </c>
    </row>
    <row r="4">
      <c r="A4" t="inlineStr">
        <is>
          <t>KIE</t>
        </is>
      </c>
      <c r="B4" t="inlineStr">
        <is>
          <t>Trıve Portföy Para Piyasası (TL) Fonu</t>
        </is>
      </c>
      <c r="C4" t="inlineStr">
        <is>
          <t>Trıve Portföy</t>
        </is>
      </c>
      <c r="D4" t="n">
        <v>0.0113</v>
      </c>
      <c r="E4" t="n">
        <v>0.1334065638097792</v>
      </c>
      <c r="F4" t="n">
        <v>0.8016166312593054</v>
      </c>
      <c r="G4" t="n">
        <v>3.333881633513847</v>
      </c>
      <c r="H4" t="n">
        <v>21.13760242253937</v>
      </c>
      <c r="I4" t="n">
        <v>45.68871420454752</v>
      </c>
      <c r="J4" t="n">
        <v>850</v>
      </c>
      <c r="K4" t="n">
        <v>839</v>
      </c>
      <c r="L4" t="n">
        <v>-0.01294117647058823</v>
      </c>
      <c r="M4" t="n">
        <v>198339318.85</v>
      </c>
      <c r="N4" t="n">
        <v>144150801.71</v>
      </c>
      <c r="O4" t="n">
        <v>-0.2732111688907315</v>
      </c>
      <c r="P4" t="n">
        <v>0.08616545216300434</v>
      </c>
      <c r="Q4" t="inlineStr">
        <is>
          <t>Görüyor</t>
        </is>
      </c>
      <c r="R4" t="n">
        <v>0.09089999999999999</v>
      </c>
      <c r="S4" t="n">
        <v>0</v>
      </c>
      <c r="T4" t="n">
        <v>0.352</v>
      </c>
      <c r="U4" t="n">
        <v>0</v>
      </c>
      <c r="V4" t="n">
        <v>0.1734</v>
      </c>
      <c r="W4" t="n">
        <v>0</v>
      </c>
      <c r="X4" t="n">
        <v>0</v>
      </c>
      <c r="Y4" t="n">
        <v>0.1463</v>
      </c>
      <c r="Z4" t="n">
        <v>0</v>
      </c>
      <c r="AA4" t="n">
        <v>0.7626000000000001</v>
      </c>
      <c r="AC4">
        <f>IF(ISNUMBER(INDEX($A$2:$AA$62,3,MATCH('Para Piyasası'!$E$2,$A$1:$AA$1,0))),INDEX($A$2:$AA$62,3,MATCH('Para Piyasası'!$E$2,$A$1:$AA$1,0)),-1E+9)-ROW()/1E+7</f>
        <v/>
      </c>
    </row>
    <row r="5">
      <c r="A5" t="inlineStr">
        <is>
          <t>PPN</t>
        </is>
      </c>
      <c r="B5" t="inlineStr">
        <is>
          <t>Nurol Portföy Para Piyasası (TL) Fonu</t>
        </is>
      </c>
      <c r="C5" t="inlineStr">
        <is>
          <t>Nurol Portföy</t>
        </is>
      </c>
      <c r="D5" t="n">
        <v>0.006999999999999999</v>
      </c>
      <c r="E5" t="n">
        <v>0.1330793508843353</v>
      </c>
      <c r="F5" t="n">
        <v>0.7868117030890964</v>
      </c>
      <c r="G5" t="n">
        <v>3.305337926834473</v>
      </c>
      <c r="H5" t="n">
        <v>23.47201685038416</v>
      </c>
      <c r="I5" t="n">
        <v>49.09931459959249</v>
      </c>
      <c r="J5" t="n">
        <v>14102</v>
      </c>
      <c r="K5" t="n">
        <v>13642</v>
      </c>
      <c r="L5" t="n">
        <v>-0.03261948659764569</v>
      </c>
      <c r="M5" t="n">
        <v>11778502582.12</v>
      </c>
      <c r="N5" t="n">
        <v>11824665202.94</v>
      </c>
      <c r="O5" t="n">
        <v>0.003919226616299731</v>
      </c>
      <c r="P5" t="n">
        <v>0.08791922324005425</v>
      </c>
      <c r="Q5" t="inlineStr">
        <is>
          <t>Görüyor</t>
        </is>
      </c>
      <c r="R5" t="n">
        <v>0.3282</v>
      </c>
      <c r="S5" t="n">
        <v>0</v>
      </c>
      <c r="T5" t="n">
        <v>0.2613</v>
      </c>
      <c r="U5" t="n">
        <v>0</v>
      </c>
      <c r="V5" t="n">
        <v>0.0955</v>
      </c>
      <c r="W5" t="n">
        <v>0</v>
      </c>
      <c r="X5" t="n">
        <v>0.1412</v>
      </c>
      <c r="Y5" t="n">
        <v>0.028</v>
      </c>
      <c r="Z5" t="n">
        <v>0</v>
      </c>
      <c r="AA5" t="n">
        <v>0.8542</v>
      </c>
      <c r="AC5">
        <f>IF(ISNUMBER(INDEX($A$2:$AA$62,4,MATCH('Para Piyasası'!$E$2,$A$1:$AA$1,0))),INDEX($A$2:$AA$62,4,MATCH('Para Piyasası'!$E$2,$A$1:$AA$1,0)),-1E+9)-ROW()/1E+7</f>
        <v/>
      </c>
    </row>
    <row r="6">
      <c r="A6" t="inlineStr">
        <is>
          <t>EIL</t>
        </is>
      </c>
      <c r="B6" t="inlineStr">
        <is>
          <t>Astra Portföy Para Piyasası (TL) Fonu</t>
        </is>
      </c>
      <c r="C6" t="inlineStr">
        <is>
          <t>Astra Portföy</t>
        </is>
      </c>
      <c r="D6" t="n">
        <v>0.007993500000000001</v>
      </c>
      <c r="E6" t="n">
        <v>0.129267788761811</v>
      </c>
      <c r="F6" t="n">
        <v>0.7688351822598305</v>
      </c>
      <c r="G6" t="n">
        <v>3.282169852183081</v>
      </c>
      <c r="H6" t="n">
        <v>23.60804529836695</v>
      </c>
      <c r="I6" t="n">
        <v>50.27970103678457</v>
      </c>
      <c r="J6" t="n">
        <v>1732</v>
      </c>
      <c r="K6" t="n">
        <v>1635</v>
      </c>
      <c r="L6" t="n">
        <v>-0.0560046189376443</v>
      </c>
      <c r="M6" t="n">
        <v>1221275748.48</v>
      </c>
      <c r="N6" t="n">
        <v>1163271235.69</v>
      </c>
      <c r="O6" t="n">
        <v>-0.04749501729006933</v>
      </c>
      <c r="P6" t="n">
        <v>0.08441820575753674</v>
      </c>
      <c r="Q6" t="inlineStr">
        <is>
          <t>Görüyor</t>
        </is>
      </c>
      <c r="R6" t="n">
        <v>0</v>
      </c>
      <c r="S6" t="n">
        <v>0</v>
      </c>
      <c r="T6" t="n">
        <v>0.5495</v>
      </c>
      <c r="U6" t="n">
        <v>0</v>
      </c>
      <c r="V6" t="n">
        <v>0</v>
      </c>
      <c r="W6" t="n">
        <v>0</v>
      </c>
      <c r="X6" t="n">
        <v>0.2917</v>
      </c>
      <c r="Y6" t="n">
        <v>0</v>
      </c>
      <c r="Z6" t="n">
        <v>0</v>
      </c>
      <c r="AA6" t="n">
        <v>0.8411999999999999</v>
      </c>
      <c r="AC6">
        <f>IF(ISNUMBER(INDEX($A$2:$AA$62,5,MATCH('Para Piyasası'!$E$2,$A$1:$AA$1,0))),INDEX($A$2:$AA$62,5,MATCH('Para Piyasası'!$E$2,$A$1:$AA$1,0)),-1E+9)-ROW()/1E+7</f>
        <v/>
      </c>
    </row>
    <row r="7">
      <c r="A7" t="inlineStr">
        <is>
          <t>BVF</t>
        </is>
      </c>
      <c r="B7" t="inlineStr">
        <is>
          <t>BV Portföy Para Piyasası (TL) Fon</t>
        </is>
      </c>
      <c r="C7" t="inlineStr">
        <is>
          <t>BV Portföy</t>
        </is>
      </c>
      <c r="D7" t="n">
        <v>0.008</v>
      </c>
      <c r="E7" t="n">
        <v>0.1274881160760133</v>
      </c>
      <c r="F7" t="n">
        <v>0.8507467666062363</v>
      </c>
      <c r="G7" t="n">
        <v>3.379327326450943</v>
      </c>
      <c r="H7" t="n">
        <v>23.90795237483638</v>
      </c>
      <c r="I7" t="inlineStr">
        <is>
          <t>-</t>
        </is>
      </c>
      <c r="J7" t="n">
        <v>501</v>
      </c>
      <c r="K7" t="n">
        <v>512</v>
      </c>
      <c r="L7" t="n">
        <v>0.02195608782435121</v>
      </c>
      <c r="M7" t="n">
        <v>1142660791.46</v>
      </c>
      <c r="N7" t="n">
        <v>1967004970.37</v>
      </c>
      <c r="O7" t="n">
        <v>0.7214251027697547</v>
      </c>
      <c r="P7" t="n">
        <v>0.08944941265360355</v>
      </c>
      <c r="Q7" t="inlineStr">
        <is>
          <t>Görüyor</t>
        </is>
      </c>
      <c r="R7" t="n">
        <v>0</v>
      </c>
      <c r="S7" t="n">
        <v>0</v>
      </c>
      <c r="T7" t="n">
        <v>0.5488000000000001</v>
      </c>
      <c r="U7" t="n">
        <v>0</v>
      </c>
      <c r="V7" t="n">
        <v>0.1329</v>
      </c>
      <c r="W7" t="n">
        <v>0</v>
      </c>
      <c r="X7" t="n">
        <v>0</v>
      </c>
      <c r="Y7" t="n">
        <v>0.1448</v>
      </c>
      <c r="Z7" t="n">
        <v>0.0301</v>
      </c>
      <c r="AA7" t="n">
        <v>0.8566</v>
      </c>
      <c r="AC7">
        <f>IF(ISNUMBER(INDEX($A$2:$AA$62,6,MATCH('Para Piyasası'!$E$2,$A$1:$AA$1,0))),INDEX($A$2:$AA$62,6,MATCH('Para Piyasası'!$E$2,$A$1:$AA$1,0)),-1E+9)-ROW()/1E+7</f>
        <v/>
      </c>
    </row>
    <row r="8">
      <c r="A8" t="inlineStr">
        <is>
          <t>PPI</t>
        </is>
      </c>
      <c r="B8" t="inlineStr">
        <is>
          <t>Yapı Kredi Portföy Üçüncü Para Piyasası (TL) Fonu</t>
        </is>
      </c>
      <c r="C8" t="inlineStr">
        <is>
          <t>Yapı Kredi Portföy</t>
        </is>
      </c>
      <c r="D8" t="n">
        <v>0.006999999999999999</v>
      </c>
      <c r="E8" t="n">
        <v>0.1257407120027976</v>
      </c>
      <c r="F8" t="n">
        <v>0.7622631209188047</v>
      </c>
      <c r="G8" t="n">
        <v>3.087892218256716</v>
      </c>
      <c r="H8" t="n">
        <v>22.34518355319752</v>
      </c>
      <c r="I8" t="n">
        <v>47.38456179368833</v>
      </c>
      <c r="J8" t="n">
        <v>2943</v>
      </c>
      <c r="K8" t="n">
        <v>2783</v>
      </c>
      <c r="L8" t="n">
        <v>-0.054366292898403</v>
      </c>
      <c r="M8" t="n">
        <v>5449304732.05</v>
      </c>
      <c r="N8" t="n">
        <v>7529615298.27</v>
      </c>
      <c r="O8" t="n">
        <v>0.3817570623247928</v>
      </c>
      <c r="P8" t="n">
        <v>0.08576463526401235</v>
      </c>
      <c r="Q8" t="inlineStr">
        <is>
          <t>Görüyor</t>
        </is>
      </c>
      <c r="R8" t="n">
        <v>0</v>
      </c>
      <c r="S8" t="n">
        <v>0</v>
      </c>
      <c r="T8" t="n">
        <v>0.7834</v>
      </c>
      <c r="U8" t="n">
        <v>0</v>
      </c>
      <c r="V8" t="n">
        <v>0</v>
      </c>
      <c r="W8" t="n">
        <v>0</v>
      </c>
      <c r="X8" t="n">
        <v>0.0167</v>
      </c>
      <c r="Y8" t="n">
        <v>0</v>
      </c>
      <c r="Z8" t="n">
        <v>0</v>
      </c>
      <c r="AA8" t="n">
        <v>0.8001</v>
      </c>
      <c r="AC8">
        <f>IF(ISNUMBER(INDEX($A$2:$AA$62,7,MATCH('Para Piyasası'!$E$2,$A$1:$AA$1,0))),INDEX($A$2:$AA$62,7,MATCH('Para Piyasası'!$E$2,$A$1:$AA$1,0)),-1E+9)-ROW()/1E+7</f>
        <v/>
      </c>
    </row>
    <row r="9">
      <c r="A9" t="inlineStr">
        <is>
          <t>NRG</t>
        </is>
      </c>
      <c r="B9" t="inlineStr">
        <is>
          <t>Neo Portföy Birinci Para Piyasası Fonu</t>
        </is>
      </c>
      <c r="C9" t="inlineStr">
        <is>
          <t>Neo Portföy</t>
        </is>
      </c>
      <c r="D9" t="n">
        <v>0.009000000000000001</v>
      </c>
      <c r="E9" t="n">
        <v>0.1229213085421899</v>
      </c>
      <c r="F9" t="n">
        <v>0.749594406801779</v>
      </c>
      <c r="G9" t="n">
        <v>3.194229105052271</v>
      </c>
      <c r="H9" t="n">
        <v>23.21203900697013</v>
      </c>
      <c r="I9" t="n">
        <v>48.84500463151522</v>
      </c>
      <c r="J9" t="n">
        <v>3594</v>
      </c>
      <c r="K9" t="n">
        <v>3450</v>
      </c>
      <c r="L9" t="n">
        <v>-0.04006677796327207</v>
      </c>
      <c r="M9" t="n">
        <v>7463563952.18</v>
      </c>
      <c r="N9" t="n">
        <v>6608738705.71</v>
      </c>
      <c r="O9" t="n">
        <v>-0.1145331174150813</v>
      </c>
      <c r="P9" t="n">
        <v>0.0860221950311936</v>
      </c>
      <c r="Q9" t="inlineStr">
        <is>
          <t>Görüyor</t>
        </is>
      </c>
      <c r="R9" t="n">
        <v>0.2778</v>
      </c>
      <c r="S9" t="n">
        <v>0</v>
      </c>
      <c r="T9" t="n">
        <v>0.4835</v>
      </c>
      <c r="U9" t="n">
        <v>0</v>
      </c>
      <c r="V9" t="n">
        <v>0.0175</v>
      </c>
      <c r="W9" t="n">
        <v>0</v>
      </c>
      <c r="X9" t="n">
        <v>0.0016</v>
      </c>
      <c r="Y9" t="n">
        <v>0.0951</v>
      </c>
      <c r="Z9" t="n">
        <v>0</v>
      </c>
      <c r="AA9" t="n">
        <v>0.8755000000000001</v>
      </c>
      <c r="AC9">
        <f>IF(ISNUMBER(INDEX($A$2:$AA$62,8,MATCH('Para Piyasası'!$E$2,$A$1:$AA$1,0))),INDEX($A$2:$AA$62,8,MATCH('Para Piyasası'!$E$2,$A$1:$AA$1,0)),-1E+9)-ROW()/1E+7</f>
        <v/>
      </c>
    </row>
    <row r="10">
      <c r="A10" t="inlineStr">
        <is>
          <t>FFD</t>
        </is>
      </c>
      <c r="B10" t="inlineStr">
        <is>
          <t>Fiba Portföy Üçüncü Para Piyasası (TL) Fonu</t>
        </is>
      </c>
      <c r="C10" t="inlineStr">
        <is>
          <t>Fiba Portföy</t>
        </is>
      </c>
      <c r="D10" t="n">
        <v>0.015</v>
      </c>
      <c r="E10" t="n">
        <v>0.1221548108636394</v>
      </c>
      <c r="F10" t="n">
        <v>0.7209273747593503</v>
      </c>
      <c r="G10" t="n">
        <v>3.107178799060706</v>
      </c>
      <c r="H10" t="n">
        <v>22.571157968197</v>
      </c>
      <c r="I10" t="n">
        <v>47.23511272117602</v>
      </c>
      <c r="J10" t="n">
        <v>549</v>
      </c>
      <c r="K10" t="n">
        <v>452</v>
      </c>
      <c r="L10" t="n">
        <v>-0.1766848816029144</v>
      </c>
      <c r="M10" t="n">
        <v>327110124.08</v>
      </c>
      <c r="N10" t="n">
        <v>231406587.23</v>
      </c>
      <c r="O10" t="n">
        <v>-0.2925728365001451</v>
      </c>
      <c r="P10" t="n">
        <v>0.08154383130127929</v>
      </c>
      <c r="Q10" t="inlineStr">
        <is>
          <t>Görmüyor</t>
        </is>
      </c>
      <c r="R10" t="n">
        <v>0.1426</v>
      </c>
      <c r="S10" t="n">
        <v>0</v>
      </c>
      <c r="T10" t="n">
        <v>0.6484000000000001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0.7910000000000001</v>
      </c>
      <c r="AC10">
        <f>IF(ISNUMBER(INDEX($A$2:$AA$62,9,MATCH('Para Piyasası'!$E$2,$A$1:$AA$1,0))),INDEX($A$2:$AA$62,9,MATCH('Para Piyasası'!$E$2,$A$1:$AA$1,0)),-1E+9)-ROW()/1E+7</f>
        <v/>
      </c>
    </row>
    <row r="11">
      <c r="A11" t="inlineStr">
        <is>
          <t>FSK</t>
        </is>
      </c>
      <c r="B11" t="inlineStr">
        <is>
          <t>Qnb Portföy İkinci Para Piyasası (TL) Fonu</t>
        </is>
      </c>
      <c r="C11" t="inlineStr">
        <is>
          <t>Qnb Portföy</t>
        </is>
      </c>
      <c r="D11" t="n">
        <v>0.013</v>
      </c>
      <c r="E11" t="n">
        <v>0.1215355975979326</v>
      </c>
      <c r="F11" t="n">
        <v>0.7461031169929244</v>
      </c>
      <c r="G11" t="n">
        <v>3.12091523020297</v>
      </c>
      <c r="H11" t="n">
        <v>22.3533043356251</v>
      </c>
      <c r="I11" t="n">
        <v>47.25484569600724</v>
      </c>
      <c r="J11" t="n">
        <v>2486</v>
      </c>
      <c r="K11" t="n">
        <v>2419</v>
      </c>
      <c r="L11" t="n">
        <v>-0.02695092518101372</v>
      </c>
      <c r="M11" t="n">
        <v>6307830230.41</v>
      </c>
      <c r="N11" t="n">
        <v>5349624234.3</v>
      </c>
      <c r="O11" t="n">
        <v>-0.1519073851243643</v>
      </c>
      <c r="P11" t="n">
        <v>0.08282642345476077</v>
      </c>
      <c r="Q11" t="inlineStr">
        <is>
          <t>Görüyor</t>
        </is>
      </c>
      <c r="R11" t="n">
        <v>0.4178</v>
      </c>
      <c r="S11" t="n">
        <v>0</v>
      </c>
      <c r="T11" t="n">
        <v>0.0564</v>
      </c>
      <c r="U11" t="n">
        <v>0</v>
      </c>
      <c r="V11" t="n">
        <v>0.0138</v>
      </c>
      <c r="W11" t="n">
        <v>0</v>
      </c>
      <c r="X11" t="n">
        <v>0.1029</v>
      </c>
      <c r="Y11" t="n">
        <v>0.07580000000000001</v>
      </c>
      <c r="Z11" t="n">
        <v>0.0066</v>
      </c>
      <c r="AA11" t="n">
        <v>0.6733</v>
      </c>
      <c r="AC11">
        <f>IF(ISNUMBER(INDEX($A$2:$AA$62,10,MATCH('Para Piyasası'!$E$2,$A$1:$AA$1,0))),INDEX($A$2:$AA$62,10,MATCH('Para Piyasası'!$E$2,$A$1:$AA$1,0)),-1E+9)-ROW()/1E+7</f>
        <v/>
      </c>
    </row>
    <row r="12">
      <c r="A12" t="inlineStr">
        <is>
          <t>NVB</t>
        </is>
      </c>
      <c r="B12" t="inlineStr">
        <is>
          <t>Neo Portföy İkinci Para Piyasası (TL) Fon</t>
        </is>
      </c>
      <c r="C12" t="inlineStr">
        <is>
          <t>Neo Portföy</t>
        </is>
      </c>
      <c r="D12" t="n">
        <v>0.013</v>
      </c>
      <c r="E12" t="n">
        <v>0.1214704581648629</v>
      </c>
      <c r="F12" t="n">
        <v>0.7531689129504082</v>
      </c>
      <c r="G12" t="n">
        <v>3.184156252983139</v>
      </c>
      <c r="H12" t="n">
        <v>22.92653769913424</v>
      </c>
      <c r="I12" t="n">
        <v>48.35962122958024</v>
      </c>
      <c r="J12" t="n">
        <v>5006</v>
      </c>
      <c r="K12" t="n">
        <v>4861</v>
      </c>
      <c r="L12" t="n">
        <v>-0.02896524170994808</v>
      </c>
      <c r="M12" t="n">
        <v>5927724039.72</v>
      </c>
      <c r="N12" t="n">
        <v>6089513868.76</v>
      </c>
      <c r="O12" t="n">
        <v>0.02729375186089844</v>
      </c>
      <c r="P12" t="n">
        <v>0.08579889739915136</v>
      </c>
      <c r="Q12" t="inlineStr">
        <is>
          <t>Görüyor</t>
        </is>
      </c>
      <c r="R12" t="n">
        <v>0.3199</v>
      </c>
      <c r="S12" t="n">
        <v>0</v>
      </c>
      <c r="T12" t="n">
        <v>0.3983</v>
      </c>
      <c r="U12" t="n">
        <v>0</v>
      </c>
      <c r="V12" t="n">
        <v>0.0549</v>
      </c>
      <c r="W12" t="n">
        <v>0</v>
      </c>
      <c r="X12" t="n">
        <v>0.0018</v>
      </c>
      <c r="Y12" t="n">
        <v>0.0977</v>
      </c>
      <c r="Z12" t="n">
        <v>0</v>
      </c>
      <c r="AA12" t="n">
        <v>0.8725999999999999</v>
      </c>
      <c r="AC12">
        <f>IF(ISNUMBER(INDEX($A$2:$AA$62,11,MATCH('Para Piyasası'!$E$2,$A$1:$AA$1,0))),INDEX($A$2:$AA$62,11,MATCH('Para Piyasası'!$E$2,$A$1:$AA$1,0)),-1E+9)-ROW()/1E+7</f>
        <v/>
      </c>
    </row>
    <row r="13">
      <c r="A13" t="inlineStr">
        <is>
          <t>YVD</t>
        </is>
      </c>
      <c r="B13" t="inlineStr">
        <is>
          <t>Yapı Kredi Portföy İkinci Para Piyasası (TL) Fonu</t>
        </is>
      </c>
      <c r="C13" t="inlineStr">
        <is>
          <t>Yapı Kredi Portföy</t>
        </is>
      </c>
      <c r="D13" t="n">
        <v>0.0148</v>
      </c>
      <c r="E13" t="n">
        <v>0.1206581077590307</v>
      </c>
      <c r="F13" t="n">
        <v>0.740049395012865</v>
      </c>
      <c r="G13" t="n">
        <v>3.097466253370773</v>
      </c>
      <c r="H13" t="n">
        <v>21.98872803599368</v>
      </c>
      <c r="I13" t="n">
        <v>46.26421622721357</v>
      </c>
      <c r="J13" t="n">
        <v>80531</v>
      </c>
      <c r="K13" t="n">
        <v>80183</v>
      </c>
      <c r="L13" t="n">
        <v>-0.00432131725670859</v>
      </c>
      <c r="M13" t="n">
        <v>40135027348.44</v>
      </c>
      <c r="N13" t="n">
        <v>62682929885.91</v>
      </c>
      <c r="O13" t="n">
        <v>0.5618011006125903</v>
      </c>
      <c r="P13" t="n">
        <v>0.08438088905343193</v>
      </c>
      <c r="Q13" t="inlineStr">
        <is>
          <t>Görmüyor</t>
        </is>
      </c>
      <c r="R13" t="n">
        <v>0.1634</v>
      </c>
      <c r="S13" t="n">
        <v>0</v>
      </c>
      <c r="T13" t="n">
        <v>0.6665000000000001</v>
      </c>
      <c r="U13" t="n">
        <v>0</v>
      </c>
      <c r="V13" t="n">
        <v>0</v>
      </c>
      <c r="W13" t="n">
        <v>0</v>
      </c>
      <c r="X13" t="n">
        <v>0.0131</v>
      </c>
      <c r="Y13" t="n">
        <v>0.0058</v>
      </c>
      <c r="Z13" t="n">
        <v>0</v>
      </c>
      <c r="AA13" t="n">
        <v>0.8488000000000001</v>
      </c>
      <c r="AC13">
        <f>IF(ISNUMBER(INDEX($A$2:$AA$62,12,MATCH('Para Piyasası'!$E$2,$A$1:$AA$1,0))),INDEX($A$2:$AA$62,12,MATCH('Para Piyasası'!$E$2,$A$1:$AA$1,0)),-1E+9)-ROW()/1E+7</f>
        <v/>
      </c>
    </row>
    <row r="14">
      <c r="A14" t="inlineStr">
        <is>
          <t>FI5</t>
        </is>
      </c>
      <c r="B14" t="inlineStr">
        <is>
          <t>Qnb Portföy Para Piyasası (TL) Fonu</t>
        </is>
      </c>
      <c r="C14" t="inlineStr">
        <is>
          <t>Qnb Portföy</t>
        </is>
      </c>
      <c r="D14" t="n">
        <v>0.013</v>
      </c>
      <c r="E14" t="n">
        <v>0.1187346851606152</v>
      </c>
      <c r="F14" t="n">
        <v>0.7566222227764152</v>
      </c>
      <c r="G14" t="n">
        <v>3.20122215840275</v>
      </c>
      <c r="H14" t="n">
        <v>22.62273816028764</v>
      </c>
      <c r="I14" t="n">
        <v>47.22325495583297</v>
      </c>
      <c r="J14" t="n">
        <v>51737</v>
      </c>
      <c r="K14" t="n">
        <v>51664</v>
      </c>
      <c r="L14" t="n">
        <v>-0.001410982469026045</v>
      </c>
      <c r="M14" t="n">
        <v>96774391627.67999</v>
      </c>
      <c r="N14" t="n">
        <v>98920166699.10001</v>
      </c>
      <c r="O14" t="n">
        <v>0.02217296368728872</v>
      </c>
      <c r="P14" t="n">
        <v>0.08495389691237615</v>
      </c>
      <c r="Q14" t="inlineStr">
        <is>
          <t>Görmüyor</t>
        </is>
      </c>
      <c r="R14" t="n">
        <v>0.4440999999999999</v>
      </c>
      <c r="S14" t="n">
        <v>0</v>
      </c>
      <c r="T14" t="n">
        <v>0.3074</v>
      </c>
      <c r="U14" t="n">
        <v>0</v>
      </c>
      <c r="V14" t="n">
        <v>0.006999999999999999</v>
      </c>
      <c r="W14" t="n">
        <v>0</v>
      </c>
      <c r="X14" t="n">
        <v>0.0343</v>
      </c>
      <c r="Y14" t="n">
        <v>0.0484</v>
      </c>
      <c r="Z14" t="n">
        <v>0.0024</v>
      </c>
      <c r="AA14" t="n">
        <v>0.8435999999999999</v>
      </c>
      <c r="AC14">
        <f>IF(ISNUMBER(INDEX($A$2:$AA$62,13,MATCH('Para Piyasası'!$E$2,$A$1:$AA$1,0))),INDEX($A$2:$AA$62,13,MATCH('Para Piyasası'!$E$2,$A$1:$AA$1,0)),-1E+9)-ROW()/1E+7</f>
        <v/>
      </c>
    </row>
    <row r="15">
      <c r="A15" t="inlineStr">
        <is>
          <t>RBP</t>
        </is>
      </c>
      <c r="B15" t="inlineStr">
        <is>
          <t>Re-pıe Portföy Birinci Para Piyasası (TL) Fonu</t>
        </is>
      </c>
      <c r="C15" t="inlineStr">
        <is>
          <t>Re-pıe Portföy</t>
        </is>
      </c>
      <c r="D15" t="n">
        <v>0.009000000000000001</v>
      </c>
      <c r="E15" t="n">
        <v>0.1180480031209408</v>
      </c>
      <c r="F15" t="n">
        <v>0.8154614794860571</v>
      </c>
      <c r="G15" t="n">
        <v>3.470313816403792</v>
      </c>
      <c r="H15" t="n">
        <v>24.90188673614273</v>
      </c>
      <c r="I15" t="n">
        <v>51.27294717891324</v>
      </c>
      <c r="J15" t="n">
        <v>767</v>
      </c>
      <c r="K15" t="n">
        <v>898</v>
      </c>
      <c r="L15" t="n">
        <v>0.1707953063885268</v>
      </c>
      <c r="M15" t="n">
        <v>1887067626.79</v>
      </c>
      <c r="N15" t="n">
        <v>2350061218.41</v>
      </c>
      <c r="O15" t="n">
        <v>0.2453508210554043</v>
      </c>
      <c r="P15" t="n">
        <v>0.09329760122297495</v>
      </c>
      <c r="Q15" t="inlineStr">
        <is>
          <t>Görüyor</t>
        </is>
      </c>
      <c r="R15" t="n">
        <v>0.062</v>
      </c>
      <c r="S15" t="n">
        <v>0</v>
      </c>
      <c r="T15" t="n">
        <v>0.4928</v>
      </c>
      <c r="U15" t="n">
        <v>0</v>
      </c>
      <c r="V15" t="n">
        <v>0.1989</v>
      </c>
      <c r="W15" t="n">
        <v>0</v>
      </c>
      <c r="X15" t="n">
        <v>0</v>
      </c>
      <c r="Y15" t="n">
        <v>0.1213</v>
      </c>
      <c r="Z15" t="n">
        <v>0.0102</v>
      </c>
      <c r="AA15" t="n">
        <v>0.8852</v>
      </c>
      <c r="AC15">
        <f>IF(ISNUMBER(INDEX($A$2:$AA$62,14,MATCH('Para Piyasası'!$E$2,$A$1:$AA$1,0))),INDEX($A$2:$AA$62,14,MATCH('Para Piyasası'!$E$2,$A$1:$AA$1,0)),-1E+9)-ROW()/1E+7</f>
        <v/>
      </c>
    </row>
    <row r="16">
      <c r="A16" t="inlineStr">
        <is>
          <t>VK6</t>
        </is>
      </c>
      <c r="B16" t="inlineStr">
        <is>
          <t>V Portföy Vakıfbank Para Piyasası (TL) Fonu</t>
        </is>
      </c>
      <c r="C16" t="inlineStr">
        <is>
          <t>V Portföy</t>
        </is>
      </c>
      <c r="D16" t="n">
        <v>0.013</v>
      </c>
      <c r="E16" t="n">
        <v>0.1178706815257335</v>
      </c>
      <c r="F16" t="n">
        <v>0.7733286121512917</v>
      </c>
      <c r="G16" t="n">
        <v>3.209092695830806</v>
      </c>
      <c r="H16" t="n">
        <v>22.81285871253278</v>
      </c>
      <c r="I16" t="n">
        <v>47.1612319067104</v>
      </c>
      <c r="J16" t="n">
        <v>156030</v>
      </c>
      <c r="K16" t="n">
        <v>157602</v>
      </c>
      <c r="L16" t="n">
        <v>0.01007498557969622</v>
      </c>
      <c r="M16" t="n">
        <v>70097053747.62</v>
      </c>
      <c r="N16" t="n">
        <v>76318547915</v>
      </c>
      <c r="O16" t="n">
        <v>0.08875543028926858</v>
      </c>
      <c r="P16" t="n">
        <v>0.08592561955851676</v>
      </c>
      <c r="Q16" t="inlineStr">
        <is>
          <t>Görmüyor</t>
        </is>
      </c>
      <c r="R16" t="n">
        <v>0.3689</v>
      </c>
      <c r="S16" t="n">
        <v>0</v>
      </c>
      <c r="T16" t="n">
        <v>0.4261</v>
      </c>
      <c r="U16" t="n">
        <v>0</v>
      </c>
      <c r="V16" t="n">
        <v>0</v>
      </c>
      <c r="W16" t="n">
        <v>0</v>
      </c>
      <c r="X16" t="n">
        <v>0.0046</v>
      </c>
      <c r="Y16" t="n">
        <v>0.0003</v>
      </c>
      <c r="Z16" t="n">
        <v>0</v>
      </c>
      <c r="AA16" t="n">
        <v>0.7998999999999999</v>
      </c>
      <c r="AC16">
        <f>IF(ISNUMBER(INDEX($A$2:$AA$62,15,MATCH('Para Piyasası'!$E$2,$A$1:$AA$1,0))),INDEX($A$2:$AA$62,15,MATCH('Para Piyasası'!$E$2,$A$1:$AA$1,0)),-1E+9)-ROW()/1E+7</f>
        <v/>
      </c>
    </row>
    <row r="17">
      <c r="A17" t="inlineStr">
        <is>
          <t>IDL</t>
        </is>
      </c>
      <c r="B17" t="inlineStr">
        <is>
          <t>Aktif Portföy Para Piyasası (TL) Fonu</t>
        </is>
      </c>
      <c r="C17" t="inlineStr">
        <is>
          <t>Aktif Portföy</t>
        </is>
      </c>
      <c r="D17" t="n">
        <v>0.0095</v>
      </c>
      <c r="E17" t="n">
        <v>0.1177980684768931</v>
      </c>
      <c r="F17" t="n">
        <v>0.7701564171609832</v>
      </c>
      <c r="G17" t="n">
        <v>3.214894434353877</v>
      </c>
      <c r="H17" t="n">
        <v>22.79855051027955</v>
      </c>
      <c r="I17" t="n">
        <v>47.06028075552366</v>
      </c>
      <c r="J17" t="n">
        <v>3624</v>
      </c>
      <c r="K17" t="n">
        <v>3528</v>
      </c>
      <c r="L17" t="n">
        <v>-0.02649006622516559</v>
      </c>
      <c r="M17" t="n">
        <v>4044566700.56</v>
      </c>
      <c r="N17" t="n">
        <v>2973499793.16</v>
      </c>
      <c r="O17" t="n">
        <v>-0.2648162304386532</v>
      </c>
      <c r="P17" t="n">
        <v>0.08571788794915872</v>
      </c>
      <c r="Q17" t="inlineStr">
        <is>
          <t>Görüyor</t>
        </is>
      </c>
      <c r="R17" t="n">
        <v>0.3071</v>
      </c>
      <c r="S17" t="n">
        <v>0</v>
      </c>
      <c r="T17" t="n">
        <v>0.1009</v>
      </c>
      <c r="U17" t="n">
        <v>0</v>
      </c>
      <c r="V17" t="n">
        <v>0.1016</v>
      </c>
      <c r="W17" t="n">
        <v>0</v>
      </c>
      <c r="X17" t="n">
        <v>0.0137</v>
      </c>
      <c r="Y17" t="n">
        <v>0.1675</v>
      </c>
      <c r="Z17" t="n">
        <v>0</v>
      </c>
      <c r="AA17" t="n">
        <v>0.6908</v>
      </c>
      <c r="AC17">
        <f>IF(ISNUMBER(INDEX($A$2:$AA$62,16,MATCH('Para Piyasası'!$E$2,$A$1:$AA$1,0))),INDEX($A$2:$AA$62,16,MATCH('Para Piyasası'!$E$2,$A$1:$AA$1,0)),-1E+9)-ROW()/1E+7</f>
        <v/>
      </c>
    </row>
    <row r="18">
      <c r="A18" t="inlineStr">
        <is>
          <t>BRG</t>
        </is>
      </c>
      <c r="B18" t="inlineStr">
        <is>
          <t>Teb Portföy Burgan Bank Para Piyasası (TL) Fonu</t>
        </is>
      </c>
      <c r="C18" t="inlineStr">
        <is>
          <t>Teb Portföy</t>
        </is>
      </c>
      <c r="D18" t="n">
        <v>0.009000000000000001</v>
      </c>
      <c r="E18" t="n">
        <v>0.1176310742629472</v>
      </c>
      <c r="F18" t="n">
        <v>0.7815296662552651</v>
      </c>
      <c r="G18" t="n">
        <v>3.205148469663888</v>
      </c>
      <c r="H18" t="n">
        <v>22.88506614438168</v>
      </c>
      <c r="I18" t="n">
        <v>47.49219105292133</v>
      </c>
      <c r="J18" t="n">
        <v>1571</v>
      </c>
      <c r="K18" t="n">
        <v>1573</v>
      </c>
      <c r="L18" t="n">
        <v>0.001273074474856806</v>
      </c>
      <c r="M18" t="n">
        <v>1786946733.62</v>
      </c>
      <c r="N18" t="n">
        <v>1704713525.5</v>
      </c>
      <c r="O18" t="n">
        <v>-0.04601883568930543</v>
      </c>
      <c r="P18" t="n">
        <v>0.08599287757379387</v>
      </c>
      <c r="Q18" t="inlineStr">
        <is>
          <t>Görmüyor</t>
        </is>
      </c>
      <c r="R18" t="n">
        <v>0.3883</v>
      </c>
      <c r="S18" t="n">
        <v>0</v>
      </c>
      <c r="T18" t="n">
        <v>0.3631</v>
      </c>
      <c r="U18" t="n">
        <v>0</v>
      </c>
      <c r="V18" t="n">
        <v>0.0042</v>
      </c>
      <c r="W18" t="n">
        <v>0</v>
      </c>
      <c r="X18" t="n">
        <v>0.0051</v>
      </c>
      <c r="Y18" t="n">
        <v>0.05019999999999999</v>
      </c>
      <c r="Z18" t="n">
        <v>0</v>
      </c>
      <c r="AA18" t="n">
        <v>0.8109</v>
      </c>
      <c r="AC18">
        <f>IF(ISNUMBER(INDEX($A$2:$AA$62,17,MATCH('Para Piyasası'!$E$2,$A$1:$AA$1,0))),INDEX($A$2:$AA$62,17,MATCH('Para Piyasası'!$E$2,$A$1:$AA$1,0)),-1E+9)-ROW()/1E+7</f>
        <v/>
      </c>
    </row>
    <row r="19">
      <c r="A19" t="inlineStr">
        <is>
          <t>YLB</t>
        </is>
      </c>
      <c r="B19" t="inlineStr">
        <is>
          <t>Yapı Kredi Portföy Para Piyasası Fonu</t>
        </is>
      </c>
      <c r="C19" t="inlineStr">
        <is>
          <t>Yapı Kredi Portföy</t>
        </is>
      </c>
      <c r="D19" t="n">
        <v>0.0148</v>
      </c>
      <c r="E19" t="n">
        <v>0.1170697387288921</v>
      </c>
      <c r="F19" t="n">
        <v>0.7563292285039491</v>
      </c>
      <c r="G19" t="n">
        <v>3.176615365058288</v>
      </c>
      <c r="H19" t="n">
        <v>22.55036353176296</v>
      </c>
      <c r="I19" t="n">
        <v>46.90727999014553</v>
      </c>
      <c r="J19" t="n">
        <v>340914</v>
      </c>
      <c r="K19" t="n">
        <v>345213</v>
      </c>
      <c r="L19" t="n">
        <v>0.01261021841285492</v>
      </c>
      <c r="M19" t="n">
        <v>72363940476.67</v>
      </c>
      <c r="N19" t="n">
        <v>85882601414.72</v>
      </c>
      <c r="O19" t="n">
        <v>0.1868148811272707</v>
      </c>
      <c r="P19" t="n">
        <v>0.08482159940690047</v>
      </c>
      <c r="Q19" t="inlineStr">
        <is>
          <t>Görmüyor</t>
        </is>
      </c>
      <c r="R19" t="n">
        <v>0.2412</v>
      </c>
      <c r="S19" t="n">
        <v>0</v>
      </c>
      <c r="T19" t="n">
        <v>0.5864</v>
      </c>
      <c r="U19" t="n">
        <v>0</v>
      </c>
      <c r="V19" t="n">
        <v>0.0126</v>
      </c>
      <c r="W19" t="n">
        <v>0</v>
      </c>
      <c r="X19" t="n">
        <v>0.0089</v>
      </c>
      <c r="Y19" t="n">
        <v>0.0073</v>
      </c>
      <c r="Z19" t="n">
        <v>0</v>
      </c>
      <c r="AA19" t="n">
        <v>0.8564000000000001</v>
      </c>
      <c r="AC19">
        <f>IF(ISNUMBER(INDEX($A$2:$AA$62,18,MATCH('Para Piyasası'!$E$2,$A$1:$AA$1,0))),INDEX($A$2:$AA$62,18,MATCH('Para Piyasası'!$E$2,$A$1:$AA$1,0)),-1E+9)-ROW()/1E+7</f>
        <v/>
      </c>
    </row>
    <row r="20">
      <c r="A20" t="inlineStr">
        <is>
          <t>PPT</t>
        </is>
      </c>
      <c r="B20" t="inlineStr">
        <is>
          <t>Atlas Portföy Para Piyasası (TL) Fonu</t>
        </is>
      </c>
      <c r="C20" t="inlineStr">
        <is>
          <t>Atlas Portföy</t>
        </is>
      </c>
      <c r="D20" t="n">
        <v>0.0105</v>
      </c>
      <c r="E20" t="n">
        <v>0.1159552959390409</v>
      </c>
      <c r="F20" t="n">
        <v>0.8322730363347519</v>
      </c>
      <c r="G20" t="n">
        <v>3.567436180185424</v>
      </c>
      <c r="H20" t="n">
        <v>25.81408511548931</v>
      </c>
      <c r="I20" t="n">
        <v>52.99204000184832</v>
      </c>
      <c r="J20" t="n">
        <v>3624</v>
      </c>
      <c r="K20" t="n">
        <v>3620</v>
      </c>
      <c r="L20" t="n">
        <v>-0.001103752759381904</v>
      </c>
      <c r="M20" t="n">
        <v>1560581715.57</v>
      </c>
      <c r="N20" t="n">
        <v>1744236394.17</v>
      </c>
      <c r="O20" t="n">
        <v>0.1176834745452087</v>
      </c>
      <c r="P20" t="n">
        <v>0.09468500677638524</v>
      </c>
      <c r="Q20" t="inlineStr">
        <is>
          <t>Görüyor</t>
        </is>
      </c>
      <c r="R20" t="n">
        <v>0.1533</v>
      </c>
      <c r="S20" t="n">
        <v>0</v>
      </c>
      <c r="T20" t="n">
        <v>0.3943</v>
      </c>
      <c r="U20" t="n">
        <v>0</v>
      </c>
      <c r="V20" t="n">
        <v>0.1992</v>
      </c>
      <c r="W20" t="n">
        <v>0</v>
      </c>
      <c r="X20" t="n">
        <v>0</v>
      </c>
      <c r="Y20" t="n">
        <v>0.1126</v>
      </c>
      <c r="Z20" t="n">
        <v>0</v>
      </c>
      <c r="AA20" t="n">
        <v>0.8593999999999999</v>
      </c>
      <c r="AC20">
        <f>IF(ISNUMBER(INDEX($A$2:$AA$62,19,MATCH('Para Piyasası'!$E$2,$A$1:$AA$1,0))),INDEX($A$2:$AA$62,19,MATCH('Para Piyasası'!$E$2,$A$1:$AA$1,0)),-1E+9)-ROW()/1E+7</f>
        <v/>
      </c>
    </row>
    <row r="21">
      <c r="A21" t="inlineStr">
        <is>
          <t>DLY</t>
        </is>
      </c>
      <c r="B21" t="inlineStr">
        <is>
          <t>Deniz Portföy Para Piyasası (TL) Fonu</t>
        </is>
      </c>
      <c r="C21" t="inlineStr">
        <is>
          <t>Deniz Portföy</t>
        </is>
      </c>
      <c r="D21" t="n">
        <v>0.0145</v>
      </c>
      <c r="E21" t="n">
        <v>0.1159320455909274</v>
      </c>
      <c r="F21" t="n">
        <v>0.7573448405183481</v>
      </c>
      <c r="G21" t="n">
        <v>3.173361108614392</v>
      </c>
      <c r="H21" t="n">
        <v>22.57105313407635</v>
      </c>
      <c r="I21" t="n">
        <v>47.08064453318828</v>
      </c>
      <c r="J21" t="n">
        <v>310418</v>
      </c>
      <c r="K21" t="n">
        <v>309148</v>
      </c>
      <c r="L21" t="n">
        <v>-0.004091257594598274</v>
      </c>
      <c r="M21" t="n">
        <v>71515090893.42999</v>
      </c>
      <c r="N21" t="n">
        <v>69058175374.73</v>
      </c>
      <c r="O21" t="n">
        <v>-0.03435520374799261</v>
      </c>
      <c r="P21" t="n">
        <v>0.08437901511638539</v>
      </c>
      <c r="Q21" t="inlineStr">
        <is>
          <t>Görüyor</t>
        </is>
      </c>
      <c r="R21" t="n">
        <v>0.3073</v>
      </c>
      <c r="S21" t="n">
        <v>0</v>
      </c>
      <c r="T21" t="n">
        <v>0.4624</v>
      </c>
      <c r="U21" t="n">
        <v>0</v>
      </c>
      <c r="V21" t="n">
        <v>0.0117</v>
      </c>
      <c r="W21" t="n">
        <v>0</v>
      </c>
      <c r="X21" t="n">
        <v>0.0244</v>
      </c>
      <c r="Y21" t="n">
        <v>0.005699999999999999</v>
      </c>
      <c r="Z21" t="n">
        <v>0.0022</v>
      </c>
      <c r="AA21" t="n">
        <v>0.8137000000000001</v>
      </c>
      <c r="AC21">
        <f>IF(ISNUMBER(INDEX($A$2:$AA$62,20,MATCH('Para Piyasası'!$E$2,$A$1:$AA$1,0))),INDEX($A$2:$AA$62,20,MATCH('Para Piyasası'!$E$2,$A$1:$AA$1,0)),-1E+9)-ROW()/1E+7</f>
        <v/>
      </c>
    </row>
    <row r="22">
      <c r="A22" t="inlineStr">
        <is>
          <t>IOO</t>
        </is>
      </c>
      <c r="B22" t="inlineStr">
        <is>
          <t>İŞ Portföy İkinci Para Piyasası (TL) Fonu</t>
        </is>
      </c>
      <c r="C22" t="inlineStr">
        <is>
          <t>İŞ Portföy</t>
        </is>
      </c>
      <c r="D22" t="n">
        <v>0.0105</v>
      </c>
      <c r="E22" t="n">
        <v>0.1159319223873467</v>
      </c>
      <c r="F22" t="n">
        <v>0.8114920387712887</v>
      </c>
      <c r="G22" t="n">
        <v>3.18529585937406</v>
      </c>
      <c r="H22" t="n">
        <v>22.31855342228391</v>
      </c>
      <c r="I22" t="n">
        <v>46.84519391306596</v>
      </c>
      <c r="J22" t="n">
        <v>6222</v>
      </c>
      <c r="K22" t="n">
        <v>6078</v>
      </c>
      <c r="L22" t="n">
        <v>-0.02314368370298936</v>
      </c>
      <c r="M22" t="n">
        <v>17939963362.53</v>
      </c>
      <c r="N22" t="n">
        <v>17559559651.42</v>
      </c>
      <c r="O22" t="n">
        <v>-0.02120426354406746</v>
      </c>
      <c r="P22" t="n">
        <v>0.09299078757747428</v>
      </c>
      <c r="Q22" t="inlineStr">
        <is>
          <t>Görüyor</t>
        </is>
      </c>
      <c r="R22" t="n">
        <v>0.4108</v>
      </c>
      <c r="S22" t="n">
        <v>0</v>
      </c>
      <c r="T22" t="n">
        <v>0.1581</v>
      </c>
      <c r="U22" t="n">
        <v>0</v>
      </c>
      <c r="V22" t="n">
        <v>0.0361</v>
      </c>
      <c r="W22" t="n">
        <v>0</v>
      </c>
      <c r="X22" t="n">
        <v>0.1298</v>
      </c>
      <c r="Y22" t="n">
        <v>0.0203</v>
      </c>
      <c r="Z22" t="n">
        <v>0</v>
      </c>
      <c r="AA22" t="n">
        <v>0.7551</v>
      </c>
      <c r="AC22">
        <f>IF(ISNUMBER(INDEX($A$2:$AA$62,21,MATCH('Para Piyasası'!$E$2,$A$1:$AA$1,0))),INDEX($A$2:$AA$62,21,MATCH('Para Piyasası'!$E$2,$A$1:$AA$1,0)),-1E+9)-ROW()/1E+7</f>
        <v/>
      </c>
    </row>
    <row r="23">
      <c r="A23" t="inlineStr">
        <is>
          <t>RPP</t>
        </is>
      </c>
      <c r="B23" t="inlineStr">
        <is>
          <t>Rota Portföy Para Piyasası (TL) Fonu</t>
        </is>
      </c>
      <c r="C23" t="inlineStr">
        <is>
          <t>Rota Portföy</t>
        </is>
      </c>
      <c r="D23" t="n">
        <v>0.009000000000000001</v>
      </c>
      <c r="E23" t="n">
        <v>0.1155162034777613</v>
      </c>
      <c r="F23" t="n">
        <v>0.7688793399148741</v>
      </c>
      <c r="G23" t="n">
        <v>3.235554380592531</v>
      </c>
      <c r="H23" t="n">
        <v>23.1608788604879</v>
      </c>
      <c r="I23" t="n">
        <v>47.97402200971541</v>
      </c>
      <c r="J23" t="n">
        <v>8167</v>
      </c>
      <c r="K23" t="n">
        <v>7942</v>
      </c>
      <c r="L23" t="n">
        <v>-0.02754989592261536</v>
      </c>
      <c r="M23" t="n">
        <v>6170852857.26</v>
      </c>
      <c r="N23" t="n">
        <v>6495004154.01</v>
      </c>
      <c r="O23" t="n">
        <v>0.05252941598966121</v>
      </c>
      <c r="P23" t="n">
        <v>0.08721215438677951</v>
      </c>
      <c r="Q23" t="inlineStr">
        <is>
          <t>Görüyor</t>
        </is>
      </c>
      <c r="R23" t="n">
        <v>0.1426</v>
      </c>
      <c r="S23" t="n">
        <v>0</v>
      </c>
      <c r="T23" t="n">
        <v>0.5703</v>
      </c>
      <c r="U23" t="n">
        <v>0</v>
      </c>
      <c r="V23" t="n">
        <v>0</v>
      </c>
      <c r="W23" t="n">
        <v>0</v>
      </c>
      <c r="X23" t="n">
        <v>0.027</v>
      </c>
      <c r="Y23" t="n">
        <v>0.1119</v>
      </c>
      <c r="Z23" t="n">
        <v>0</v>
      </c>
      <c r="AA23" t="n">
        <v>0.8518</v>
      </c>
      <c r="AC23">
        <f>IF(ISNUMBER(INDEX($A$2:$AA$62,22,MATCH('Para Piyasası'!$E$2,$A$1:$AA$1,0))),INDEX($A$2:$AA$62,22,MATCH('Para Piyasası'!$E$2,$A$1:$AA$1,0)),-1E+9)-ROW()/1E+7</f>
        <v/>
      </c>
    </row>
    <row r="24">
      <c r="A24" t="inlineStr">
        <is>
          <t>PRH</t>
        </is>
      </c>
      <c r="B24" t="inlineStr">
        <is>
          <t>Aura Portföy Para Piyasası (TL) Fonu</t>
        </is>
      </c>
      <c r="C24" t="inlineStr">
        <is>
          <t>Aura Portföy</t>
        </is>
      </c>
      <c r="D24" t="n">
        <v>0.0125</v>
      </c>
      <c r="E24" t="n">
        <v>0.1146814575367694</v>
      </c>
      <c r="F24" t="n">
        <v>0.7781788817560864</v>
      </c>
      <c r="G24" t="n">
        <v>3.267956895323443</v>
      </c>
      <c r="H24" t="n">
        <v>22.68094546740562</v>
      </c>
      <c r="I24" t="n">
        <v>50.18014887560045</v>
      </c>
      <c r="J24" t="n">
        <v>333</v>
      </c>
      <c r="K24" t="n">
        <v>310</v>
      </c>
      <c r="L24" t="n">
        <v>-0.06906906906906907</v>
      </c>
      <c r="M24" t="n">
        <v>610596582.08</v>
      </c>
      <c r="N24" t="n">
        <v>607717244.89</v>
      </c>
      <c r="O24" t="n">
        <v>-0.004715613016030296</v>
      </c>
      <c r="P24" t="n">
        <v>0.0881018401162381</v>
      </c>
      <c r="Q24" t="inlineStr">
        <is>
          <t>Görüyor</t>
        </is>
      </c>
      <c r="R24" t="n">
        <v>0.0001</v>
      </c>
      <c r="S24" t="n">
        <v>0</v>
      </c>
      <c r="T24" t="n">
        <v>0.731</v>
      </c>
      <c r="U24" t="n">
        <v>0</v>
      </c>
      <c r="V24" t="n">
        <v>0.0012</v>
      </c>
      <c r="W24" t="n">
        <v>0</v>
      </c>
      <c r="X24" t="n">
        <v>0</v>
      </c>
      <c r="Y24" t="n">
        <v>0.1126</v>
      </c>
      <c r="Z24" t="n">
        <v>0</v>
      </c>
      <c r="AA24" t="n">
        <v>0.8449</v>
      </c>
      <c r="AC24">
        <f>IF(ISNUMBER(INDEX($A$2:$AA$62,23,MATCH('Para Piyasası'!$E$2,$A$1:$AA$1,0))),INDEX($A$2:$AA$62,23,MATCH('Para Piyasası'!$E$2,$A$1:$AA$1,0)),-1E+9)-ROW()/1E+7</f>
        <v/>
      </c>
    </row>
    <row r="25">
      <c r="A25" t="inlineStr">
        <is>
          <t>IGL</t>
        </is>
      </c>
      <c r="B25" t="inlineStr">
        <is>
          <t>Teb Portföy Ing Bank Para Piyasası (TL) Fonu</t>
        </is>
      </c>
      <c r="C25" t="inlineStr">
        <is>
          <t>Teb Portföy</t>
        </is>
      </c>
      <c r="D25" t="n">
        <v>0.011</v>
      </c>
      <c r="E25" t="n">
        <v>0.1143339019278322</v>
      </c>
      <c r="F25" t="n">
        <v>0.7736805060026164</v>
      </c>
      <c r="G25" t="n">
        <v>3.170910738671373</v>
      </c>
      <c r="H25" t="n">
        <v>22.70441850147498</v>
      </c>
      <c r="I25" t="n">
        <v>47.08366932100827</v>
      </c>
      <c r="J25" t="n">
        <v>17193</v>
      </c>
      <c r="K25" t="n">
        <v>16755</v>
      </c>
      <c r="L25" t="n">
        <v>-0.02547548420868961</v>
      </c>
      <c r="M25" t="n">
        <v>4484985633.29</v>
      </c>
      <c r="N25" t="n">
        <v>4454132058.55</v>
      </c>
      <c r="O25" t="n">
        <v>-0.006879302914815977</v>
      </c>
      <c r="P25" t="n">
        <v>0.08532034054762951</v>
      </c>
      <c r="Q25" t="inlineStr">
        <is>
          <t>Görmüyor</t>
        </is>
      </c>
      <c r="R25" t="n">
        <v>0.3496</v>
      </c>
      <c r="S25" t="n">
        <v>0</v>
      </c>
      <c r="T25" t="n">
        <v>0.4266</v>
      </c>
      <c r="U25" t="n">
        <v>0</v>
      </c>
      <c r="V25" t="n">
        <v>0.0103</v>
      </c>
      <c r="W25" t="n">
        <v>0</v>
      </c>
      <c r="X25" t="n">
        <v>0.0012</v>
      </c>
      <c r="Y25" t="n">
        <v>0.0107</v>
      </c>
      <c r="Z25" t="n">
        <v>0</v>
      </c>
      <c r="AA25" t="n">
        <v>0.7984</v>
      </c>
      <c r="AC25">
        <f>IF(ISNUMBER(INDEX($A$2:$AA$62,24,MATCH('Para Piyasası'!$E$2,$A$1:$AA$1,0))),INDEX($A$2:$AA$62,24,MATCH('Para Piyasası'!$E$2,$A$1:$AA$1,0)),-1E+9)-ROW()/1E+7</f>
        <v/>
      </c>
    </row>
    <row r="26">
      <c r="A26" t="inlineStr">
        <is>
          <t>DL2</t>
        </is>
      </c>
      <c r="B26" t="inlineStr">
        <is>
          <t>Deniz Portföy İkinci Para Piyasası (TL) Fonu</t>
        </is>
      </c>
      <c r="C26" t="inlineStr">
        <is>
          <t>Deniz Portföy</t>
        </is>
      </c>
      <c r="D26" t="n">
        <v>0.0049</v>
      </c>
      <c r="E26" t="n">
        <v>0.1139133754861854</v>
      </c>
      <c r="F26" t="n">
        <v>0.7617183128686866</v>
      </c>
      <c r="G26" t="n">
        <v>3.169267115356833</v>
      </c>
      <c r="H26" t="n">
        <v>22.66227103364891</v>
      </c>
      <c r="I26" t="n">
        <v>47.69001564108326</v>
      </c>
      <c r="J26" t="n">
        <v>672</v>
      </c>
      <c r="K26" t="n">
        <v>649</v>
      </c>
      <c r="L26" t="n">
        <v>-0.03422619047619047</v>
      </c>
      <c r="M26" t="n">
        <v>8759417142.57</v>
      </c>
      <c r="N26" t="n">
        <v>9565550336.690001</v>
      </c>
      <c r="O26" t="n">
        <v>0.09203046058878317</v>
      </c>
      <c r="P26" t="n">
        <v>0.0873175426841839</v>
      </c>
      <c r="Q26" t="inlineStr">
        <is>
          <t>Görüyor</t>
        </is>
      </c>
      <c r="R26" t="n">
        <v>0.2791</v>
      </c>
      <c r="S26" t="n">
        <v>0</v>
      </c>
      <c r="T26" t="n">
        <v>0.5006</v>
      </c>
      <c r="U26" t="n">
        <v>0</v>
      </c>
      <c r="V26" t="n">
        <v>0</v>
      </c>
      <c r="W26" t="n">
        <v>0</v>
      </c>
      <c r="X26" t="n">
        <v>0.0136</v>
      </c>
      <c r="Y26" t="n">
        <v>0</v>
      </c>
      <c r="Z26" t="n">
        <v>0</v>
      </c>
      <c r="AA26" t="n">
        <v>0.7933000000000001</v>
      </c>
      <c r="AC26">
        <f>IF(ISNUMBER(INDEX($A$2:$AA$62,25,MATCH('Para Piyasası'!$E$2,$A$1:$AA$1,0))),INDEX($A$2:$AA$62,25,MATCH('Para Piyasası'!$E$2,$A$1:$AA$1,0)),-1E+9)-ROW()/1E+7</f>
        <v/>
      </c>
    </row>
    <row r="27">
      <c r="A27" t="inlineStr">
        <is>
          <t>BGP</t>
        </is>
      </c>
      <c r="B27" t="inlineStr">
        <is>
          <t>AK Portföy Üçüncü Para Piyasası (TL) Fonu</t>
        </is>
      </c>
      <c r="C27" t="inlineStr">
        <is>
          <t>AK Portföy</t>
        </is>
      </c>
      <c r="D27" t="n">
        <v>0.0049</v>
      </c>
      <c r="E27" t="n">
        <v>0.11367168943337</v>
      </c>
      <c r="F27" t="n">
        <v>0.7511678909949193</v>
      </c>
      <c r="G27" t="n">
        <v>3.273008055496529</v>
      </c>
      <c r="H27" t="n">
        <v>22.90633827533613</v>
      </c>
      <c r="I27" t="n">
        <v>47.85839051983127</v>
      </c>
      <c r="J27" t="n">
        <v>29897</v>
      </c>
      <c r="K27" t="n">
        <v>29397</v>
      </c>
      <c r="L27" t="n">
        <v>-0.01672408602869857</v>
      </c>
      <c r="M27" t="n">
        <v>55303254797.68</v>
      </c>
      <c r="N27" t="n">
        <v>61431251042.31</v>
      </c>
      <c r="O27" t="n">
        <v>0.110807153521949</v>
      </c>
      <c r="P27" t="n">
        <v>0.0835891464225965</v>
      </c>
      <c r="Q27" t="inlineStr">
        <is>
          <t>Görüyor</t>
        </is>
      </c>
      <c r="R27" t="n">
        <v>0.4881</v>
      </c>
      <c r="S27" t="n">
        <v>0</v>
      </c>
      <c r="T27" t="n">
        <v>0.3188</v>
      </c>
      <c r="U27" t="n">
        <v>0</v>
      </c>
      <c r="V27" t="n">
        <v>0.0209</v>
      </c>
      <c r="W27" t="n">
        <v>0</v>
      </c>
      <c r="X27" t="n">
        <v>0.0025</v>
      </c>
      <c r="Y27" t="n">
        <v>0.0017</v>
      </c>
      <c r="Z27" t="n">
        <v>0</v>
      </c>
      <c r="AA27" t="n">
        <v>0.832</v>
      </c>
      <c r="AC27">
        <f>IF(ISNUMBER(INDEX($A$2:$AA$62,26,MATCH('Para Piyasası'!$E$2,$A$1:$AA$1,0))),INDEX($A$2:$AA$62,26,MATCH('Para Piyasası'!$E$2,$A$1:$AA$1,0)),-1E+9)-ROW()/1E+7</f>
        <v/>
      </c>
    </row>
    <row r="28">
      <c r="A28" t="inlineStr">
        <is>
          <t>PPZ</t>
        </is>
      </c>
      <c r="B28" t="inlineStr">
        <is>
          <t>Azimut Portföy Para Piyasası (TL) Fonu</t>
        </is>
      </c>
      <c r="C28" t="inlineStr">
        <is>
          <t>Azimut Portföy</t>
        </is>
      </c>
      <c r="D28" t="n">
        <v>0.013</v>
      </c>
      <c r="E28" t="n">
        <v>0.1130374187775285</v>
      </c>
      <c r="F28" t="n">
        <v>0.7713266939824992</v>
      </c>
      <c r="G28" t="n">
        <v>3.246658478445386</v>
      </c>
      <c r="H28" t="n">
        <v>22.82829479376074</v>
      </c>
      <c r="I28" t="n">
        <v>47.429498612659</v>
      </c>
      <c r="J28" t="n">
        <v>8087</v>
      </c>
      <c r="K28" t="n">
        <v>8154</v>
      </c>
      <c r="L28" t="n">
        <v>0.008284901694076918</v>
      </c>
      <c r="M28" t="n">
        <v>13183382786.16</v>
      </c>
      <c r="N28" t="n">
        <v>13242014788.58</v>
      </c>
      <c r="O28" t="n">
        <v>0.004447417128899067</v>
      </c>
      <c r="P28" t="n">
        <v>0.08652613130719242</v>
      </c>
      <c r="Q28" t="inlineStr">
        <is>
          <t>Görüyor</t>
        </is>
      </c>
      <c r="R28" t="n">
        <v>0.3508</v>
      </c>
      <c r="S28" t="n">
        <v>0</v>
      </c>
      <c r="T28" t="n">
        <v>0.0227</v>
      </c>
      <c r="U28" t="n">
        <v>0</v>
      </c>
      <c r="V28" t="n">
        <v>0.1812</v>
      </c>
      <c r="W28" t="n">
        <v>0</v>
      </c>
      <c r="X28" t="n">
        <v>0.0459</v>
      </c>
      <c r="Y28" t="n">
        <v>0.2005</v>
      </c>
      <c r="Z28" t="n">
        <v>0</v>
      </c>
      <c r="AA28" t="n">
        <v>0.8011</v>
      </c>
      <c r="AC28">
        <f>IF(ISNUMBER(INDEX($A$2:$AA$62,27,MATCH('Para Piyasası'!$E$2,$A$1:$AA$1,0))),INDEX($A$2:$AA$62,27,MATCH('Para Piyasası'!$E$2,$A$1:$AA$1,0)),-1E+9)-ROW()/1E+7</f>
        <v/>
      </c>
    </row>
    <row r="29">
      <c r="A29" t="inlineStr">
        <is>
          <t>HSL</t>
        </is>
      </c>
      <c r="B29" t="inlineStr">
        <is>
          <t>Hsbc Portföy Para Piyasası (TL) Fonu</t>
        </is>
      </c>
      <c r="C29" t="inlineStr">
        <is>
          <t>Hsbc Portföy</t>
        </is>
      </c>
      <c r="D29" t="n">
        <v>0.0125</v>
      </c>
      <c r="E29" t="n">
        <v>0.1129450523157605</v>
      </c>
      <c r="F29" t="n">
        <v>0.7580088576834232</v>
      </c>
      <c r="G29" t="n">
        <v>3.206935548869128</v>
      </c>
      <c r="H29" t="n">
        <v>22.72087588652325</v>
      </c>
      <c r="I29" t="n">
        <v>47.09990474824035</v>
      </c>
      <c r="J29" t="n">
        <v>24385</v>
      </c>
      <c r="K29" t="n">
        <v>24417</v>
      </c>
      <c r="L29" t="n">
        <v>0.001312282140660148</v>
      </c>
      <c r="M29" t="n">
        <v>23935699306.05</v>
      </c>
      <c r="N29" t="n">
        <v>24983234993.46</v>
      </c>
      <c r="O29" t="n">
        <v>0.04376457416246127</v>
      </c>
      <c r="P29" t="n">
        <v>0.08573597187672354</v>
      </c>
      <c r="Q29" t="inlineStr">
        <is>
          <t>Görüyor</t>
        </is>
      </c>
      <c r="R29" t="n">
        <v>0.2314</v>
      </c>
      <c r="S29" t="n">
        <v>0</v>
      </c>
      <c r="T29" t="n">
        <v>0.5632</v>
      </c>
      <c r="U29" t="n">
        <v>0</v>
      </c>
      <c r="V29" t="n">
        <v>0.1011</v>
      </c>
      <c r="W29" t="n">
        <v>0</v>
      </c>
      <c r="X29" t="n">
        <v>0</v>
      </c>
      <c r="Y29" t="n">
        <v>0</v>
      </c>
      <c r="Z29" t="n">
        <v>0</v>
      </c>
      <c r="AA29" t="n">
        <v>0.8957000000000001</v>
      </c>
      <c r="AC29">
        <f>IF(ISNUMBER(INDEX($A$2:$AA$62,28,MATCH('Para Piyasası'!$E$2,$A$1:$AA$1,0))),INDEX($A$2:$AA$62,28,MATCH('Para Piyasası'!$E$2,$A$1:$AA$1,0)),-1E+9)-ROW()/1E+7</f>
        <v/>
      </c>
    </row>
    <row r="30">
      <c r="A30" t="inlineStr">
        <is>
          <t>ECB</t>
        </is>
      </c>
      <c r="B30" t="inlineStr">
        <is>
          <t>Global MD Portföy Para Piyasası (TL) Fonu</t>
        </is>
      </c>
      <c r="C30" t="inlineStr">
        <is>
          <t>Global MD Portföy</t>
        </is>
      </c>
      <c r="D30" t="n">
        <v>0.013</v>
      </c>
      <c r="E30" t="n">
        <v>0.1126534276635116</v>
      </c>
      <c r="F30" t="n">
        <v>0.7406937733693164</v>
      </c>
      <c r="G30" t="n">
        <v>3.153799032332794</v>
      </c>
      <c r="H30" t="n">
        <v>22.36528778294387</v>
      </c>
      <c r="I30" t="n">
        <v>46.52179083949266</v>
      </c>
      <c r="J30" t="n">
        <v>3174</v>
      </c>
      <c r="K30" t="n">
        <v>3151</v>
      </c>
      <c r="L30" t="n">
        <v>-0.007246376811594235</v>
      </c>
      <c r="M30" t="n">
        <v>654934366.53</v>
      </c>
      <c r="N30" t="n">
        <v>662894889.33</v>
      </c>
      <c r="O30" t="n">
        <v>0.01215468786922402</v>
      </c>
      <c r="P30" t="n">
        <v>0.08300167132852795</v>
      </c>
      <c r="Q30" t="inlineStr">
        <is>
          <t>Görmüyor</t>
        </is>
      </c>
      <c r="R30" t="n">
        <v>0</v>
      </c>
      <c r="S30" t="n">
        <v>0</v>
      </c>
      <c r="T30" t="n">
        <v>0.4605</v>
      </c>
      <c r="U30" t="n">
        <v>0</v>
      </c>
      <c r="V30" t="n">
        <v>0.1896</v>
      </c>
      <c r="W30" t="n">
        <v>0</v>
      </c>
      <c r="X30" t="n">
        <v>0</v>
      </c>
      <c r="Y30" t="n">
        <v>0.2346</v>
      </c>
      <c r="Z30" t="n">
        <v>0</v>
      </c>
      <c r="AA30" t="n">
        <v>0.8847</v>
      </c>
      <c r="AC30">
        <f>IF(ISNUMBER(INDEX($A$2:$AA$62,29,MATCH('Para Piyasası'!$E$2,$A$1:$AA$1,0))),INDEX($A$2:$AA$62,29,MATCH('Para Piyasası'!$E$2,$A$1:$AA$1,0)),-1E+9)-ROW()/1E+7</f>
        <v/>
      </c>
    </row>
    <row r="31">
      <c r="A31" t="inlineStr">
        <is>
          <t>ZBJ</t>
        </is>
      </c>
      <c r="B31" t="inlineStr">
        <is>
          <t>Ziraat Portföy Başak Para Piyasası (TL) Fonu</t>
        </is>
      </c>
      <c r="C31" t="inlineStr">
        <is>
          <t>Ziraat Portföy</t>
        </is>
      </c>
      <c r="D31" t="n">
        <v>0.0049</v>
      </c>
      <c r="E31" t="n">
        <v>0.1124247639742615</v>
      </c>
      <c r="F31" t="n">
        <v>0.7707812668353853</v>
      </c>
      <c r="G31" t="n">
        <v>3.26833997630076</v>
      </c>
      <c r="H31" t="n">
        <v>23.28939369431802</v>
      </c>
      <c r="I31" t="n">
        <v>48.20507240301421</v>
      </c>
      <c r="J31" t="n">
        <v>19656</v>
      </c>
      <c r="K31" t="n">
        <v>19462</v>
      </c>
      <c r="L31" t="n">
        <v>-0.009869759869759909</v>
      </c>
      <c r="M31" t="n">
        <v>52149695290.6</v>
      </c>
      <c r="N31" t="n">
        <v>47885541238.65</v>
      </c>
      <c r="O31" t="n">
        <v>-0.08176757367781995</v>
      </c>
      <c r="P31" t="n">
        <v>0.08718721096089542</v>
      </c>
      <c r="Q31" t="inlineStr">
        <is>
          <t>Görüyor</t>
        </is>
      </c>
      <c r="R31" t="n">
        <v>0.3823</v>
      </c>
      <c r="S31" t="n">
        <v>0</v>
      </c>
      <c r="T31" t="n">
        <v>0.3275</v>
      </c>
      <c r="U31" t="n">
        <v>0</v>
      </c>
      <c r="V31" t="n">
        <v>0.0416</v>
      </c>
      <c r="W31" t="n">
        <v>0</v>
      </c>
      <c r="X31" t="n">
        <v>0.0212</v>
      </c>
      <c r="Y31" t="n">
        <v>0.0217</v>
      </c>
      <c r="Z31" t="n">
        <v>0</v>
      </c>
      <c r="AA31" t="n">
        <v>0.7943</v>
      </c>
      <c r="AC31">
        <f>IF(ISNUMBER(INDEX($A$2:$AA$62,30,MATCH('Para Piyasası'!$E$2,$A$1:$AA$1,0))),INDEX($A$2:$AA$62,30,MATCH('Para Piyasası'!$E$2,$A$1:$AA$1,0)),-1E+9)-ROW()/1E+7</f>
        <v/>
      </c>
    </row>
    <row r="32">
      <c r="A32" t="inlineStr">
        <is>
          <t>OYL</t>
        </is>
      </c>
      <c r="B32" t="inlineStr">
        <is>
          <t>Oyak Portföy Birinci Para Piyasası (TL) Fonu</t>
        </is>
      </c>
      <c r="C32" t="inlineStr">
        <is>
          <t>Oyak Portföy</t>
        </is>
      </c>
      <c r="D32" t="n">
        <v>0.013</v>
      </c>
      <c r="E32" t="n">
        <v>0.1123949107584288</v>
      </c>
      <c r="F32" t="n">
        <v>0.7556219175602674</v>
      </c>
      <c r="G32" t="n">
        <v>3.191552745688653</v>
      </c>
      <c r="H32" t="n">
        <v>22.15125892374361</v>
      </c>
      <c r="I32" t="n">
        <v>45.91988616683671</v>
      </c>
      <c r="J32" t="n">
        <v>8939</v>
      </c>
      <c r="K32" t="n">
        <v>8353</v>
      </c>
      <c r="L32" t="n">
        <v>-0.0655554312562926</v>
      </c>
      <c r="M32" t="n">
        <v>3424602175.54</v>
      </c>
      <c r="N32" t="n">
        <v>3188465760.77</v>
      </c>
      <c r="O32" t="n">
        <v>-0.06895294771947214</v>
      </c>
      <c r="P32" t="n">
        <v>0.08524708427591729</v>
      </c>
      <c r="Q32" t="inlineStr">
        <is>
          <t>Görmüyor</t>
        </is>
      </c>
      <c r="R32" t="n">
        <v>0.2755</v>
      </c>
      <c r="S32" t="n">
        <v>0</v>
      </c>
      <c r="T32" t="n">
        <v>0.4744</v>
      </c>
      <c r="U32" t="n">
        <v>0</v>
      </c>
      <c r="V32" t="n">
        <v>0.0002</v>
      </c>
      <c r="W32" t="n">
        <v>0</v>
      </c>
      <c r="X32" t="n">
        <v>0.0235</v>
      </c>
      <c r="Y32" t="n">
        <v>0.1124</v>
      </c>
      <c r="Z32" t="n">
        <v>0</v>
      </c>
      <c r="AA32" t="n">
        <v>0.886</v>
      </c>
      <c r="AC32">
        <f>IF(ISNUMBER(INDEX($A$2:$AA$62,31,MATCH('Para Piyasası'!$E$2,$A$1:$AA$1,0))),INDEX($A$2:$AA$62,31,MATCH('Para Piyasası'!$E$2,$A$1:$AA$1,0)),-1E+9)-ROW()/1E+7</f>
        <v/>
      </c>
    </row>
    <row r="33">
      <c r="A33" t="inlineStr">
        <is>
          <t>TCB</t>
        </is>
      </c>
      <c r="B33" t="inlineStr">
        <is>
          <t>Tacirler Portföy Para Piyasası Fonu</t>
        </is>
      </c>
      <c r="C33" t="inlineStr">
        <is>
          <t>Tacirler Portföy</t>
        </is>
      </c>
      <c r="D33" t="n">
        <v>0.0125</v>
      </c>
      <c r="E33" t="n">
        <v>0.1120301817280067</v>
      </c>
      <c r="F33" t="n">
        <v>0.7477485105188419</v>
      </c>
      <c r="G33" t="n">
        <v>3.199817414127581</v>
      </c>
      <c r="H33" t="n">
        <v>22.76086378124202</v>
      </c>
      <c r="I33" t="n">
        <v>47.53558120868438</v>
      </c>
      <c r="J33" t="n">
        <v>4801</v>
      </c>
      <c r="K33" t="n">
        <v>4732</v>
      </c>
      <c r="L33" t="n">
        <v>-0.01437200583211828</v>
      </c>
      <c r="M33" t="n">
        <v>3275048007.36</v>
      </c>
      <c r="N33" t="n">
        <v>3269028528</v>
      </c>
      <c r="O33" t="n">
        <v>-0.001837982022392493</v>
      </c>
      <c r="P33" t="n">
        <v>0.08551909612330524</v>
      </c>
      <c r="Q33" t="inlineStr">
        <is>
          <t>Görüyor</t>
        </is>
      </c>
      <c r="R33" t="n">
        <v>0.4517</v>
      </c>
      <c r="S33" t="n">
        <v>0</v>
      </c>
      <c r="T33" t="n">
        <v>0.1254</v>
      </c>
      <c r="U33" t="n">
        <v>0</v>
      </c>
      <c r="V33" t="n">
        <v>0.0122</v>
      </c>
      <c r="W33" t="n">
        <v>0</v>
      </c>
      <c r="X33" t="n">
        <v>0.005</v>
      </c>
      <c r="Y33" t="n">
        <v>0.2082</v>
      </c>
      <c r="Z33" t="n">
        <v>0</v>
      </c>
      <c r="AA33" t="n">
        <v>0.8025</v>
      </c>
      <c r="AC33">
        <f>IF(ISNUMBER(INDEX($A$2:$AA$62,32,MATCH('Para Piyasası'!$E$2,$A$1:$AA$1,0))),INDEX($A$2:$AA$62,32,MATCH('Para Piyasası'!$E$2,$A$1:$AA$1,0)),-1E+9)-ROW()/1E+7</f>
        <v/>
      </c>
    </row>
    <row r="34">
      <c r="A34" t="inlineStr">
        <is>
          <t>GTL</t>
        </is>
      </c>
      <c r="B34" t="inlineStr">
        <is>
          <t>Garanti Portföy Birinci Para Piyasası (TL) Fonu</t>
        </is>
      </c>
      <c r="C34" t="inlineStr">
        <is>
          <t>Garanti Portföy</t>
        </is>
      </c>
      <c r="D34" t="n">
        <v>0.014</v>
      </c>
      <c r="E34" t="n">
        <v>0.1118456067816798</v>
      </c>
      <c r="F34" t="n">
        <v>0.7725575147717656</v>
      </c>
      <c r="G34" t="n">
        <v>3.205388169247025</v>
      </c>
      <c r="H34" t="n">
        <v>22.28692030828949</v>
      </c>
      <c r="I34" t="n">
        <v>46.83395368306726</v>
      </c>
      <c r="J34" t="n">
        <v>330108</v>
      </c>
      <c r="K34" t="n">
        <v>336456</v>
      </c>
      <c r="L34" t="n">
        <v>0.01923007015885703</v>
      </c>
      <c r="M34" t="n">
        <v>152745082793.06</v>
      </c>
      <c r="N34" t="n">
        <v>184563080005.89</v>
      </c>
      <c r="O34" t="n">
        <v>0.2083078330969073</v>
      </c>
      <c r="P34" t="n">
        <v>0.08659983951937551</v>
      </c>
      <c r="Q34" t="inlineStr">
        <is>
          <t>Görmüyor</t>
        </is>
      </c>
      <c r="R34" t="n">
        <v>0.3358</v>
      </c>
      <c r="S34" t="n">
        <v>0</v>
      </c>
      <c r="T34" t="n">
        <v>0.4861</v>
      </c>
      <c r="U34" t="n">
        <v>0</v>
      </c>
      <c r="V34" t="n">
        <v>0.0007000000000000001</v>
      </c>
      <c r="W34" t="n">
        <v>0</v>
      </c>
      <c r="X34" t="n">
        <v>0.0385</v>
      </c>
      <c r="Y34" t="n">
        <v>0.0103</v>
      </c>
      <c r="Z34" t="n">
        <v>0</v>
      </c>
      <c r="AA34" t="n">
        <v>0.8714</v>
      </c>
      <c r="AC34">
        <f>IF(ISNUMBER(INDEX($A$2:$AA$62,33,MATCH('Para Piyasası'!$E$2,$A$1:$AA$1,0))),INDEX($A$2:$AA$62,33,MATCH('Para Piyasası'!$E$2,$A$1:$AA$1,0)),-1E+9)-ROW()/1E+7</f>
        <v/>
      </c>
    </row>
    <row r="35">
      <c r="A35" t="inlineStr">
        <is>
          <t>ANL</t>
        </is>
      </c>
      <c r="B35" t="inlineStr">
        <is>
          <t>AK Portföy Alternatif Bank Para Piyasası (Tl)fonu</t>
        </is>
      </c>
      <c r="C35" t="inlineStr">
        <is>
          <t>AK Portföy</t>
        </is>
      </c>
      <c r="D35" t="n">
        <v>0.0128</v>
      </c>
      <c r="E35" t="n">
        <v>0.1117164447421493</v>
      </c>
      <c r="F35" t="n">
        <v>0.7780988061479865</v>
      </c>
      <c r="G35" t="n">
        <v>3.188579641691969</v>
      </c>
      <c r="H35" t="n">
        <v>22.69096629795186</v>
      </c>
      <c r="I35" t="n">
        <v>47.40378613450695</v>
      </c>
      <c r="J35" t="n">
        <v>3996</v>
      </c>
      <c r="K35" t="n">
        <v>3778</v>
      </c>
      <c r="L35" t="n">
        <v>-0.0545545545545546</v>
      </c>
      <c r="M35" t="n">
        <v>546686276.01</v>
      </c>
      <c r="N35" t="n">
        <v>527583502.69</v>
      </c>
      <c r="O35" t="n">
        <v>-0.03494284411055992</v>
      </c>
      <c r="P35" t="n">
        <v>0.08572595200679248</v>
      </c>
      <c r="Q35" t="inlineStr">
        <is>
          <t>Görmüyor</t>
        </is>
      </c>
      <c r="R35" t="n">
        <v>0.2872</v>
      </c>
      <c r="S35" t="n">
        <v>0</v>
      </c>
      <c r="T35" t="n">
        <v>0.3699</v>
      </c>
      <c r="U35" t="n">
        <v>0</v>
      </c>
      <c r="V35" t="n">
        <v>0.001</v>
      </c>
      <c r="W35" t="n">
        <v>0</v>
      </c>
      <c r="X35" t="n">
        <v>0.1723</v>
      </c>
      <c r="Y35" t="n">
        <v>0.03</v>
      </c>
      <c r="Z35" t="n">
        <v>0</v>
      </c>
      <c r="AA35" t="n">
        <v>0.8604000000000001</v>
      </c>
      <c r="AC35">
        <f>IF(ISNUMBER(INDEX($A$2:$AA$62,34,MATCH('Para Piyasası'!$E$2,$A$1:$AA$1,0))),INDEX($A$2:$AA$62,34,MATCH('Para Piyasası'!$E$2,$A$1:$AA$1,0)),-1E+9)-ROW()/1E+7</f>
        <v/>
      </c>
    </row>
    <row r="36">
      <c r="A36" t="inlineStr">
        <is>
          <t>ALE</t>
        </is>
      </c>
      <c r="B36" t="inlineStr">
        <is>
          <t>AK Portföy Para Piyasası (TL) Fonu</t>
        </is>
      </c>
      <c r="C36" t="inlineStr">
        <is>
          <t>AK Portföy</t>
        </is>
      </c>
      <c r="D36" t="n">
        <v>0.0153</v>
      </c>
      <c r="E36" t="n">
        <v>0.1116316023321851</v>
      </c>
      <c r="F36" t="n">
        <v>0.7531431331815996</v>
      </c>
      <c r="G36" t="n">
        <v>3.207348413873312</v>
      </c>
      <c r="H36" t="n">
        <v>22.5393370889514</v>
      </c>
      <c r="I36" t="n">
        <v>46.69413376661715</v>
      </c>
      <c r="J36" t="n">
        <v>145316</v>
      </c>
      <c r="K36" t="n">
        <v>147843</v>
      </c>
      <c r="L36" t="n">
        <v>0.01738968867846613</v>
      </c>
      <c r="M36" t="n">
        <v>76891871627.47</v>
      </c>
      <c r="N36" t="n">
        <v>80056213697.13</v>
      </c>
      <c r="O36" t="n">
        <v>0.04115314145285454</v>
      </c>
      <c r="P36" t="n">
        <v>0.08271972676088334</v>
      </c>
      <c r="Q36" t="inlineStr">
        <is>
          <t>Görmüyor</t>
        </is>
      </c>
      <c r="R36" t="n">
        <v>0.5043</v>
      </c>
      <c r="S36" t="n">
        <v>0</v>
      </c>
      <c r="T36" t="n">
        <v>0.2932</v>
      </c>
      <c r="U36" t="n">
        <v>0</v>
      </c>
      <c r="V36" t="n">
        <v>0.0131</v>
      </c>
      <c r="W36" t="n">
        <v>0</v>
      </c>
      <c r="X36" t="n">
        <v>0.0035</v>
      </c>
      <c r="Y36" t="n">
        <v>0.009399999999999999</v>
      </c>
      <c r="Z36" t="n">
        <v>0</v>
      </c>
      <c r="AA36" t="n">
        <v>0.8235</v>
      </c>
      <c r="AC36">
        <f>IF(ISNUMBER(INDEX($A$2:$AA$62,35,MATCH('Para Piyasası'!$E$2,$A$1:$AA$1,0))),INDEX($A$2:$AA$62,35,MATCH('Para Piyasası'!$E$2,$A$1:$AA$1,0)),-1E+9)-ROW()/1E+7</f>
        <v/>
      </c>
    </row>
    <row r="37">
      <c r="A37" t="inlineStr">
        <is>
          <t>ICE</t>
        </is>
      </c>
      <c r="B37" t="inlineStr">
        <is>
          <t>Icbc Turkey Portföy Para Piyasası (TL) Fonu</t>
        </is>
      </c>
      <c r="C37" t="inlineStr">
        <is>
          <t>Icbc Turkey Portföy</t>
        </is>
      </c>
      <c r="D37" t="n">
        <v>0.0124</v>
      </c>
      <c r="E37" t="n">
        <v>0.111427267344455</v>
      </c>
      <c r="F37" t="n">
        <v>0.7291354454411536</v>
      </c>
      <c r="G37" t="n">
        <v>3.121574164385565</v>
      </c>
      <c r="H37" t="n">
        <v>22.34035373160297</v>
      </c>
      <c r="I37" t="n">
        <v>46.73578552353814</v>
      </c>
      <c r="J37" t="n">
        <v>5414</v>
      </c>
      <c r="K37" t="n">
        <v>4365</v>
      </c>
      <c r="L37" t="n">
        <v>-0.1937569264868858</v>
      </c>
      <c r="M37" t="n">
        <v>1911734411.3</v>
      </c>
      <c r="N37" t="n">
        <v>1405117259.78</v>
      </c>
      <c r="O37" t="n">
        <v>-0.2650039401526988</v>
      </c>
      <c r="P37" t="n">
        <v>0.0833014803117782</v>
      </c>
      <c r="Q37" t="inlineStr">
        <is>
          <t>Görüyor</t>
        </is>
      </c>
      <c r="R37" t="n">
        <v>0.1831</v>
      </c>
      <c r="S37" t="n">
        <v>0</v>
      </c>
      <c r="T37" t="n">
        <v>0.5238</v>
      </c>
      <c r="U37" t="n">
        <v>0</v>
      </c>
      <c r="V37" t="n">
        <v>0.0021</v>
      </c>
      <c r="W37" t="n">
        <v>0</v>
      </c>
      <c r="X37" t="n">
        <v>0</v>
      </c>
      <c r="Y37" t="n">
        <v>0.1222</v>
      </c>
      <c r="Z37" t="n">
        <v>0.0293</v>
      </c>
      <c r="AA37" t="n">
        <v>0.8605</v>
      </c>
      <c r="AC37">
        <f>IF(ISNUMBER(INDEX($A$2:$AA$62,36,MATCH('Para Piyasası'!$E$2,$A$1:$AA$1,0))),INDEX($A$2:$AA$62,36,MATCH('Para Piyasası'!$E$2,$A$1:$AA$1,0)),-1E+9)-ROW()/1E+7</f>
        <v/>
      </c>
    </row>
    <row r="38">
      <c r="A38" t="inlineStr">
        <is>
          <t>GO6</t>
        </is>
      </c>
      <c r="B38" t="inlineStr">
        <is>
          <t>One Portföy Para Piyasası (TL) Fonu</t>
        </is>
      </c>
      <c r="C38" t="inlineStr">
        <is>
          <t>One Portföy</t>
        </is>
      </c>
      <c r="D38" t="n">
        <v>0.0125</v>
      </c>
      <c r="E38" t="n">
        <v>0.1112065964641307</v>
      </c>
      <c r="F38" t="n">
        <v>0.6636406816165286</v>
      </c>
      <c r="G38" t="n">
        <v>3.343797932231629</v>
      </c>
      <c r="H38" t="n">
        <v>25.88948491054854</v>
      </c>
      <c r="I38" t="n">
        <v>53.85751639638554</v>
      </c>
      <c r="J38" t="n">
        <v>4223</v>
      </c>
      <c r="K38" t="n">
        <v>4157</v>
      </c>
      <c r="L38" t="n">
        <v>-0.0156286999763201</v>
      </c>
      <c r="M38" t="n">
        <v>5544242209.42</v>
      </c>
      <c r="N38" t="n">
        <v>5047570474.04</v>
      </c>
      <c r="O38" t="n">
        <v>-0.08958334008859226</v>
      </c>
      <c r="P38" t="n">
        <v>0.08436800729705439</v>
      </c>
      <c r="Q38" t="inlineStr">
        <is>
          <t>Görüyor</t>
        </is>
      </c>
      <c r="R38" t="n">
        <v>0.08380000000000001</v>
      </c>
      <c r="S38" t="n">
        <v>0</v>
      </c>
      <c r="T38" t="n">
        <v>0.3338</v>
      </c>
      <c r="U38" t="n">
        <v>0</v>
      </c>
      <c r="V38" t="n">
        <v>0.2073</v>
      </c>
      <c r="W38" t="n">
        <v>0</v>
      </c>
      <c r="X38" t="n">
        <v>0.0194</v>
      </c>
      <c r="Y38" t="n">
        <v>0.1577</v>
      </c>
      <c r="Z38" t="n">
        <v>0</v>
      </c>
      <c r="AA38" t="n">
        <v>0.802</v>
      </c>
      <c r="AC38">
        <f>IF(ISNUMBER(INDEX($A$2:$AA$62,37,MATCH('Para Piyasası'!$E$2,$A$1:$AA$1,0))),INDEX($A$2:$AA$62,37,MATCH('Para Piyasası'!$E$2,$A$1:$AA$1,0)),-1E+9)-ROW()/1E+7</f>
        <v/>
      </c>
    </row>
    <row r="39">
      <c r="A39" t="inlineStr">
        <is>
          <t>HVT</t>
        </is>
      </c>
      <c r="B39" t="inlineStr">
        <is>
          <t>Allbatross Portföy Birinci Para Piyasası (TL) Fonu</t>
        </is>
      </c>
      <c r="C39" t="inlineStr">
        <is>
          <t>Allbatross Portföy</t>
        </is>
      </c>
      <c r="D39" t="n">
        <v>0.0125</v>
      </c>
      <c r="E39" t="n">
        <v>0.1104893711561195</v>
      </c>
      <c r="F39" t="n">
        <v>0.7876215493433536</v>
      </c>
      <c r="G39" t="n">
        <v>3.332830558173683</v>
      </c>
      <c r="H39" t="n">
        <v>25.43702452982184</v>
      </c>
      <c r="I39" t="n">
        <v>52.86537107563403</v>
      </c>
      <c r="J39" t="n">
        <v>1926</v>
      </c>
      <c r="K39" t="n">
        <v>1853</v>
      </c>
      <c r="L39" t="n">
        <v>-0.03790238836967808</v>
      </c>
      <c r="M39" t="n">
        <v>627387086.98</v>
      </c>
      <c r="N39" t="n">
        <v>645797031.1900001</v>
      </c>
      <c r="O39" t="n">
        <v>0.02934383667126217</v>
      </c>
      <c r="P39" t="n">
        <v>0.08649673014091736</v>
      </c>
      <c r="Q39" t="inlineStr">
        <is>
          <t>Görüyor</t>
        </is>
      </c>
      <c r="R39" t="n">
        <v>0.2285</v>
      </c>
      <c r="S39" t="n">
        <v>0</v>
      </c>
      <c r="T39" t="n">
        <v>0.3191</v>
      </c>
      <c r="U39" t="n">
        <v>0</v>
      </c>
      <c r="V39" t="n">
        <v>0.155</v>
      </c>
      <c r="W39" t="n">
        <v>0</v>
      </c>
      <c r="X39" t="n">
        <v>0</v>
      </c>
      <c r="Y39" t="n">
        <v>0.1151</v>
      </c>
      <c r="Z39" t="n">
        <v>0</v>
      </c>
      <c r="AA39" t="n">
        <v>0.8177</v>
      </c>
      <c r="AC39">
        <f>IF(ISNUMBER(INDEX($A$2:$AA$62,38,MATCH('Para Piyasası'!$E$2,$A$1:$AA$1,0))),INDEX($A$2:$AA$62,38,MATCH('Para Piyasası'!$E$2,$A$1:$AA$1,0)),-1E+9)-ROW()/1E+7</f>
        <v/>
      </c>
    </row>
    <row r="40">
      <c r="A40" t="inlineStr">
        <is>
          <t>HIP</t>
        </is>
      </c>
      <c r="B40" t="inlineStr">
        <is>
          <t>Hsbc Portföy İkinci Para Piyasası (TL) Fonu</t>
        </is>
      </c>
      <c r="C40" t="inlineStr">
        <is>
          <t>Hsbc Portföy</t>
        </is>
      </c>
      <c r="D40" t="n">
        <v>0.012</v>
      </c>
      <c r="E40" t="n">
        <v>0.1104770066434835</v>
      </c>
      <c r="F40" t="n">
        <v>0.7725675556363942</v>
      </c>
      <c r="G40" t="n">
        <v>3.256973278512421</v>
      </c>
      <c r="H40" t="n">
        <v>23.25846124612663</v>
      </c>
      <c r="I40" t="n">
        <v>47.68573741687554</v>
      </c>
      <c r="J40" t="n">
        <v>1192</v>
      </c>
      <c r="K40" t="n">
        <v>1132</v>
      </c>
      <c r="L40" t="n">
        <v>-0.05033557046979864</v>
      </c>
      <c r="M40" t="n">
        <v>1750109547.18</v>
      </c>
      <c r="N40" t="n">
        <v>1940511457.4</v>
      </c>
      <c r="O40" t="n">
        <v>0.1087942812075964</v>
      </c>
      <c r="P40" t="n">
        <v>0.08584550848950361</v>
      </c>
      <c r="Q40" t="inlineStr">
        <is>
          <t>Görmüyor</t>
        </is>
      </c>
      <c r="R40" t="n">
        <v>0</v>
      </c>
      <c r="S40" t="n">
        <v>0</v>
      </c>
      <c r="T40" t="n">
        <v>0.7884</v>
      </c>
      <c r="U40" t="n">
        <v>0</v>
      </c>
      <c r="V40" t="n">
        <v>0.1024</v>
      </c>
      <c r="W40" t="n">
        <v>0</v>
      </c>
      <c r="X40" t="n">
        <v>0</v>
      </c>
      <c r="Y40" t="n">
        <v>0</v>
      </c>
      <c r="Z40" t="n">
        <v>0</v>
      </c>
      <c r="AA40" t="n">
        <v>0.8908</v>
      </c>
      <c r="AC40">
        <f>IF(ISNUMBER(INDEX($A$2:$AA$62,39,MATCH('Para Piyasası'!$E$2,$A$1:$AA$1,0))),INDEX($A$2:$AA$62,39,MATCH('Para Piyasası'!$E$2,$A$1:$AA$1,0)),-1E+9)-ROW()/1E+7</f>
        <v/>
      </c>
    </row>
    <row r="41">
      <c r="A41" t="inlineStr">
        <is>
          <t>HLL</t>
        </is>
      </c>
      <c r="B41" t="inlineStr">
        <is>
          <t>Ziraat Portföy Halkbank Para Piyasası (TL) Fonu</t>
        </is>
      </c>
      <c r="C41" t="inlineStr">
        <is>
          <t>Ziraat Portföy</t>
        </is>
      </c>
      <c r="D41" t="n">
        <v>0.013</v>
      </c>
      <c r="E41" t="n">
        <v>0.1101516284762516</v>
      </c>
      <c r="F41" t="n">
        <v>0.7596392055953416</v>
      </c>
      <c r="G41" t="n">
        <v>3.215241129063928</v>
      </c>
      <c r="H41" t="n">
        <v>22.87477842280434</v>
      </c>
      <c r="I41" t="n">
        <v>47.18372373861372</v>
      </c>
      <c r="J41" t="n">
        <v>1036317</v>
      </c>
      <c r="K41" t="n">
        <v>1035670</v>
      </c>
      <c r="L41" t="n">
        <v>-0.0006243263402992971</v>
      </c>
      <c r="M41" t="n">
        <v>44022131177.08</v>
      </c>
      <c r="N41" t="n">
        <v>44381285218.85</v>
      </c>
      <c r="O41" t="n">
        <v>0.008158488291384325</v>
      </c>
      <c r="P41" t="n">
        <v>0.08593925242841126</v>
      </c>
      <c r="Q41" t="inlineStr">
        <is>
          <t>Görmüyor</t>
        </is>
      </c>
      <c r="R41" t="n">
        <v>0.3693</v>
      </c>
      <c r="S41" t="n">
        <v>0</v>
      </c>
      <c r="T41" t="n">
        <v>0.191</v>
      </c>
      <c r="U41" t="n">
        <v>0</v>
      </c>
      <c r="V41" t="n">
        <v>0.1853</v>
      </c>
      <c r="W41" t="n">
        <v>0</v>
      </c>
      <c r="X41" t="n">
        <v>0.018</v>
      </c>
      <c r="Y41" t="n">
        <v>0.0228</v>
      </c>
      <c r="Z41" t="n">
        <v>0</v>
      </c>
      <c r="AA41" t="n">
        <v>0.7864</v>
      </c>
      <c r="AC41">
        <f>IF(ISNUMBER(INDEX($A$2:$AA$62,40,MATCH('Para Piyasası'!$E$2,$A$1:$AA$1,0))),INDEX($A$2:$AA$62,40,MATCH('Para Piyasası'!$E$2,$A$1:$AA$1,0)),-1E+9)-ROW()/1E+7</f>
        <v/>
      </c>
    </row>
    <row r="42">
      <c r="A42" t="inlineStr">
        <is>
          <t>TZL</t>
        </is>
      </c>
      <c r="B42" t="inlineStr">
        <is>
          <t>Ziraat Portföy Para Piyasası (TL) Fonu</t>
        </is>
      </c>
      <c r="C42" t="inlineStr">
        <is>
          <t>Ziraat Portföy</t>
        </is>
      </c>
      <c r="D42" t="n">
        <v>0.013</v>
      </c>
      <c r="E42" t="n">
        <v>0.1098330687810734</v>
      </c>
      <c r="F42" t="n">
        <v>0.7556198278277027</v>
      </c>
      <c r="G42" t="n">
        <v>3.222128280109526</v>
      </c>
      <c r="H42" t="n">
        <v>22.81729917306556</v>
      </c>
      <c r="I42" t="n">
        <v>47.05882352941175</v>
      </c>
      <c r="J42" t="n">
        <v>176176</v>
      </c>
      <c r="K42" t="n">
        <v>179508</v>
      </c>
      <c r="L42" t="n">
        <v>0.01891290527654155</v>
      </c>
      <c r="M42" t="n">
        <v>75621919881.78999</v>
      </c>
      <c r="N42" t="n">
        <v>85766185277.23</v>
      </c>
      <c r="O42" t="n">
        <v>0.1341445101010028</v>
      </c>
      <c r="P42" t="n">
        <v>0.08614252166055907</v>
      </c>
      <c r="Q42" t="inlineStr">
        <is>
          <t>Görmüyor</t>
        </is>
      </c>
      <c r="R42" t="n">
        <v>0.3604</v>
      </c>
      <c r="S42" t="n">
        <v>0</v>
      </c>
      <c r="T42" t="n">
        <v>0.3109</v>
      </c>
      <c r="U42" t="n">
        <v>0</v>
      </c>
      <c r="V42" t="n">
        <v>0.1033</v>
      </c>
      <c r="W42" t="n">
        <v>0</v>
      </c>
      <c r="X42" t="n">
        <v>0.0143</v>
      </c>
      <c r="Y42" t="n">
        <v>0.0243</v>
      </c>
      <c r="Z42" t="n">
        <v>0</v>
      </c>
      <c r="AA42" t="n">
        <v>0.8132</v>
      </c>
      <c r="AC42">
        <f>IF(ISNUMBER(INDEX($A$2:$AA$62,41,MATCH('Para Piyasası'!$E$2,$A$1:$AA$1,0))),INDEX($A$2:$AA$62,41,MATCH('Para Piyasası'!$E$2,$A$1:$AA$1,0)),-1E+9)-ROW()/1E+7</f>
        <v/>
      </c>
    </row>
    <row r="43">
      <c r="A43" t="inlineStr">
        <is>
          <t>GAL</t>
        </is>
      </c>
      <c r="B43" t="inlineStr">
        <is>
          <t>Garanti Portföy İkinci Para Piyasası (TL) Fonu</t>
        </is>
      </c>
      <c r="C43" t="inlineStr">
        <is>
          <t>Garanti Portföy</t>
        </is>
      </c>
      <c r="D43" t="n">
        <v>0.014</v>
      </c>
      <c r="E43" t="n">
        <v>0.1097809313924225</v>
      </c>
      <c r="F43" t="n">
        <v>0.7695698924096828</v>
      </c>
      <c r="G43" t="n">
        <v>3.041405331297531</v>
      </c>
      <c r="H43" t="n">
        <v>21.67769142773754</v>
      </c>
      <c r="I43" t="n">
        <v>45.71961800346174</v>
      </c>
      <c r="J43" t="n">
        <v>57279</v>
      </c>
      <c r="K43" t="n">
        <v>57810</v>
      </c>
      <c r="L43" t="n">
        <v>0.009270413240454634</v>
      </c>
      <c r="M43" t="n">
        <v>132186956201.2</v>
      </c>
      <c r="N43" t="n">
        <v>117346245199.62</v>
      </c>
      <c r="O43" t="n">
        <v>-0.1122706160129079</v>
      </c>
      <c r="P43" t="n">
        <v>0.08591464603740583</v>
      </c>
      <c r="Q43" t="inlineStr">
        <is>
          <t>Görmüyor</t>
        </is>
      </c>
      <c r="R43" t="n">
        <v>0.1931</v>
      </c>
      <c r="S43" t="n">
        <v>0</v>
      </c>
      <c r="T43" t="n">
        <v>0.5343</v>
      </c>
      <c r="U43" t="n">
        <v>0</v>
      </c>
      <c r="V43" t="n">
        <v>0</v>
      </c>
      <c r="W43" t="n">
        <v>0</v>
      </c>
      <c r="X43" t="n">
        <v>0.05980000000000001</v>
      </c>
      <c r="Y43" t="n">
        <v>0.0145</v>
      </c>
      <c r="Z43" t="n">
        <v>0</v>
      </c>
      <c r="AA43" t="n">
        <v>0.8017</v>
      </c>
      <c r="AC43">
        <f>IF(ISNUMBER(INDEX($A$2:$AA$62,42,MATCH('Para Piyasası'!$E$2,$A$1:$AA$1,0))),INDEX($A$2:$AA$62,42,MATCH('Para Piyasası'!$E$2,$A$1:$AA$1,0)),-1E+9)-ROW()/1E+7</f>
        <v/>
      </c>
    </row>
    <row r="44">
      <c r="A44" t="inlineStr">
        <is>
          <t>CFO</t>
        </is>
      </c>
      <c r="B44" t="inlineStr">
        <is>
          <t>Rota Portföy İkinci Para Piyasası Fonu</t>
        </is>
      </c>
      <c r="C44" t="inlineStr">
        <is>
          <t>Rota Portföy</t>
        </is>
      </c>
      <c r="D44" t="n">
        <v>0.003</v>
      </c>
      <c r="E44" t="n">
        <v>0.1079268871722272</v>
      </c>
      <c r="F44" t="n">
        <v>0.7669031004030824</v>
      </c>
      <c r="G44" t="n">
        <v>3.249345595721875</v>
      </c>
      <c r="H44" t="n">
        <v>23.21132927274223</v>
      </c>
      <c r="I44" t="n">
        <v>48.09921070730936</v>
      </c>
      <c r="J44" t="n">
        <v>479</v>
      </c>
      <c r="K44" t="n">
        <v>485</v>
      </c>
      <c r="L44" t="n">
        <v>0.01252609603340282</v>
      </c>
      <c r="M44" t="n">
        <v>3141223401.6</v>
      </c>
      <c r="N44" t="n">
        <v>3268400945.04</v>
      </c>
      <c r="O44" t="n">
        <v>0.04048662803645908</v>
      </c>
      <c r="P44" t="n">
        <v>0.08559491005529901</v>
      </c>
      <c r="Q44" t="inlineStr">
        <is>
          <t>Görüyor</t>
        </is>
      </c>
      <c r="R44" t="n">
        <v>0.1567</v>
      </c>
      <c r="S44" t="n">
        <v>0</v>
      </c>
      <c r="T44" t="n">
        <v>0.7273999999999999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0.8840999999999999</v>
      </c>
      <c r="AC44">
        <f>IF(ISNUMBER(INDEX($A$2:$AA$62,43,MATCH('Para Piyasası'!$E$2,$A$1:$AA$1,0))),INDEX($A$2:$AA$62,43,MATCH('Para Piyasası'!$E$2,$A$1:$AA$1,0)),-1E+9)-ROW()/1E+7</f>
        <v/>
      </c>
    </row>
    <row r="45">
      <c r="A45" t="inlineStr">
        <is>
          <t>IJV</t>
        </is>
      </c>
      <c r="B45" t="inlineStr">
        <is>
          <t>İstanbul Portföy Birinci Para Piyasası (TL) Fonu</t>
        </is>
      </c>
      <c r="C45" t="inlineStr">
        <is>
          <t>İstanbul Portföy</t>
        </is>
      </c>
      <c r="D45" t="n">
        <v>0.0105</v>
      </c>
      <c r="E45" t="n">
        <v>0.107759396680307</v>
      </c>
      <c r="F45" t="n">
        <v>0.7364965262700363</v>
      </c>
      <c r="G45" t="n">
        <v>3.221008052662899</v>
      </c>
      <c r="H45" t="n">
        <v>22.9470853612463</v>
      </c>
      <c r="I45" t="n">
        <v>48.2515866700574</v>
      </c>
      <c r="J45" t="n">
        <v>2988</v>
      </c>
      <c r="K45" t="n">
        <v>2920</v>
      </c>
      <c r="L45" t="n">
        <v>-0.02275769745649259</v>
      </c>
      <c r="M45" t="n">
        <v>2846606309.68</v>
      </c>
      <c r="N45" t="n">
        <v>2806037958.72</v>
      </c>
      <c r="O45" t="n">
        <v>-0.01425147932190196</v>
      </c>
      <c r="P45" t="n">
        <v>0.0845982935466891</v>
      </c>
      <c r="Q45" t="inlineStr">
        <is>
          <t>Görüyor</t>
        </is>
      </c>
      <c r="R45" t="n">
        <v>0.0028</v>
      </c>
      <c r="S45" t="n">
        <v>0</v>
      </c>
      <c r="T45" t="n">
        <v>0.7326999999999999</v>
      </c>
      <c r="U45" t="n">
        <v>0</v>
      </c>
      <c r="V45" t="n">
        <v>0.0374</v>
      </c>
      <c r="W45" t="n">
        <v>0</v>
      </c>
      <c r="X45" t="n">
        <v>0</v>
      </c>
      <c r="Y45" t="n">
        <v>0.0886</v>
      </c>
      <c r="Z45" t="n">
        <v>0</v>
      </c>
      <c r="AA45" t="n">
        <v>0.8614999999999999</v>
      </c>
      <c r="AC45">
        <f>IF(ISNUMBER(INDEX($A$2:$AA$62,44,MATCH('Para Piyasası'!$E$2,$A$1:$AA$1,0))),INDEX($A$2:$AA$62,44,MATCH('Para Piyasası'!$E$2,$A$1:$AA$1,0)),-1E+9)-ROW()/1E+7</f>
        <v/>
      </c>
    </row>
    <row r="46">
      <c r="A46" t="inlineStr">
        <is>
          <t>GPZ</t>
        </is>
      </c>
      <c r="B46" t="inlineStr">
        <is>
          <t>Garanti Portföy Üçüncü Para Piyasası Fonu</t>
        </is>
      </c>
      <c r="C46" t="inlineStr">
        <is>
          <t>Garanti Portföy</t>
        </is>
      </c>
      <c r="D46" t="n">
        <v>0.0095</v>
      </c>
      <c r="E46" t="n">
        <v>0.1076486771409257</v>
      </c>
      <c r="F46" t="n">
        <v>0.7847977730962796</v>
      </c>
      <c r="G46" t="n">
        <v>3.241073430569918</v>
      </c>
      <c r="H46" t="n">
        <v>22.69126132320847</v>
      </c>
      <c r="I46" t="n">
        <v>47.6757693784972</v>
      </c>
      <c r="J46" t="n">
        <v>155</v>
      </c>
      <c r="K46" t="n">
        <v>158</v>
      </c>
      <c r="L46" t="n">
        <v>0.01935483870967736</v>
      </c>
      <c r="M46" t="n">
        <v>2298000978.78</v>
      </c>
      <c r="N46" t="n">
        <v>2873041471.67</v>
      </c>
      <c r="O46" t="n">
        <v>0.2502350948498231</v>
      </c>
      <c r="P46" t="n">
        <v>0.08734223930568805</v>
      </c>
      <c r="Q46" t="inlineStr">
        <is>
          <t>Görüyor</t>
        </is>
      </c>
      <c r="R46" t="n">
        <v>0.1845</v>
      </c>
      <c r="S46" t="n">
        <v>0</v>
      </c>
      <c r="T46" t="n">
        <v>0.2438</v>
      </c>
      <c r="U46" t="n">
        <v>0</v>
      </c>
      <c r="V46" t="n">
        <v>0</v>
      </c>
      <c r="W46" t="n">
        <v>0</v>
      </c>
      <c r="X46" t="n">
        <v>0.2654</v>
      </c>
      <c r="Y46" t="n">
        <v>0.101</v>
      </c>
      <c r="Z46" t="n">
        <v>0</v>
      </c>
      <c r="AA46" t="n">
        <v>0.7947</v>
      </c>
      <c r="AC46">
        <f>IF(ISNUMBER(INDEX($A$2:$AA$62,45,MATCH('Para Piyasası'!$E$2,$A$1:$AA$1,0))),INDEX($A$2:$AA$62,45,MATCH('Para Piyasası'!$E$2,$A$1:$AA$1,0)),-1E+9)-ROW()/1E+7</f>
        <v/>
      </c>
    </row>
    <row r="47">
      <c r="A47" t="inlineStr">
        <is>
          <t>PRD</t>
        </is>
      </c>
      <c r="B47" t="inlineStr">
        <is>
          <t>Piramit Portföy Para Piyasası (TL) Fonu</t>
        </is>
      </c>
      <c r="C47" t="inlineStr">
        <is>
          <t>Piramit Portföy</t>
        </is>
      </c>
      <c r="D47" t="n">
        <v>0.007875</v>
      </c>
      <c r="E47" t="n">
        <v>0.1071589570514231</v>
      </c>
      <c r="F47" t="n">
        <v>0.8011080545907712</v>
      </c>
      <c r="G47" t="n">
        <v>3.401886806329335</v>
      </c>
      <c r="H47" t="n">
        <v>23.10742211442482</v>
      </c>
      <c r="I47" t="n">
        <v>49.67208413701607</v>
      </c>
      <c r="J47" t="n">
        <v>599</v>
      </c>
      <c r="K47" t="n">
        <v>597</v>
      </c>
      <c r="L47" t="n">
        <v>-0.003338898163605997</v>
      </c>
      <c r="M47" t="n">
        <v>424847021.6</v>
      </c>
      <c r="N47" t="n">
        <v>360038497.8</v>
      </c>
      <c r="O47" t="n">
        <v>-0.152545552881428</v>
      </c>
      <c r="P47" t="n">
        <v>0.09303895529143189</v>
      </c>
      <c r="Q47" t="inlineStr">
        <is>
          <t>Görüyor</t>
        </is>
      </c>
      <c r="R47" t="n">
        <v>0.2787</v>
      </c>
      <c r="S47" t="n">
        <v>0</v>
      </c>
      <c r="T47" t="n">
        <v>0.3058</v>
      </c>
      <c r="U47" t="n">
        <v>0</v>
      </c>
      <c r="V47" t="n">
        <v>0.1997</v>
      </c>
      <c r="W47" t="n">
        <v>0</v>
      </c>
      <c r="X47" t="n">
        <v>0.005600000000000001</v>
      </c>
      <c r="Y47" t="n">
        <v>0.0246</v>
      </c>
      <c r="Z47" t="n">
        <v>0</v>
      </c>
      <c r="AA47" t="n">
        <v>0.8143999999999999</v>
      </c>
      <c r="AC47">
        <f>IF(ISNUMBER(INDEX($A$2:$AA$62,46,MATCH('Para Piyasası'!$E$2,$A$1:$AA$1,0))),INDEX($A$2:$AA$62,46,MATCH('Para Piyasası'!$E$2,$A$1:$AA$1,0)),-1E+9)-ROW()/1E+7</f>
        <v/>
      </c>
    </row>
    <row r="48">
      <c r="A48" t="inlineStr">
        <is>
          <t>UPP</t>
        </is>
      </c>
      <c r="B48" t="inlineStr">
        <is>
          <t>Ünlü Portföy Para Piyasası (TL) Fonu</t>
        </is>
      </c>
      <c r="C48" t="inlineStr">
        <is>
          <t>Ünlü Portföy</t>
        </is>
      </c>
      <c r="D48" t="n">
        <v>0.01</v>
      </c>
      <c r="E48" t="n">
        <v>0.1069697461363761</v>
      </c>
      <c r="F48" t="n">
        <v>0.7326812878774902</v>
      </c>
      <c r="G48" t="n">
        <v>3.134873598152677</v>
      </c>
      <c r="H48" t="n">
        <v>22.71827885777677</v>
      </c>
      <c r="I48" t="n">
        <v>47.21367254660287</v>
      </c>
      <c r="J48" t="n">
        <v>958</v>
      </c>
      <c r="K48" t="n">
        <v>930</v>
      </c>
      <c r="L48" t="n">
        <v>-0.02922755741127347</v>
      </c>
      <c r="M48" t="n">
        <v>2745052079.9</v>
      </c>
      <c r="N48" t="n">
        <v>2664510603.97</v>
      </c>
      <c r="O48" t="n">
        <v>-0.02934060031856822</v>
      </c>
      <c r="P48" t="n">
        <v>0.08441862633612597</v>
      </c>
      <c r="Q48" t="inlineStr">
        <is>
          <t>Görüyor</t>
        </is>
      </c>
      <c r="R48" t="n">
        <v>0.1617</v>
      </c>
      <c r="S48" t="n">
        <v>0</v>
      </c>
      <c r="T48" t="n">
        <v>0.6591</v>
      </c>
      <c r="U48" t="n">
        <v>0</v>
      </c>
      <c r="V48" t="n">
        <v>0</v>
      </c>
      <c r="W48" t="n">
        <v>0</v>
      </c>
      <c r="X48" t="n">
        <v>0.0105</v>
      </c>
      <c r="Y48" t="n">
        <v>0.04389999999999999</v>
      </c>
      <c r="Z48" t="n">
        <v>0</v>
      </c>
      <c r="AA48" t="n">
        <v>0.8752</v>
      </c>
      <c r="AC48">
        <f>IF(ISNUMBER(INDEX($A$2:$AA$62,47,MATCH('Para Piyasası'!$E$2,$A$1:$AA$1,0))),INDEX($A$2:$AA$62,47,MATCH('Para Piyasası'!$E$2,$A$1:$AA$1,0)),-1E+9)-ROW()/1E+7</f>
        <v/>
      </c>
    </row>
    <row r="49">
      <c r="A49" t="inlineStr">
        <is>
          <t>KPP</t>
        </is>
      </c>
      <c r="B49" t="inlineStr">
        <is>
          <t>Kare Portföy Para Piyasası Fonu</t>
        </is>
      </c>
      <c r="C49" t="inlineStr">
        <is>
          <t>Kare Portföy</t>
        </is>
      </c>
      <c r="D49" t="n">
        <v>0.0109</v>
      </c>
      <c r="E49" t="n">
        <v>0.1051557191895425</v>
      </c>
      <c r="F49" t="n">
        <v>0.7437621865880706</v>
      </c>
      <c r="G49" t="n">
        <v>3.201744564412801</v>
      </c>
      <c r="H49" t="n">
        <v>23.36828822028139</v>
      </c>
      <c r="I49" t="n">
        <v>48.38748331660936</v>
      </c>
      <c r="J49" t="n">
        <v>732</v>
      </c>
      <c r="K49" t="n">
        <v>706</v>
      </c>
      <c r="L49" t="n">
        <v>-0.03551912568306015</v>
      </c>
      <c r="M49" t="n">
        <v>397709392</v>
      </c>
      <c r="N49" t="n">
        <v>437199444.22</v>
      </c>
      <c r="O49" t="n">
        <v>0.0992937381272605</v>
      </c>
      <c r="P49" t="n">
        <v>0.08374423937861189</v>
      </c>
      <c r="Q49" t="inlineStr">
        <is>
          <t>Görüyor</t>
        </is>
      </c>
      <c r="R49" t="n">
        <v>0.0255</v>
      </c>
      <c r="S49" t="n">
        <v>0</v>
      </c>
      <c r="T49" t="n">
        <v>0.5171</v>
      </c>
      <c r="U49" t="n">
        <v>0</v>
      </c>
      <c r="V49" t="n">
        <v>0</v>
      </c>
      <c r="W49" t="n">
        <v>0</v>
      </c>
      <c r="X49" t="n">
        <v>0.09359999999999999</v>
      </c>
      <c r="Y49" t="n">
        <v>0.2541</v>
      </c>
      <c r="Z49" t="n">
        <v>0</v>
      </c>
      <c r="AA49" t="n">
        <v>0.8903</v>
      </c>
      <c r="AC49">
        <f>IF(ISNUMBER(INDEX($A$2:$AA$62,48,MATCH('Para Piyasası'!$E$2,$A$1:$AA$1,0))),INDEX($A$2:$AA$62,48,MATCH('Para Piyasası'!$E$2,$A$1:$AA$1,0)),-1E+9)-ROW()/1E+7</f>
        <v/>
      </c>
    </row>
    <row r="50">
      <c r="A50" t="inlineStr">
        <is>
          <t>TI1</t>
        </is>
      </c>
      <c r="B50" t="inlineStr">
        <is>
          <t>İŞ Portföy Para Piyasası (TL) Fonu</t>
        </is>
      </c>
      <c r="C50" t="inlineStr">
        <is>
          <t>İŞ Portföy</t>
        </is>
      </c>
      <c r="D50" t="n">
        <v>0.0142</v>
      </c>
      <c r="E50" t="n">
        <v>0.1036660458133554</v>
      </c>
      <c r="F50" t="n">
        <v>0.743355272709012</v>
      </c>
      <c r="G50" t="n">
        <v>3.16195288267529</v>
      </c>
      <c r="H50" t="n">
        <v>22.41587380740913</v>
      </c>
      <c r="I50" t="n">
        <v>46.77120331532496</v>
      </c>
      <c r="J50" t="n">
        <v>229637</v>
      </c>
      <c r="K50" t="n">
        <v>231441</v>
      </c>
      <c r="L50" t="n">
        <v>0.007855876883951618</v>
      </c>
      <c r="M50" t="n">
        <v>188805736209.26</v>
      </c>
      <c r="N50" t="n">
        <v>202077298988.32</v>
      </c>
      <c r="O50" t="n">
        <v>0.07029215873161099</v>
      </c>
      <c r="P50" t="n">
        <v>0.08466658286504236</v>
      </c>
      <c r="Q50" t="inlineStr">
        <is>
          <t>Görmüyor</t>
        </is>
      </c>
      <c r="R50" t="n">
        <v>0.4081</v>
      </c>
      <c r="S50" t="n">
        <v>0</v>
      </c>
      <c r="T50" t="n">
        <v>0.3656</v>
      </c>
      <c r="U50" t="n">
        <v>0</v>
      </c>
      <c r="V50" t="n">
        <v>0.0035</v>
      </c>
      <c r="W50" t="n">
        <v>0</v>
      </c>
      <c r="X50" t="n">
        <v>0.0075</v>
      </c>
      <c r="Y50" t="n">
        <v>0.0188</v>
      </c>
      <c r="Z50" t="n">
        <v>0</v>
      </c>
      <c r="AA50" t="n">
        <v>0.8035000000000001</v>
      </c>
      <c r="AC50">
        <f>IF(ISNUMBER(INDEX($A$2:$AA$62,49,MATCH('Para Piyasası'!$E$2,$A$1:$AA$1,0))),INDEX($A$2:$AA$62,49,MATCH('Para Piyasası'!$E$2,$A$1:$AA$1,0)),-1E+9)-ROW()/1E+7</f>
        <v/>
      </c>
    </row>
    <row r="51">
      <c r="A51" t="inlineStr">
        <is>
          <t>IUZ</t>
        </is>
      </c>
      <c r="B51" t="inlineStr">
        <is>
          <t>İŞ Portföy Anadolubank Para Piyasası (TL) Fonu</t>
        </is>
      </c>
      <c r="C51" t="inlineStr">
        <is>
          <t>İŞ Portföy</t>
        </is>
      </c>
      <c r="D51" t="n">
        <v>0.015</v>
      </c>
      <c r="E51" t="n">
        <v>0.1034288420274754</v>
      </c>
      <c r="F51" t="n">
        <v>0.750920890917417</v>
      </c>
      <c r="G51" t="n">
        <v>3.138167164477523</v>
      </c>
      <c r="H51" t="n">
        <v>22.66814555994605</v>
      </c>
      <c r="I51" t="n">
        <v>47.22896275007535</v>
      </c>
      <c r="J51" t="n">
        <v>1133</v>
      </c>
      <c r="K51" t="n">
        <v>1169</v>
      </c>
      <c r="L51" t="n">
        <v>0.03177405119152699</v>
      </c>
      <c r="M51" t="n">
        <v>1158030614.27</v>
      </c>
      <c r="N51" t="n">
        <v>1494484219.12</v>
      </c>
      <c r="O51" t="n">
        <v>0.2905394733990636</v>
      </c>
      <c r="P51" t="n">
        <v>0.08473612198630186</v>
      </c>
      <c r="Q51" t="inlineStr">
        <is>
          <t>Görmüyor</t>
        </is>
      </c>
      <c r="R51" t="n">
        <v>0.2365</v>
      </c>
      <c r="S51" t="n">
        <v>0</v>
      </c>
      <c r="T51" t="n">
        <v>0.2683</v>
      </c>
      <c r="U51" t="n">
        <v>0</v>
      </c>
      <c r="V51" t="n">
        <v>0.04650000000000001</v>
      </c>
      <c r="W51" t="n">
        <v>0</v>
      </c>
      <c r="X51" t="n">
        <v>0.1964</v>
      </c>
      <c r="Y51" t="n">
        <v>0.1257</v>
      </c>
      <c r="Z51" t="n">
        <v>0</v>
      </c>
      <c r="AA51" t="n">
        <v>0.8734</v>
      </c>
      <c r="AC51">
        <f>IF(ISNUMBER(INDEX($A$2:$AA$62,50,MATCH('Para Piyasası'!$E$2,$A$1:$AA$1,0))),INDEX($A$2:$AA$62,50,MATCH('Para Piyasası'!$E$2,$A$1:$AA$1,0)),-1E+9)-ROW()/1E+7</f>
        <v/>
      </c>
    </row>
    <row r="52">
      <c r="A52" t="inlineStr">
        <is>
          <t>FPI</t>
        </is>
      </c>
      <c r="B52" t="inlineStr">
        <is>
          <t>Fonmap Portföy Birinci Para Piyasası (TL) Fonu</t>
        </is>
      </c>
      <c r="C52" t="inlineStr">
        <is>
          <t>Fonmap Portföy</t>
        </is>
      </c>
      <c r="D52" t="n">
        <v>0.01</v>
      </c>
      <c r="E52" t="n">
        <v>0.1031260172377868</v>
      </c>
      <c r="F52" t="n">
        <v>0.6815559078933608</v>
      </c>
      <c r="G52" t="n">
        <v>3.058107941087673</v>
      </c>
      <c r="H52" t="n">
        <v>22.30285333137123</v>
      </c>
      <c r="I52" t="n">
        <v>45.85677343058643</v>
      </c>
      <c r="J52" t="n">
        <v>155</v>
      </c>
      <c r="K52" t="n">
        <v>158</v>
      </c>
      <c r="L52" t="n">
        <v>0.01935483870967736</v>
      </c>
      <c r="M52" t="n">
        <v>89974119.37</v>
      </c>
      <c r="N52" t="n">
        <v>94535401.40000001</v>
      </c>
      <c r="O52" t="n">
        <v>0.05069548956897996</v>
      </c>
      <c r="P52" t="n">
        <v>0.07737261129844436</v>
      </c>
      <c r="Q52" t="inlineStr">
        <is>
          <t>Görüyor</t>
        </is>
      </c>
      <c r="R52" t="n">
        <v>0</v>
      </c>
      <c r="S52" t="n">
        <v>0</v>
      </c>
      <c r="T52" t="n">
        <v>0.5509000000000001</v>
      </c>
      <c r="U52" t="n">
        <v>0</v>
      </c>
      <c r="V52" t="n">
        <v>0.179</v>
      </c>
      <c r="W52" t="n">
        <v>0</v>
      </c>
      <c r="X52" t="n">
        <v>0</v>
      </c>
      <c r="Y52" t="n">
        <v>0</v>
      </c>
      <c r="Z52" t="n">
        <v>0.0229</v>
      </c>
      <c r="AA52" t="n">
        <v>0.7528</v>
      </c>
      <c r="AC52">
        <f>IF(ISNUMBER(INDEX($A$2:$AA$62,51,MATCH('Para Piyasası'!$E$2,$A$1:$AA$1,0))),INDEX($A$2:$AA$62,51,MATCH('Para Piyasası'!$E$2,$A$1:$AA$1,0)),-1E+9)-ROW()/1E+7</f>
        <v/>
      </c>
    </row>
    <row r="53">
      <c r="A53" t="inlineStr">
        <is>
          <t>IRY</t>
        </is>
      </c>
      <c r="B53" t="inlineStr">
        <is>
          <t>Inveo Portföy Para Piyasası (TL) Fonu</t>
        </is>
      </c>
      <c r="C53" t="inlineStr">
        <is>
          <t>Inveo Portföy</t>
        </is>
      </c>
      <c r="D53" t="n">
        <v>0.0089</v>
      </c>
      <c r="E53" t="n">
        <v>0.1026881415733927</v>
      </c>
      <c r="F53" t="n">
        <v>0.7572464896330233</v>
      </c>
      <c r="G53" t="n">
        <v>3.331080946903975</v>
      </c>
      <c r="H53" t="n">
        <v>23.7441912780795</v>
      </c>
      <c r="I53" t="n">
        <v>49.38274909713889</v>
      </c>
      <c r="J53" t="n">
        <v>2406</v>
      </c>
      <c r="K53" t="n">
        <v>2352</v>
      </c>
      <c r="L53" t="n">
        <v>-0.02244389027431426</v>
      </c>
      <c r="M53" t="n">
        <v>2386773288.3</v>
      </c>
      <c r="N53" t="n">
        <v>2130093710.33</v>
      </c>
      <c r="O53" t="n">
        <v>-0.1075425048655637</v>
      </c>
      <c r="P53" t="n">
        <v>0.08670219507477345</v>
      </c>
      <c r="Q53" t="inlineStr">
        <is>
          <t>Görüyor</t>
        </is>
      </c>
      <c r="R53" t="n">
        <v>0.2324</v>
      </c>
      <c r="S53" t="n">
        <v>0</v>
      </c>
      <c r="T53" t="n">
        <v>0.3009</v>
      </c>
      <c r="U53" t="n">
        <v>0</v>
      </c>
      <c r="V53" t="n">
        <v>0.0002</v>
      </c>
      <c r="W53" t="n">
        <v>0</v>
      </c>
      <c r="X53" t="n">
        <v>0.0634</v>
      </c>
      <c r="Y53" t="n">
        <v>0.1781</v>
      </c>
      <c r="Z53" t="n">
        <v>0.0095</v>
      </c>
      <c r="AA53" t="n">
        <v>0.7845</v>
      </c>
      <c r="AC53">
        <f>IF(ISNUMBER(INDEX($A$2:$AA$62,52,MATCH('Para Piyasası'!$E$2,$A$1:$AA$1,0))),INDEX($A$2:$AA$62,52,MATCH('Para Piyasası'!$E$2,$A$1:$AA$1,0)),-1E+9)-ROW()/1E+7</f>
        <v/>
      </c>
    </row>
    <row r="54">
      <c r="A54" t="inlineStr">
        <is>
          <t>SLF</t>
        </is>
      </c>
      <c r="B54" t="inlineStr">
        <is>
          <t>Rota Portföy Şekerbank Para Piyasası (TL) Fonu</t>
        </is>
      </c>
      <c r="C54" t="inlineStr">
        <is>
          <t>Rota Portföy</t>
        </is>
      </c>
      <c r="D54" t="n">
        <v>0.01022</v>
      </c>
      <c r="E54" t="n">
        <v>0.1026686690378753</v>
      </c>
      <c r="F54" t="n">
        <v>0.7537021170233249</v>
      </c>
      <c r="G54" t="n">
        <v>3.178945503061126</v>
      </c>
      <c r="H54" t="n">
        <v>22.72490975168246</v>
      </c>
      <c r="I54" t="n">
        <v>47.46915448524829</v>
      </c>
      <c r="J54" t="n">
        <v>6948</v>
      </c>
      <c r="K54" t="n">
        <v>6823</v>
      </c>
      <c r="L54" t="n">
        <v>-0.01799078871617732</v>
      </c>
      <c r="M54" t="n">
        <v>1281853484.28</v>
      </c>
      <c r="N54" t="n">
        <v>1149722744.37</v>
      </c>
      <c r="O54" t="n">
        <v>-0.1030778802182811</v>
      </c>
      <c r="P54" t="n">
        <v>0.08435503764133861</v>
      </c>
      <c r="Q54" t="inlineStr">
        <is>
          <t>Görmüyor</t>
        </is>
      </c>
      <c r="R54" t="n">
        <v>0.0522</v>
      </c>
      <c r="S54" t="n">
        <v>0</v>
      </c>
      <c r="T54" t="n">
        <v>0.4438</v>
      </c>
      <c r="U54" t="n">
        <v>0</v>
      </c>
      <c r="V54" t="n">
        <v>0.0934</v>
      </c>
      <c r="W54" t="n">
        <v>0</v>
      </c>
      <c r="X54" t="n">
        <v>0.015</v>
      </c>
      <c r="Y54" t="n">
        <v>0.2003</v>
      </c>
      <c r="Z54" t="n">
        <v>0</v>
      </c>
      <c r="AA54" t="n">
        <v>0.8047</v>
      </c>
      <c r="AC54">
        <f>IF(ISNUMBER(INDEX($A$2:$AA$62,53,MATCH('Para Piyasası'!$E$2,$A$1:$AA$1,0))),INDEX($A$2:$AA$62,53,MATCH('Para Piyasası'!$E$2,$A$1:$AA$1,0)),-1E+9)-ROW()/1E+7</f>
        <v/>
      </c>
    </row>
    <row r="55">
      <c r="A55" t="inlineStr">
        <is>
          <t>IOP</t>
        </is>
      </c>
      <c r="B55" t="inlineStr">
        <is>
          <t>İŞ Portföy Odeabank Para Piyasası (TL) Fonu</t>
        </is>
      </c>
      <c r="C55" t="inlineStr">
        <is>
          <t>İŞ Portföy</t>
        </is>
      </c>
      <c r="D55" t="n">
        <v>0.009000000000000001</v>
      </c>
      <c r="E55" t="n">
        <v>0.1026167687214752</v>
      </c>
      <c r="F55" t="n">
        <v>0.7440751335291207</v>
      </c>
      <c r="G55" t="n">
        <v>3.217334409237838</v>
      </c>
      <c r="H55" t="n">
        <v>23.07909781041204</v>
      </c>
      <c r="I55" t="n">
        <v>48.17537458693366</v>
      </c>
      <c r="J55" t="n">
        <v>6963</v>
      </c>
      <c r="K55" t="n">
        <v>6675</v>
      </c>
      <c r="L55" t="n">
        <v>-0.04136148211977597</v>
      </c>
      <c r="M55" t="n">
        <v>6888838083.17</v>
      </c>
      <c r="N55" t="n">
        <v>6906809707.1</v>
      </c>
      <c r="O55" t="n">
        <v>0.002608803358857603</v>
      </c>
      <c r="P55" t="n">
        <v>0.08530136069564968</v>
      </c>
      <c r="Q55" t="inlineStr">
        <is>
          <t>Görmüyor</t>
        </is>
      </c>
      <c r="R55" t="n">
        <v>0.3647</v>
      </c>
      <c r="S55" t="n">
        <v>0</v>
      </c>
      <c r="T55" t="n">
        <v>0.1841</v>
      </c>
      <c r="U55" t="n">
        <v>0</v>
      </c>
      <c r="V55" t="n">
        <v>0.0584</v>
      </c>
      <c r="W55" t="n">
        <v>0</v>
      </c>
      <c r="X55" t="n">
        <v>0.1471</v>
      </c>
      <c r="Y55" t="n">
        <v>0.0515</v>
      </c>
      <c r="Z55" t="n">
        <v>0</v>
      </c>
      <c r="AA55" t="n">
        <v>0.8058</v>
      </c>
      <c r="AC55">
        <f>IF(ISNUMBER(INDEX($A$2:$AA$62,54,MATCH('Para Piyasası'!$E$2,$A$1:$AA$1,0))),INDEX($A$2:$AA$62,54,MATCH('Para Piyasası'!$E$2,$A$1:$AA$1,0)),-1E+9)-ROW()/1E+7</f>
        <v/>
      </c>
    </row>
    <row r="56">
      <c r="A56" t="inlineStr">
        <is>
          <t>AC4</t>
        </is>
      </c>
      <c r="B56" t="inlineStr">
        <is>
          <t>Pardus Portföy Para Piyasası (TL) Fon</t>
        </is>
      </c>
      <c r="C56" t="inlineStr">
        <is>
          <t>Pardus Portföy</t>
        </is>
      </c>
      <c r="D56" t="n">
        <v>0.01</v>
      </c>
      <c r="E56" t="n">
        <v>0.1023970696123255</v>
      </c>
      <c r="F56" t="n">
        <v>0.7869552553439796</v>
      </c>
      <c r="G56" t="n">
        <v>3.418251171311426</v>
      </c>
      <c r="H56" t="n">
        <v>24.20639109333567</v>
      </c>
      <c r="I56" t="n">
        <v>50.77399198833557</v>
      </c>
      <c r="J56" t="n">
        <v>3627</v>
      </c>
      <c r="K56" t="n">
        <v>3739</v>
      </c>
      <c r="L56" t="n">
        <v>0.03087951475048256</v>
      </c>
      <c r="M56" t="n">
        <v>1572769281.85</v>
      </c>
      <c r="N56" t="n">
        <v>1887144506.93</v>
      </c>
      <c r="O56" t="n">
        <v>0.1998864224447532</v>
      </c>
      <c r="P56" t="n">
        <v>0.09275707562993998</v>
      </c>
      <c r="Q56" t="inlineStr">
        <is>
          <t>Görüyor</t>
        </is>
      </c>
      <c r="R56" t="n">
        <v>0.157</v>
      </c>
      <c r="S56" t="n">
        <v>0</v>
      </c>
      <c r="T56" t="n">
        <v>0.4822</v>
      </c>
      <c r="U56" t="n">
        <v>0</v>
      </c>
      <c r="V56" t="n">
        <v>0.1985</v>
      </c>
      <c r="W56" t="n">
        <v>0</v>
      </c>
      <c r="X56" t="n">
        <v>0</v>
      </c>
      <c r="Y56" t="n">
        <v>0.0408</v>
      </c>
      <c r="Z56" t="n">
        <v>0</v>
      </c>
      <c r="AA56" t="n">
        <v>0.8784999999999999</v>
      </c>
      <c r="AC56">
        <f>IF(ISNUMBER(INDEX($A$2:$AA$62,55,MATCH('Para Piyasası'!$E$2,$A$1:$AA$1,0))),INDEX($A$2:$AA$62,55,MATCH('Para Piyasası'!$E$2,$A$1:$AA$1,0)),-1E+9)-ROW()/1E+7</f>
        <v/>
      </c>
    </row>
    <row r="57">
      <c r="A57" t="inlineStr">
        <is>
          <t>TKM</t>
        </is>
      </c>
      <c r="B57" t="inlineStr">
        <is>
          <t>Teb Portföy Para Piyasası (TL) Fonu</t>
        </is>
      </c>
      <c r="C57" t="inlineStr">
        <is>
          <t>Teb Portföy</t>
        </is>
      </c>
      <c r="D57" t="n">
        <v>0.01</v>
      </c>
      <c r="E57" t="n">
        <v>0.101336190048773</v>
      </c>
      <c r="F57" t="n">
        <v>0.7489108737779082</v>
      </c>
      <c r="G57" t="n">
        <v>3.177271664685422</v>
      </c>
      <c r="H57" t="n">
        <v>22.75051185249179</v>
      </c>
      <c r="I57" t="n">
        <v>46.98263340253519</v>
      </c>
      <c r="J57" t="n">
        <v>494634</v>
      </c>
      <c r="K57" t="n">
        <v>499894</v>
      </c>
      <c r="L57" t="n">
        <v>0.01063412543415931</v>
      </c>
      <c r="M57" t="n">
        <v>67607114264.3</v>
      </c>
      <c r="N57" t="n">
        <v>66344228193.3</v>
      </c>
      <c r="O57" t="n">
        <v>-0.01867978074116483</v>
      </c>
      <c r="P57" t="n">
        <v>0.08509565781760238</v>
      </c>
      <c r="Q57" t="inlineStr">
        <is>
          <t>Görmüyor</t>
        </is>
      </c>
      <c r="R57" t="n">
        <v>0.1242</v>
      </c>
      <c r="S57" t="n">
        <v>0</v>
      </c>
      <c r="T57" t="n">
        <v>0.746</v>
      </c>
      <c r="U57" t="n">
        <v>0</v>
      </c>
      <c r="V57" t="n">
        <v>0</v>
      </c>
      <c r="W57" t="n">
        <v>0</v>
      </c>
      <c r="X57" t="n">
        <v>0.0024</v>
      </c>
      <c r="Y57" t="n">
        <v>0</v>
      </c>
      <c r="Z57" t="n">
        <v>0.0017</v>
      </c>
      <c r="AA57" t="n">
        <v>0.8743</v>
      </c>
      <c r="AC57">
        <f>IF(ISNUMBER(INDEX($A$2:$AA$62,56,MATCH('Para Piyasası'!$E$2,$A$1:$AA$1,0))),INDEX($A$2:$AA$62,56,MATCH('Para Piyasası'!$E$2,$A$1:$AA$1,0)),-1E+9)-ROW()/1E+7</f>
        <v/>
      </c>
    </row>
    <row r="58">
      <c r="A58" t="inlineStr">
        <is>
          <t>FIL</t>
        </is>
      </c>
      <c r="B58" t="inlineStr">
        <is>
          <t>Fiba Portföy Para Piyasası (TL) Fonu</t>
        </is>
      </c>
      <c r="C58" t="inlineStr">
        <is>
          <t>Fiba Portföy</t>
        </is>
      </c>
      <c r="D58" t="n">
        <v>0.012</v>
      </c>
      <c r="E58" t="n">
        <v>0.1000889057878318</v>
      </c>
      <c r="F58" t="n">
        <v>0.7476440910229254</v>
      </c>
      <c r="G58" t="n">
        <v>3.181556195965429</v>
      </c>
      <c r="H58" t="n">
        <v>22.75937735719675</v>
      </c>
      <c r="I58" t="n">
        <v>47.52673108222256</v>
      </c>
      <c r="J58" t="n">
        <v>19084</v>
      </c>
      <c r="K58" t="n">
        <v>19547</v>
      </c>
      <c r="L58" t="n">
        <v>0.02426116118214217</v>
      </c>
      <c r="M58" t="n">
        <v>12793611299.16</v>
      </c>
      <c r="N58" t="n">
        <v>12934516454.01</v>
      </c>
      <c r="O58" t="n">
        <v>0.01101371235651438</v>
      </c>
      <c r="P58" t="n">
        <v>0.08584867613822525</v>
      </c>
      <c r="Q58" t="inlineStr">
        <is>
          <t>Görüyor</t>
        </is>
      </c>
      <c r="R58" t="n">
        <v>0.2772</v>
      </c>
      <c r="S58" t="n">
        <v>0</v>
      </c>
      <c r="T58" t="n">
        <v>0.2128</v>
      </c>
      <c r="U58" t="n">
        <v>0</v>
      </c>
      <c r="V58" t="n">
        <v>0.1515</v>
      </c>
      <c r="W58" t="n">
        <v>0</v>
      </c>
      <c r="X58" t="n">
        <v>0.03700000000000001</v>
      </c>
      <c r="Y58" t="n">
        <v>0.0917</v>
      </c>
      <c r="Z58" t="n">
        <v>0.0025</v>
      </c>
      <c r="AA58" t="n">
        <v>0.7727000000000001</v>
      </c>
      <c r="AC58">
        <f>IF(ISNUMBER(INDEX($A$2:$AA$62,57,MATCH('Para Piyasası'!$E$2,$A$1:$AA$1,0))),INDEX($A$2:$AA$62,57,MATCH('Para Piyasası'!$E$2,$A$1:$AA$1,0)),-1E+9)-ROW()/1E+7</f>
        <v/>
      </c>
    </row>
    <row r="59">
      <c r="A59" t="inlineStr">
        <is>
          <t>AAL</t>
        </is>
      </c>
      <c r="B59" t="inlineStr">
        <is>
          <t>Ata Portföy Para Piyasası (TL) Fonu</t>
        </is>
      </c>
      <c r="C59" t="inlineStr">
        <is>
          <t>Ata Portföy</t>
        </is>
      </c>
      <c r="D59" t="n">
        <v>0.01</v>
      </c>
      <c r="E59" t="n">
        <v>0.09502711050273227</v>
      </c>
      <c r="F59" t="n">
        <v>0.6547218089959728</v>
      </c>
      <c r="G59" t="n">
        <v>3.005701668153837</v>
      </c>
      <c r="H59" t="n">
        <v>20.92870312238109</v>
      </c>
      <c r="I59" t="n">
        <v>45.85926424040467</v>
      </c>
      <c r="J59" t="n">
        <v>4676</v>
      </c>
      <c r="K59" t="n">
        <v>4538</v>
      </c>
      <c r="L59" t="n">
        <v>-0.02951240376390074</v>
      </c>
      <c r="M59" t="n">
        <v>2722397699.3</v>
      </c>
      <c r="N59" t="n">
        <v>2389484320.38</v>
      </c>
      <c r="O59" t="n">
        <v>-0.1222868278964535</v>
      </c>
      <c r="P59" t="n">
        <v>0.08083121078489641</v>
      </c>
      <c r="Q59" t="inlineStr">
        <is>
          <t>Görüyor</t>
        </is>
      </c>
      <c r="R59" t="n">
        <v>0.1937</v>
      </c>
      <c r="S59" t="n">
        <v>0</v>
      </c>
      <c r="T59" t="n">
        <v>0.3757</v>
      </c>
      <c r="U59" t="n">
        <v>0</v>
      </c>
      <c r="V59" t="n">
        <v>0.0063</v>
      </c>
      <c r="W59" t="n">
        <v>0</v>
      </c>
      <c r="X59" t="n">
        <v>0.0411</v>
      </c>
      <c r="Y59" t="n">
        <v>0.1334</v>
      </c>
      <c r="Z59" t="n">
        <v>0</v>
      </c>
      <c r="AA59" t="n">
        <v>0.7502</v>
      </c>
      <c r="AC59">
        <f>IF(ISNUMBER(INDEX($A$2:$AA$62,58,MATCH('Para Piyasası'!$E$2,$A$1:$AA$1,0))),INDEX($A$2:$AA$62,58,MATCH('Para Piyasası'!$E$2,$A$1:$AA$1,0)),-1E+9)-ROW()/1E+7</f>
        <v/>
      </c>
    </row>
    <row r="60">
      <c r="A60" t="inlineStr">
        <is>
          <t>PJL</t>
        </is>
      </c>
      <c r="B60" t="inlineStr">
        <is>
          <t>Phillip Portföy Para Piyasası Fonu</t>
        </is>
      </c>
      <c r="C60" t="inlineStr">
        <is>
          <t>Phillip Portföy</t>
        </is>
      </c>
      <c r="D60" t="n">
        <v>0.0125</v>
      </c>
      <c r="E60" t="n">
        <v>0.09350967728274373</v>
      </c>
      <c r="F60" t="n">
        <v>0.7117547162719395</v>
      </c>
      <c r="G60" t="n">
        <v>3.136488944574789</v>
      </c>
      <c r="H60" t="n">
        <v>22.54782908782385</v>
      </c>
      <c r="I60" t="n">
        <v>47.06518577524761</v>
      </c>
      <c r="J60" t="n">
        <v>3414</v>
      </c>
      <c r="K60" t="n">
        <v>3294</v>
      </c>
      <c r="L60" t="n">
        <v>-0.03514938488576447</v>
      </c>
      <c r="M60" t="n">
        <v>2525458302.14</v>
      </c>
      <c r="N60" t="n">
        <v>1349865212.2</v>
      </c>
      <c r="O60" t="n">
        <v>-0.4654969313664123</v>
      </c>
      <c r="P60" t="n">
        <v>0.08493229191861913</v>
      </c>
      <c r="Q60" t="inlineStr">
        <is>
          <t>Görüyor</t>
        </is>
      </c>
      <c r="R60" t="n">
        <v>0.3081</v>
      </c>
      <c r="S60" t="n">
        <v>0</v>
      </c>
      <c r="T60" t="n">
        <v>0.5121</v>
      </c>
      <c r="U60" t="n">
        <v>0</v>
      </c>
      <c r="V60" t="n">
        <v>0.0001</v>
      </c>
      <c r="W60" t="n">
        <v>0</v>
      </c>
      <c r="X60" t="n">
        <v>0</v>
      </c>
      <c r="Y60" t="n">
        <v>0.0124</v>
      </c>
      <c r="Z60" t="n">
        <v>0</v>
      </c>
      <c r="AA60" t="n">
        <v>0.8327</v>
      </c>
      <c r="AC60">
        <f>IF(ISNUMBER(INDEX($A$2:$AA$62,59,MATCH('Para Piyasası'!$E$2,$A$1:$AA$1,0))),INDEX($A$2:$AA$62,59,MATCH('Para Piyasası'!$E$2,$A$1:$AA$1,0)),-1E+9)-ROW()/1E+7</f>
        <v/>
      </c>
    </row>
    <row r="61">
      <c r="A61" t="inlineStr">
        <is>
          <t>PPP</t>
        </is>
      </c>
      <c r="B61" t="inlineStr">
        <is>
          <t>Perform Portföy Para Piyasası (TL) Fonu</t>
        </is>
      </c>
      <c r="C61" t="inlineStr">
        <is>
          <t>Perform Portföy</t>
        </is>
      </c>
      <c r="D61" t="n">
        <v>0.01</v>
      </c>
      <c r="E61" t="n">
        <v>0.09041868040622347</v>
      </c>
      <c r="F61" t="n">
        <v>0.723505769098165</v>
      </c>
      <c r="G61" t="n">
        <v>3.181204476999255</v>
      </c>
      <c r="H61" t="n">
        <v>22.90996794417459</v>
      </c>
      <c r="I61" t="n">
        <v>47.56587959541108</v>
      </c>
      <c r="J61" t="n">
        <v>379</v>
      </c>
      <c r="K61" t="n">
        <v>375</v>
      </c>
      <c r="L61" t="n">
        <v>-0.01055408970976257</v>
      </c>
      <c r="M61" t="n">
        <v>7359609322.15</v>
      </c>
      <c r="N61" t="n">
        <v>8171233130.87</v>
      </c>
      <c r="O61" t="n">
        <v>0.1102808278528156</v>
      </c>
      <c r="P61" t="n">
        <v>0.08345759370669253</v>
      </c>
      <c r="Q61" t="inlineStr">
        <is>
          <t>Görüyor</t>
        </is>
      </c>
      <c r="R61" t="n">
        <v>0.0386</v>
      </c>
      <c r="S61" t="n">
        <v>0</v>
      </c>
      <c r="T61" t="n">
        <v>0.638</v>
      </c>
      <c r="U61" t="n">
        <v>0</v>
      </c>
      <c r="V61" t="n">
        <v>0.198</v>
      </c>
      <c r="W61" t="n">
        <v>0</v>
      </c>
      <c r="X61" t="n">
        <v>0.0213</v>
      </c>
      <c r="Y61" t="n">
        <v>0</v>
      </c>
      <c r="Z61" t="n">
        <v>0</v>
      </c>
      <c r="AA61" t="n">
        <v>0.8959</v>
      </c>
      <c r="AC61">
        <f>IF(ISNUMBER(INDEX($A$2:$AA$62,60,MATCH('Para Piyasası'!$E$2,$A$1:$AA$1,0))),INDEX($A$2:$AA$62,60,MATCH('Para Piyasası'!$E$2,$A$1:$AA$1,0)),-1E+9)-ROW()/1E+7</f>
        <v/>
      </c>
    </row>
    <row r="62">
      <c r="A62" t="inlineStr">
        <is>
          <t>HYV</t>
        </is>
      </c>
      <c r="B62" t="inlineStr">
        <is>
          <t>Hedef Portföy Para Piyasası (TL) Fonu</t>
        </is>
      </c>
      <c r="C62" t="inlineStr">
        <is>
          <t>Hedef Portföy</t>
        </is>
      </c>
      <c r="D62" t="n">
        <v>0.0125</v>
      </c>
      <c r="E62" t="n">
        <v>0.0868660272330013</v>
      </c>
      <c r="F62" t="n">
        <v>0.7278815795771276</v>
      </c>
      <c r="G62" t="n">
        <v>3.130537197972938</v>
      </c>
      <c r="H62" t="n">
        <v>22.68101913485985</v>
      </c>
      <c r="I62" t="n">
        <v>48.51735551589593</v>
      </c>
      <c r="J62" t="n">
        <v>7193</v>
      </c>
      <c r="K62" t="n">
        <v>6956</v>
      </c>
      <c r="L62" t="n">
        <v>-0.03294870012512163</v>
      </c>
      <c r="M62" t="n">
        <v>6373353553.63</v>
      </c>
      <c r="N62" t="n">
        <v>6218358329.48</v>
      </c>
      <c r="O62" t="n">
        <v>-0.0243192571768942</v>
      </c>
      <c r="P62" t="n">
        <v>0.08465208603386049</v>
      </c>
      <c r="Q62" t="inlineStr">
        <is>
          <t>Görüyor</t>
        </is>
      </c>
      <c r="R62" t="n">
        <v>0.3078</v>
      </c>
      <c r="S62" t="n">
        <v>0</v>
      </c>
      <c r="T62" t="n">
        <v>0.4901</v>
      </c>
      <c r="U62" t="n">
        <v>0</v>
      </c>
      <c r="V62" t="n">
        <v>0.06150000000000001</v>
      </c>
      <c r="W62" t="n">
        <v>0</v>
      </c>
      <c r="X62" t="n">
        <v>0</v>
      </c>
      <c r="Y62" t="n">
        <v>0.0017</v>
      </c>
      <c r="Z62" t="n">
        <v>0</v>
      </c>
      <c r="AA62" t="n">
        <v>0.8611</v>
      </c>
      <c r="AC62">
        <f>IF(ISNUMBER(INDEX($A$2:$AA$62,61,MATCH('Para Piyasası'!$E$2,$A$1:$AA$1,0))),INDEX($A$2:$AA$62,61,MATCH('Para Piyasası'!$E$2,$A$1:$AA$1,0)),-1E+9)-ROW()/1E+7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64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2" max="2"/>
    <col width="68" customWidth="1" min="3" max="3"/>
    <col width="2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>
      <c r="F1" s="6" t="n">
        <v>46219</v>
      </c>
      <c r="G1" s="6" t="n">
        <v>46213</v>
      </c>
      <c r="H1" s="6" t="n">
        <v>46190</v>
      </c>
      <c r="I1" s="6" t="n">
        <v>46022</v>
      </c>
      <c r="J1" s="6" t="n">
        <v>45855</v>
      </c>
    </row>
    <row r="2">
      <c r="B2" s="3" t="inlineStr">
        <is>
          <t>T-1: 17.07.2026</t>
        </is>
      </c>
      <c r="D2" s="7" t="inlineStr">
        <is>
          <t>Sırala:</t>
        </is>
      </c>
      <c r="E2" s="2" t="inlineStr">
        <is>
          <t>Günlük%</t>
        </is>
      </c>
    </row>
    <row r="3">
      <c r="B3" s="4" t="inlineStr">
        <is>
          <t>Fon Kodu</t>
        </is>
      </c>
      <c r="C3" s="4" t="inlineStr">
        <is>
          <t>Para Piyasası Fonları</t>
        </is>
      </c>
      <c r="D3" s="4" t="inlineStr">
        <is>
          <t>Yönetici</t>
        </is>
      </c>
      <c r="E3" s="4" t="inlineStr">
        <is>
          <t>FYÜ%</t>
        </is>
      </c>
      <c r="F3" s="4" t="inlineStr">
        <is>
          <t>Günlük%</t>
        </is>
      </c>
      <c r="G3" s="4" t="inlineStr">
        <is>
          <t>Haftalık</t>
        </is>
      </c>
      <c r="H3" s="4" t="inlineStr">
        <is>
          <t>Aylık</t>
        </is>
      </c>
      <c r="I3" s="4" t="inlineStr">
        <is>
          <t>Yılbaşına Göre</t>
        </is>
      </c>
      <c r="J3" s="4" t="inlineStr">
        <is>
          <t>Yıllık</t>
        </is>
      </c>
      <c r="K3" s="4" t="inlineStr">
        <is>
          <t>Yatırımcı Sayısı T-30</t>
        </is>
      </c>
      <c r="L3" s="4" t="inlineStr">
        <is>
          <t>Yatırımcı Sayısı T-1</t>
        </is>
      </c>
      <c r="M3" s="4" t="inlineStr">
        <is>
          <t>YS Değişim</t>
        </is>
      </c>
      <c r="N3" s="4" t="inlineStr">
        <is>
          <t>Önceki Ay FTD</t>
        </is>
      </c>
      <c r="O3" s="4" t="inlineStr">
        <is>
          <t>T-1 FTD</t>
        </is>
      </c>
      <c r="P3" s="4" t="inlineStr">
        <is>
          <t>FTD Değişim</t>
        </is>
      </c>
      <c r="Q3" s="4" t="inlineStr">
        <is>
          <t>Standart Sapma (Aylık)</t>
        </is>
      </c>
      <c r="R3" s="4" t="inlineStr">
        <is>
          <t>TEFAS Durumu</t>
        </is>
      </c>
      <c r="S3" s="4" t="inlineStr">
        <is>
          <t>Mevduat (TL)</t>
        </is>
      </c>
      <c r="T3" s="4" t="inlineStr">
        <is>
          <t>Vadeli İşlemler Nakit Teminatları</t>
        </is>
      </c>
      <c r="U3" s="4" t="inlineStr">
        <is>
          <t>Ters Repo Oranı</t>
        </is>
      </c>
      <c r="V3" s="4" t="inlineStr">
        <is>
          <t>Hisse Oranı</t>
        </is>
      </c>
      <c r="W3" s="4" t="inlineStr">
        <is>
          <t>Para Piyasaları Oranı</t>
        </is>
      </c>
      <c r="X3" s="4" t="inlineStr">
        <is>
          <t>Yatırım Fonları Katılma Payları</t>
        </is>
      </c>
      <c r="Y3" s="4" t="inlineStr">
        <is>
          <t>Özel Tahvil/Bono Oranı</t>
        </is>
      </c>
      <c r="Z3" s="4" t="inlineStr">
        <is>
          <t>Finansman Bonosu Oranı</t>
        </is>
      </c>
      <c r="AA3" s="4" t="inlineStr">
        <is>
          <t>Diğer Oran</t>
        </is>
      </c>
      <c r="AB3" s="4" t="inlineStr">
        <is>
          <t>Toplam</t>
        </is>
      </c>
    </row>
    <row r="4">
      <c r="A4" t="n">
        <v>1</v>
      </c>
      <c r="B4" s="5">
        <f>INDEX('V_Para Piyasası'!A$2:A$62,MATCH(LARGE('V_Para Piyasası'!$AC$2:$AC$62,ROW()-3),'V_Para Piyasası'!$AC$2:$AC$62,0))</f>
        <v/>
      </c>
      <c r="C4" s="5">
        <f>INDEX('V_Para Piyasası'!B$2:B$62,MATCH(LARGE('V_Para Piyasası'!$AC$2:$AC$62,ROW()-3),'V_Para Piyasası'!$AC$2:$AC$62,0))</f>
        <v/>
      </c>
      <c r="D4" s="5">
        <f>INDEX('V_Para Piyasası'!C$2:C$62,MATCH(LARGE('V_Para Piyasası'!$AC$2:$AC$62,ROW()-3),'V_Para Piyasası'!$AC$2:$AC$62,0))</f>
        <v/>
      </c>
      <c r="E4" s="8">
        <f>INDEX('V_Para Piyasası'!D$2:D$62,MATCH(LARGE('V_Para Piyasası'!$AC$2:$AC$62,ROW()-3),'V_Para Piyasası'!$AC$2:$AC$62,0))</f>
        <v/>
      </c>
      <c r="F4" s="9">
        <f>INDEX('V_Para Piyasası'!E$2:E$62,MATCH(LARGE('V_Para Piyasası'!$AC$2:$AC$62,ROW()-3),'V_Para Piyasası'!$AC$2:$AC$62,0))</f>
        <v/>
      </c>
      <c r="G4" s="9">
        <f>INDEX('V_Para Piyasası'!F$2:F$62,MATCH(LARGE('V_Para Piyasası'!$AC$2:$AC$62,ROW()-3),'V_Para Piyasası'!$AC$2:$AC$62,0))</f>
        <v/>
      </c>
      <c r="H4" s="9">
        <f>INDEX('V_Para Piyasası'!G$2:G$62,MATCH(LARGE('V_Para Piyasası'!$AC$2:$AC$62,ROW()-3),'V_Para Piyasası'!$AC$2:$AC$62,0))</f>
        <v/>
      </c>
      <c r="I4" s="9">
        <f>INDEX('V_Para Piyasası'!H$2:H$62,MATCH(LARGE('V_Para Piyasası'!$AC$2:$AC$62,ROW()-3),'V_Para Piyasası'!$AC$2:$AC$62,0))</f>
        <v/>
      </c>
      <c r="J4" s="9">
        <f>INDEX('V_Para Piyasası'!I$2:I$62,MATCH(LARGE('V_Para Piyasası'!$AC$2:$AC$62,ROW()-3),'V_Para Piyasası'!$AC$2:$AC$62,0))</f>
        <v/>
      </c>
      <c r="K4" s="10">
        <f>INDEX('V_Para Piyasası'!J$2:J$62,MATCH(LARGE('V_Para Piyasası'!$AC$2:$AC$62,ROW()-3),'V_Para Piyasası'!$AC$2:$AC$62,0))</f>
        <v/>
      </c>
      <c r="L4" s="10">
        <f>INDEX('V_Para Piyasası'!K$2:K$62,MATCH(LARGE('V_Para Piyasası'!$AC$2:$AC$62,ROW()-3),'V_Para Piyasası'!$AC$2:$AC$62,0))</f>
        <v/>
      </c>
      <c r="M4" s="8">
        <f>INDEX('V_Para Piyasası'!L$2:L$62,MATCH(LARGE('V_Para Piyasası'!$AC$2:$AC$62,ROW()-3),'V_Para Piyasası'!$AC$2:$AC$62,0))</f>
        <v/>
      </c>
      <c r="N4" s="11">
        <f>INDEX('V_Para Piyasası'!M$2:M$62,MATCH(LARGE('V_Para Piyasası'!$AC$2:$AC$62,ROW()-3),'V_Para Piyasası'!$AC$2:$AC$62,0))</f>
        <v/>
      </c>
      <c r="O4" s="11">
        <f>INDEX('V_Para Piyasası'!N$2:N$62,MATCH(LARGE('V_Para Piyasası'!$AC$2:$AC$62,ROW()-3),'V_Para Piyasası'!$AC$2:$AC$62,0))</f>
        <v/>
      </c>
      <c r="P4" s="8">
        <f>INDEX('V_Para Piyasası'!O$2:O$62,MATCH(LARGE('V_Para Piyasası'!$AC$2:$AC$62,ROW()-3),'V_Para Piyasası'!$AC$2:$AC$62,0))</f>
        <v/>
      </c>
      <c r="Q4" s="9">
        <f>INDEX('V_Para Piyasası'!P$2:P$62,MATCH(LARGE('V_Para Piyasası'!$AC$2:$AC$62,ROW()-3),'V_Para Piyasası'!$AC$2:$AC$62,0))</f>
        <v/>
      </c>
      <c r="R4" s="5">
        <f>INDEX('V_Para Piyasası'!Q$2:Q$62,MATCH(LARGE('V_Para Piyasası'!$AC$2:$AC$62,ROW()-3),'V_Para Piyasası'!$AC$2:$AC$62,0))</f>
        <v/>
      </c>
      <c r="S4" s="8">
        <f>INDEX('V_Para Piyasası'!R$2:R$62,MATCH(LARGE('V_Para Piyasası'!$AC$2:$AC$62,ROW()-3),'V_Para Piyasası'!$AC$2:$AC$62,0))</f>
        <v/>
      </c>
      <c r="T4" s="8">
        <f>INDEX('V_Para Piyasası'!S$2:S$62,MATCH(LARGE('V_Para Piyasası'!$AC$2:$AC$62,ROW()-3),'V_Para Piyasası'!$AC$2:$AC$62,0))</f>
        <v/>
      </c>
      <c r="U4" s="8">
        <f>INDEX('V_Para Piyasası'!T$2:T$62,MATCH(LARGE('V_Para Piyasası'!$AC$2:$AC$62,ROW()-3),'V_Para Piyasası'!$AC$2:$AC$62,0))</f>
        <v/>
      </c>
      <c r="V4" s="8">
        <f>INDEX('V_Para Piyasası'!U$2:U$62,MATCH(LARGE('V_Para Piyasası'!$AC$2:$AC$62,ROW()-3),'V_Para Piyasası'!$AC$2:$AC$62,0))</f>
        <v/>
      </c>
      <c r="W4" s="8">
        <f>INDEX('V_Para Piyasası'!V$2:V$62,MATCH(LARGE('V_Para Piyasası'!$AC$2:$AC$62,ROW()-3),'V_Para Piyasası'!$AC$2:$AC$62,0))</f>
        <v/>
      </c>
      <c r="X4" s="8">
        <f>INDEX('V_Para Piyasası'!W$2:W$62,MATCH(LARGE('V_Para Piyasası'!$AC$2:$AC$62,ROW()-3),'V_Para Piyasası'!$AC$2:$AC$62,0))</f>
        <v/>
      </c>
      <c r="Y4" s="8">
        <f>INDEX('V_Para Piyasası'!X$2:X$62,MATCH(LARGE('V_Para Piyasası'!$AC$2:$AC$62,ROW()-3),'V_Para Piyasası'!$AC$2:$AC$62,0))</f>
        <v/>
      </c>
      <c r="Z4" s="8">
        <f>INDEX('V_Para Piyasası'!Y$2:Y$62,MATCH(LARGE('V_Para Piyasası'!$AC$2:$AC$62,ROW()-3),'V_Para Piyasası'!$AC$2:$AC$62,0))</f>
        <v/>
      </c>
      <c r="AA4" s="8">
        <f>INDEX('V_Para Piyasası'!Z$2:Z$62,MATCH(LARGE('V_Para Piyasası'!$AC$2:$AC$62,ROW()-3),'V_Para Piyasası'!$AC$2:$AC$62,0))</f>
        <v/>
      </c>
      <c r="AB4" s="8">
        <f>INDEX('V_Para Piyasası'!AA$2:AA$62,MATCH(LARGE('V_Para Piyasası'!$AC$2:$AC$62,ROW()-3),'V_Para Piyasası'!$AC$2:$AC$62,0))</f>
        <v/>
      </c>
    </row>
    <row r="5">
      <c r="A5" t="n">
        <v>2</v>
      </c>
      <c r="B5" s="5">
        <f>INDEX('V_Para Piyasası'!A$2:A$62,MATCH(LARGE('V_Para Piyasası'!$AC$2:$AC$62,ROW()-3),'V_Para Piyasası'!$AC$2:$AC$62,0))</f>
        <v/>
      </c>
      <c r="C5" s="5">
        <f>INDEX('V_Para Piyasası'!B$2:B$62,MATCH(LARGE('V_Para Piyasası'!$AC$2:$AC$62,ROW()-3),'V_Para Piyasası'!$AC$2:$AC$62,0))</f>
        <v/>
      </c>
      <c r="D5" s="5">
        <f>INDEX('V_Para Piyasası'!C$2:C$62,MATCH(LARGE('V_Para Piyasası'!$AC$2:$AC$62,ROW()-3),'V_Para Piyasası'!$AC$2:$AC$62,0))</f>
        <v/>
      </c>
      <c r="E5" s="8">
        <f>INDEX('V_Para Piyasası'!D$2:D$62,MATCH(LARGE('V_Para Piyasası'!$AC$2:$AC$62,ROW()-3),'V_Para Piyasası'!$AC$2:$AC$62,0))</f>
        <v/>
      </c>
      <c r="F5" s="9">
        <f>INDEX('V_Para Piyasası'!E$2:E$62,MATCH(LARGE('V_Para Piyasası'!$AC$2:$AC$62,ROW()-3),'V_Para Piyasası'!$AC$2:$AC$62,0))</f>
        <v/>
      </c>
      <c r="G5" s="9">
        <f>INDEX('V_Para Piyasası'!F$2:F$62,MATCH(LARGE('V_Para Piyasası'!$AC$2:$AC$62,ROW()-3),'V_Para Piyasası'!$AC$2:$AC$62,0))</f>
        <v/>
      </c>
      <c r="H5" s="9">
        <f>INDEX('V_Para Piyasası'!G$2:G$62,MATCH(LARGE('V_Para Piyasası'!$AC$2:$AC$62,ROW()-3),'V_Para Piyasası'!$AC$2:$AC$62,0))</f>
        <v/>
      </c>
      <c r="I5" s="9">
        <f>INDEX('V_Para Piyasası'!H$2:H$62,MATCH(LARGE('V_Para Piyasası'!$AC$2:$AC$62,ROW()-3),'V_Para Piyasası'!$AC$2:$AC$62,0))</f>
        <v/>
      </c>
      <c r="J5" s="9">
        <f>INDEX('V_Para Piyasası'!I$2:I$62,MATCH(LARGE('V_Para Piyasası'!$AC$2:$AC$62,ROW()-3),'V_Para Piyasası'!$AC$2:$AC$62,0))</f>
        <v/>
      </c>
      <c r="K5" s="10">
        <f>INDEX('V_Para Piyasası'!J$2:J$62,MATCH(LARGE('V_Para Piyasası'!$AC$2:$AC$62,ROW()-3),'V_Para Piyasası'!$AC$2:$AC$62,0))</f>
        <v/>
      </c>
      <c r="L5" s="10">
        <f>INDEX('V_Para Piyasası'!K$2:K$62,MATCH(LARGE('V_Para Piyasası'!$AC$2:$AC$62,ROW()-3),'V_Para Piyasası'!$AC$2:$AC$62,0))</f>
        <v/>
      </c>
      <c r="M5" s="8">
        <f>INDEX('V_Para Piyasası'!L$2:L$62,MATCH(LARGE('V_Para Piyasası'!$AC$2:$AC$62,ROW()-3),'V_Para Piyasası'!$AC$2:$AC$62,0))</f>
        <v/>
      </c>
      <c r="N5" s="11">
        <f>INDEX('V_Para Piyasası'!M$2:M$62,MATCH(LARGE('V_Para Piyasası'!$AC$2:$AC$62,ROW()-3),'V_Para Piyasası'!$AC$2:$AC$62,0))</f>
        <v/>
      </c>
      <c r="O5" s="11">
        <f>INDEX('V_Para Piyasası'!N$2:N$62,MATCH(LARGE('V_Para Piyasası'!$AC$2:$AC$62,ROW()-3),'V_Para Piyasası'!$AC$2:$AC$62,0))</f>
        <v/>
      </c>
      <c r="P5" s="8">
        <f>INDEX('V_Para Piyasası'!O$2:O$62,MATCH(LARGE('V_Para Piyasası'!$AC$2:$AC$62,ROW()-3),'V_Para Piyasası'!$AC$2:$AC$62,0))</f>
        <v/>
      </c>
      <c r="Q5" s="9">
        <f>INDEX('V_Para Piyasası'!P$2:P$62,MATCH(LARGE('V_Para Piyasası'!$AC$2:$AC$62,ROW()-3),'V_Para Piyasası'!$AC$2:$AC$62,0))</f>
        <v/>
      </c>
      <c r="R5" s="5">
        <f>INDEX('V_Para Piyasası'!Q$2:Q$62,MATCH(LARGE('V_Para Piyasası'!$AC$2:$AC$62,ROW()-3),'V_Para Piyasası'!$AC$2:$AC$62,0))</f>
        <v/>
      </c>
      <c r="S5" s="8">
        <f>INDEX('V_Para Piyasası'!R$2:R$62,MATCH(LARGE('V_Para Piyasası'!$AC$2:$AC$62,ROW()-3),'V_Para Piyasası'!$AC$2:$AC$62,0))</f>
        <v/>
      </c>
      <c r="T5" s="8">
        <f>INDEX('V_Para Piyasası'!S$2:S$62,MATCH(LARGE('V_Para Piyasası'!$AC$2:$AC$62,ROW()-3),'V_Para Piyasası'!$AC$2:$AC$62,0))</f>
        <v/>
      </c>
      <c r="U5" s="8">
        <f>INDEX('V_Para Piyasası'!T$2:T$62,MATCH(LARGE('V_Para Piyasası'!$AC$2:$AC$62,ROW()-3),'V_Para Piyasası'!$AC$2:$AC$62,0))</f>
        <v/>
      </c>
      <c r="V5" s="8">
        <f>INDEX('V_Para Piyasası'!U$2:U$62,MATCH(LARGE('V_Para Piyasası'!$AC$2:$AC$62,ROW()-3),'V_Para Piyasası'!$AC$2:$AC$62,0))</f>
        <v/>
      </c>
      <c r="W5" s="8">
        <f>INDEX('V_Para Piyasası'!V$2:V$62,MATCH(LARGE('V_Para Piyasası'!$AC$2:$AC$62,ROW()-3),'V_Para Piyasası'!$AC$2:$AC$62,0))</f>
        <v/>
      </c>
      <c r="X5" s="8">
        <f>INDEX('V_Para Piyasası'!W$2:W$62,MATCH(LARGE('V_Para Piyasası'!$AC$2:$AC$62,ROW()-3),'V_Para Piyasası'!$AC$2:$AC$62,0))</f>
        <v/>
      </c>
      <c r="Y5" s="8">
        <f>INDEX('V_Para Piyasası'!X$2:X$62,MATCH(LARGE('V_Para Piyasası'!$AC$2:$AC$62,ROW()-3),'V_Para Piyasası'!$AC$2:$AC$62,0))</f>
        <v/>
      </c>
      <c r="Z5" s="8">
        <f>INDEX('V_Para Piyasası'!Y$2:Y$62,MATCH(LARGE('V_Para Piyasası'!$AC$2:$AC$62,ROW()-3),'V_Para Piyasası'!$AC$2:$AC$62,0))</f>
        <v/>
      </c>
      <c r="AA5" s="8">
        <f>INDEX('V_Para Piyasası'!Z$2:Z$62,MATCH(LARGE('V_Para Piyasası'!$AC$2:$AC$62,ROW()-3),'V_Para Piyasası'!$AC$2:$AC$62,0))</f>
        <v/>
      </c>
      <c r="AB5" s="8">
        <f>INDEX('V_Para Piyasası'!AA$2:AA$62,MATCH(LARGE('V_Para Piyasası'!$AC$2:$AC$62,ROW()-3),'V_Para Piyasası'!$AC$2:$AC$62,0))</f>
        <v/>
      </c>
    </row>
    <row r="6">
      <c r="A6" t="n">
        <v>3</v>
      </c>
      <c r="B6" s="5">
        <f>INDEX('V_Para Piyasası'!A$2:A$62,MATCH(LARGE('V_Para Piyasası'!$AC$2:$AC$62,ROW()-3),'V_Para Piyasası'!$AC$2:$AC$62,0))</f>
        <v/>
      </c>
      <c r="C6" s="5">
        <f>INDEX('V_Para Piyasası'!B$2:B$62,MATCH(LARGE('V_Para Piyasası'!$AC$2:$AC$62,ROW()-3),'V_Para Piyasası'!$AC$2:$AC$62,0))</f>
        <v/>
      </c>
      <c r="D6" s="5">
        <f>INDEX('V_Para Piyasası'!C$2:C$62,MATCH(LARGE('V_Para Piyasası'!$AC$2:$AC$62,ROW()-3),'V_Para Piyasası'!$AC$2:$AC$62,0))</f>
        <v/>
      </c>
      <c r="E6" s="8">
        <f>INDEX('V_Para Piyasası'!D$2:D$62,MATCH(LARGE('V_Para Piyasası'!$AC$2:$AC$62,ROW()-3),'V_Para Piyasası'!$AC$2:$AC$62,0))</f>
        <v/>
      </c>
      <c r="F6" s="9">
        <f>INDEX('V_Para Piyasası'!E$2:E$62,MATCH(LARGE('V_Para Piyasası'!$AC$2:$AC$62,ROW()-3),'V_Para Piyasası'!$AC$2:$AC$62,0))</f>
        <v/>
      </c>
      <c r="G6" s="9">
        <f>INDEX('V_Para Piyasası'!F$2:F$62,MATCH(LARGE('V_Para Piyasası'!$AC$2:$AC$62,ROW()-3),'V_Para Piyasası'!$AC$2:$AC$62,0))</f>
        <v/>
      </c>
      <c r="H6" s="9">
        <f>INDEX('V_Para Piyasası'!G$2:G$62,MATCH(LARGE('V_Para Piyasası'!$AC$2:$AC$62,ROW()-3),'V_Para Piyasası'!$AC$2:$AC$62,0))</f>
        <v/>
      </c>
      <c r="I6" s="9">
        <f>INDEX('V_Para Piyasası'!H$2:H$62,MATCH(LARGE('V_Para Piyasası'!$AC$2:$AC$62,ROW()-3),'V_Para Piyasası'!$AC$2:$AC$62,0))</f>
        <v/>
      </c>
      <c r="J6" s="9">
        <f>INDEX('V_Para Piyasası'!I$2:I$62,MATCH(LARGE('V_Para Piyasası'!$AC$2:$AC$62,ROW()-3),'V_Para Piyasası'!$AC$2:$AC$62,0))</f>
        <v/>
      </c>
      <c r="K6" s="10">
        <f>INDEX('V_Para Piyasası'!J$2:J$62,MATCH(LARGE('V_Para Piyasası'!$AC$2:$AC$62,ROW()-3),'V_Para Piyasası'!$AC$2:$AC$62,0))</f>
        <v/>
      </c>
      <c r="L6" s="10">
        <f>INDEX('V_Para Piyasası'!K$2:K$62,MATCH(LARGE('V_Para Piyasası'!$AC$2:$AC$62,ROW()-3),'V_Para Piyasası'!$AC$2:$AC$62,0))</f>
        <v/>
      </c>
      <c r="M6" s="8">
        <f>INDEX('V_Para Piyasası'!L$2:L$62,MATCH(LARGE('V_Para Piyasası'!$AC$2:$AC$62,ROW()-3),'V_Para Piyasası'!$AC$2:$AC$62,0))</f>
        <v/>
      </c>
      <c r="N6" s="11">
        <f>INDEX('V_Para Piyasası'!M$2:M$62,MATCH(LARGE('V_Para Piyasası'!$AC$2:$AC$62,ROW()-3),'V_Para Piyasası'!$AC$2:$AC$62,0))</f>
        <v/>
      </c>
      <c r="O6" s="11">
        <f>INDEX('V_Para Piyasası'!N$2:N$62,MATCH(LARGE('V_Para Piyasası'!$AC$2:$AC$62,ROW()-3),'V_Para Piyasası'!$AC$2:$AC$62,0))</f>
        <v/>
      </c>
      <c r="P6" s="8">
        <f>INDEX('V_Para Piyasası'!O$2:O$62,MATCH(LARGE('V_Para Piyasası'!$AC$2:$AC$62,ROW()-3),'V_Para Piyasası'!$AC$2:$AC$62,0))</f>
        <v/>
      </c>
      <c r="Q6" s="9">
        <f>INDEX('V_Para Piyasası'!P$2:P$62,MATCH(LARGE('V_Para Piyasası'!$AC$2:$AC$62,ROW()-3),'V_Para Piyasası'!$AC$2:$AC$62,0))</f>
        <v/>
      </c>
      <c r="R6" s="5">
        <f>INDEX('V_Para Piyasası'!Q$2:Q$62,MATCH(LARGE('V_Para Piyasası'!$AC$2:$AC$62,ROW()-3),'V_Para Piyasası'!$AC$2:$AC$62,0))</f>
        <v/>
      </c>
      <c r="S6" s="8">
        <f>INDEX('V_Para Piyasası'!R$2:R$62,MATCH(LARGE('V_Para Piyasası'!$AC$2:$AC$62,ROW()-3),'V_Para Piyasası'!$AC$2:$AC$62,0))</f>
        <v/>
      </c>
      <c r="T6" s="8">
        <f>INDEX('V_Para Piyasası'!S$2:S$62,MATCH(LARGE('V_Para Piyasası'!$AC$2:$AC$62,ROW()-3),'V_Para Piyasası'!$AC$2:$AC$62,0))</f>
        <v/>
      </c>
      <c r="U6" s="8">
        <f>INDEX('V_Para Piyasası'!T$2:T$62,MATCH(LARGE('V_Para Piyasası'!$AC$2:$AC$62,ROW()-3),'V_Para Piyasası'!$AC$2:$AC$62,0))</f>
        <v/>
      </c>
      <c r="V6" s="8">
        <f>INDEX('V_Para Piyasası'!U$2:U$62,MATCH(LARGE('V_Para Piyasası'!$AC$2:$AC$62,ROW()-3),'V_Para Piyasası'!$AC$2:$AC$62,0))</f>
        <v/>
      </c>
      <c r="W6" s="8">
        <f>INDEX('V_Para Piyasası'!V$2:V$62,MATCH(LARGE('V_Para Piyasası'!$AC$2:$AC$62,ROW()-3),'V_Para Piyasası'!$AC$2:$AC$62,0))</f>
        <v/>
      </c>
      <c r="X6" s="8">
        <f>INDEX('V_Para Piyasası'!W$2:W$62,MATCH(LARGE('V_Para Piyasası'!$AC$2:$AC$62,ROW()-3),'V_Para Piyasası'!$AC$2:$AC$62,0))</f>
        <v/>
      </c>
      <c r="Y6" s="8">
        <f>INDEX('V_Para Piyasası'!X$2:X$62,MATCH(LARGE('V_Para Piyasası'!$AC$2:$AC$62,ROW()-3),'V_Para Piyasası'!$AC$2:$AC$62,0))</f>
        <v/>
      </c>
      <c r="Z6" s="8">
        <f>INDEX('V_Para Piyasası'!Y$2:Y$62,MATCH(LARGE('V_Para Piyasası'!$AC$2:$AC$62,ROW()-3),'V_Para Piyasası'!$AC$2:$AC$62,0))</f>
        <v/>
      </c>
      <c r="AA6" s="8">
        <f>INDEX('V_Para Piyasası'!Z$2:Z$62,MATCH(LARGE('V_Para Piyasası'!$AC$2:$AC$62,ROW()-3),'V_Para Piyasası'!$AC$2:$AC$62,0))</f>
        <v/>
      </c>
      <c r="AB6" s="8">
        <f>INDEX('V_Para Piyasası'!AA$2:AA$62,MATCH(LARGE('V_Para Piyasası'!$AC$2:$AC$62,ROW()-3),'V_Para Piyasası'!$AC$2:$AC$62,0))</f>
        <v/>
      </c>
    </row>
    <row r="7">
      <c r="A7" t="n">
        <v>4</v>
      </c>
      <c r="B7" s="5">
        <f>INDEX('V_Para Piyasası'!A$2:A$62,MATCH(LARGE('V_Para Piyasası'!$AC$2:$AC$62,ROW()-3),'V_Para Piyasası'!$AC$2:$AC$62,0))</f>
        <v/>
      </c>
      <c r="C7" s="5">
        <f>INDEX('V_Para Piyasası'!B$2:B$62,MATCH(LARGE('V_Para Piyasası'!$AC$2:$AC$62,ROW()-3),'V_Para Piyasası'!$AC$2:$AC$62,0))</f>
        <v/>
      </c>
      <c r="D7" s="5">
        <f>INDEX('V_Para Piyasası'!C$2:C$62,MATCH(LARGE('V_Para Piyasası'!$AC$2:$AC$62,ROW()-3),'V_Para Piyasası'!$AC$2:$AC$62,0))</f>
        <v/>
      </c>
      <c r="E7" s="8">
        <f>INDEX('V_Para Piyasası'!D$2:D$62,MATCH(LARGE('V_Para Piyasası'!$AC$2:$AC$62,ROW()-3),'V_Para Piyasası'!$AC$2:$AC$62,0))</f>
        <v/>
      </c>
      <c r="F7" s="9">
        <f>INDEX('V_Para Piyasası'!E$2:E$62,MATCH(LARGE('V_Para Piyasası'!$AC$2:$AC$62,ROW()-3),'V_Para Piyasası'!$AC$2:$AC$62,0))</f>
        <v/>
      </c>
      <c r="G7" s="9">
        <f>INDEX('V_Para Piyasası'!F$2:F$62,MATCH(LARGE('V_Para Piyasası'!$AC$2:$AC$62,ROW()-3),'V_Para Piyasası'!$AC$2:$AC$62,0))</f>
        <v/>
      </c>
      <c r="H7" s="9">
        <f>INDEX('V_Para Piyasası'!G$2:G$62,MATCH(LARGE('V_Para Piyasası'!$AC$2:$AC$62,ROW()-3),'V_Para Piyasası'!$AC$2:$AC$62,0))</f>
        <v/>
      </c>
      <c r="I7" s="9">
        <f>INDEX('V_Para Piyasası'!H$2:H$62,MATCH(LARGE('V_Para Piyasası'!$AC$2:$AC$62,ROW()-3),'V_Para Piyasası'!$AC$2:$AC$62,0))</f>
        <v/>
      </c>
      <c r="J7" s="9">
        <f>INDEX('V_Para Piyasası'!I$2:I$62,MATCH(LARGE('V_Para Piyasası'!$AC$2:$AC$62,ROW()-3),'V_Para Piyasası'!$AC$2:$AC$62,0))</f>
        <v/>
      </c>
      <c r="K7" s="10">
        <f>INDEX('V_Para Piyasası'!J$2:J$62,MATCH(LARGE('V_Para Piyasası'!$AC$2:$AC$62,ROW()-3),'V_Para Piyasası'!$AC$2:$AC$62,0))</f>
        <v/>
      </c>
      <c r="L7" s="10">
        <f>INDEX('V_Para Piyasası'!K$2:K$62,MATCH(LARGE('V_Para Piyasası'!$AC$2:$AC$62,ROW()-3),'V_Para Piyasası'!$AC$2:$AC$62,0))</f>
        <v/>
      </c>
      <c r="M7" s="8">
        <f>INDEX('V_Para Piyasası'!L$2:L$62,MATCH(LARGE('V_Para Piyasası'!$AC$2:$AC$62,ROW()-3),'V_Para Piyasası'!$AC$2:$AC$62,0))</f>
        <v/>
      </c>
      <c r="N7" s="11">
        <f>INDEX('V_Para Piyasası'!M$2:M$62,MATCH(LARGE('V_Para Piyasası'!$AC$2:$AC$62,ROW()-3),'V_Para Piyasası'!$AC$2:$AC$62,0))</f>
        <v/>
      </c>
      <c r="O7" s="11">
        <f>INDEX('V_Para Piyasası'!N$2:N$62,MATCH(LARGE('V_Para Piyasası'!$AC$2:$AC$62,ROW()-3),'V_Para Piyasası'!$AC$2:$AC$62,0))</f>
        <v/>
      </c>
      <c r="P7" s="8">
        <f>INDEX('V_Para Piyasası'!O$2:O$62,MATCH(LARGE('V_Para Piyasası'!$AC$2:$AC$62,ROW()-3),'V_Para Piyasası'!$AC$2:$AC$62,0))</f>
        <v/>
      </c>
      <c r="Q7" s="9">
        <f>INDEX('V_Para Piyasası'!P$2:P$62,MATCH(LARGE('V_Para Piyasası'!$AC$2:$AC$62,ROW()-3),'V_Para Piyasası'!$AC$2:$AC$62,0))</f>
        <v/>
      </c>
      <c r="R7" s="5">
        <f>INDEX('V_Para Piyasası'!Q$2:Q$62,MATCH(LARGE('V_Para Piyasası'!$AC$2:$AC$62,ROW()-3),'V_Para Piyasası'!$AC$2:$AC$62,0))</f>
        <v/>
      </c>
      <c r="S7" s="8">
        <f>INDEX('V_Para Piyasası'!R$2:R$62,MATCH(LARGE('V_Para Piyasası'!$AC$2:$AC$62,ROW()-3),'V_Para Piyasası'!$AC$2:$AC$62,0))</f>
        <v/>
      </c>
      <c r="T7" s="8">
        <f>INDEX('V_Para Piyasası'!S$2:S$62,MATCH(LARGE('V_Para Piyasası'!$AC$2:$AC$62,ROW()-3),'V_Para Piyasası'!$AC$2:$AC$62,0))</f>
        <v/>
      </c>
      <c r="U7" s="8">
        <f>INDEX('V_Para Piyasası'!T$2:T$62,MATCH(LARGE('V_Para Piyasası'!$AC$2:$AC$62,ROW()-3),'V_Para Piyasası'!$AC$2:$AC$62,0))</f>
        <v/>
      </c>
      <c r="V7" s="8">
        <f>INDEX('V_Para Piyasası'!U$2:U$62,MATCH(LARGE('V_Para Piyasası'!$AC$2:$AC$62,ROW()-3),'V_Para Piyasası'!$AC$2:$AC$62,0))</f>
        <v/>
      </c>
      <c r="W7" s="8">
        <f>INDEX('V_Para Piyasası'!V$2:V$62,MATCH(LARGE('V_Para Piyasası'!$AC$2:$AC$62,ROW()-3),'V_Para Piyasası'!$AC$2:$AC$62,0))</f>
        <v/>
      </c>
      <c r="X7" s="8">
        <f>INDEX('V_Para Piyasası'!W$2:W$62,MATCH(LARGE('V_Para Piyasası'!$AC$2:$AC$62,ROW()-3),'V_Para Piyasası'!$AC$2:$AC$62,0))</f>
        <v/>
      </c>
      <c r="Y7" s="8">
        <f>INDEX('V_Para Piyasası'!X$2:X$62,MATCH(LARGE('V_Para Piyasası'!$AC$2:$AC$62,ROW()-3),'V_Para Piyasası'!$AC$2:$AC$62,0))</f>
        <v/>
      </c>
      <c r="Z7" s="8">
        <f>INDEX('V_Para Piyasası'!Y$2:Y$62,MATCH(LARGE('V_Para Piyasası'!$AC$2:$AC$62,ROW()-3),'V_Para Piyasası'!$AC$2:$AC$62,0))</f>
        <v/>
      </c>
      <c r="AA7" s="8">
        <f>INDEX('V_Para Piyasası'!Z$2:Z$62,MATCH(LARGE('V_Para Piyasası'!$AC$2:$AC$62,ROW()-3),'V_Para Piyasası'!$AC$2:$AC$62,0))</f>
        <v/>
      </c>
      <c r="AB7" s="8">
        <f>INDEX('V_Para Piyasası'!AA$2:AA$62,MATCH(LARGE('V_Para Piyasası'!$AC$2:$AC$62,ROW()-3),'V_Para Piyasası'!$AC$2:$AC$62,0))</f>
        <v/>
      </c>
    </row>
    <row r="8">
      <c r="A8" t="n">
        <v>5</v>
      </c>
      <c r="B8" s="5">
        <f>INDEX('V_Para Piyasası'!A$2:A$62,MATCH(LARGE('V_Para Piyasası'!$AC$2:$AC$62,ROW()-3),'V_Para Piyasası'!$AC$2:$AC$62,0))</f>
        <v/>
      </c>
      <c r="C8" s="5">
        <f>INDEX('V_Para Piyasası'!B$2:B$62,MATCH(LARGE('V_Para Piyasası'!$AC$2:$AC$62,ROW()-3),'V_Para Piyasası'!$AC$2:$AC$62,0))</f>
        <v/>
      </c>
      <c r="D8" s="5">
        <f>INDEX('V_Para Piyasası'!C$2:C$62,MATCH(LARGE('V_Para Piyasası'!$AC$2:$AC$62,ROW()-3),'V_Para Piyasası'!$AC$2:$AC$62,0))</f>
        <v/>
      </c>
      <c r="E8" s="8">
        <f>INDEX('V_Para Piyasası'!D$2:D$62,MATCH(LARGE('V_Para Piyasası'!$AC$2:$AC$62,ROW()-3),'V_Para Piyasası'!$AC$2:$AC$62,0))</f>
        <v/>
      </c>
      <c r="F8" s="9">
        <f>INDEX('V_Para Piyasası'!E$2:E$62,MATCH(LARGE('V_Para Piyasası'!$AC$2:$AC$62,ROW()-3),'V_Para Piyasası'!$AC$2:$AC$62,0))</f>
        <v/>
      </c>
      <c r="G8" s="9">
        <f>INDEX('V_Para Piyasası'!F$2:F$62,MATCH(LARGE('V_Para Piyasası'!$AC$2:$AC$62,ROW()-3),'V_Para Piyasası'!$AC$2:$AC$62,0))</f>
        <v/>
      </c>
      <c r="H8" s="9">
        <f>INDEX('V_Para Piyasası'!G$2:G$62,MATCH(LARGE('V_Para Piyasası'!$AC$2:$AC$62,ROW()-3),'V_Para Piyasası'!$AC$2:$AC$62,0))</f>
        <v/>
      </c>
      <c r="I8" s="9">
        <f>INDEX('V_Para Piyasası'!H$2:H$62,MATCH(LARGE('V_Para Piyasası'!$AC$2:$AC$62,ROW()-3),'V_Para Piyasası'!$AC$2:$AC$62,0))</f>
        <v/>
      </c>
      <c r="J8" s="9">
        <f>INDEX('V_Para Piyasası'!I$2:I$62,MATCH(LARGE('V_Para Piyasası'!$AC$2:$AC$62,ROW()-3),'V_Para Piyasası'!$AC$2:$AC$62,0))</f>
        <v/>
      </c>
      <c r="K8" s="10">
        <f>INDEX('V_Para Piyasası'!J$2:J$62,MATCH(LARGE('V_Para Piyasası'!$AC$2:$AC$62,ROW()-3),'V_Para Piyasası'!$AC$2:$AC$62,0))</f>
        <v/>
      </c>
      <c r="L8" s="10">
        <f>INDEX('V_Para Piyasası'!K$2:K$62,MATCH(LARGE('V_Para Piyasası'!$AC$2:$AC$62,ROW()-3),'V_Para Piyasası'!$AC$2:$AC$62,0))</f>
        <v/>
      </c>
      <c r="M8" s="8">
        <f>INDEX('V_Para Piyasası'!L$2:L$62,MATCH(LARGE('V_Para Piyasası'!$AC$2:$AC$62,ROW()-3),'V_Para Piyasası'!$AC$2:$AC$62,0))</f>
        <v/>
      </c>
      <c r="N8" s="11">
        <f>INDEX('V_Para Piyasası'!M$2:M$62,MATCH(LARGE('V_Para Piyasası'!$AC$2:$AC$62,ROW()-3),'V_Para Piyasası'!$AC$2:$AC$62,0))</f>
        <v/>
      </c>
      <c r="O8" s="11">
        <f>INDEX('V_Para Piyasası'!N$2:N$62,MATCH(LARGE('V_Para Piyasası'!$AC$2:$AC$62,ROW()-3),'V_Para Piyasası'!$AC$2:$AC$62,0))</f>
        <v/>
      </c>
      <c r="P8" s="8">
        <f>INDEX('V_Para Piyasası'!O$2:O$62,MATCH(LARGE('V_Para Piyasası'!$AC$2:$AC$62,ROW()-3),'V_Para Piyasası'!$AC$2:$AC$62,0))</f>
        <v/>
      </c>
      <c r="Q8" s="9">
        <f>INDEX('V_Para Piyasası'!P$2:P$62,MATCH(LARGE('V_Para Piyasası'!$AC$2:$AC$62,ROW()-3),'V_Para Piyasası'!$AC$2:$AC$62,0))</f>
        <v/>
      </c>
      <c r="R8" s="5">
        <f>INDEX('V_Para Piyasası'!Q$2:Q$62,MATCH(LARGE('V_Para Piyasası'!$AC$2:$AC$62,ROW()-3),'V_Para Piyasası'!$AC$2:$AC$62,0))</f>
        <v/>
      </c>
      <c r="S8" s="8">
        <f>INDEX('V_Para Piyasası'!R$2:R$62,MATCH(LARGE('V_Para Piyasası'!$AC$2:$AC$62,ROW()-3),'V_Para Piyasası'!$AC$2:$AC$62,0))</f>
        <v/>
      </c>
      <c r="T8" s="8">
        <f>INDEX('V_Para Piyasası'!S$2:S$62,MATCH(LARGE('V_Para Piyasası'!$AC$2:$AC$62,ROW()-3),'V_Para Piyasası'!$AC$2:$AC$62,0))</f>
        <v/>
      </c>
      <c r="U8" s="8">
        <f>INDEX('V_Para Piyasası'!T$2:T$62,MATCH(LARGE('V_Para Piyasası'!$AC$2:$AC$62,ROW()-3),'V_Para Piyasası'!$AC$2:$AC$62,0))</f>
        <v/>
      </c>
      <c r="V8" s="8">
        <f>INDEX('V_Para Piyasası'!U$2:U$62,MATCH(LARGE('V_Para Piyasası'!$AC$2:$AC$62,ROW()-3),'V_Para Piyasası'!$AC$2:$AC$62,0))</f>
        <v/>
      </c>
      <c r="W8" s="8">
        <f>INDEX('V_Para Piyasası'!V$2:V$62,MATCH(LARGE('V_Para Piyasası'!$AC$2:$AC$62,ROW()-3),'V_Para Piyasası'!$AC$2:$AC$62,0))</f>
        <v/>
      </c>
      <c r="X8" s="8">
        <f>INDEX('V_Para Piyasası'!W$2:W$62,MATCH(LARGE('V_Para Piyasası'!$AC$2:$AC$62,ROW()-3),'V_Para Piyasası'!$AC$2:$AC$62,0))</f>
        <v/>
      </c>
      <c r="Y8" s="8">
        <f>INDEX('V_Para Piyasası'!X$2:X$62,MATCH(LARGE('V_Para Piyasası'!$AC$2:$AC$62,ROW()-3),'V_Para Piyasası'!$AC$2:$AC$62,0))</f>
        <v/>
      </c>
      <c r="Z8" s="8">
        <f>INDEX('V_Para Piyasası'!Y$2:Y$62,MATCH(LARGE('V_Para Piyasası'!$AC$2:$AC$62,ROW()-3),'V_Para Piyasası'!$AC$2:$AC$62,0))</f>
        <v/>
      </c>
      <c r="AA8" s="8">
        <f>INDEX('V_Para Piyasası'!Z$2:Z$62,MATCH(LARGE('V_Para Piyasası'!$AC$2:$AC$62,ROW()-3),'V_Para Piyasası'!$AC$2:$AC$62,0))</f>
        <v/>
      </c>
      <c r="AB8" s="8">
        <f>INDEX('V_Para Piyasası'!AA$2:AA$62,MATCH(LARGE('V_Para Piyasası'!$AC$2:$AC$62,ROW()-3),'V_Para Piyasası'!$AC$2:$AC$62,0))</f>
        <v/>
      </c>
    </row>
    <row r="9">
      <c r="A9" t="n">
        <v>6</v>
      </c>
      <c r="B9" s="5">
        <f>INDEX('V_Para Piyasası'!A$2:A$62,MATCH(LARGE('V_Para Piyasası'!$AC$2:$AC$62,ROW()-3),'V_Para Piyasası'!$AC$2:$AC$62,0))</f>
        <v/>
      </c>
      <c r="C9" s="5">
        <f>INDEX('V_Para Piyasası'!B$2:B$62,MATCH(LARGE('V_Para Piyasası'!$AC$2:$AC$62,ROW()-3),'V_Para Piyasası'!$AC$2:$AC$62,0))</f>
        <v/>
      </c>
      <c r="D9" s="5">
        <f>INDEX('V_Para Piyasası'!C$2:C$62,MATCH(LARGE('V_Para Piyasası'!$AC$2:$AC$62,ROW()-3),'V_Para Piyasası'!$AC$2:$AC$62,0))</f>
        <v/>
      </c>
      <c r="E9" s="8">
        <f>INDEX('V_Para Piyasası'!D$2:D$62,MATCH(LARGE('V_Para Piyasası'!$AC$2:$AC$62,ROW()-3),'V_Para Piyasası'!$AC$2:$AC$62,0))</f>
        <v/>
      </c>
      <c r="F9" s="9">
        <f>INDEX('V_Para Piyasası'!E$2:E$62,MATCH(LARGE('V_Para Piyasası'!$AC$2:$AC$62,ROW()-3),'V_Para Piyasası'!$AC$2:$AC$62,0))</f>
        <v/>
      </c>
      <c r="G9" s="9">
        <f>INDEX('V_Para Piyasası'!F$2:F$62,MATCH(LARGE('V_Para Piyasası'!$AC$2:$AC$62,ROW()-3),'V_Para Piyasası'!$AC$2:$AC$62,0))</f>
        <v/>
      </c>
      <c r="H9" s="9">
        <f>INDEX('V_Para Piyasası'!G$2:G$62,MATCH(LARGE('V_Para Piyasası'!$AC$2:$AC$62,ROW()-3),'V_Para Piyasası'!$AC$2:$AC$62,0))</f>
        <v/>
      </c>
      <c r="I9" s="9">
        <f>INDEX('V_Para Piyasası'!H$2:H$62,MATCH(LARGE('V_Para Piyasası'!$AC$2:$AC$62,ROW()-3),'V_Para Piyasası'!$AC$2:$AC$62,0))</f>
        <v/>
      </c>
      <c r="J9" s="9">
        <f>INDEX('V_Para Piyasası'!I$2:I$62,MATCH(LARGE('V_Para Piyasası'!$AC$2:$AC$62,ROW()-3),'V_Para Piyasası'!$AC$2:$AC$62,0))</f>
        <v/>
      </c>
      <c r="K9" s="10">
        <f>INDEX('V_Para Piyasası'!J$2:J$62,MATCH(LARGE('V_Para Piyasası'!$AC$2:$AC$62,ROW()-3),'V_Para Piyasası'!$AC$2:$AC$62,0))</f>
        <v/>
      </c>
      <c r="L9" s="10">
        <f>INDEX('V_Para Piyasası'!K$2:K$62,MATCH(LARGE('V_Para Piyasası'!$AC$2:$AC$62,ROW()-3),'V_Para Piyasası'!$AC$2:$AC$62,0))</f>
        <v/>
      </c>
      <c r="M9" s="8">
        <f>INDEX('V_Para Piyasası'!L$2:L$62,MATCH(LARGE('V_Para Piyasası'!$AC$2:$AC$62,ROW()-3),'V_Para Piyasası'!$AC$2:$AC$62,0))</f>
        <v/>
      </c>
      <c r="N9" s="11">
        <f>INDEX('V_Para Piyasası'!M$2:M$62,MATCH(LARGE('V_Para Piyasası'!$AC$2:$AC$62,ROW()-3),'V_Para Piyasası'!$AC$2:$AC$62,0))</f>
        <v/>
      </c>
      <c r="O9" s="11">
        <f>INDEX('V_Para Piyasası'!N$2:N$62,MATCH(LARGE('V_Para Piyasası'!$AC$2:$AC$62,ROW()-3),'V_Para Piyasası'!$AC$2:$AC$62,0))</f>
        <v/>
      </c>
      <c r="P9" s="8">
        <f>INDEX('V_Para Piyasası'!O$2:O$62,MATCH(LARGE('V_Para Piyasası'!$AC$2:$AC$62,ROW()-3),'V_Para Piyasası'!$AC$2:$AC$62,0))</f>
        <v/>
      </c>
      <c r="Q9" s="9">
        <f>INDEX('V_Para Piyasası'!P$2:P$62,MATCH(LARGE('V_Para Piyasası'!$AC$2:$AC$62,ROW()-3),'V_Para Piyasası'!$AC$2:$AC$62,0))</f>
        <v/>
      </c>
      <c r="R9" s="5">
        <f>INDEX('V_Para Piyasası'!Q$2:Q$62,MATCH(LARGE('V_Para Piyasası'!$AC$2:$AC$62,ROW()-3),'V_Para Piyasası'!$AC$2:$AC$62,0))</f>
        <v/>
      </c>
      <c r="S9" s="8">
        <f>INDEX('V_Para Piyasası'!R$2:R$62,MATCH(LARGE('V_Para Piyasası'!$AC$2:$AC$62,ROW()-3),'V_Para Piyasası'!$AC$2:$AC$62,0))</f>
        <v/>
      </c>
      <c r="T9" s="8">
        <f>INDEX('V_Para Piyasası'!S$2:S$62,MATCH(LARGE('V_Para Piyasası'!$AC$2:$AC$62,ROW()-3),'V_Para Piyasası'!$AC$2:$AC$62,0))</f>
        <v/>
      </c>
      <c r="U9" s="8">
        <f>INDEX('V_Para Piyasası'!T$2:T$62,MATCH(LARGE('V_Para Piyasası'!$AC$2:$AC$62,ROW()-3),'V_Para Piyasası'!$AC$2:$AC$62,0))</f>
        <v/>
      </c>
      <c r="V9" s="8">
        <f>INDEX('V_Para Piyasası'!U$2:U$62,MATCH(LARGE('V_Para Piyasası'!$AC$2:$AC$62,ROW()-3),'V_Para Piyasası'!$AC$2:$AC$62,0))</f>
        <v/>
      </c>
      <c r="W9" s="8">
        <f>INDEX('V_Para Piyasası'!V$2:V$62,MATCH(LARGE('V_Para Piyasası'!$AC$2:$AC$62,ROW()-3),'V_Para Piyasası'!$AC$2:$AC$62,0))</f>
        <v/>
      </c>
      <c r="X9" s="8">
        <f>INDEX('V_Para Piyasası'!W$2:W$62,MATCH(LARGE('V_Para Piyasası'!$AC$2:$AC$62,ROW()-3),'V_Para Piyasası'!$AC$2:$AC$62,0))</f>
        <v/>
      </c>
      <c r="Y9" s="8">
        <f>INDEX('V_Para Piyasası'!X$2:X$62,MATCH(LARGE('V_Para Piyasası'!$AC$2:$AC$62,ROW()-3),'V_Para Piyasası'!$AC$2:$AC$62,0))</f>
        <v/>
      </c>
      <c r="Z9" s="8">
        <f>INDEX('V_Para Piyasası'!Y$2:Y$62,MATCH(LARGE('V_Para Piyasası'!$AC$2:$AC$62,ROW()-3),'V_Para Piyasası'!$AC$2:$AC$62,0))</f>
        <v/>
      </c>
      <c r="AA9" s="8">
        <f>INDEX('V_Para Piyasası'!Z$2:Z$62,MATCH(LARGE('V_Para Piyasası'!$AC$2:$AC$62,ROW()-3),'V_Para Piyasası'!$AC$2:$AC$62,0))</f>
        <v/>
      </c>
      <c r="AB9" s="8">
        <f>INDEX('V_Para Piyasası'!AA$2:AA$62,MATCH(LARGE('V_Para Piyasası'!$AC$2:$AC$62,ROW()-3),'V_Para Piyasası'!$AC$2:$AC$62,0))</f>
        <v/>
      </c>
    </row>
    <row r="10">
      <c r="A10" t="n">
        <v>7</v>
      </c>
      <c r="B10" s="5">
        <f>INDEX('V_Para Piyasası'!A$2:A$62,MATCH(LARGE('V_Para Piyasası'!$AC$2:$AC$62,ROW()-3),'V_Para Piyasası'!$AC$2:$AC$62,0))</f>
        <v/>
      </c>
      <c r="C10" s="5">
        <f>INDEX('V_Para Piyasası'!B$2:B$62,MATCH(LARGE('V_Para Piyasası'!$AC$2:$AC$62,ROW()-3),'V_Para Piyasası'!$AC$2:$AC$62,0))</f>
        <v/>
      </c>
      <c r="D10" s="5">
        <f>INDEX('V_Para Piyasası'!C$2:C$62,MATCH(LARGE('V_Para Piyasası'!$AC$2:$AC$62,ROW()-3),'V_Para Piyasası'!$AC$2:$AC$62,0))</f>
        <v/>
      </c>
      <c r="E10" s="8">
        <f>INDEX('V_Para Piyasası'!D$2:D$62,MATCH(LARGE('V_Para Piyasası'!$AC$2:$AC$62,ROW()-3),'V_Para Piyasası'!$AC$2:$AC$62,0))</f>
        <v/>
      </c>
      <c r="F10" s="9">
        <f>INDEX('V_Para Piyasası'!E$2:E$62,MATCH(LARGE('V_Para Piyasası'!$AC$2:$AC$62,ROW()-3),'V_Para Piyasası'!$AC$2:$AC$62,0))</f>
        <v/>
      </c>
      <c r="G10" s="9">
        <f>INDEX('V_Para Piyasası'!F$2:F$62,MATCH(LARGE('V_Para Piyasası'!$AC$2:$AC$62,ROW()-3),'V_Para Piyasası'!$AC$2:$AC$62,0))</f>
        <v/>
      </c>
      <c r="H10" s="9">
        <f>INDEX('V_Para Piyasası'!G$2:G$62,MATCH(LARGE('V_Para Piyasası'!$AC$2:$AC$62,ROW()-3),'V_Para Piyasası'!$AC$2:$AC$62,0))</f>
        <v/>
      </c>
      <c r="I10" s="9">
        <f>INDEX('V_Para Piyasası'!H$2:H$62,MATCH(LARGE('V_Para Piyasası'!$AC$2:$AC$62,ROW()-3),'V_Para Piyasası'!$AC$2:$AC$62,0))</f>
        <v/>
      </c>
      <c r="J10" s="9">
        <f>INDEX('V_Para Piyasası'!I$2:I$62,MATCH(LARGE('V_Para Piyasası'!$AC$2:$AC$62,ROW()-3),'V_Para Piyasası'!$AC$2:$AC$62,0))</f>
        <v/>
      </c>
      <c r="K10" s="10">
        <f>INDEX('V_Para Piyasası'!J$2:J$62,MATCH(LARGE('V_Para Piyasası'!$AC$2:$AC$62,ROW()-3),'V_Para Piyasası'!$AC$2:$AC$62,0))</f>
        <v/>
      </c>
      <c r="L10" s="10">
        <f>INDEX('V_Para Piyasası'!K$2:K$62,MATCH(LARGE('V_Para Piyasası'!$AC$2:$AC$62,ROW()-3),'V_Para Piyasası'!$AC$2:$AC$62,0))</f>
        <v/>
      </c>
      <c r="M10" s="8">
        <f>INDEX('V_Para Piyasası'!L$2:L$62,MATCH(LARGE('V_Para Piyasası'!$AC$2:$AC$62,ROW()-3),'V_Para Piyasası'!$AC$2:$AC$62,0))</f>
        <v/>
      </c>
      <c r="N10" s="11">
        <f>INDEX('V_Para Piyasası'!M$2:M$62,MATCH(LARGE('V_Para Piyasası'!$AC$2:$AC$62,ROW()-3),'V_Para Piyasası'!$AC$2:$AC$62,0))</f>
        <v/>
      </c>
      <c r="O10" s="11">
        <f>INDEX('V_Para Piyasası'!N$2:N$62,MATCH(LARGE('V_Para Piyasası'!$AC$2:$AC$62,ROW()-3),'V_Para Piyasası'!$AC$2:$AC$62,0))</f>
        <v/>
      </c>
      <c r="P10" s="8">
        <f>INDEX('V_Para Piyasası'!O$2:O$62,MATCH(LARGE('V_Para Piyasası'!$AC$2:$AC$62,ROW()-3),'V_Para Piyasası'!$AC$2:$AC$62,0))</f>
        <v/>
      </c>
      <c r="Q10" s="9">
        <f>INDEX('V_Para Piyasası'!P$2:P$62,MATCH(LARGE('V_Para Piyasası'!$AC$2:$AC$62,ROW()-3),'V_Para Piyasası'!$AC$2:$AC$62,0))</f>
        <v/>
      </c>
      <c r="R10" s="5">
        <f>INDEX('V_Para Piyasası'!Q$2:Q$62,MATCH(LARGE('V_Para Piyasası'!$AC$2:$AC$62,ROW()-3),'V_Para Piyasası'!$AC$2:$AC$62,0))</f>
        <v/>
      </c>
      <c r="S10" s="8">
        <f>INDEX('V_Para Piyasası'!R$2:R$62,MATCH(LARGE('V_Para Piyasası'!$AC$2:$AC$62,ROW()-3),'V_Para Piyasası'!$AC$2:$AC$62,0))</f>
        <v/>
      </c>
      <c r="T10" s="8">
        <f>INDEX('V_Para Piyasası'!S$2:S$62,MATCH(LARGE('V_Para Piyasası'!$AC$2:$AC$62,ROW()-3),'V_Para Piyasası'!$AC$2:$AC$62,0))</f>
        <v/>
      </c>
      <c r="U10" s="8">
        <f>INDEX('V_Para Piyasası'!T$2:T$62,MATCH(LARGE('V_Para Piyasası'!$AC$2:$AC$62,ROW()-3),'V_Para Piyasası'!$AC$2:$AC$62,0))</f>
        <v/>
      </c>
      <c r="V10" s="8">
        <f>INDEX('V_Para Piyasası'!U$2:U$62,MATCH(LARGE('V_Para Piyasası'!$AC$2:$AC$62,ROW()-3),'V_Para Piyasası'!$AC$2:$AC$62,0))</f>
        <v/>
      </c>
      <c r="W10" s="8">
        <f>INDEX('V_Para Piyasası'!V$2:V$62,MATCH(LARGE('V_Para Piyasası'!$AC$2:$AC$62,ROW()-3),'V_Para Piyasası'!$AC$2:$AC$62,0))</f>
        <v/>
      </c>
      <c r="X10" s="8">
        <f>INDEX('V_Para Piyasası'!W$2:W$62,MATCH(LARGE('V_Para Piyasası'!$AC$2:$AC$62,ROW()-3),'V_Para Piyasası'!$AC$2:$AC$62,0))</f>
        <v/>
      </c>
      <c r="Y10" s="8">
        <f>INDEX('V_Para Piyasası'!X$2:X$62,MATCH(LARGE('V_Para Piyasası'!$AC$2:$AC$62,ROW()-3),'V_Para Piyasası'!$AC$2:$AC$62,0))</f>
        <v/>
      </c>
      <c r="Z10" s="8">
        <f>INDEX('V_Para Piyasası'!Y$2:Y$62,MATCH(LARGE('V_Para Piyasası'!$AC$2:$AC$62,ROW()-3),'V_Para Piyasası'!$AC$2:$AC$62,0))</f>
        <v/>
      </c>
      <c r="AA10" s="8">
        <f>INDEX('V_Para Piyasası'!Z$2:Z$62,MATCH(LARGE('V_Para Piyasası'!$AC$2:$AC$62,ROW()-3),'V_Para Piyasası'!$AC$2:$AC$62,0))</f>
        <v/>
      </c>
      <c r="AB10" s="8">
        <f>INDEX('V_Para Piyasası'!AA$2:AA$62,MATCH(LARGE('V_Para Piyasası'!$AC$2:$AC$62,ROW()-3),'V_Para Piyasası'!$AC$2:$AC$62,0))</f>
        <v/>
      </c>
    </row>
    <row r="11">
      <c r="A11" t="n">
        <v>8</v>
      </c>
      <c r="B11" s="5">
        <f>INDEX('V_Para Piyasası'!A$2:A$62,MATCH(LARGE('V_Para Piyasası'!$AC$2:$AC$62,ROW()-3),'V_Para Piyasası'!$AC$2:$AC$62,0))</f>
        <v/>
      </c>
      <c r="C11" s="5">
        <f>INDEX('V_Para Piyasası'!B$2:B$62,MATCH(LARGE('V_Para Piyasası'!$AC$2:$AC$62,ROW()-3),'V_Para Piyasası'!$AC$2:$AC$62,0))</f>
        <v/>
      </c>
      <c r="D11" s="5">
        <f>INDEX('V_Para Piyasası'!C$2:C$62,MATCH(LARGE('V_Para Piyasası'!$AC$2:$AC$62,ROW()-3),'V_Para Piyasası'!$AC$2:$AC$62,0))</f>
        <v/>
      </c>
      <c r="E11" s="8">
        <f>INDEX('V_Para Piyasası'!D$2:D$62,MATCH(LARGE('V_Para Piyasası'!$AC$2:$AC$62,ROW()-3),'V_Para Piyasası'!$AC$2:$AC$62,0))</f>
        <v/>
      </c>
      <c r="F11" s="9">
        <f>INDEX('V_Para Piyasası'!E$2:E$62,MATCH(LARGE('V_Para Piyasası'!$AC$2:$AC$62,ROW()-3),'V_Para Piyasası'!$AC$2:$AC$62,0))</f>
        <v/>
      </c>
      <c r="G11" s="9">
        <f>INDEX('V_Para Piyasası'!F$2:F$62,MATCH(LARGE('V_Para Piyasası'!$AC$2:$AC$62,ROW()-3),'V_Para Piyasası'!$AC$2:$AC$62,0))</f>
        <v/>
      </c>
      <c r="H11" s="9">
        <f>INDEX('V_Para Piyasası'!G$2:G$62,MATCH(LARGE('V_Para Piyasası'!$AC$2:$AC$62,ROW()-3),'V_Para Piyasası'!$AC$2:$AC$62,0))</f>
        <v/>
      </c>
      <c r="I11" s="9">
        <f>INDEX('V_Para Piyasası'!H$2:H$62,MATCH(LARGE('V_Para Piyasası'!$AC$2:$AC$62,ROW()-3),'V_Para Piyasası'!$AC$2:$AC$62,0))</f>
        <v/>
      </c>
      <c r="J11" s="9">
        <f>INDEX('V_Para Piyasası'!I$2:I$62,MATCH(LARGE('V_Para Piyasası'!$AC$2:$AC$62,ROW()-3),'V_Para Piyasası'!$AC$2:$AC$62,0))</f>
        <v/>
      </c>
      <c r="K11" s="10">
        <f>INDEX('V_Para Piyasası'!J$2:J$62,MATCH(LARGE('V_Para Piyasası'!$AC$2:$AC$62,ROW()-3),'V_Para Piyasası'!$AC$2:$AC$62,0))</f>
        <v/>
      </c>
      <c r="L11" s="10">
        <f>INDEX('V_Para Piyasası'!K$2:K$62,MATCH(LARGE('V_Para Piyasası'!$AC$2:$AC$62,ROW()-3),'V_Para Piyasası'!$AC$2:$AC$62,0))</f>
        <v/>
      </c>
      <c r="M11" s="8">
        <f>INDEX('V_Para Piyasası'!L$2:L$62,MATCH(LARGE('V_Para Piyasası'!$AC$2:$AC$62,ROW()-3),'V_Para Piyasası'!$AC$2:$AC$62,0))</f>
        <v/>
      </c>
      <c r="N11" s="11">
        <f>INDEX('V_Para Piyasası'!M$2:M$62,MATCH(LARGE('V_Para Piyasası'!$AC$2:$AC$62,ROW()-3),'V_Para Piyasası'!$AC$2:$AC$62,0))</f>
        <v/>
      </c>
      <c r="O11" s="11">
        <f>INDEX('V_Para Piyasası'!N$2:N$62,MATCH(LARGE('V_Para Piyasası'!$AC$2:$AC$62,ROW()-3),'V_Para Piyasası'!$AC$2:$AC$62,0))</f>
        <v/>
      </c>
      <c r="P11" s="8">
        <f>INDEX('V_Para Piyasası'!O$2:O$62,MATCH(LARGE('V_Para Piyasası'!$AC$2:$AC$62,ROW()-3),'V_Para Piyasası'!$AC$2:$AC$62,0))</f>
        <v/>
      </c>
      <c r="Q11" s="9">
        <f>INDEX('V_Para Piyasası'!P$2:P$62,MATCH(LARGE('V_Para Piyasası'!$AC$2:$AC$62,ROW()-3),'V_Para Piyasası'!$AC$2:$AC$62,0))</f>
        <v/>
      </c>
      <c r="R11" s="5">
        <f>INDEX('V_Para Piyasası'!Q$2:Q$62,MATCH(LARGE('V_Para Piyasası'!$AC$2:$AC$62,ROW()-3),'V_Para Piyasası'!$AC$2:$AC$62,0))</f>
        <v/>
      </c>
      <c r="S11" s="8">
        <f>INDEX('V_Para Piyasası'!R$2:R$62,MATCH(LARGE('V_Para Piyasası'!$AC$2:$AC$62,ROW()-3),'V_Para Piyasası'!$AC$2:$AC$62,0))</f>
        <v/>
      </c>
      <c r="T11" s="8">
        <f>INDEX('V_Para Piyasası'!S$2:S$62,MATCH(LARGE('V_Para Piyasası'!$AC$2:$AC$62,ROW()-3),'V_Para Piyasası'!$AC$2:$AC$62,0))</f>
        <v/>
      </c>
      <c r="U11" s="8">
        <f>INDEX('V_Para Piyasası'!T$2:T$62,MATCH(LARGE('V_Para Piyasası'!$AC$2:$AC$62,ROW()-3),'V_Para Piyasası'!$AC$2:$AC$62,0))</f>
        <v/>
      </c>
      <c r="V11" s="8">
        <f>INDEX('V_Para Piyasası'!U$2:U$62,MATCH(LARGE('V_Para Piyasası'!$AC$2:$AC$62,ROW()-3),'V_Para Piyasası'!$AC$2:$AC$62,0))</f>
        <v/>
      </c>
      <c r="W11" s="8">
        <f>INDEX('V_Para Piyasası'!V$2:V$62,MATCH(LARGE('V_Para Piyasası'!$AC$2:$AC$62,ROW()-3),'V_Para Piyasası'!$AC$2:$AC$62,0))</f>
        <v/>
      </c>
      <c r="X11" s="8">
        <f>INDEX('V_Para Piyasası'!W$2:W$62,MATCH(LARGE('V_Para Piyasası'!$AC$2:$AC$62,ROW()-3),'V_Para Piyasası'!$AC$2:$AC$62,0))</f>
        <v/>
      </c>
      <c r="Y11" s="8">
        <f>INDEX('V_Para Piyasası'!X$2:X$62,MATCH(LARGE('V_Para Piyasası'!$AC$2:$AC$62,ROW()-3),'V_Para Piyasası'!$AC$2:$AC$62,0))</f>
        <v/>
      </c>
      <c r="Z11" s="8">
        <f>INDEX('V_Para Piyasası'!Y$2:Y$62,MATCH(LARGE('V_Para Piyasası'!$AC$2:$AC$62,ROW()-3),'V_Para Piyasası'!$AC$2:$AC$62,0))</f>
        <v/>
      </c>
      <c r="AA11" s="8">
        <f>INDEX('V_Para Piyasası'!Z$2:Z$62,MATCH(LARGE('V_Para Piyasası'!$AC$2:$AC$62,ROW()-3),'V_Para Piyasası'!$AC$2:$AC$62,0))</f>
        <v/>
      </c>
      <c r="AB11" s="8">
        <f>INDEX('V_Para Piyasası'!AA$2:AA$62,MATCH(LARGE('V_Para Piyasası'!$AC$2:$AC$62,ROW()-3),'V_Para Piyasası'!$AC$2:$AC$62,0))</f>
        <v/>
      </c>
    </row>
    <row r="12">
      <c r="A12" t="n">
        <v>9</v>
      </c>
      <c r="B12" s="5">
        <f>INDEX('V_Para Piyasası'!A$2:A$62,MATCH(LARGE('V_Para Piyasası'!$AC$2:$AC$62,ROW()-3),'V_Para Piyasası'!$AC$2:$AC$62,0))</f>
        <v/>
      </c>
      <c r="C12" s="5">
        <f>INDEX('V_Para Piyasası'!B$2:B$62,MATCH(LARGE('V_Para Piyasası'!$AC$2:$AC$62,ROW()-3),'V_Para Piyasası'!$AC$2:$AC$62,0))</f>
        <v/>
      </c>
      <c r="D12" s="5">
        <f>INDEX('V_Para Piyasası'!C$2:C$62,MATCH(LARGE('V_Para Piyasası'!$AC$2:$AC$62,ROW()-3),'V_Para Piyasası'!$AC$2:$AC$62,0))</f>
        <v/>
      </c>
      <c r="E12" s="8">
        <f>INDEX('V_Para Piyasası'!D$2:D$62,MATCH(LARGE('V_Para Piyasası'!$AC$2:$AC$62,ROW()-3),'V_Para Piyasası'!$AC$2:$AC$62,0))</f>
        <v/>
      </c>
      <c r="F12" s="9">
        <f>INDEX('V_Para Piyasası'!E$2:E$62,MATCH(LARGE('V_Para Piyasası'!$AC$2:$AC$62,ROW()-3),'V_Para Piyasası'!$AC$2:$AC$62,0))</f>
        <v/>
      </c>
      <c r="G12" s="9">
        <f>INDEX('V_Para Piyasası'!F$2:F$62,MATCH(LARGE('V_Para Piyasası'!$AC$2:$AC$62,ROW()-3),'V_Para Piyasası'!$AC$2:$AC$62,0))</f>
        <v/>
      </c>
      <c r="H12" s="9">
        <f>INDEX('V_Para Piyasası'!G$2:G$62,MATCH(LARGE('V_Para Piyasası'!$AC$2:$AC$62,ROW()-3),'V_Para Piyasası'!$AC$2:$AC$62,0))</f>
        <v/>
      </c>
      <c r="I12" s="9">
        <f>INDEX('V_Para Piyasası'!H$2:H$62,MATCH(LARGE('V_Para Piyasası'!$AC$2:$AC$62,ROW()-3),'V_Para Piyasası'!$AC$2:$AC$62,0))</f>
        <v/>
      </c>
      <c r="J12" s="9">
        <f>INDEX('V_Para Piyasası'!I$2:I$62,MATCH(LARGE('V_Para Piyasası'!$AC$2:$AC$62,ROW()-3),'V_Para Piyasası'!$AC$2:$AC$62,0))</f>
        <v/>
      </c>
      <c r="K12" s="10">
        <f>INDEX('V_Para Piyasası'!J$2:J$62,MATCH(LARGE('V_Para Piyasası'!$AC$2:$AC$62,ROW()-3),'V_Para Piyasası'!$AC$2:$AC$62,0))</f>
        <v/>
      </c>
      <c r="L12" s="10">
        <f>INDEX('V_Para Piyasası'!K$2:K$62,MATCH(LARGE('V_Para Piyasası'!$AC$2:$AC$62,ROW()-3),'V_Para Piyasası'!$AC$2:$AC$62,0))</f>
        <v/>
      </c>
      <c r="M12" s="8">
        <f>INDEX('V_Para Piyasası'!L$2:L$62,MATCH(LARGE('V_Para Piyasası'!$AC$2:$AC$62,ROW()-3),'V_Para Piyasası'!$AC$2:$AC$62,0))</f>
        <v/>
      </c>
      <c r="N12" s="11">
        <f>INDEX('V_Para Piyasası'!M$2:M$62,MATCH(LARGE('V_Para Piyasası'!$AC$2:$AC$62,ROW()-3),'V_Para Piyasası'!$AC$2:$AC$62,0))</f>
        <v/>
      </c>
      <c r="O12" s="11">
        <f>INDEX('V_Para Piyasası'!N$2:N$62,MATCH(LARGE('V_Para Piyasası'!$AC$2:$AC$62,ROW()-3),'V_Para Piyasası'!$AC$2:$AC$62,0))</f>
        <v/>
      </c>
      <c r="P12" s="8">
        <f>INDEX('V_Para Piyasası'!O$2:O$62,MATCH(LARGE('V_Para Piyasası'!$AC$2:$AC$62,ROW()-3),'V_Para Piyasası'!$AC$2:$AC$62,0))</f>
        <v/>
      </c>
      <c r="Q12" s="9">
        <f>INDEX('V_Para Piyasası'!P$2:P$62,MATCH(LARGE('V_Para Piyasası'!$AC$2:$AC$62,ROW()-3),'V_Para Piyasası'!$AC$2:$AC$62,0))</f>
        <v/>
      </c>
      <c r="R12" s="5">
        <f>INDEX('V_Para Piyasası'!Q$2:Q$62,MATCH(LARGE('V_Para Piyasası'!$AC$2:$AC$62,ROW()-3),'V_Para Piyasası'!$AC$2:$AC$62,0))</f>
        <v/>
      </c>
      <c r="S12" s="8">
        <f>INDEX('V_Para Piyasası'!R$2:R$62,MATCH(LARGE('V_Para Piyasası'!$AC$2:$AC$62,ROW()-3),'V_Para Piyasası'!$AC$2:$AC$62,0))</f>
        <v/>
      </c>
      <c r="T12" s="8">
        <f>INDEX('V_Para Piyasası'!S$2:S$62,MATCH(LARGE('V_Para Piyasası'!$AC$2:$AC$62,ROW()-3),'V_Para Piyasası'!$AC$2:$AC$62,0))</f>
        <v/>
      </c>
      <c r="U12" s="8">
        <f>INDEX('V_Para Piyasası'!T$2:T$62,MATCH(LARGE('V_Para Piyasası'!$AC$2:$AC$62,ROW()-3),'V_Para Piyasası'!$AC$2:$AC$62,0))</f>
        <v/>
      </c>
      <c r="V12" s="8">
        <f>INDEX('V_Para Piyasası'!U$2:U$62,MATCH(LARGE('V_Para Piyasası'!$AC$2:$AC$62,ROW()-3),'V_Para Piyasası'!$AC$2:$AC$62,0))</f>
        <v/>
      </c>
      <c r="W12" s="8">
        <f>INDEX('V_Para Piyasası'!V$2:V$62,MATCH(LARGE('V_Para Piyasası'!$AC$2:$AC$62,ROW()-3),'V_Para Piyasası'!$AC$2:$AC$62,0))</f>
        <v/>
      </c>
      <c r="X12" s="8">
        <f>INDEX('V_Para Piyasası'!W$2:W$62,MATCH(LARGE('V_Para Piyasası'!$AC$2:$AC$62,ROW()-3),'V_Para Piyasası'!$AC$2:$AC$62,0))</f>
        <v/>
      </c>
      <c r="Y12" s="8">
        <f>INDEX('V_Para Piyasası'!X$2:X$62,MATCH(LARGE('V_Para Piyasası'!$AC$2:$AC$62,ROW()-3),'V_Para Piyasası'!$AC$2:$AC$62,0))</f>
        <v/>
      </c>
      <c r="Z12" s="8">
        <f>INDEX('V_Para Piyasası'!Y$2:Y$62,MATCH(LARGE('V_Para Piyasası'!$AC$2:$AC$62,ROW()-3),'V_Para Piyasası'!$AC$2:$AC$62,0))</f>
        <v/>
      </c>
      <c r="AA12" s="8">
        <f>INDEX('V_Para Piyasası'!Z$2:Z$62,MATCH(LARGE('V_Para Piyasası'!$AC$2:$AC$62,ROW()-3),'V_Para Piyasası'!$AC$2:$AC$62,0))</f>
        <v/>
      </c>
      <c r="AB12" s="8">
        <f>INDEX('V_Para Piyasası'!AA$2:AA$62,MATCH(LARGE('V_Para Piyasası'!$AC$2:$AC$62,ROW()-3),'V_Para Piyasası'!$AC$2:$AC$62,0))</f>
        <v/>
      </c>
    </row>
    <row r="13">
      <c r="A13" t="n">
        <v>10</v>
      </c>
      <c r="B13" s="5">
        <f>INDEX('V_Para Piyasası'!A$2:A$62,MATCH(LARGE('V_Para Piyasası'!$AC$2:$AC$62,ROW()-3),'V_Para Piyasası'!$AC$2:$AC$62,0))</f>
        <v/>
      </c>
      <c r="C13" s="5">
        <f>INDEX('V_Para Piyasası'!B$2:B$62,MATCH(LARGE('V_Para Piyasası'!$AC$2:$AC$62,ROW()-3),'V_Para Piyasası'!$AC$2:$AC$62,0))</f>
        <v/>
      </c>
      <c r="D13" s="5">
        <f>INDEX('V_Para Piyasası'!C$2:C$62,MATCH(LARGE('V_Para Piyasası'!$AC$2:$AC$62,ROW()-3),'V_Para Piyasası'!$AC$2:$AC$62,0))</f>
        <v/>
      </c>
      <c r="E13" s="8">
        <f>INDEX('V_Para Piyasası'!D$2:D$62,MATCH(LARGE('V_Para Piyasası'!$AC$2:$AC$62,ROW()-3),'V_Para Piyasası'!$AC$2:$AC$62,0))</f>
        <v/>
      </c>
      <c r="F13" s="9">
        <f>INDEX('V_Para Piyasası'!E$2:E$62,MATCH(LARGE('V_Para Piyasası'!$AC$2:$AC$62,ROW()-3),'V_Para Piyasası'!$AC$2:$AC$62,0))</f>
        <v/>
      </c>
      <c r="G13" s="9">
        <f>INDEX('V_Para Piyasası'!F$2:F$62,MATCH(LARGE('V_Para Piyasası'!$AC$2:$AC$62,ROW()-3),'V_Para Piyasası'!$AC$2:$AC$62,0))</f>
        <v/>
      </c>
      <c r="H13" s="9">
        <f>INDEX('V_Para Piyasası'!G$2:G$62,MATCH(LARGE('V_Para Piyasası'!$AC$2:$AC$62,ROW()-3),'V_Para Piyasası'!$AC$2:$AC$62,0))</f>
        <v/>
      </c>
      <c r="I13" s="9">
        <f>INDEX('V_Para Piyasası'!H$2:H$62,MATCH(LARGE('V_Para Piyasası'!$AC$2:$AC$62,ROW()-3),'V_Para Piyasası'!$AC$2:$AC$62,0))</f>
        <v/>
      </c>
      <c r="J13" s="9">
        <f>INDEX('V_Para Piyasası'!I$2:I$62,MATCH(LARGE('V_Para Piyasası'!$AC$2:$AC$62,ROW()-3),'V_Para Piyasası'!$AC$2:$AC$62,0))</f>
        <v/>
      </c>
      <c r="K13" s="10">
        <f>INDEX('V_Para Piyasası'!J$2:J$62,MATCH(LARGE('V_Para Piyasası'!$AC$2:$AC$62,ROW()-3),'V_Para Piyasası'!$AC$2:$AC$62,0))</f>
        <v/>
      </c>
      <c r="L13" s="10">
        <f>INDEX('V_Para Piyasası'!K$2:K$62,MATCH(LARGE('V_Para Piyasası'!$AC$2:$AC$62,ROW()-3),'V_Para Piyasası'!$AC$2:$AC$62,0))</f>
        <v/>
      </c>
      <c r="M13" s="8">
        <f>INDEX('V_Para Piyasası'!L$2:L$62,MATCH(LARGE('V_Para Piyasası'!$AC$2:$AC$62,ROW()-3),'V_Para Piyasası'!$AC$2:$AC$62,0))</f>
        <v/>
      </c>
      <c r="N13" s="11">
        <f>INDEX('V_Para Piyasası'!M$2:M$62,MATCH(LARGE('V_Para Piyasası'!$AC$2:$AC$62,ROW()-3),'V_Para Piyasası'!$AC$2:$AC$62,0))</f>
        <v/>
      </c>
      <c r="O13" s="11">
        <f>INDEX('V_Para Piyasası'!N$2:N$62,MATCH(LARGE('V_Para Piyasası'!$AC$2:$AC$62,ROW()-3),'V_Para Piyasası'!$AC$2:$AC$62,0))</f>
        <v/>
      </c>
      <c r="P13" s="8">
        <f>INDEX('V_Para Piyasası'!O$2:O$62,MATCH(LARGE('V_Para Piyasası'!$AC$2:$AC$62,ROW()-3),'V_Para Piyasası'!$AC$2:$AC$62,0))</f>
        <v/>
      </c>
      <c r="Q13" s="9">
        <f>INDEX('V_Para Piyasası'!P$2:P$62,MATCH(LARGE('V_Para Piyasası'!$AC$2:$AC$62,ROW()-3),'V_Para Piyasası'!$AC$2:$AC$62,0))</f>
        <v/>
      </c>
      <c r="R13" s="5">
        <f>INDEX('V_Para Piyasası'!Q$2:Q$62,MATCH(LARGE('V_Para Piyasası'!$AC$2:$AC$62,ROW()-3),'V_Para Piyasası'!$AC$2:$AC$62,0))</f>
        <v/>
      </c>
      <c r="S13" s="8">
        <f>INDEX('V_Para Piyasası'!R$2:R$62,MATCH(LARGE('V_Para Piyasası'!$AC$2:$AC$62,ROW()-3),'V_Para Piyasası'!$AC$2:$AC$62,0))</f>
        <v/>
      </c>
      <c r="T13" s="8">
        <f>INDEX('V_Para Piyasası'!S$2:S$62,MATCH(LARGE('V_Para Piyasası'!$AC$2:$AC$62,ROW()-3),'V_Para Piyasası'!$AC$2:$AC$62,0))</f>
        <v/>
      </c>
      <c r="U13" s="8">
        <f>INDEX('V_Para Piyasası'!T$2:T$62,MATCH(LARGE('V_Para Piyasası'!$AC$2:$AC$62,ROW()-3),'V_Para Piyasası'!$AC$2:$AC$62,0))</f>
        <v/>
      </c>
      <c r="V13" s="8">
        <f>INDEX('V_Para Piyasası'!U$2:U$62,MATCH(LARGE('V_Para Piyasası'!$AC$2:$AC$62,ROW()-3),'V_Para Piyasası'!$AC$2:$AC$62,0))</f>
        <v/>
      </c>
      <c r="W13" s="8">
        <f>INDEX('V_Para Piyasası'!V$2:V$62,MATCH(LARGE('V_Para Piyasası'!$AC$2:$AC$62,ROW()-3),'V_Para Piyasası'!$AC$2:$AC$62,0))</f>
        <v/>
      </c>
      <c r="X13" s="8">
        <f>INDEX('V_Para Piyasası'!W$2:W$62,MATCH(LARGE('V_Para Piyasası'!$AC$2:$AC$62,ROW()-3),'V_Para Piyasası'!$AC$2:$AC$62,0))</f>
        <v/>
      </c>
      <c r="Y13" s="8">
        <f>INDEX('V_Para Piyasası'!X$2:X$62,MATCH(LARGE('V_Para Piyasası'!$AC$2:$AC$62,ROW()-3),'V_Para Piyasası'!$AC$2:$AC$62,0))</f>
        <v/>
      </c>
      <c r="Z13" s="8">
        <f>INDEX('V_Para Piyasası'!Y$2:Y$62,MATCH(LARGE('V_Para Piyasası'!$AC$2:$AC$62,ROW()-3),'V_Para Piyasası'!$AC$2:$AC$62,0))</f>
        <v/>
      </c>
      <c r="AA13" s="8">
        <f>INDEX('V_Para Piyasası'!Z$2:Z$62,MATCH(LARGE('V_Para Piyasası'!$AC$2:$AC$62,ROW()-3),'V_Para Piyasası'!$AC$2:$AC$62,0))</f>
        <v/>
      </c>
      <c r="AB13" s="8">
        <f>INDEX('V_Para Piyasası'!AA$2:AA$62,MATCH(LARGE('V_Para Piyasası'!$AC$2:$AC$62,ROW()-3),'V_Para Piyasası'!$AC$2:$AC$62,0))</f>
        <v/>
      </c>
    </row>
    <row r="14">
      <c r="A14" t="n">
        <v>11</v>
      </c>
      <c r="B14" s="5">
        <f>INDEX('V_Para Piyasası'!A$2:A$62,MATCH(LARGE('V_Para Piyasası'!$AC$2:$AC$62,ROW()-3),'V_Para Piyasası'!$AC$2:$AC$62,0))</f>
        <v/>
      </c>
      <c r="C14" s="5">
        <f>INDEX('V_Para Piyasası'!B$2:B$62,MATCH(LARGE('V_Para Piyasası'!$AC$2:$AC$62,ROW()-3),'V_Para Piyasası'!$AC$2:$AC$62,0))</f>
        <v/>
      </c>
      <c r="D14" s="5">
        <f>INDEX('V_Para Piyasası'!C$2:C$62,MATCH(LARGE('V_Para Piyasası'!$AC$2:$AC$62,ROW()-3),'V_Para Piyasası'!$AC$2:$AC$62,0))</f>
        <v/>
      </c>
      <c r="E14" s="8">
        <f>INDEX('V_Para Piyasası'!D$2:D$62,MATCH(LARGE('V_Para Piyasası'!$AC$2:$AC$62,ROW()-3),'V_Para Piyasası'!$AC$2:$AC$62,0))</f>
        <v/>
      </c>
      <c r="F14" s="9">
        <f>INDEX('V_Para Piyasası'!E$2:E$62,MATCH(LARGE('V_Para Piyasası'!$AC$2:$AC$62,ROW()-3),'V_Para Piyasası'!$AC$2:$AC$62,0))</f>
        <v/>
      </c>
      <c r="G14" s="9">
        <f>INDEX('V_Para Piyasası'!F$2:F$62,MATCH(LARGE('V_Para Piyasası'!$AC$2:$AC$62,ROW()-3),'V_Para Piyasası'!$AC$2:$AC$62,0))</f>
        <v/>
      </c>
      <c r="H14" s="9">
        <f>INDEX('V_Para Piyasası'!G$2:G$62,MATCH(LARGE('V_Para Piyasası'!$AC$2:$AC$62,ROW()-3),'V_Para Piyasası'!$AC$2:$AC$62,0))</f>
        <v/>
      </c>
      <c r="I14" s="9">
        <f>INDEX('V_Para Piyasası'!H$2:H$62,MATCH(LARGE('V_Para Piyasası'!$AC$2:$AC$62,ROW()-3),'V_Para Piyasası'!$AC$2:$AC$62,0))</f>
        <v/>
      </c>
      <c r="J14" s="9">
        <f>INDEX('V_Para Piyasası'!I$2:I$62,MATCH(LARGE('V_Para Piyasası'!$AC$2:$AC$62,ROW()-3),'V_Para Piyasası'!$AC$2:$AC$62,0))</f>
        <v/>
      </c>
      <c r="K14" s="10">
        <f>INDEX('V_Para Piyasası'!J$2:J$62,MATCH(LARGE('V_Para Piyasası'!$AC$2:$AC$62,ROW()-3),'V_Para Piyasası'!$AC$2:$AC$62,0))</f>
        <v/>
      </c>
      <c r="L14" s="10">
        <f>INDEX('V_Para Piyasası'!K$2:K$62,MATCH(LARGE('V_Para Piyasası'!$AC$2:$AC$62,ROW()-3),'V_Para Piyasası'!$AC$2:$AC$62,0))</f>
        <v/>
      </c>
      <c r="M14" s="8">
        <f>INDEX('V_Para Piyasası'!L$2:L$62,MATCH(LARGE('V_Para Piyasası'!$AC$2:$AC$62,ROW()-3),'V_Para Piyasası'!$AC$2:$AC$62,0))</f>
        <v/>
      </c>
      <c r="N14" s="11">
        <f>INDEX('V_Para Piyasası'!M$2:M$62,MATCH(LARGE('V_Para Piyasası'!$AC$2:$AC$62,ROW()-3),'V_Para Piyasası'!$AC$2:$AC$62,0))</f>
        <v/>
      </c>
      <c r="O14" s="11">
        <f>INDEX('V_Para Piyasası'!N$2:N$62,MATCH(LARGE('V_Para Piyasası'!$AC$2:$AC$62,ROW()-3),'V_Para Piyasası'!$AC$2:$AC$62,0))</f>
        <v/>
      </c>
      <c r="P14" s="8">
        <f>INDEX('V_Para Piyasası'!O$2:O$62,MATCH(LARGE('V_Para Piyasası'!$AC$2:$AC$62,ROW()-3),'V_Para Piyasası'!$AC$2:$AC$62,0))</f>
        <v/>
      </c>
      <c r="Q14" s="9">
        <f>INDEX('V_Para Piyasası'!P$2:P$62,MATCH(LARGE('V_Para Piyasası'!$AC$2:$AC$62,ROW()-3),'V_Para Piyasası'!$AC$2:$AC$62,0))</f>
        <v/>
      </c>
      <c r="R14" s="5">
        <f>INDEX('V_Para Piyasası'!Q$2:Q$62,MATCH(LARGE('V_Para Piyasası'!$AC$2:$AC$62,ROW()-3),'V_Para Piyasası'!$AC$2:$AC$62,0))</f>
        <v/>
      </c>
      <c r="S14" s="8">
        <f>INDEX('V_Para Piyasası'!R$2:R$62,MATCH(LARGE('V_Para Piyasası'!$AC$2:$AC$62,ROW()-3),'V_Para Piyasası'!$AC$2:$AC$62,0))</f>
        <v/>
      </c>
      <c r="T14" s="8">
        <f>INDEX('V_Para Piyasası'!S$2:S$62,MATCH(LARGE('V_Para Piyasası'!$AC$2:$AC$62,ROW()-3),'V_Para Piyasası'!$AC$2:$AC$62,0))</f>
        <v/>
      </c>
      <c r="U14" s="8">
        <f>INDEX('V_Para Piyasası'!T$2:T$62,MATCH(LARGE('V_Para Piyasası'!$AC$2:$AC$62,ROW()-3),'V_Para Piyasası'!$AC$2:$AC$62,0))</f>
        <v/>
      </c>
      <c r="V14" s="8">
        <f>INDEX('V_Para Piyasası'!U$2:U$62,MATCH(LARGE('V_Para Piyasası'!$AC$2:$AC$62,ROW()-3),'V_Para Piyasası'!$AC$2:$AC$62,0))</f>
        <v/>
      </c>
      <c r="W14" s="8">
        <f>INDEX('V_Para Piyasası'!V$2:V$62,MATCH(LARGE('V_Para Piyasası'!$AC$2:$AC$62,ROW()-3),'V_Para Piyasası'!$AC$2:$AC$62,0))</f>
        <v/>
      </c>
      <c r="X14" s="8">
        <f>INDEX('V_Para Piyasası'!W$2:W$62,MATCH(LARGE('V_Para Piyasası'!$AC$2:$AC$62,ROW()-3),'V_Para Piyasası'!$AC$2:$AC$62,0))</f>
        <v/>
      </c>
      <c r="Y14" s="8">
        <f>INDEX('V_Para Piyasası'!X$2:X$62,MATCH(LARGE('V_Para Piyasası'!$AC$2:$AC$62,ROW()-3),'V_Para Piyasası'!$AC$2:$AC$62,0))</f>
        <v/>
      </c>
      <c r="Z14" s="8">
        <f>INDEX('V_Para Piyasası'!Y$2:Y$62,MATCH(LARGE('V_Para Piyasası'!$AC$2:$AC$62,ROW()-3),'V_Para Piyasası'!$AC$2:$AC$62,0))</f>
        <v/>
      </c>
      <c r="AA14" s="8">
        <f>INDEX('V_Para Piyasası'!Z$2:Z$62,MATCH(LARGE('V_Para Piyasası'!$AC$2:$AC$62,ROW()-3),'V_Para Piyasası'!$AC$2:$AC$62,0))</f>
        <v/>
      </c>
      <c r="AB14" s="8">
        <f>INDEX('V_Para Piyasası'!AA$2:AA$62,MATCH(LARGE('V_Para Piyasası'!$AC$2:$AC$62,ROW()-3),'V_Para Piyasası'!$AC$2:$AC$62,0))</f>
        <v/>
      </c>
    </row>
    <row r="15">
      <c r="A15" t="n">
        <v>12</v>
      </c>
      <c r="B15" s="5">
        <f>INDEX('V_Para Piyasası'!A$2:A$62,MATCH(LARGE('V_Para Piyasası'!$AC$2:$AC$62,ROW()-3),'V_Para Piyasası'!$AC$2:$AC$62,0))</f>
        <v/>
      </c>
      <c r="C15" s="5">
        <f>INDEX('V_Para Piyasası'!B$2:B$62,MATCH(LARGE('V_Para Piyasası'!$AC$2:$AC$62,ROW()-3),'V_Para Piyasası'!$AC$2:$AC$62,0))</f>
        <v/>
      </c>
      <c r="D15" s="5">
        <f>INDEX('V_Para Piyasası'!C$2:C$62,MATCH(LARGE('V_Para Piyasası'!$AC$2:$AC$62,ROW()-3),'V_Para Piyasası'!$AC$2:$AC$62,0))</f>
        <v/>
      </c>
      <c r="E15" s="8">
        <f>INDEX('V_Para Piyasası'!D$2:D$62,MATCH(LARGE('V_Para Piyasası'!$AC$2:$AC$62,ROW()-3),'V_Para Piyasası'!$AC$2:$AC$62,0))</f>
        <v/>
      </c>
      <c r="F15" s="9">
        <f>INDEX('V_Para Piyasası'!E$2:E$62,MATCH(LARGE('V_Para Piyasası'!$AC$2:$AC$62,ROW()-3),'V_Para Piyasası'!$AC$2:$AC$62,0))</f>
        <v/>
      </c>
      <c r="G15" s="9">
        <f>INDEX('V_Para Piyasası'!F$2:F$62,MATCH(LARGE('V_Para Piyasası'!$AC$2:$AC$62,ROW()-3),'V_Para Piyasası'!$AC$2:$AC$62,0))</f>
        <v/>
      </c>
      <c r="H15" s="9">
        <f>INDEX('V_Para Piyasası'!G$2:G$62,MATCH(LARGE('V_Para Piyasası'!$AC$2:$AC$62,ROW()-3),'V_Para Piyasası'!$AC$2:$AC$62,0))</f>
        <v/>
      </c>
      <c r="I15" s="9">
        <f>INDEX('V_Para Piyasası'!H$2:H$62,MATCH(LARGE('V_Para Piyasası'!$AC$2:$AC$62,ROW()-3),'V_Para Piyasası'!$AC$2:$AC$62,0))</f>
        <v/>
      </c>
      <c r="J15" s="9">
        <f>INDEX('V_Para Piyasası'!I$2:I$62,MATCH(LARGE('V_Para Piyasası'!$AC$2:$AC$62,ROW()-3),'V_Para Piyasası'!$AC$2:$AC$62,0))</f>
        <v/>
      </c>
      <c r="K15" s="10">
        <f>INDEX('V_Para Piyasası'!J$2:J$62,MATCH(LARGE('V_Para Piyasası'!$AC$2:$AC$62,ROW()-3),'V_Para Piyasası'!$AC$2:$AC$62,0))</f>
        <v/>
      </c>
      <c r="L15" s="10">
        <f>INDEX('V_Para Piyasası'!K$2:K$62,MATCH(LARGE('V_Para Piyasası'!$AC$2:$AC$62,ROW()-3),'V_Para Piyasası'!$AC$2:$AC$62,0))</f>
        <v/>
      </c>
      <c r="M15" s="8">
        <f>INDEX('V_Para Piyasası'!L$2:L$62,MATCH(LARGE('V_Para Piyasası'!$AC$2:$AC$62,ROW()-3),'V_Para Piyasası'!$AC$2:$AC$62,0))</f>
        <v/>
      </c>
      <c r="N15" s="11">
        <f>INDEX('V_Para Piyasası'!M$2:M$62,MATCH(LARGE('V_Para Piyasası'!$AC$2:$AC$62,ROW()-3),'V_Para Piyasası'!$AC$2:$AC$62,0))</f>
        <v/>
      </c>
      <c r="O15" s="11">
        <f>INDEX('V_Para Piyasası'!N$2:N$62,MATCH(LARGE('V_Para Piyasası'!$AC$2:$AC$62,ROW()-3),'V_Para Piyasası'!$AC$2:$AC$62,0))</f>
        <v/>
      </c>
      <c r="P15" s="8">
        <f>INDEX('V_Para Piyasası'!O$2:O$62,MATCH(LARGE('V_Para Piyasası'!$AC$2:$AC$62,ROW()-3),'V_Para Piyasası'!$AC$2:$AC$62,0))</f>
        <v/>
      </c>
      <c r="Q15" s="9">
        <f>INDEX('V_Para Piyasası'!P$2:P$62,MATCH(LARGE('V_Para Piyasası'!$AC$2:$AC$62,ROW()-3),'V_Para Piyasası'!$AC$2:$AC$62,0))</f>
        <v/>
      </c>
      <c r="R15" s="5">
        <f>INDEX('V_Para Piyasası'!Q$2:Q$62,MATCH(LARGE('V_Para Piyasası'!$AC$2:$AC$62,ROW()-3),'V_Para Piyasası'!$AC$2:$AC$62,0))</f>
        <v/>
      </c>
      <c r="S15" s="8">
        <f>INDEX('V_Para Piyasası'!R$2:R$62,MATCH(LARGE('V_Para Piyasası'!$AC$2:$AC$62,ROW()-3),'V_Para Piyasası'!$AC$2:$AC$62,0))</f>
        <v/>
      </c>
      <c r="T15" s="8">
        <f>INDEX('V_Para Piyasası'!S$2:S$62,MATCH(LARGE('V_Para Piyasası'!$AC$2:$AC$62,ROW()-3),'V_Para Piyasası'!$AC$2:$AC$62,0))</f>
        <v/>
      </c>
      <c r="U15" s="8">
        <f>INDEX('V_Para Piyasası'!T$2:T$62,MATCH(LARGE('V_Para Piyasası'!$AC$2:$AC$62,ROW()-3),'V_Para Piyasası'!$AC$2:$AC$62,0))</f>
        <v/>
      </c>
      <c r="V15" s="8">
        <f>INDEX('V_Para Piyasası'!U$2:U$62,MATCH(LARGE('V_Para Piyasası'!$AC$2:$AC$62,ROW()-3),'V_Para Piyasası'!$AC$2:$AC$62,0))</f>
        <v/>
      </c>
      <c r="W15" s="8">
        <f>INDEX('V_Para Piyasası'!V$2:V$62,MATCH(LARGE('V_Para Piyasası'!$AC$2:$AC$62,ROW()-3),'V_Para Piyasası'!$AC$2:$AC$62,0))</f>
        <v/>
      </c>
      <c r="X15" s="8">
        <f>INDEX('V_Para Piyasası'!W$2:W$62,MATCH(LARGE('V_Para Piyasası'!$AC$2:$AC$62,ROW()-3),'V_Para Piyasası'!$AC$2:$AC$62,0))</f>
        <v/>
      </c>
      <c r="Y15" s="8">
        <f>INDEX('V_Para Piyasası'!X$2:X$62,MATCH(LARGE('V_Para Piyasası'!$AC$2:$AC$62,ROW()-3),'V_Para Piyasası'!$AC$2:$AC$62,0))</f>
        <v/>
      </c>
      <c r="Z15" s="8">
        <f>INDEX('V_Para Piyasası'!Y$2:Y$62,MATCH(LARGE('V_Para Piyasası'!$AC$2:$AC$62,ROW()-3),'V_Para Piyasası'!$AC$2:$AC$62,0))</f>
        <v/>
      </c>
      <c r="AA15" s="8">
        <f>INDEX('V_Para Piyasası'!Z$2:Z$62,MATCH(LARGE('V_Para Piyasası'!$AC$2:$AC$62,ROW()-3),'V_Para Piyasası'!$AC$2:$AC$62,0))</f>
        <v/>
      </c>
      <c r="AB15" s="8">
        <f>INDEX('V_Para Piyasası'!AA$2:AA$62,MATCH(LARGE('V_Para Piyasası'!$AC$2:$AC$62,ROW()-3),'V_Para Piyasası'!$AC$2:$AC$62,0))</f>
        <v/>
      </c>
    </row>
    <row r="16">
      <c r="A16" t="n">
        <v>13</v>
      </c>
      <c r="B16" s="5">
        <f>INDEX('V_Para Piyasası'!A$2:A$62,MATCH(LARGE('V_Para Piyasası'!$AC$2:$AC$62,ROW()-3),'V_Para Piyasası'!$AC$2:$AC$62,0))</f>
        <v/>
      </c>
      <c r="C16" s="5">
        <f>INDEX('V_Para Piyasası'!B$2:B$62,MATCH(LARGE('V_Para Piyasası'!$AC$2:$AC$62,ROW()-3),'V_Para Piyasası'!$AC$2:$AC$62,0))</f>
        <v/>
      </c>
      <c r="D16" s="5">
        <f>INDEX('V_Para Piyasası'!C$2:C$62,MATCH(LARGE('V_Para Piyasası'!$AC$2:$AC$62,ROW()-3),'V_Para Piyasası'!$AC$2:$AC$62,0))</f>
        <v/>
      </c>
      <c r="E16" s="8">
        <f>INDEX('V_Para Piyasası'!D$2:D$62,MATCH(LARGE('V_Para Piyasası'!$AC$2:$AC$62,ROW()-3),'V_Para Piyasası'!$AC$2:$AC$62,0))</f>
        <v/>
      </c>
      <c r="F16" s="9">
        <f>INDEX('V_Para Piyasası'!E$2:E$62,MATCH(LARGE('V_Para Piyasası'!$AC$2:$AC$62,ROW()-3),'V_Para Piyasası'!$AC$2:$AC$62,0))</f>
        <v/>
      </c>
      <c r="G16" s="9">
        <f>INDEX('V_Para Piyasası'!F$2:F$62,MATCH(LARGE('V_Para Piyasası'!$AC$2:$AC$62,ROW()-3),'V_Para Piyasası'!$AC$2:$AC$62,0))</f>
        <v/>
      </c>
      <c r="H16" s="9">
        <f>INDEX('V_Para Piyasası'!G$2:G$62,MATCH(LARGE('V_Para Piyasası'!$AC$2:$AC$62,ROW()-3),'V_Para Piyasası'!$AC$2:$AC$62,0))</f>
        <v/>
      </c>
      <c r="I16" s="9">
        <f>INDEX('V_Para Piyasası'!H$2:H$62,MATCH(LARGE('V_Para Piyasası'!$AC$2:$AC$62,ROW()-3),'V_Para Piyasası'!$AC$2:$AC$62,0))</f>
        <v/>
      </c>
      <c r="J16" s="9">
        <f>INDEX('V_Para Piyasası'!I$2:I$62,MATCH(LARGE('V_Para Piyasası'!$AC$2:$AC$62,ROW()-3),'V_Para Piyasası'!$AC$2:$AC$62,0))</f>
        <v/>
      </c>
      <c r="K16" s="10">
        <f>INDEX('V_Para Piyasası'!J$2:J$62,MATCH(LARGE('V_Para Piyasası'!$AC$2:$AC$62,ROW()-3),'V_Para Piyasası'!$AC$2:$AC$62,0))</f>
        <v/>
      </c>
      <c r="L16" s="10">
        <f>INDEX('V_Para Piyasası'!K$2:K$62,MATCH(LARGE('V_Para Piyasası'!$AC$2:$AC$62,ROW()-3),'V_Para Piyasası'!$AC$2:$AC$62,0))</f>
        <v/>
      </c>
      <c r="M16" s="8">
        <f>INDEX('V_Para Piyasası'!L$2:L$62,MATCH(LARGE('V_Para Piyasası'!$AC$2:$AC$62,ROW()-3),'V_Para Piyasası'!$AC$2:$AC$62,0))</f>
        <v/>
      </c>
      <c r="N16" s="11">
        <f>INDEX('V_Para Piyasası'!M$2:M$62,MATCH(LARGE('V_Para Piyasası'!$AC$2:$AC$62,ROW()-3),'V_Para Piyasası'!$AC$2:$AC$62,0))</f>
        <v/>
      </c>
      <c r="O16" s="11">
        <f>INDEX('V_Para Piyasası'!N$2:N$62,MATCH(LARGE('V_Para Piyasası'!$AC$2:$AC$62,ROW()-3),'V_Para Piyasası'!$AC$2:$AC$62,0))</f>
        <v/>
      </c>
      <c r="P16" s="8">
        <f>INDEX('V_Para Piyasası'!O$2:O$62,MATCH(LARGE('V_Para Piyasası'!$AC$2:$AC$62,ROW()-3),'V_Para Piyasası'!$AC$2:$AC$62,0))</f>
        <v/>
      </c>
      <c r="Q16" s="9">
        <f>INDEX('V_Para Piyasası'!P$2:P$62,MATCH(LARGE('V_Para Piyasası'!$AC$2:$AC$62,ROW()-3),'V_Para Piyasası'!$AC$2:$AC$62,0))</f>
        <v/>
      </c>
      <c r="R16" s="5">
        <f>INDEX('V_Para Piyasası'!Q$2:Q$62,MATCH(LARGE('V_Para Piyasası'!$AC$2:$AC$62,ROW()-3),'V_Para Piyasası'!$AC$2:$AC$62,0))</f>
        <v/>
      </c>
      <c r="S16" s="8">
        <f>INDEX('V_Para Piyasası'!R$2:R$62,MATCH(LARGE('V_Para Piyasası'!$AC$2:$AC$62,ROW()-3),'V_Para Piyasası'!$AC$2:$AC$62,0))</f>
        <v/>
      </c>
      <c r="T16" s="8">
        <f>INDEX('V_Para Piyasası'!S$2:S$62,MATCH(LARGE('V_Para Piyasası'!$AC$2:$AC$62,ROW()-3),'V_Para Piyasası'!$AC$2:$AC$62,0))</f>
        <v/>
      </c>
      <c r="U16" s="8">
        <f>INDEX('V_Para Piyasası'!T$2:T$62,MATCH(LARGE('V_Para Piyasası'!$AC$2:$AC$62,ROW()-3),'V_Para Piyasası'!$AC$2:$AC$62,0))</f>
        <v/>
      </c>
      <c r="V16" s="8">
        <f>INDEX('V_Para Piyasası'!U$2:U$62,MATCH(LARGE('V_Para Piyasası'!$AC$2:$AC$62,ROW()-3),'V_Para Piyasası'!$AC$2:$AC$62,0))</f>
        <v/>
      </c>
      <c r="W16" s="8">
        <f>INDEX('V_Para Piyasası'!V$2:V$62,MATCH(LARGE('V_Para Piyasası'!$AC$2:$AC$62,ROW()-3),'V_Para Piyasası'!$AC$2:$AC$62,0))</f>
        <v/>
      </c>
      <c r="X16" s="8">
        <f>INDEX('V_Para Piyasası'!W$2:W$62,MATCH(LARGE('V_Para Piyasası'!$AC$2:$AC$62,ROW()-3),'V_Para Piyasası'!$AC$2:$AC$62,0))</f>
        <v/>
      </c>
      <c r="Y16" s="8">
        <f>INDEX('V_Para Piyasası'!X$2:X$62,MATCH(LARGE('V_Para Piyasası'!$AC$2:$AC$62,ROW()-3),'V_Para Piyasası'!$AC$2:$AC$62,0))</f>
        <v/>
      </c>
      <c r="Z16" s="8">
        <f>INDEX('V_Para Piyasası'!Y$2:Y$62,MATCH(LARGE('V_Para Piyasası'!$AC$2:$AC$62,ROW()-3),'V_Para Piyasası'!$AC$2:$AC$62,0))</f>
        <v/>
      </c>
      <c r="AA16" s="8">
        <f>INDEX('V_Para Piyasası'!Z$2:Z$62,MATCH(LARGE('V_Para Piyasası'!$AC$2:$AC$62,ROW()-3),'V_Para Piyasası'!$AC$2:$AC$62,0))</f>
        <v/>
      </c>
      <c r="AB16" s="8">
        <f>INDEX('V_Para Piyasası'!AA$2:AA$62,MATCH(LARGE('V_Para Piyasası'!$AC$2:$AC$62,ROW()-3),'V_Para Piyasası'!$AC$2:$AC$62,0))</f>
        <v/>
      </c>
    </row>
    <row r="17">
      <c r="A17" t="n">
        <v>14</v>
      </c>
      <c r="B17" s="5">
        <f>INDEX('V_Para Piyasası'!A$2:A$62,MATCH(LARGE('V_Para Piyasası'!$AC$2:$AC$62,ROW()-3),'V_Para Piyasası'!$AC$2:$AC$62,0))</f>
        <v/>
      </c>
      <c r="C17" s="5">
        <f>INDEX('V_Para Piyasası'!B$2:B$62,MATCH(LARGE('V_Para Piyasası'!$AC$2:$AC$62,ROW()-3),'V_Para Piyasası'!$AC$2:$AC$62,0))</f>
        <v/>
      </c>
      <c r="D17" s="5">
        <f>INDEX('V_Para Piyasası'!C$2:C$62,MATCH(LARGE('V_Para Piyasası'!$AC$2:$AC$62,ROW()-3),'V_Para Piyasası'!$AC$2:$AC$62,0))</f>
        <v/>
      </c>
      <c r="E17" s="8">
        <f>INDEX('V_Para Piyasası'!D$2:D$62,MATCH(LARGE('V_Para Piyasası'!$AC$2:$AC$62,ROW()-3),'V_Para Piyasası'!$AC$2:$AC$62,0))</f>
        <v/>
      </c>
      <c r="F17" s="9">
        <f>INDEX('V_Para Piyasası'!E$2:E$62,MATCH(LARGE('V_Para Piyasası'!$AC$2:$AC$62,ROW()-3),'V_Para Piyasası'!$AC$2:$AC$62,0))</f>
        <v/>
      </c>
      <c r="G17" s="9">
        <f>INDEX('V_Para Piyasası'!F$2:F$62,MATCH(LARGE('V_Para Piyasası'!$AC$2:$AC$62,ROW()-3),'V_Para Piyasası'!$AC$2:$AC$62,0))</f>
        <v/>
      </c>
      <c r="H17" s="9">
        <f>INDEX('V_Para Piyasası'!G$2:G$62,MATCH(LARGE('V_Para Piyasası'!$AC$2:$AC$62,ROW()-3),'V_Para Piyasası'!$AC$2:$AC$62,0))</f>
        <v/>
      </c>
      <c r="I17" s="9">
        <f>INDEX('V_Para Piyasası'!H$2:H$62,MATCH(LARGE('V_Para Piyasası'!$AC$2:$AC$62,ROW()-3),'V_Para Piyasası'!$AC$2:$AC$62,0))</f>
        <v/>
      </c>
      <c r="J17" s="9">
        <f>INDEX('V_Para Piyasası'!I$2:I$62,MATCH(LARGE('V_Para Piyasası'!$AC$2:$AC$62,ROW()-3),'V_Para Piyasası'!$AC$2:$AC$62,0))</f>
        <v/>
      </c>
      <c r="K17" s="10">
        <f>INDEX('V_Para Piyasası'!J$2:J$62,MATCH(LARGE('V_Para Piyasası'!$AC$2:$AC$62,ROW()-3),'V_Para Piyasası'!$AC$2:$AC$62,0))</f>
        <v/>
      </c>
      <c r="L17" s="10">
        <f>INDEX('V_Para Piyasası'!K$2:K$62,MATCH(LARGE('V_Para Piyasası'!$AC$2:$AC$62,ROW()-3),'V_Para Piyasası'!$AC$2:$AC$62,0))</f>
        <v/>
      </c>
      <c r="M17" s="8">
        <f>INDEX('V_Para Piyasası'!L$2:L$62,MATCH(LARGE('V_Para Piyasası'!$AC$2:$AC$62,ROW()-3),'V_Para Piyasası'!$AC$2:$AC$62,0))</f>
        <v/>
      </c>
      <c r="N17" s="11">
        <f>INDEX('V_Para Piyasası'!M$2:M$62,MATCH(LARGE('V_Para Piyasası'!$AC$2:$AC$62,ROW()-3),'V_Para Piyasası'!$AC$2:$AC$62,0))</f>
        <v/>
      </c>
      <c r="O17" s="11">
        <f>INDEX('V_Para Piyasası'!N$2:N$62,MATCH(LARGE('V_Para Piyasası'!$AC$2:$AC$62,ROW()-3),'V_Para Piyasası'!$AC$2:$AC$62,0))</f>
        <v/>
      </c>
      <c r="P17" s="8">
        <f>INDEX('V_Para Piyasası'!O$2:O$62,MATCH(LARGE('V_Para Piyasası'!$AC$2:$AC$62,ROW()-3),'V_Para Piyasası'!$AC$2:$AC$62,0))</f>
        <v/>
      </c>
      <c r="Q17" s="9">
        <f>INDEX('V_Para Piyasası'!P$2:P$62,MATCH(LARGE('V_Para Piyasası'!$AC$2:$AC$62,ROW()-3),'V_Para Piyasası'!$AC$2:$AC$62,0))</f>
        <v/>
      </c>
      <c r="R17" s="5">
        <f>INDEX('V_Para Piyasası'!Q$2:Q$62,MATCH(LARGE('V_Para Piyasası'!$AC$2:$AC$62,ROW()-3),'V_Para Piyasası'!$AC$2:$AC$62,0))</f>
        <v/>
      </c>
      <c r="S17" s="8">
        <f>INDEX('V_Para Piyasası'!R$2:R$62,MATCH(LARGE('V_Para Piyasası'!$AC$2:$AC$62,ROW()-3),'V_Para Piyasası'!$AC$2:$AC$62,0))</f>
        <v/>
      </c>
      <c r="T17" s="8">
        <f>INDEX('V_Para Piyasası'!S$2:S$62,MATCH(LARGE('V_Para Piyasası'!$AC$2:$AC$62,ROW()-3),'V_Para Piyasası'!$AC$2:$AC$62,0))</f>
        <v/>
      </c>
      <c r="U17" s="8">
        <f>INDEX('V_Para Piyasası'!T$2:T$62,MATCH(LARGE('V_Para Piyasası'!$AC$2:$AC$62,ROW()-3),'V_Para Piyasası'!$AC$2:$AC$62,0))</f>
        <v/>
      </c>
      <c r="V17" s="8">
        <f>INDEX('V_Para Piyasası'!U$2:U$62,MATCH(LARGE('V_Para Piyasası'!$AC$2:$AC$62,ROW()-3),'V_Para Piyasası'!$AC$2:$AC$62,0))</f>
        <v/>
      </c>
      <c r="W17" s="8">
        <f>INDEX('V_Para Piyasası'!V$2:V$62,MATCH(LARGE('V_Para Piyasası'!$AC$2:$AC$62,ROW()-3),'V_Para Piyasası'!$AC$2:$AC$62,0))</f>
        <v/>
      </c>
      <c r="X17" s="8">
        <f>INDEX('V_Para Piyasası'!W$2:W$62,MATCH(LARGE('V_Para Piyasası'!$AC$2:$AC$62,ROW()-3),'V_Para Piyasası'!$AC$2:$AC$62,0))</f>
        <v/>
      </c>
      <c r="Y17" s="8">
        <f>INDEX('V_Para Piyasası'!X$2:X$62,MATCH(LARGE('V_Para Piyasası'!$AC$2:$AC$62,ROW()-3),'V_Para Piyasası'!$AC$2:$AC$62,0))</f>
        <v/>
      </c>
      <c r="Z17" s="8">
        <f>INDEX('V_Para Piyasası'!Y$2:Y$62,MATCH(LARGE('V_Para Piyasası'!$AC$2:$AC$62,ROW()-3),'V_Para Piyasası'!$AC$2:$AC$62,0))</f>
        <v/>
      </c>
      <c r="AA17" s="8">
        <f>INDEX('V_Para Piyasası'!Z$2:Z$62,MATCH(LARGE('V_Para Piyasası'!$AC$2:$AC$62,ROW()-3),'V_Para Piyasası'!$AC$2:$AC$62,0))</f>
        <v/>
      </c>
      <c r="AB17" s="8">
        <f>INDEX('V_Para Piyasası'!AA$2:AA$62,MATCH(LARGE('V_Para Piyasası'!$AC$2:$AC$62,ROW()-3),'V_Para Piyasası'!$AC$2:$AC$62,0))</f>
        <v/>
      </c>
    </row>
    <row r="18">
      <c r="A18" t="n">
        <v>15</v>
      </c>
      <c r="B18" s="5">
        <f>INDEX('V_Para Piyasası'!A$2:A$62,MATCH(LARGE('V_Para Piyasası'!$AC$2:$AC$62,ROW()-3),'V_Para Piyasası'!$AC$2:$AC$62,0))</f>
        <v/>
      </c>
      <c r="C18" s="5">
        <f>INDEX('V_Para Piyasası'!B$2:B$62,MATCH(LARGE('V_Para Piyasası'!$AC$2:$AC$62,ROW()-3),'V_Para Piyasası'!$AC$2:$AC$62,0))</f>
        <v/>
      </c>
      <c r="D18" s="5">
        <f>INDEX('V_Para Piyasası'!C$2:C$62,MATCH(LARGE('V_Para Piyasası'!$AC$2:$AC$62,ROW()-3),'V_Para Piyasası'!$AC$2:$AC$62,0))</f>
        <v/>
      </c>
      <c r="E18" s="8">
        <f>INDEX('V_Para Piyasası'!D$2:D$62,MATCH(LARGE('V_Para Piyasası'!$AC$2:$AC$62,ROW()-3),'V_Para Piyasası'!$AC$2:$AC$62,0))</f>
        <v/>
      </c>
      <c r="F18" s="9">
        <f>INDEX('V_Para Piyasası'!E$2:E$62,MATCH(LARGE('V_Para Piyasası'!$AC$2:$AC$62,ROW()-3),'V_Para Piyasası'!$AC$2:$AC$62,0))</f>
        <v/>
      </c>
      <c r="G18" s="9">
        <f>INDEX('V_Para Piyasası'!F$2:F$62,MATCH(LARGE('V_Para Piyasası'!$AC$2:$AC$62,ROW()-3),'V_Para Piyasası'!$AC$2:$AC$62,0))</f>
        <v/>
      </c>
      <c r="H18" s="9">
        <f>INDEX('V_Para Piyasası'!G$2:G$62,MATCH(LARGE('V_Para Piyasası'!$AC$2:$AC$62,ROW()-3),'V_Para Piyasası'!$AC$2:$AC$62,0))</f>
        <v/>
      </c>
      <c r="I18" s="9">
        <f>INDEX('V_Para Piyasası'!H$2:H$62,MATCH(LARGE('V_Para Piyasası'!$AC$2:$AC$62,ROW()-3),'V_Para Piyasası'!$AC$2:$AC$62,0))</f>
        <v/>
      </c>
      <c r="J18" s="9">
        <f>INDEX('V_Para Piyasası'!I$2:I$62,MATCH(LARGE('V_Para Piyasası'!$AC$2:$AC$62,ROW()-3),'V_Para Piyasası'!$AC$2:$AC$62,0))</f>
        <v/>
      </c>
      <c r="K18" s="10">
        <f>INDEX('V_Para Piyasası'!J$2:J$62,MATCH(LARGE('V_Para Piyasası'!$AC$2:$AC$62,ROW()-3),'V_Para Piyasası'!$AC$2:$AC$62,0))</f>
        <v/>
      </c>
      <c r="L18" s="10">
        <f>INDEX('V_Para Piyasası'!K$2:K$62,MATCH(LARGE('V_Para Piyasası'!$AC$2:$AC$62,ROW()-3),'V_Para Piyasası'!$AC$2:$AC$62,0))</f>
        <v/>
      </c>
      <c r="M18" s="8">
        <f>INDEX('V_Para Piyasası'!L$2:L$62,MATCH(LARGE('V_Para Piyasası'!$AC$2:$AC$62,ROW()-3),'V_Para Piyasası'!$AC$2:$AC$62,0))</f>
        <v/>
      </c>
      <c r="N18" s="11">
        <f>INDEX('V_Para Piyasası'!M$2:M$62,MATCH(LARGE('V_Para Piyasası'!$AC$2:$AC$62,ROW()-3),'V_Para Piyasası'!$AC$2:$AC$62,0))</f>
        <v/>
      </c>
      <c r="O18" s="11">
        <f>INDEX('V_Para Piyasası'!N$2:N$62,MATCH(LARGE('V_Para Piyasası'!$AC$2:$AC$62,ROW()-3),'V_Para Piyasası'!$AC$2:$AC$62,0))</f>
        <v/>
      </c>
      <c r="P18" s="8">
        <f>INDEX('V_Para Piyasası'!O$2:O$62,MATCH(LARGE('V_Para Piyasası'!$AC$2:$AC$62,ROW()-3),'V_Para Piyasası'!$AC$2:$AC$62,0))</f>
        <v/>
      </c>
      <c r="Q18" s="9">
        <f>INDEX('V_Para Piyasası'!P$2:P$62,MATCH(LARGE('V_Para Piyasası'!$AC$2:$AC$62,ROW()-3),'V_Para Piyasası'!$AC$2:$AC$62,0))</f>
        <v/>
      </c>
      <c r="R18" s="5">
        <f>INDEX('V_Para Piyasası'!Q$2:Q$62,MATCH(LARGE('V_Para Piyasası'!$AC$2:$AC$62,ROW()-3),'V_Para Piyasası'!$AC$2:$AC$62,0))</f>
        <v/>
      </c>
      <c r="S18" s="8">
        <f>INDEX('V_Para Piyasası'!R$2:R$62,MATCH(LARGE('V_Para Piyasası'!$AC$2:$AC$62,ROW()-3),'V_Para Piyasası'!$AC$2:$AC$62,0))</f>
        <v/>
      </c>
      <c r="T18" s="8">
        <f>INDEX('V_Para Piyasası'!S$2:S$62,MATCH(LARGE('V_Para Piyasası'!$AC$2:$AC$62,ROW()-3),'V_Para Piyasası'!$AC$2:$AC$62,0))</f>
        <v/>
      </c>
      <c r="U18" s="8">
        <f>INDEX('V_Para Piyasası'!T$2:T$62,MATCH(LARGE('V_Para Piyasası'!$AC$2:$AC$62,ROW()-3),'V_Para Piyasası'!$AC$2:$AC$62,0))</f>
        <v/>
      </c>
      <c r="V18" s="8">
        <f>INDEX('V_Para Piyasası'!U$2:U$62,MATCH(LARGE('V_Para Piyasası'!$AC$2:$AC$62,ROW()-3),'V_Para Piyasası'!$AC$2:$AC$62,0))</f>
        <v/>
      </c>
      <c r="W18" s="8">
        <f>INDEX('V_Para Piyasası'!V$2:V$62,MATCH(LARGE('V_Para Piyasası'!$AC$2:$AC$62,ROW()-3),'V_Para Piyasası'!$AC$2:$AC$62,0))</f>
        <v/>
      </c>
      <c r="X18" s="8">
        <f>INDEX('V_Para Piyasası'!W$2:W$62,MATCH(LARGE('V_Para Piyasası'!$AC$2:$AC$62,ROW()-3),'V_Para Piyasası'!$AC$2:$AC$62,0))</f>
        <v/>
      </c>
      <c r="Y18" s="8">
        <f>INDEX('V_Para Piyasası'!X$2:X$62,MATCH(LARGE('V_Para Piyasası'!$AC$2:$AC$62,ROW()-3),'V_Para Piyasası'!$AC$2:$AC$62,0))</f>
        <v/>
      </c>
      <c r="Z18" s="8">
        <f>INDEX('V_Para Piyasası'!Y$2:Y$62,MATCH(LARGE('V_Para Piyasası'!$AC$2:$AC$62,ROW()-3),'V_Para Piyasası'!$AC$2:$AC$62,0))</f>
        <v/>
      </c>
      <c r="AA18" s="8">
        <f>INDEX('V_Para Piyasası'!Z$2:Z$62,MATCH(LARGE('V_Para Piyasası'!$AC$2:$AC$62,ROW()-3),'V_Para Piyasası'!$AC$2:$AC$62,0))</f>
        <v/>
      </c>
      <c r="AB18" s="8">
        <f>INDEX('V_Para Piyasası'!AA$2:AA$62,MATCH(LARGE('V_Para Piyasası'!$AC$2:$AC$62,ROW()-3),'V_Para Piyasası'!$AC$2:$AC$62,0))</f>
        <v/>
      </c>
    </row>
    <row r="19">
      <c r="A19" t="n">
        <v>16</v>
      </c>
      <c r="B19" s="5">
        <f>INDEX('V_Para Piyasası'!A$2:A$62,MATCH(LARGE('V_Para Piyasası'!$AC$2:$AC$62,ROW()-3),'V_Para Piyasası'!$AC$2:$AC$62,0))</f>
        <v/>
      </c>
      <c r="C19" s="5">
        <f>INDEX('V_Para Piyasası'!B$2:B$62,MATCH(LARGE('V_Para Piyasası'!$AC$2:$AC$62,ROW()-3),'V_Para Piyasası'!$AC$2:$AC$62,0))</f>
        <v/>
      </c>
      <c r="D19" s="5">
        <f>INDEX('V_Para Piyasası'!C$2:C$62,MATCH(LARGE('V_Para Piyasası'!$AC$2:$AC$62,ROW()-3),'V_Para Piyasası'!$AC$2:$AC$62,0))</f>
        <v/>
      </c>
      <c r="E19" s="8">
        <f>INDEX('V_Para Piyasası'!D$2:D$62,MATCH(LARGE('V_Para Piyasası'!$AC$2:$AC$62,ROW()-3),'V_Para Piyasası'!$AC$2:$AC$62,0))</f>
        <v/>
      </c>
      <c r="F19" s="9">
        <f>INDEX('V_Para Piyasası'!E$2:E$62,MATCH(LARGE('V_Para Piyasası'!$AC$2:$AC$62,ROW()-3),'V_Para Piyasası'!$AC$2:$AC$62,0))</f>
        <v/>
      </c>
      <c r="G19" s="9">
        <f>INDEX('V_Para Piyasası'!F$2:F$62,MATCH(LARGE('V_Para Piyasası'!$AC$2:$AC$62,ROW()-3),'V_Para Piyasası'!$AC$2:$AC$62,0))</f>
        <v/>
      </c>
      <c r="H19" s="9">
        <f>INDEX('V_Para Piyasası'!G$2:G$62,MATCH(LARGE('V_Para Piyasası'!$AC$2:$AC$62,ROW()-3),'V_Para Piyasası'!$AC$2:$AC$62,0))</f>
        <v/>
      </c>
      <c r="I19" s="9">
        <f>INDEX('V_Para Piyasası'!H$2:H$62,MATCH(LARGE('V_Para Piyasası'!$AC$2:$AC$62,ROW()-3),'V_Para Piyasası'!$AC$2:$AC$62,0))</f>
        <v/>
      </c>
      <c r="J19" s="9">
        <f>INDEX('V_Para Piyasası'!I$2:I$62,MATCH(LARGE('V_Para Piyasası'!$AC$2:$AC$62,ROW()-3),'V_Para Piyasası'!$AC$2:$AC$62,0))</f>
        <v/>
      </c>
      <c r="K19" s="10">
        <f>INDEX('V_Para Piyasası'!J$2:J$62,MATCH(LARGE('V_Para Piyasası'!$AC$2:$AC$62,ROW()-3),'V_Para Piyasası'!$AC$2:$AC$62,0))</f>
        <v/>
      </c>
      <c r="L19" s="10">
        <f>INDEX('V_Para Piyasası'!K$2:K$62,MATCH(LARGE('V_Para Piyasası'!$AC$2:$AC$62,ROW()-3),'V_Para Piyasası'!$AC$2:$AC$62,0))</f>
        <v/>
      </c>
      <c r="M19" s="8">
        <f>INDEX('V_Para Piyasası'!L$2:L$62,MATCH(LARGE('V_Para Piyasası'!$AC$2:$AC$62,ROW()-3),'V_Para Piyasası'!$AC$2:$AC$62,0))</f>
        <v/>
      </c>
      <c r="N19" s="11">
        <f>INDEX('V_Para Piyasası'!M$2:M$62,MATCH(LARGE('V_Para Piyasası'!$AC$2:$AC$62,ROW()-3),'V_Para Piyasası'!$AC$2:$AC$62,0))</f>
        <v/>
      </c>
      <c r="O19" s="11">
        <f>INDEX('V_Para Piyasası'!N$2:N$62,MATCH(LARGE('V_Para Piyasası'!$AC$2:$AC$62,ROW()-3),'V_Para Piyasası'!$AC$2:$AC$62,0))</f>
        <v/>
      </c>
      <c r="P19" s="8">
        <f>INDEX('V_Para Piyasası'!O$2:O$62,MATCH(LARGE('V_Para Piyasası'!$AC$2:$AC$62,ROW()-3),'V_Para Piyasası'!$AC$2:$AC$62,0))</f>
        <v/>
      </c>
      <c r="Q19" s="9">
        <f>INDEX('V_Para Piyasası'!P$2:P$62,MATCH(LARGE('V_Para Piyasası'!$AC$2:$AC$62,ROW()-3),'V_Para Piyasası'!$AC$2:$AC$62,0))</f>
        <v/>
      </c>
      <c r="R19" s="5">
        <f>INDEX('V_Para Piyasası'!Q$2:Q$62,MATCH(LARGE('V_Para Piyasası'!$AC$2:$AC$62,ROW()-3),'V_Para Piyasası'!$AC$2:$AC$62,0))</f>
        <v/>
      </c>
      <c r="S19" s="8">
        <f>INDEX('V_Para Piyasası'!R$2:R$62,MATCH(LARGE('V_Para Piyasası'!$AC$2:$AC$62,ROW()-3),'V_Para Piyasası'!$AC$2:$AC$62,0))</f>
        <v/>
      </c>
      <c r="T19" s="8">
        <f>INDEX('V_Para Piyasası'!S$2:S$62,MATCH(LARGE('V_Para Piyasası'!$AC$2:$AC$62,ROW()-3),'V_Para Piyasası'!$AC$2:$AC$62,0))</f>
        <v/>
      </c>
      <c r="U19" s="8">
        <f>INDEX('V_Para Piyasası'!T$2:T$62,MATCH(LARGE('V_Para Piyasası'!$AC$2:$AC$62,ROW()-3),'V_Para Piyasası'!$AC$2:$AC$62,0))</f>
        <v/>
      </c>
      <c r="V19" s="8">
        <f>INDEX('V_Para Piyasası'!U$2:U$62,MATCH(LARGE('V_Para Piyasası'!$AC$2:$AC$62,ROW()-3),'V_Para Piyasası'!$AC$2:$AC$62,0))</f>
        <v/>
      </c>
      <c r="W19" s="8">
        <f>INDEX('V_Para Piyasası'!V$2:V$62,MATCH(LARGE('V_Para Piyasası'!$AC$2:$AC$62,ROW()-3),'V_Para Piyasası'!$AC$2:$AC$62,0))</f>
        <v/>
      </c>
      <c r="X19" s="8">
        <f>INDEX('V_Para Piyasası'!W$2:W$62,MATCH(LARGE('V_Para Piyasası'!$AC$2:$AC$62,ROW()-3),'V_Para Piyasası'!$AC$2:$AC$62,0))</f>
        <v/>
      </c>
      <c r="Y19" s="8">
        <f>INDEX('V_Para Piyasası'!X$2:X$62,MATCH(LARGE('V_Para Piyasası'!$AC$2:$AC$62,ROW()-3),'V_Para Piyasası'!$AC$2:$AC$62,0))</f>
        <v/>
      </c>
      <c r="Z19" s="8">
        <f>INDEX('V_Para Piyasası'!Y$2:Y$62,MATCH(LARGE('V_Para Piyasası'!$AC$2:$AC$62,ROW()-3),'V_Para Piyasası'!$AC$2:$AC$62,0))</f>
        <v/>
      </c>
      <c r="AA19" s="8">
        <f>INDEX('V_Para Piyasası'!Z$2:Z$62,MATCH(LARGE('V_Para Piyasası'!$AC$2:$AC$62,ROW()-3),'V_Para Piyasası'!$AC$2:$AC$62,0))</f>
        <v/>
      </c>
      <c r="AB19" s="8">
        <f>INDEX('V_Para Piyasası'!AA$2:AA$62,MATCH(LARGE('V_Para Piyasası'!$AC$2:$AC$62,ROW()-3),'V_Para Piyasası'!$AC$2:$AC$62,0))</f>
        <v/>
      </c>
    </row>
    <row r="20">
      <c r="A20" t="n">
        <v>17</v>
      </c>
      <c r="B20" s="5">
        <f>INDEX('V_Para Piyasası'!A$2:A$62,MATCH(LARGE('V_Para Piyasası'!$AC$2:$AC$62,ROW()-3),'V_Para Piyasası'!$AC$2:$AC$62,0))</f>
        <v/>
      </c>
      <c r="C20" s="5">
        <f>INDEX('V_Para Piyasası'!B$2:B$62,MATCH(LARGE('V_Para Piyasası'!$AC$2:$AC$62,ROW()-3),'V_Para Piyasası'!$AC$2:$AC$62,0))</f>
        <v/>
      </c>
      <c r="D20" s="5">
        <f>INDEX('V_Para Piyasası'!C$2:C$62,MATCH(LARGE('V_Para Piyasası'!$AC$2:$AC$62,ROW()-3),'V_Para Piyasası'!$AC$2:$AC$62,0))</f>
        <v/>
      </c>
      <c r="E20" s="8">
        <f>INDEX('V_Para Piyasası'!D$2:D$62,MATCH(LARGE('V_Para Piyasası'!$AC$2:$AC$62,ROW()-3),'V_Para Piyasası'!$AC$2:$AC$62,0))</f>
        <v/>
      </c>
      <c r="F20" s="9">
        <f>INDEX('V_Para Piyasası'!E$2:E$62,MATCH(LARGE('V_Para Piyasası'!$AC$2:$AC$62,ROW()-3),'V_Para Piyasası'!$AC$2:$AC$62,0))</f>
        <v/>
      </c>
      <c r="G20" s="9">
        <f>INDEX('V_Para Piyasası'!F$2:F$62,MATCH(LARGE('V_Para Piyasası'!$AC$2:$AC$62,ROW()-3),'V_Para Piyasası'!$AC$2:$AC$62,0))</f>
        <v/>
      </c>
      <c r="H20" s="9">
        <f>INDEX('V_Para Piyasası'!G$2:G$62,MATCH(LARGE('V_Para Piyasası'!$AC$2:$AC$62,ROW()-3),'V_Para Piyasası'!$AC$2:$AC$62,0))</f>
        <v/>
      </c>
      <c r="I20" s="9">
        <f>INDEX('V_Para Piyasası'!H$2:H$62,MATCH(LARGE('V_Para Piyasası'!$AC$2:$AC$62,ROW()-3),'V_Para Piyasası'!$AC$2:$AC$62,0))</f>
        <v/>
      </c>
      <c r="J20" s="9">
        <f>INDEX('V_Para Piyasası'!I$2:I$62,MATCH(LARGE('V_Para Piyasası'!$AC$2:$AC$62,ROW()-3),'V_Para Piyasası'!$AC$2:$AC$62,0))</f>
        <v/>
      </c>
      <c r="K20" s="10">
        <f>INDEX('V_Para Piyasası'!J$2:J$62,MATCH(LARGE('V_Para Piyasası'!$AC$2:$AC$62,ROW()-3),'V_Para Piyasası'!$AC$2:$AC$62,0))</f>
        <v/>
      </c>
      <c r="L20" s="10">
        <f>INDEX('V_Para Piyasası'!K$2:K$62,MATCH(LARGE('V_Para Piyasası'!$AC$2:$AC$62,ROW()-3),'V_Para Piyasası'!$AC$2:$AC$62,0))</f>
        <v/>
      </c>
      <c r="M20" s="8">
        <f>INDEX('V_Para Piyasası'!L$2:L$62,MATCH(LARGE('V_Para Piyasası'!$AC$2:$AC$62,ROW()-3),'V_Para Piyasası'!$AC$2:$AC$62,0))</f>
        <v/>
      </c>
      <c r="N20" s="11">
        <f>INDEX('V_Para Piyasası'!M$2:M$62,MATCH(LARGE('V_Para Piyasası'!$AC$2:$AC$62,ROW()-3),'V_Para Piyasası'!$AC$2:$AC$62,0))</f>
        <v/>
      </c>
      <c r="O20" s="11">
        <f>INDEX('V_Para Piyasası'!N$2:N$62,MATCH(LARGE('V_Para Piyasası'!$AC$2:$AC$62,ROW()-3),'V_Para Piyasası'!$AC$2:$AC$62,0))</f>
        <v/>
      </c>
      <c r="P20" s="8">
        <f>INDEX('V_Para Piyasası'!O$2:O$62,MATCH(LARGE('V_Para Piyasası'!$AC$2:$AC$62,ROW()-3),'V_Para Piyasası'!$AC$2:$AC$62,0))</f>
        <v/>
      </c>
      <c r="Q20" s="9">
        <f>INDEX('V_Para Piyasası'!P$2:P$62,MATCH(LARGE('V_Para Piyasası'!$AC$2:$AC$62,ROW()-3),'V_Para Piyasası'!$AC$2:$AC$62,0))</f>
        <v/>
      </c>
      <c r="R20" s="5">
        <f>INDEX('V_Para Piyasası'!Q$2:Q$62,MATCH(LARGE('V_Para Piyasası'!$AC$2:$AC$62,ROW()-3),'V_Para Piyasası'!$AC$2:$AC$62,0))</f>
        <v/>
      </c>
      <c r="S20" s="8">
        <f>INDEX('V_Para Piyasası'!R$2:R$62,MATCH(LARGE('V_Para Piyasası'!$AC$2:$AC$62,ROW()-3),'V_Para Piyasası'!$AC$2:$AC$62,0))</f>
        <v/>
      </c>
      <c r="T20" s="8">
        <f>INDEX('V_Para Piyasası'!S$2:S$62,MATCH(LARGE('V_Para Piyasası'!$AC$2:$AC$62,ROW()-3),'V_Para Piyasası'!$AC$2:$AC$62,0))</f>
        <v/>
      </c>
      <c r="U20" s="8">
        <f>INDEX('V_Para Piyasası'!T$2:T$62,MATCH(LARGE('V_Para Piyasası'!$AC$2:$AC$62,ROW()-3),'V_Para Piyasası'!$AC$2:$AC$62,0))</f>
        <v/>
      </c>
      <c r="V20" s="8">
        <f>INDEX('V_Para Piyasası'!U$2:U$62,MATCH(LARGE('V_Para Piyasası'!$AC$2:$AC$62,ROW()-3),'V_Para Piyasası'!$AC$2:$AC$62,0))</f>
        <v/>
      </c>
      <c r="W20" s="8">
        <f>INDEX('V_Para Piyasası'!V$2:V$62,MATCH(LARGE('V_Para Piyasası'!$AC$2:$AC$62,ROW()-3),'V_Para Piyasası'!$AC$2:$AC$62,0))</f>
        <v/>
      </c>
      <c r="X20" s="8">
        <f>INDEX('V_Para Piyasası'!W$2:W$62,MATCH(LARGE('V_Para Piyasası'!$AC$2:$AC$62,ROW()-3),'V_Para Piyasası'!$AC$2:$AC$62,0))</f>
        <v/>
      </c>
      <c r="Y20" s="8">
        <f>INDEX('V_Para Piyasası'!X$2:X$62,MATCH(LARGE('V_Para Piyasası'!$AC$2:$AC$62,ROW()-3),'V_Para Piyasası'!$AC$2:$AC$62,0))</f>
        <v/>
      </c>
      <c r="Z20" s="8">
        <f>INDEX('V_Para Piyasası'!Y$2:Y$62,MATCH(LARGE('V_Para Piyasası'!$AC$2:$AC$62,ROW()-3),'V_Para Piyasası'!$AC$2:$AC$62,0))</f>
        <v/>
      </c>
      <c r="AA20" s="8">
        <f>INDEX('V_Para Piyasası'!Z$2:Z$62,MATCH(LARGE('V_Para Piyasası'!$AC$2:$AC$62,ROW()-3),'V_Para Piyasası'!$AC$2:$AC$62,0))</f>
        <v/>
      </c>
      <c r="AB20" s="8">
        <f>INDEX('V_Para Piyasası'!AA$2:AA$62,MATCH(LARGE('V_Para Piyasası'!$AC$2:$AC$62,ROW()-3),'V_Para Piyasası'!$AC$2:$AC$62,0))</f>
        <v/>
      </c>
    </row>
    <row r="21">
      <c r="A21" t="n">
        <v>18</v>
      </c>
      <c r="B21" s="5">
        <f>INDEX('V_Para Piyasası'!A$2:A$62,MATCH(LARGE('V_Para Piyasası'!$AC$2:$AC$62,ROW()-3),'V_Para Piyasası'!$AC$2:$AC$62,0))</f>
        <v/>
      </c>
      <c r="C21" s="5">
        <f>INDEX('V_Para Piyasası'!B$2:B$62,MATCH(LARGE('V_Para Piyasası'!$AC$2:$AC$62,ROW()-3),'V_Para Piyasası'!$AC$2:$AC$62,0))</f>
        <v/>
      </c>
      <c r="D21" s="5">
        <f>INDEX('V_Para Piyasası'!C$2:C$62,MATCH(LARGE('V_Para Piyasası'!$AC$2:$AC$62,ROW()-3),'V_Para Piyasası'!$AC$2:$AC$62,0))</f>
        <v/>
      </c>
      <c r="E21" s="8">
        <f>INDEX('V_Para Piyasası'!D$2:D$62,MATCH(LARGE('V_Para Piyasası'!$AC$2:$AC$62,ROW()-3),'V_Para Piyasası'!$AC$2:$AC$62,0))</f>
        <v/>
      </c>
      <c r="F21" s="9">
        <f>INDEX('V_Para Piyasası'!E$2:E$62,MATCH(LARGE('V_Para Piyasası'!$AC$2:$AC$62,ROW()-3),'V_Para Piyasası'!$AC$2:$AC$62,0))</f>
        <v/>
      </c>
      <c r="G21" s="9">
        <f>INDEX('V_Para Piyasası'!F$2:F$62,MATCH(LARGE('V_Para Piyasası'!$AC$2:$AC$62,ROW()-3),'V_Para Piyasası'!$AC$2:$AC$62,0))</f>
        <v/>
      </c>
      <c r="H21" s="9">
        <f>INDEX('V_Para Piyasası'!G$2:G$62,MATCH(LARGE('V_Para Piyasası'!$AC$2:$AC$62,ROW()-3),'V_Para Piyasası'!$AC$2:$AC$62,0))</f>
        <v/>
      </c>
      <c r="I21" s="9">
        <f>INDEX('V_Para Piyasası'!H$2:H$62,MATCH(LARGE('V_Para Piyasası'!$AC$2:$AC$62,ROW()-3),'V_Para Piyasası'!$AC$2:$AC$62,0))</f>
        <v/>
      </c>
      <c r="J21" s="9">
        <f>INDEX('V_Para Piyasası'!I$2:I$62,MATCH(LARGE('V_Para Piyasası'!$AC$2:$AC$62,ROW()-3),'V_Para Piyasası'!$AC$2:$AC$62,0))</f>
        <v/>
      </c>
      <c r="K21" s="10">
        <f>INDEX('V_Para Piyasası'!J$2:J$62,MATCH(LARGE('V_Para Piyasası'!$AC$2:$AC$62,ROW()-3),'V_Para Piyasası'!$AC$2:$AC$62,0))</f>
        <v/>
      </c>
      <c r="L21" s="10">
        <f>INDEX('V_Para Piyasası'!K$2:K$62,MATCH(LARGE('V_Para Piyasası'!$AC$2:$AC$62,ROW()-3),'V_Para Piyasası'!$AC$2:$AC$62,0))</f>
        <v/>
      </c>
      <c r="M21" s="8">
        <f>INDEX('V_Para Piyasası'!L$2:L$62,MATCH(LARGE('V_Para Piyasası'!$AC$2:$AC$62,ROW()-3),'V_Para Piyasası'!$AC$2:$AC$62,0))</f>
        <v/>
      </c>
      <c r="N21" s="11">
        <f>INDEX('V_Para Piyasası'!M$2:M$62,MATCH(LARGE('V_Para Piyasası'!$AC$2:$AC$62,ROW()-3),'V_Para Piyasası'!$AC$2:$AC$62,0))</f>
        <v/>
      </c>
      <c r="O21" s="11">
        <f>INDEX('V_Para Piyasası'!N$2:N$62,MATCH(LARGE('V_Para Piyasası'!$AC$2:$AC$62,ROW()-3),'V_Para Piyasası'!$AC$2:$AC$62,0))</f>
        <v/>
      </c>
      <c r="P21" s="8">
        <f>INDEX('V_Para Piyasası'!O$2:O$62,MATCH(LARGE('V_Para Piyasası'!$AC$2:$AC$62,ROW()-3),'V_Para Piyasası'!$AC$2:$AC$62,0))</f>
        <v/>
      </c>
      <c r="Q21" s="9">
        <f>INDEX('V_Para Piyasası'!P$2:P$62,MATCH(LARGE('V_Para Piyasası'!$AC$2:$AC$62,ROW()-3),'V_Para Piyasası'!$AC$2:$AC$62,0))</f>
        <v/>
      </c>
      <c r="R21" s="5">
        <f>INDEX('V_Para Piyasası'!Q$2:Q$62,MATCH(LARGE('V_Para Piyasası'!$AC$2:$AC$62,ROW()-3),'V_Para Piyasası'!$AC$2:$AC$62,0))</f>
        <v/>
      </c>
      <c r="S21" s="8">
        <f>INDEX('V_Para Piyasası'!R$2:R$62,MATCH(LARGE('V_Para Piyasası'!$AC$2:$AC$62,ROW()-3),'V_Para Piyasası'!$AC$2:$AC$62,0))</f>
        <v/>
      </c>
      <c r="T21" s="8">
        <f>INDEX('V_Para Piyasası'!S$2:S$62,MATCH(LARGE('V_Para Piyasası'!$AC$2:$AC$62,ROW()-3),'V_Para Piyasası'!$AC$2:$AC$62,0))</f>
        <v/>
      </c>
      <c r="U21" s="8">
        <f>INDEX('V_Para Piyasası'!T$2:T$62,MATCH(LARGE('V_Para Piyasası'!$AC$2:$AC$62,ROW()-3),'V_Para Piyasası'!$AC$2:$AC$62,0))</f>
        <v/>
      </c>
      <c r="V21" s="8">
        <f>INDEX('V_Para Piyasası'!U$2:U$62,MATCH(LARGE('V_Para Piyasası'!$AC$2:$AC$62,ROW()-3),'V_Para Piyasası'!$AC$2:$AC$62,0))</f>
        <v/>
      </c>
      <c r="W21" s="8">
        <f>INDEX('V_Para Piyasası'!V$2:V$62,MATCH(LARGE('V_Para Piyasası'!$AC$2:$AC$62,ROW()-3),'V_Para Piyasası'!$AC$2:$AC$62,0))</f>
        <v/>
      </c>
      <c r="X21" s="8">
        <f>INDEX('V_Para Piyasası'!W$2:W$62,MATCH(LARGE('V_Para Piyasası'!$AC$2:$AC$62,ROW()-3),'V_Para Piyasası'!$AC$2:$AC$62,0))</f>
        <v/>
      </c>
      <c r="Y21" s="8">
        <f>INDEX('V_Para Piyasası'!X$2:X$62,MATCH(LARGE('V_Para Piyasası'!$AC$2:$AC$62,ROW()-3),'V_Para Piyasası'!$AC$2:$AC$62,0))</f>
        <v/>
      </c>
      <c r="Z21" s="8">
        <f>INDEX('V_Para Piyasası'!Y$2:Y$62,MATCH(LARGE('V_Para Piyasası'!$AC$2:$AC$62,ROW()-3),'V_Para Piyasası'!$AC$2:$AC$62,0))</f>
        <v/>
      </c>
      <c r="AA21" s="8">
        <f>INDEX('V_Para Piyasası'!Z$2:Z$62,MATCH(LARGE('V_Para Piyasası'!$AC$2:$AC$62,ROW()-3),'V_Para Piyasası'!$AC$2:$AC$62,0))</f>
        <v/>
      </c>
      <c r="AB21" s="8">
        <f>INDEX('V_Para Piyasası'!AA$2:AA$62,MATCH(LARGE('V_Para Piyasası'!$AC$2:$AC$62,ROW()-3),'V_Para Piyasası'!$AC$2:$AC$62,0))</f>
        <v/>
      </c>
    </row>
    <row r="22">
      <c r="A22" t="n">
        <v>19</v>
      </c>
      <c r="B22" s="5">
        <f>INDEX('V_Para Piyasası'!A$2:A$62,MATCH(LARGE('V_Para Piyasası'!$AC$2:$AC$62,ROW()-3),'V_Para Piyasası'!$AC$2:$AC$62,0))</f>
        <v/>
      </c>
      <c r="C22" s="5">
        <f>INDEX('V_Para Piyasası'!B$2:B$62,MATCH(LARGE('V_Para Piyasası'!$AC$2:$AC$62,ROW()-3),'V_Para Piyasası'!$AC$2:$AC$62,0))</f>
        <v/>
      </c>
      <c r="D22" s="5">
        <f>INDEX('V_Para Piyasası'!C$2:C$62,MATCH(LARGE('V_Para Piyasası'!$AC$2:$AC$62,ROW()-3),'V_Para Piyasası'!$AC$2:$AC$62,0))</f>
        <v/>
      </c>
      <c r="E22" s="8">
        <f>INDEX('V_Para Piyasası'!D$2:D$62,MATCH(LARGE('V_Para Piyasası'!$AC$2:$AC$62,ROW()-3),'V_Para Piyasası'!$AC$2:$AC$62,0))</f>
        <v/>
      </c>
      <c r="F22" s="9">
        <f>INDEX('V_Para Piyasası'!E$2:E$62,MATCH(LARGE('V_Para Piyasası'!$AC$2:$AC$62,ROW()-3),'V_Para Piyasası'!$AC$2:$AC$62,0))</f>
        <v/>
      </c>
      <c r="G22" s="9">
        <f>INDEX('V_Para Piyasası'!F$2:F$62,MATCH(LARGE('V_Para Piyasası'!$AC$2:$AC$62,ROW()-3),'V_Para Piyasası'!$AC$2:$AC$62,0))</f>
        <v/>
      </c>
      <c r="H22" s="9">
        <f>INDEX('V_Para Piyasası'!G$2:G$62,MATCH(LARGE('V_Para Piyasası'!$AC$2:$AC$62,ROW()-3),'V_Para Piyasası'!$AC$2:$AC$62,0))</f>
        <v/>
      </c>
      <c r="I22" s="9">
        <f>INDEX('V_Para Piyasası'!H$2:H$62,MATCH(LARGE('V_Para Piyasası'!$AC$2:$AC$62,ROW()-3),'V_Para Piyasası'!$AC$2:$AC$62,0))</f>
        <v/>
      </c>
      <c r="J22" s="9">
        <f>INDEX('V_Para Piyasası'!I$2:I$62,MATCH(LARGE('V_Para Piyasası'!$AC$2:$AC$62,ROW()-3),'V_Para Piyasası'!$AC$2:$AC$62,0))</f>
        <v/>
      </c>
      <c r="K22" s="10">
        <f>INDEX('V_Para Piyasası'!J$2:J$62,MATCH(LARGE('V_Para Piyasası'!$AC$2:$AC$62,ROW()-3),'V_Para Piyasası'!$AC$2:$AC$62,0))</f>
        <v/>
      </c>
      <c r="L22" s="10">
        <f>INDEX('V_Para Piyasası'!K$2:K$62,MATCH(LARGE('V_Para Piyasası'!$AC$2:$AC$62,ROW()-3),'V_Para Piyasası'!$AC$2:$AC$62,0))</f>
        <v/>
      </c>
      <c r="M22" s="8">
        <f>INDEX('V_Para Piyasası'!L$2:L$62,MATCH(LARGE('V_Para Piyasası'!$AC$2:$AC$62,ROW()-3),'V_Para Piyasası'!$AC$2:$AC$62,0))</f>
        <v/>
      </c>
      <c r="N22" s="11">
        <f>INDEX('V_Para Piyasası'!M$2:M$62,MATCH(LARGE('V_Para Piyasası'!$AC$2:$AC$62,ROW()-3),'V_Para Piyasası'!$AC$2:$AC$62,0))</f>
        <v/>
      </c>
      <c r="O22" s="11">
        <f>INDEX('V_Para Piyasası'!N$2:N$62,MATCH(LARGE('V_Para Piyasası'!$AC$2:$AC$62,ROW()-3),'V_Para Piyasası'!$AC$2:$AC$62,0))</f>
        <v/>
      </c>
      <c r="P22" s="8">
        <f>INDEX('V_Para Piyasası'!O$2:O$62,MATCH(LARGE('V_Para Piyasası'!$AC$2:$AC$62,ROW()-3),'V_Para Piyasası'!$AC$2:$AC$62,0))</f>
        <v/>
      </c>
      <c r="Q22" s="9">
        <f>INDEX('V_Para Piyasası'!P$2:P$62,MATCH(LARGE('V_Para Piyasası'!$AC$2:$AC$62,ROW()-3),'V_Para Piyasası'!$AC$2:$AC$62,0))</f>
        <v/>
      </c>
      <c r="R22" s="5">
        <f>INDEX('V_Para Piyasası'!Q$2:Q$62,MATCH(LARGE('V_Para Piyasası'!$AC$2:$AC$62,ROW()-3),'V_Para Piyasası'!$AC$2:$AC$62,0))</f>
        <v/>
      </c>
      <c r="S22" s="8">
        <f>INDEX('V_Para Piyasası'!R$2:R$62,MATCH(LARGE('V_Para Piyasası'!$AC$2:$AC$62,ROW()-3),'V_Para Piyasası'!$AC$2:$AC$62,0))</f>
        <v/>
      </c>
      <c r="T22" s="8">
        <f>INDEX('V_Para Piyasası'!S$2:S$62,MATCH(LARGE('V_Para Piyasası'!$AC$2:$AC$62,ROW()-3),'V_Para Piyasası'!$AC$2:$AC$62,0))</f>
        <v/>
      </c>
      <c r="U22" s="8">
        <f>INDEX('V_Para Piyasası'!T$2:T$62,MATCH(LARGE('V_Para Piyasası'!$AC$2:$AC$62,ROW()-3),'V_Para Piyasası'!$AC$2:$AC$62,0))</f>
        <v/>
      </c>
      <c r="V22" s="8">
        <f>INDEX('V_Para Piyasası'!U$2:U$62,MATCH(LARGE('V_Para Piyasası'!$AC$2:$AC$62,ROW()-3),'V_Para Piyasası'!$AC$2:$AC$62,0))</f>
        <v/>
      </c>
      <c r="W22" s="8">
        <f>INDEX('V_Para Piyasası'!V$2:V$62,MATCH(LARGE('V_Para Piyasası'!$AC$2:$AC$62,ROW()-3),'V_Para Piyasası'!$AC$2:$AC$62,0))</f>
        <v/>
      </c>
      <c r="X22" s="8">
        <f>INDEX('V_Para Piyasası'!W$2:W$62,MATCH(LARGE('V_Para Piyasası'!$AC$2:$AC$62,ROW()-3),'V_Para Piyasası'!$AC$2:$AC$62,0))</f>
        <v/>
      </c>
      <c r="Y22" s="8">
        <f>INDEX('V_Para Piyasası'!X$2:X$62,MATCH(LARGE('V_Para Piyasası'!$AC$2:$AC$62,ROW()-3),'V_Para Piyasası'!$AC$2:$AC$62,0))</f>
        <v/>
      </c>
      <c r="Z22" s="8">
        <f>INDEX('V_Para Piyasası'!Y$2:Y$62,MATCH(LARGE('V_Para Piyasası'!$AC$2:$AC$62,ROW()-3),'V_Para Piyasası'!$AC$2:$AC$62,0))</f>
        <v/>
      </c>
      <c r="AA22" s="8">
        <f>INDEX('V_Para Piyasası'!Z$2:Z$62,MATCH(LARGE('V_Para Piyasası'!$AC$2:$AC$62,ROW()-3),'V_Para Piyasası'!$AC$2:$AC$62,0))</f>
        <v/>
      </c>
      <c r="AB22" s="8">
        <f>INDEX('V_Para Piyasası'!AA$2:AA$62,MATCH(LARGE('V_Para Piyasası'!$AC$2:$AC$62,ROW()-3),'V_Para Piyasası'!$AC$2:$AC$62,0))</f>
        <v/>
      </c>
    </row>
    <row r="23">
      <c r="A23" t="n">
        <v>20</v>
      </c>
      <c r="B23" s="5">
        <f>INDEX('V_Para Piyasası'!A$2:A$62,MATCH(LARGE('V_Para Piyasası'!$AC$2:$AC$62,ROW()-3),'V_Para Piyasası'!$AC$2:$AC$62,0))</f>
        <v/>
      </c>
      <c r="C23" s="5">
        <f>INDEX('V_Para Piyasası'!B$2:B$62,MATCH(LARGE('V_Para Piyasası'!$AC$2:$AC$62,ROW()-3),'V_Para Piyasası'!$AC$2:$AC$62,0))</f>
        <v/>
      </c>
      <c r="D23" s="5">
        <f>INDEX('V_Para Piyasası'!C$2:C$62,MATCH(LARGE('V_Para Piyasası'!$AC$2:$AC$62,ROW()-3),'V_Para Piyasası'!$AC$2:$AC$62,0))</f>
        <v/>
      </c>
      <c r="E23" s="8">
        <f>INDEX('V_Para Piyasası'!D$2:D$62,MATCH(LARGE('V_Para Piyasası'!$AC$2:$AC$62,ROW()-3),'V_Para Piyasası'!$AC$2:$AC$62,0))</f>
        <v/>
      </c>
      <c r="F23" s="9">
        <f>INDEX('V_Para Piyasası'!E$2:E$62,MATCH(LARGE('V_Para Piyasası'!$AC$2:$AC$62,ROW()-3),'V_Para Piyasası'!$AC$2:$AC$62,0))</f>
        <v/>
      </c>
      <c r="G23" s="9">
        <f>INDEX('V_Para Piyasası'!F$2:F$62,MATCH(LARGE('V_Para Piyasası'!$AC$2:$AC$62,ROW()-3),'V_Para Piyasası'!$AC$2:$AC$62,0))</f>
        <v/>
      </c>
      <c r="H23" s="9">
        <f>INDEX('V_Para Piyasası'!G$2:G$62,MATCH(LARGE('V_Para Piyasası'!$AC$2:$AC$62,ROW()-3),'V_Para Piyasası'!$AC$2:$AC$62,0))</f>
        <v/>
      </c>
      <c r="I23" s="9">
        <f>INDEX('V_Para Piyasası'!H$2:H$62,MATCH(LARGE('V_Para Piyasası'!$AC$2:$AC$62,ROW()-3),'V_Para Piyasası'!$AC$2:$AC$62,0))</f>
        <v/>
      </c>
      <c r="J23" s="9">
        <f>INDEX('V_Para Piyasası'!I$2:I$62,MATCH(LARGE('V_Para Piyasası'!$AC$2:$AC$62,ROW()-3),'V_Para Piyasası'!$AC$2:$AC$62,0))</f>
        <v/>
      </c>
      <c r="K23" s="10">
        <f>INDEX('V_Para Piyasası'!J$2:J$62,MATCH(LARGE('V_Para Piyasası'!$AC$2:$AC$62,ROW()-3),'V_Para Piyasası'!$AC$2:$AC$62,0))</f>
        <v/>
      </c>
      <c r="L23" s="10">
        <f>INDEX('V_Para Piyasası'!K$2:K$62,MATCH(LARGE('V_Para Piyasası'!$AC$2:$AC$62,ROW()-3),'V_Para Piyasası'!$AC$2:$AC$62,0))</f>
        <v/>
      </c>
      <c r="M23" s="8">
        <f>INDEX('V_Para Piyasası'!L$2:L$62,MATCH(LARGE('V_Para Piyasası'!$AC$2:$AC$62,ROW()-3),'V_Para Piyasası'!$AC$2:$AC$62,0))</f>
        <v/>
      </c>
      <c r="N23" s="11">
        <f>INDEX('V_Para Piyasası'!M$2:M$62,MATCH(LARGE('V_Para Piyasası'!$AC$2:$AC$62,ROW()-3),'V_Para Piyasası'!$AC$2:$AC$62,0))</f>
        <v/>
      </c>
      <c r="O23" s="11">
        <f>INDEX('V_Para Piyasası'!N$2:N$62,MATCH(LARGE('V_Para Piyasası'!$AC$2:$AC$62,ROW()-3),'V_Para Piyasası'!$AC$2:$AC$62,0))</f>
        <v/>
      </c>
      <c r="P23" s="8">
        <f>INDEX('V_Para Piyasası'!O$2:O$62,MATCH(LARGE('V_Para Piyasası'!$AC$2:$AC$62,ROW()-3),'V_Para Piyasası'!$AC$2:$AC$62,0))</f>
        <v/>
      </c>
      <c r="Q23" s="9">
        <f>INDEX('V_Para Piyasası'!P$2:P$62,MATCH(LARGE('V_Para Piyasası'!$AC$2:$AC$62,ROW()-3),'V_Para Piyasası'!$AC$2:$AC$62,0))</f>
        <v/>
      </c>
      <c r="R23" s="5">
        <f>INDEX('V_Para Piyasası'!Q$2:Q$62,MATCH(LARGE('V_Para Piyasası'!$AC$2:$AC$62,ROW()-3),'V_Para Piyasası'!$AC$2:$AC$62,0))</f>
        <v/>
      </c>
      <c r="S23" s="8">
        <f>INDEX('V_Para Piyasası'!R$2:R$62,MATCH(LARGE('V_Para Piyasası'!$AC$2:$AC$62,ROW()-3),'V_Para Piyasası'!$AC$2:$AC$62,0))</f>
        <v/>
      </c>
      <c r="T23" s="8">
        <f>INDEX('V_Para Piyasası'!S$2:S$62,MATCH(LARGE('V_Para Piyasası'!$AC$2:$AC$62,ROW()-3),'V_Para Piyasası'!$AC$2:$AC$62,0))</f>
        <v/>
      </c>
      <c r="U23" s="8">
        <f>INDEX('V_Para Piyasası'!T$2:T$62,MATCH(LARGE('V_Para Piyasası'!$AC$2:$AC$62,ROW()-3),'V_Para Piyasası'!$AC$2:$AC$62,0))</f>
        <v/>
      </c>
      <c r="V23" s="8">
        <f>INDEX('V_Para Piyasası'!U$2:U$62,MATCH(LARGE('V_Para Piyasası'!$AC$2:$AC$62,ROW()-3),'V_Para Piyasası'!$AC$2:$AC$62,0))</f>
        <v/>
      </c>
      <c r="W23" s="8">
        <f>INDEX('V_Para Piyasası'!V$2:V$62,MATCH(LARGE('V_Para Piyasası'!$AC$2:$AC$62,ROW()-3),'V_Para Piyasası'!$AC$2:$AC$62,0))</f>
        <v/>
      </c>
      <c r="X23" s="8">
        <f>INDEX('V_Para Piyasası'!W$2:W$62,MATCH(LARGE('V_Para Piyasası'!$AC$2:$AC$62,ROW()-3),'V_Para Piyasası'!$AC$2:$AC$62,0))</f>
        <v/>
      </c>
      <c r="Y23" s="8">
        <f>INDEX('V_Para Piyasası'!X$2:X$62,MATCH(LARGE('V_Para Piyasası'!$AC$2:$AC$62,ROW()-3),'V_Para Piyasası'!$AC$2:$AC$62,0))</f>
        <v/>
      </c>
      <c r="Z23" s="8">
        <f>INDEX('V_Para Piyasası'!Y$2:Y$62,MATCH(LARGE('V_Para Piyasası'!$AC$2:$AC$62,ROW()-3),'V_Para Piyasası'!$AC$2:$AC$62,0))</f>
        <v/>
      </c>
      <c r="AA23" s="8">
        <f>INDEX('V_Para Piyasası'!Z$2:Z$62,MATCH(LARGE('V_Para Piyasası'!$AC$2:$AC$62,ROW()-3),'V_Para Piyasası'!$AC$2:$AC$62,0))</f>
        <v/>
      </c>
      <c r="AB23" s="8">
        <f>INDEX('V_Para Piyasası'!AA$2:AA$62,MATCH(LARGE('V_Para Piyasası'!$AC$2:$AC$62,ROW()-3),'V_Para Piyasası'!$AC$2:$AC$62,0))</f>
        <v/>
      </c>
    </row>
    <row r="24">
      <c r="A24" t="n">
        <v>21</v>
      </c>
      <c r="B24" s="5">
        <f>INDEX('V_Para Piyasası'!A$2:A$62,MATCH(LARGE('V_Para Piyasası'!$AC$2:$AC$62,ROW()-3),'V_Para Piyasası'!$AC$2:$AC$62,0))</f>
        <v/>
      </c>
      <c r="C24" s="5">
        <f>INDEX('V_Para Piyasası'!B$2:B$62,MATCH(LARGE('V_Para Piyasası'!$AC$2:$AC$62,ROW()-3),'V_Para Piyasası'!$AC$2:$AC$62,0))</f>
        <v/>
      </c>
      <c r="D24" s="5">
        <f>INDEX('V_Para Piyasası'!C$2:C$62,MATCH(LARGE('V_Para Piyasası'!$AC$2:$AC$62,ROW()-3),'V_Para Piyasası'!$AC$2:$AC$62,0))</f>
        <v/>
      </c>
      <c r="E24" s="8">
        <f>INDEX('V_Para Piyasası'!D$2:D$62,MATCH(LARGE('V_Para Piyasası'!$AC$2:$AC$62,ROW()-3),'V_Para Piyasası'!$AC$2:$AC$62,0))</f>
        <v/>
      </c>
      <c r="F24" s="9">
        <f>INDEX('V_Para Piyasası'!E$2:E$62,MATCH(LARGE('V_Para Piyasası'!$AC$2:$AC$62,ROW()-3),'V_Para Piyasası'!$AC$2:$AC$62,0))</f>
        <v/>
      </c>
      <c r="G24" s="9">
        <f>INDEX('V_Para Piyasası'!F$2:F$62,MATCH(LARGE('V_Para Piyasası'!$AC$2:$AC$62,ROW()-3),'V_Para Piyasası'!$AC$2:$AC$62,0))</f>
        <v/>
      </c>
      <c r="H24" s="9">
        <f>INDEX('V_Para Piyasası'!G$2:G$62,MATCH(LARGE('V_Para Piyasası'!$AC$2:$AC$62,ROW()-3),'V_Para Piyasası'!$AC$2:$AC$62,0))</f>
        <v/>
      </c>
      <c r="I24" s="9">
        <f>INDEX('V_Para Piyasası'!H$2:H$62,MATCH(LARGE('V_Para Piyasası'!$AC$2:$AC$62,ROW()-3),'V_Para Piyasası'!$AC$2:$AC$62,0))</f>
        <v/>
      </c>
      <c r="J24" s="9">
        <f>INDEX('V_Para Piyasası'!I$2:I$62,MATCH(LARGE('V_Para Piyasası'!$AC$2:$AC$62,ROW()-3),'V_Para Piyasası'!$AC$2:$AC$62,0))</f>
        <v/>
      </c>
      <c r="K24" s="10">
        <f>INDEX('V_Para Piyasası'!J$2:J$62,MATCH(LARGE('V_Para Piyasası'!$AC$2:$AC$62,ROW()-3),'V_Para Piyasası'!$AC$2:$AC$62,0))</f>
        <v/>
      </c>
      <c r="L24" s="10">
        <f>INDEX('V_Para Piyasası'!K$2:K$62,MATCH(LARGE('V_Para Piyasası'!$AC$2:$AC$62,ROW()-3),'V_Para Piyasası'!$AC$2:$AC$62,0))</f>
        <v/>
      </c>
      <c r="M24" s="8">
        <f>INDEX('V_Para Piyasası'!L$2:L$62,MATCH(LARGE('V_Para Piyasası'!$AC$2:$AC$62,ROW()-3),'V_Para Piyasası'!$AC$2:$AC$62,0))</f>
        <v/>
      </c>
      <c r="N24" s="11">
        <f>INDEX('V_Para Piyasası'!M$2:M$62,MATCH(LARGE('V_Para Piyasası'!$AC$2:$AC$62,ROW()-3),'V_Para Piyasası'!$AC$2:$AC$62,0))</f>
        <v/>
      </c>
      <c r="O24" s="11">
        <f>INDEX('V_Para Piyasası'!N$2:N$62,MATCH(LARGE('V_Para Piyasası'!$AC$2:$AC$62,ROW()-3),'V_Para Piyasası'!$AC$2:$AC$62,0))</f>
        <v/>
      </c>
      <c r="P24" s="8">
        <f>INDEX('V_Para Piyasası'!O$2:O$62,MATCH(LARGE('V_Para Piyasası'!$AC$2:$AC$62,ROW()-3),'V_Para Piyasası'!$AC$2:$AC$62,0))</f>
        <v/>
      </c>
      <c r="Q24" s="9">
        <f>INDEX('V_Para Piyasası'!P$2:P$62,MATCH(LARGE('V_Para Piyasası'!$AC$2:$AC$62,ROW()-3),'V_Para Piyasası'!$AC$2:$AC$62,0))</f>
        <v/>
      </c>
      <c r="R24" s="5">
        <f>INDEX('V_Para Piyasası'!Q$2:Q$62,MATCH(LARGE('V_Para Piyasası'!$AC$2:$AC$62,ROW()-3),'V_Para Piyasası'!$AC$2:$AC$62,0))</f>
        <v/>
      </c>
      <c r="S24" s="8">
        <f>INDEX('V_Para Piyasası'!R$2:R$62,MATCH(LARGE('V_Para Piyasası'!$AC$2:$AC$62,ROW()-3),'V_Para Piyasası'!$AC$2:$AC$62,0))</f>
        <v/>
      </c>
      <c r="T24" s="8">
        <f>INDEX('V_Para Piyasası'!S$2:S$62,MATCH(LARGE('V_Para Piyasası'!$AC$2:$AC$62,ROW()-3),'V_Para Piyasası'!$AC$2:$AC$62,0))</f>
        <v/>
      </c>
      <c r="U24" s="8">
        <f>INDEX('V_Para Piyasası'!T$2:T$62,MATCH(LARGE('V_Para Piyasası'!$AC$2:$AC$62,ROW()-3),'V_Para Piyasası'!$AC$2:$AC$62,0))</f>
        <v/>
      </c>
      <c r="V24" s="8">
        <f>INDEX('V_Para Piyasası'!U$2:U$62,MATCH(LARGE('V_Para Piyasası'!$AC$2:$AC$62,ROW()-3),'V_Para Piyasası'!$AC$2:$AC$62,0))</f>
        <v/>
      </c>
      <c r="W24" s="8">
        <f>INDEX('V_Para Piyasası'!V$2:V$62,MATCH(LARGE('V_Para Piyasası'!$AC$2:$AC$62,ROW()-3),'V_Para Piyasası'!$AC$2:$AC$62,0))</f>
        <v/>
      </c>
      <c r="X24" s="8">
        <f>INDEX('V_Para Piyasası'!W$2:W$62,MATCH(LARGE('V_Para Piyasası'!$AC$2:$AC$62,ROW()-3),'V_Para Piyasası'!$AC$2:$AC$62,0))</f>
        <v/>
      </c>
      <c r="Y24" s="8">
        <f>INDEX('V_Para Piyasası'!X$2:X$62,MATCH(LARGE('V_Para Piyasası'!$AC$2:$AC$62,ROW()-3),'V_Para Piyasası'!$AC$2:$AC$62,0))</f>
        <v/>
      </c>
      <c r="Z24" s="8">
        <f>INDEX('V_Para Piyasası'!Y$2:Y$62,MATCH(LARGE('V_Para Piyasası'!$AC$2:$AC$62,ROW()-3),'V_Para Piyasası'!$AC$2:$AC$62,0))</f>
        <v/>
      </c>
      <c r="AA24" s="8">
        <f>INDEX('V_Para Piyasası'!Z$2:Z$62,MATCH(LARGE('V_Para Piyasası'!$AC$2:$AC$62,ROW()-3),'V_Para Piyasası'!$AC$2:$AC$62,0))</f>
        <v/>
      </c>
      <c r="AB24" s="8">
        <f>INDEX('V_Para Piyasası'!AA$2:AA$62,MATCH(LARGE('V_Para Piyasası'!$AC$2:$AC$62,ROW()-3),'V_Para Piyasası'!$AC$2:$AC$62,0))</f>
        <v/>
      </c>
    </row>
    <row r="25">
      <c r="A25" t="n">
        <v>22</v>
      </c>
      <c r="B25" s="5">
        <f>INDEX('V_Para Piyasası'!A$2:A$62,MATCH(LARGE('V_Para Piyasası'!$AC$2:$AC$62,ROW()-3),'V_Para Piyasası'!$AC$2:$AC$62,0))</f>
        <v/>
      </c>
      <c r="C25" s="5">
        <f>INDEX('V_Para Piyasası'!B$2:B$62,MATCH(LARGE('V_Para Piyasası'!$AC$2:$AC$62,ROW()-3),'V_Para Piyasası'!$AC$2:$AC$62,0))</f>
        <v/>
      </c>
      <c r="D25" s="5">
        <f>INDEX('V_Para Piyasası'!C$2:C$62,MATCH(LARGE('V_Para Piyasası'!$AC$2:$AC$62,ROW()-3),'V_Para Piyasası'!$AC$2:$AC$62,0))</f>
        <v/>
      </c>
      <c r="E25" s="8">
        <f>INDEX('V_Para Piyasası'!D$2:D$62,MATCH(LARGE('V_Para Piyasası'!$AC$2:$AC$62,ROW()-3),'V_Para Piyasası'!$AC$2:$AC$62,0))</f>
        <v/>
      </c>
      <c r="F25" s="9">
        <f>INDEX('V_Para Piyasası'!E$2:E$62,MATCH(LARGE('V_Para Piyasası'!$AC$2:$AC$62,ROW()-3),'V_Para Piyasası'!$AC$2:$AC$62,0))</f>
        <v/>
      </c>
      <c r="G25" s="9">
        <f>INDEX('V_Para Piyasası'!F$2:F$62,MATCH(LARGE('V_Para Piyasası'!$AC$2:$AC$62,ROW()-3),'V_Para Piyasası'!$AC$2:$AC$62,0))</f>
        <v/>
      </c>
      <c r="H25" s="9">
        <f>INDEX('V_Para Piyasası'!G$2:G$62,MATCH(LARGE('V_Para Piyasası'!$AC$2:$AC$62,ROW()-3),'V_Para Piyasası'!$AC$2:$AC$62,0))</f>
        <v/>
      </c>
      <c r="I25" s="9">
        <f>INDEX('V_Para Piyasası'!H$2:H$62,MATCH(LARGE('V_Para Piyasası'!$AC$2:$AC$62,ROW()-3),'V_Para Piyasası'!$AC$2:$AC$62,0))</f>
        <v/>
      </c>
      <c r="J25" s="9">
        <f>INDEX('V_Para Piyasası'!I$2:I$62,MATCH(LARGE('V_Para Piyasası'!$AC$2:$AC$62,ROW()-3),'V_Para Piyasası'!$AC$2:$AC$62,0))</f>
        <v/>
      </c>
      <c r="K25" s="10">
        <f>INDEX('V_Para Piyasası'!J$2:J$62,MATCH(LARGE('V_Para Piyasası'!$AC$2:$AC$62,ROW()-3),'V_Para Piyasası'!$AC$2:$AC$62,0))</f>
        <v/>
      </c>
      <c r="L25" s="10">
        <f>INDEX('V_Para Piyasası'!K$2:K$62,MATCH(LARGE('V_Para Piyasası'!$AC$2:$AC$62,ROW()-3),'V_Para Piyasası'!$AC$2:$AC$62,0))</f>
        <v/>
      </c>
      <c r="M25" s="8">
        <f>INDEX('V_Para Piyasası'!L$2:L$62,MATCH(LARGE('V_Para Piyasası'!$AC$2:$AC$62,ROW()-3),'V_Para Piyasası'!$AC$2:$AC$62,0))</f>
        <v/>
      </c>
      <c r="N25" s="11">
        <f>INDEX('V_Para Piyasası'!M$2:M$62,MATCH(LARGE('V_Para Piyasası'!$AC$2:$AC$62,ROW()-3),'V_Para Piyasası'!$AC$2:$AC$62,0))</f>
        <v/>
      </c>
      <c r="O25" s="11">
        <f>INDEX('V_Para Piyasası'!N$2:N$62,MATCH(LARGE('V_Para Piyasası'!$AC$2:$AC$62,ROW()-3),'V_Para Piyasası'!$AC$2:$AC$62,0))</f>
        <v/>
      </c>
      <c r="P25" s="8">
        <f>INDEX('V_Para Piyasası'!O$2:O$62,MATCH(LARGE('V_Para Piyasası'!$AC$2:$AC$62,ROW()-3),'V_Para Piyasası'!$AC$2:$AC$62,0))</f>
        <v/>
      </c>
      <c r="Q25" s="9">
        <f>INDEX('V_Para Piyasası'!P$2:P$62,MATCH(LARGE('V_Para Piyasası'!$AC$2:$AC$62,ROW()-3),'V_Para Piyasası'!$AC$2:$AC$62,0))</f>
        <v/>
      </c>
      <c r="R25" s="5">
        <f>INDEX('V_Para Piyasası'!Q$2:Q$62,MATCH(LARGE('V_Para Piyasası'!$AC$2:$AC$62,ROW()-3),'V_Para Piyasası'!$AC$2:$AC$62,0))</f>
        <v/>
      </c>
      <c r="S25" s="8">
        <f>INDEX('V_Para Piyasası'!R$2:R$62,MATCH(LARGE('V_Para Piyasası'!$AC$2:$AC$62,ROW()-3),'V_Para Piyasası'!$AC$2:$AC$62,0))</f>
        <v/>
      </c>
      <c r="T25" s="8">
        <f>INDEX('V_Para Piyasası'!S$2:S$62,MATCH(LARGE('V_Para Piyasası'!$AC$2:$AC$62,ROW()-3),'V_Para Piyasası'!$AC$2:$AC$62,0))</f>
        <v/>
      </c>
      <c r="U25" s="8">
        <f>INDEX('V_Para Piyasası'!T$2:T$62,MATCH(LARGE('V_Para Piyasası'!$AC$2:$AC$62,ROW()-3),'V_Para Piyasası'!$AC$2:$AC$62,0))</f>
        <v/>
      </c>
      <c r="V25" s="8">
        <f>INDEX('V_Para Piyasası'!U$2:U$62,MATCH(LARGE('V_Para Piyasası'!$AC$2:$AC$62,ROW()-3),'V_Para Piyasası'!$AC$2:$AC$62,0))</f>
        <v/>
      </c>
      <c r="W25" s="8">
        <f>INDEX('V_Para Piyasası'!V$2:V$62,MATCH(LARGE('V_Para Piyasası'!$AC$2:$AC$62,ROW()-3),'V_Para Piyasası'!$AC$2:$AC$62,0))</f>
        <v/>
      </c>
      <c r="X25" s="8">
        <f>INDEX('V_Para Piyasası'!W$2:W$62,MATCH(LARGE('V_Para Piyasası'!$AC$2:$AC$62,ROW()-3),'V_Para Piyasası'!$AC$2:$AC$62,0))</f>
        <v/>
      </c>
      <c r="Y25" s="8">
        <f>INDEX('V_Para Piyasası'!X$2:X$62,MATCH(LARGE('V_Para Piyasası'!$AC$2:$AC$62,ROW()-3),'V_Para Piyasası'!$AC$2:$AC$62,0))</f>
        <v/>
      </c>
      <c r="Z25" s="8">
        <f>INDEX('V_Para Piyasası'!Y$2:Y$62,MATCH(LARGE('V_Para Piyasası'!$AC$2:$AC$62,ROW()-3),'V_Para Piyasası'!$AC$2:$AC$62,0))</f>
        <v/>
      </c>
      <c r="AA25" s="8">
        <f>INDEX('V_Para Piyasası'!Z$2:Z$62,MATCH(LARGE('V_Para Piyasası'!$AC$2:$AC$62,ROW()-3),'V_Para Piyasası'!$AC$2:$AC$62,0))</f>
        <v/>
      </c>
      <c r="AB25" s="8">
        <f>INDEX('V_Para Piyasası'!AA$2:AA$62,MATCH(LARGE('V_Para Piyasası'!$AC$2:$AC$62,ROW()-3),'V_Para Piyasası'!$AC$2:$AC$62,0))</f>
        <v/>
      </c>
    </row>
    <row r="26">
      <c r="A26" t="n">
        <v>23</v>
      </c>
      <c r="B26" s="5">
        <f>INDEX('V_Para Piyasası'!A$2:A$62,MATCH(LARGE('V_Para Piyasası'!$AC$2:$AC$62,ROW()-3),'V_Para Piyasası'!$AC$2:$AC$62,0))</f>
        <v/>
      </c>
      <c r="C26" s="5">
        <f>INDEX('V_Para Piyasası'!B$2:B$62,MATCH(LARGE('V_Para Piyasası'!$AC$2:$AC$62,ROW()-3),'V_Para Piyasası'!$AC$2:$AC$62,0))</f>
        <v/>
      </c>
      <c r="D26" s="5">
        <f>INDEX('V_Para Piyasası'!C$2:C$62,MATCH(LARGE('V_Para Piyasası'!$AC$2:$AC$62,ROW()-3),'V_Para Piyasası'!$AC$2:$AC$62,0))</f>
        <v/>
      </c>
      <c r="E26" s="8">
        <f>INDEX('V_Para Piyasası'!D$2:D$62,MATCH(LARGE('V_Para Piyasası'!$AC$2:$AC$62,ROW()-3),'V_Para Piyasası'!$AC$2:$AC$62,0))</f>
        <v/>
      </c>
      <c r="F26" s="9">
        <f>INDEX('V_Para Piyasası'!E$2:E$62,MATCH(LARGE('V_Para Piyasası'!$AC$2:$AC$62,ROW()-3),'V_Para Piyasası'!$AC$2:$AC$62,0))</f>
        <v/>
      </c>
      <c r="G26" s="9">
        <f>INDEX('V_Para Piyasası'!F$2:F$62,MATCH(LARGE('V_Para Piyasası'!$AC$2:$AC$62,ROW()-3),'V_Para Piyasası'!$AC$2:$AC$62,0))</f>
        <v/>
      </c>
      <c r="H26" s="9">
        <f>INDEX('V_Para Piyasası'!G$2:G$62,MATCH(LARGE('V_Para Piyasası'!$AC$2:$AC$62,ROW()-3),'V_Para Piyasası'!$AC$2:$AC$62,0))</f>
        <v/>
      </c>
      <c r="I26" s="9">
        <f>INDEX('V_Para Piyasası'!H$2:H$62,MATCH(LARGE('V_Para Piyasası'!$AC$2:$AC$62,ROW()-3),'V_Para Piyasası'!$AC$2:$AC$62,0))</f>
        <v/>
      </c>
      <c r="J26" s="9">
        <f>INDEX('V_Para Piyasası'!I$2:I$62,MATCH(LARGE('V_Para Piyasası'!$AC$2:$AC$62,ROW()-3),'V_Para Piyasası'!$AC$2:$AC$62,0))</f>
        <v/>
      </c>
      <c r="K26" s="10">
        <f>INDEX('V_Para Piyasası'!J$2:J$62,MATCH(LARGE('V_Para Piyasası'!$AC$2:$AC$62,ROW()-3),'V_Para Piyasası'!$AC$2:$AC$62,0))</f>
        <v/>
      </c>
      <c r="L26" s="10">
        <f>INDEX('V_Para Piyasası'!K$2:K$62,MATCH(LARGE('V_Para Piyasası'!$AC$2:$AC$62,ROW()-3),'V_Para Piyasası'!$AC$2:$AC$62,0))</f>
        <v/>
      </c>
      <c r="M26" s="8">
        <f>INDEX('V_Para Piyasası'!L$2:L$62,MATCH(LARGE('V_Para Piyasası'!$AC$2:$AC$62,ROW()-3),'V_Para Piyasası'!$AC$2:$AC$62,0))</f>
        <v/>
      </c>
      <c r="N26" s="11">
        <f>INDEX('V_Para Piyasası'!M$2:M$62,MATCH(LARGE('V_Para Piyasası'!$AC$2:$AC$62,ROW()-3),'V_Para Piyasası'!$AC$2:$AC$62,0))</f>
        <v/>
      </c>
      <c r="O26" s="11">
        <f>INDEX('V_Para Piyasası'!N$2:N$62,MATCH(LARGE('V_Para Piyasası'!$AC$2:$AC$62,ROW()-3),'V_Para Piyasası'!$AC$2:$AC$62,0))</f>
        <v/>
      </c>
      <c r="P26" s="8">
        <f>INDEX('V_Para Piyasası'!O$2:O$62,MATCH(LARGE('V_Para Piyasası'!$AC$2:$AC$62,ROW()-3),'V_Para Piyasası'!$AC$2:$AC$62,0))</f>
        <v/>
      </c>
      <c r="Q26" s="9">
        <f>INDEX('V_Para Piyasası'!P$2:P$62,MATCH(LARGE('V_Para Piyasası'!$AC$2:$AC$62,ROW()-3),'V_Para Piyasası'!$AC$2:$AC$62,0))</f>
        <v/>
      </c>
      <c r="R26" s="5">
        <f>INDEX('V_Para Piyasası'!Q$2:Q$62,MATCH(LARGE('V_Para Piyasası'!$AC$2:$AC$62,ROW()-3),'V_Para Piyasası'!$AC$2:$AC$62,0))</f>
        <v/>
      </c>
      <c r="S26" s="8">
        <f>INDEX('V_Para Piyasası'!R$2:R$62,MATCH(LARGE('V_Para Piyasası'!$AC$2:$AC$62,ROW()-3),'V_Para Piyasası'!$AC$2:$AC$62,0))</f>
        <v/>
      </c>
      <c r="T26" s="8">
        <f>INDEX('V_Para Piyasası'!S$2:S$62,MATCH(LARGE('V_Para Piyasası'!$AC$2:$AC$62,ROW()-3),'V_Para Piyasası'!$AC$2:$AC$62,0))</f>
        <v/>
      </c>
      <c r="U26" s="8">
        <f>INDEX('V_Para Piyasası'!T$2:T$62,MATCH(LARGE('V_Para Piyasası'!$AC$2:$AC$62,ROW()-3),'V_Para Piyasası'!$AC$2:$AC$62,0))</f>
        <v/>
      </c>
      <c r="V26" s="8">
        <f>INDEX('V_Para Piyasası'!U$2:U$62,MATCH(LARGE('V_Para Piyasası'!$AC$2:$AC$62,ROW()-3),'V_Para Piyasası'!$AC$2:$AC$62,0))</f>
        <v/>
      </c>
      <c r="W26" s="8">
        <f>INDEX('V_Para Piyasası'!V$2:V$62,MATCH(LARGE('V_Para Piyasası'!$AC$2:$AC$62,ROW()-3),'V_Para Piyasası'!$AC$2:$AC$62,0))</f>
        <v/>
      </c>
      <c r="X26" s="8">
        <f>INDEX('V_Para Piyasası'!W$2:W$62,MATCH(LARGE('V_Para Piyasası'!$AC$2:$AC$62,ROW()-3),'V_Para Piyasası'!$AC$2:$AC$62,0))</f>
        <v/>
      </c>
      <c r="Y26" s="8">
        <f>INDEX('V_Para Piyasası'!X$2:X$62,MATCH(LARGE('V_Para Piyasası'!$AC$2:$AC$62,ROW()-3),'V_Para Piyasası'!$AC$2:$AC$62,0))</f>
        <v/>
      </c>
      <c r="Z26" s="8">
        <f>INDEX('V_Para Piyasası'!Y$2:Y$62,MATCH(LARGE('V_Para Piyasası'!$AC$2:$AC$62,ROW()-3),'V_Para Piyasası'!$AC$2:$AC$62,0))</f>
        <v/>
      </c>
      <c r="AA26" s="8">
        <f>INDEX('V_Para Piyasası'!Z$2:Z$62,MATCH(LARGE('V_Para Piyasası'!$AC$2:$AC$62,ROW()-3),'V_Para Piyasası'!$AC$2:$AC$62,0))</f>
        <v/>
      </c>
      <c r="AB26" s="8">
        <f>INDEX('V_Para Piyasası'!AA$2:AA$62,MATCH(LARGE('V_Para Piyasası'!$AC$2:$AC$62,ROW()-3),'V_Para Piyasası'!$AC$2:$AC$62,0))</f>
        <v/>
      </c>
    </row>
    <row r="27">
      <c r="A27" t="n">
        <v>24</v>
      </c>
      <c r="B27" s="5">
        <f>INDEX('V_Para Piyasası'!A$2:A$62,MATCH(LARGE('V_Para Piyasası'!$AC$2:$AC$62,ROW()-3),'V_Para Piyasası'!$AC$2:$AC$62,0))</f>
        <v/>
      </c>
      <c r="C27" s="5">
        <f>INDEX('V_Para Piyasası'!B$2:B$62,MATCH(LARGE('V_Para Piyasası'!$AC$2:$AC$62,ROW()-3),'V_Para Piyasası'!$AC$2:$AC$62,0))</f>
        <v/>
      </c>
      <c r="D27" s="5">
        <f>INDEX('V_Para Piyasası'!C$2:C$62,MATCH(LARGE('V_Para Piyasası'!$AC$2:$AC$62,ROW()-3),'V_Para Piyasası'!$AC$2:$AC$62,0))</f>
        <v/>
      </c>
      <c r="E27" s="8">
        <f>INDEX('V_Para Piyasası'!D$2:D$62,MATCH(LARGE('V_Para Piyasası'!$AC$2:$AC$62,ROW()-3),'V_Para Piyasası'!$AC$2:$AC$62,0))</f>
        <v/>
      </c>
      <c r="F27" s="9">
        <f>INDEX('V_Para Piyasası'!E$2:E$62,MATCH(LARGE('V_Para Piyasası'!$AC$2:$AC$62,ROW()-3),'V_Para Piyasası'!$AC$2:$AC$62,0))</f>
        <v/>
      </c>
      <c r="G27" s="9">
        <f>INDEX('V_Para Piyasası'!F$2:F$62,MATCH(LARGE('V_Para Piyasası'!$AC$2:$AC$62,ROW()-3),'V_Para Piyasası'!$AC$2:$AC$62,0))</f>
        <v/>
      </c>
      <c r="H27" s="9">
        <f>INDEX('V_Para Piyasası'!G$2:G$62,MATCH(LARGE('V_Para Piyasası'!$AC$2:$AC$62,ROW()-3),'V_Para Piyasası'!$AC$2:$AC$62,0))</f>
        <v/>
      </c>
      <c r="I27" s="9">
        <f>INDEX('V_Para Piyasası'!H$2:H$62,MATCH(LARGE('V_Para Piyasası'!$AC$2:$AC$62,ROW()-3),'V_Para Piyasası'!$AC$2:$AC$62,0))</f>
        <v/>
      </c>
      <c r="J27" s="9">
        <f>INDEX('V_Para Piyasası'!I$2:I$62,MATCH(LARGE('V_Para Piyasası'!$AC$2:$AC$62,ROW()-3),'V_Para Piyasası'!$AC$2:$AC$62,0))</f>
        <v/>
      </c>
      <c r="K27" s="10">
        <f>INDEX('V_Para Piyasası'!J$2:J$62,MATCH(LARGE('V_Para Piyasası'!$AC$2:$AC$62,ROW()-3),'V_Para Piyasası'!$AC$2:$AC$62,0))</f>
        <v/>
      </c>
      <c r="L27" s="10">
        <f>INDEX('V_Para Piyasası'!K$2:K$62,MATCH(LARGE('V_Para Piyasası'!$AC$2:$AC$62,ROW()-3),'V_Para Piyasası'!$AC$2:$AC$62,0))</f>
        <v/>
      </c>
      <c r="M27" s="8">
        <f>INDEX('V_Para Piyasası'!L$2:L$62,MATCH(LARGE('V_Para Piyasası'!$AC$2:$AC$62,ROW()-3),'V_Para Piyasası'!$AC$2:$AC$62,0))</f>
        <v/>
      </c>
      <c r="N27" s="11">
        <f>INDEX('V_Para Piyasası'!M$2:M$62,MATCH(LARGE('V_Para Piyasası'!$AC$2:$AC$62,ROW()-3),'V_Para Piyasası'!$AC$2:$AC$62,0))</f>
        <v/>
      </c>
      <c r="O27" s="11">
        <f>INDEX('V_Para Piyasası'!N$2:N$62,MATCH(LARGE('V_Para Piyasası'!$AC$2:$AC$62,ROW()-3),'V_Para Piyasası'!$AC$2:$AC$62,0))</f>
        <v/>
      </c>
      <c r="P27" s="8">
        <f>INDEX('V_Para Piyasası'!O$2:O$62,MATCH(LARGE('V_Para Piyasası'!$AC$2:$AC$62,ROW()-3),'V_Para Piyasası'!$AC$2:$AC$62,0))</f>
        <v/>
      </c>
      <c r="Q27" s="9">
        <f>INDEX('V_Para Piyasası'!P$2:P$62,MATCH(LARGE('V_Para Piyasası'!$AC$2:$AC$62,ROW()-3),'V_Para Piyasası'!$AC$2:$AC$62,0))</f>
        <v/>
      </c>
      <c r="R27" s="5">
        <f>INDEX('V_Para Piyasası'!Q$2:Q$62,MATCH(LARGE('V_Para Piyasası'!$AC$2:$AC$62,ROW()-3),'V_Para Piyasası'!$AC$2:$AC$62,0))</f>
        <v/>
      </c>
      <c r="S27" s="8">
        <f>INDEX('V_Para Piyasası'!R$2:R$62,MATCH(LARGE('V_Para Piyasası'!$AC$2:$AC$62,ROW()-3),'V_Para Piyasası'!$AC$2:$AC$62,0))</f>
        <v/>
      </c>
      <c r="T27" s="8">
        <f>INDEX('V_Para Piyasası'!S$2:S$62,MATCH(LARGE('V_Para Piyasası'!$AC$2:$AC$62,ROW()-3),'V_Para Piyasası'!$AC$2:$AC$62,0))</f>
        <v/>
      </c>
      <c r="U27" s="8">
        <f>INDEX('V_Para Piyasası'!T$2:T$62,MATCH(LARGE('V_Para Piyasası'!$AC$2:$AC$62,ROW()-3),'V_Para Piyasası'!$AC$2:$AC$62,0))</f>
        <v/>
      </c>
      <c r="V27" s="8">
        <f>INDEX('V_Para Piyasası'!U$2:U$62,MATCH(LARGE('V_Para Piyasası'!$AC$2:$AC$62,ROW()-3),'V_Para Piyasası'!$AC$2:$AC$62,0))</f>
        <v/>
      </c>
      <c r="W27" s="8">
        <f>INDEX('V_Para Piyasası'!V$2:V$62,MATCH(LARGE('V_Para Piyasası'!$AC$2:$AC$62,ROW()-3),'V_Para Piyasası'!$AC$2:$AC$62,0))</f>
        <v/>
      </c>
      <c r="X27" s="8">
        <f>INDEX('V_Para Piyasası'!W$2:W$62,MATCH(LARGE('V_Para Piyasası'!$AC$2:$AC$62,ROW()-3),'V_Para Piyasası'!$AC$2:$AC$62,0))</f>
        <v/>
      </c>
      <c r="Y27" s="8">
        <f>INDEX('V_Para Piyasası'!X$2:X$62,MATCH(LARGE('V_Para Piyasası'!$AC$2:$AC$62,ROW()-3),'V_Para Piyasası'!$AC$2:$AC$62,0))</f>
        <v/>
      </c>
      <c r="Z27" s="8">
        <f>INDEX('V_Para Piyasası'!Y$2:Y$62,MATCH(LARGE('V_Para Piyasası'!$AC$2:$AC$62,ROW()-3),'V_Para Piyasası'!$AC$2:$AC$62,0))</f>
        <v/>
      </c>
      <c r="AA27" s="8">
        <f>INDEX('V_Para Piyasası'!Z$2:Z$62,MATCH(LARGE('V_Para Piyasası'!$AC$2:$AC$62,ROW()-3),'V_Para Piyasası'!$AC$2:$AC$62,0))</f>
        <v/>
      </c>
      <c r="AB27" s="8">
        <f>INDEX('V_Para Piyasası'!AA$2:AA$62,MATCH(LARGE('V_Para Piyasası'!$AC$2:$AC$62,ROW()-3),'V_Para Piyasası'!$AC$2:$AC$62,0))</f>
        <v/>
      </c>
    </row>
    <row r="28">
      <c r="A28" t="n">
        <v>25</v>
      </c>
      <c r="B28" s="5">
        <f>INDEX('V_Para Piyasası'!A$2:A$62,MATCH(LARGE('V_Para Piyasası'!$AC$2:$AC$62,ROW()-3),'V_Para Piyasası'!$AC$2:$AC$62,0))</f>
        <v/>
      </c>
      <c r="C28" s="5">
        <f>INDEX('V_Para Piyasası'!B$2:B$62,MATCH(LARGE('V_Para Piyasası'!$AC$2:$AC$62,ROW()-3),'V_Para Piyasası'!$AC$2:$AC$62,0))</f>
        <v/>
      </c>
      <c r="D28" s="5">
        <f>INDEX('V_Para Piyasası'!C$2:C$62,MATCH(LARGE('V_Para Piyasası'!$AC$2:$AC$62,ROW()-3),'V_Para Piyasası'!$AC$2:$AC$62,0))</f>
        <v/>
      </c>
      <c r="E28" s="8">
        <f>INDEX('V_Para Piyasası'!D$2:D$62,MATCH(LARGE('V_Para Piyasası'!$AC$2:$AC$62,ROW()-3),'V_Para Piyasası'!$AC$2:$AC$62,0))</f>
        <v/>
      </c>
      <c r="F28" s="9">
        <f>INDEX('V_Para Piyasası'!E$2:E$62,MATCH(LARGE('V_Para Piyasası'!$AC$2:$AC$62,ROW()-3),'V_Para Piyasası'!$AC$2:$AC$62,0))</f>
        <v/>
      </c>
      <c r="G28" s="9">
        <f>INDEX('V_Para Piyasası'!F$2:F$62,MATCH(LARGE('V_Para Piyasası'!$AC$2:$AC$62,ROW()-3),'V_Para Piyasası'!$AC$2:$AC$62,0))</f>
        <v/>
      </c>
      <c r="H28" s="9">
        <f>INDEX('V_Para Piyasası'!G$2:G$62,MATCH(LARGE('V_Para Piyasası'!$AC$2:$AC$62,ROW()-3),'V_Para Piyasası'!$AC$2:$AC$62,0))</f>
        <v/>
      </c>
      <c r="I28" s="9">
        <f>INDEX('V_Para Piyasası'!H$2:H$62,MATCH(LARGE('V_Para Piyasası'!$AC$2:$AC$62,ROW()-3),'V_Para Piyasası'!$AC$2:$AC$62,0))</f>
        <v/>
      </c>
      <c r="J28" s="9">
        <f>INDEX('V_Para Piyasası'!I$2:I$62,MATCH(LARGE('V_Para Piyasası'!$AC$2:$AC$62,ROW()-3),'V_Para Piyasası'!$AC$2:$AC$62,0))</f>
        <v/>
      </c>
      <c r="K28" s="10">
        <f>INDEX('V_Para Piyasası'!J$2:J$62,MATCH(LARGE('V_Para Piyasası'!$AC$2:$AC$62,ROW()-3),'V_Para Piyasası'!$AC$2:$AC$62,0))</f>
        <v/>
      </c>
      <c r="L28" s="10">
        <f>INDEX('V_Para Piyasası'!K$2:K$62,MATCH(LARGE('V_Para Piyasası'!$AC$2:$AC$62,ROW()-3),'V_Para Piyasası'!$AC$2:$AC$62,0))</f>
        <v/>
      </c>
      <c r="M28" s="8">
        <f>INDEX('V_Para Piyasası'!L$2:L$62,MATCH(LARGE('V_Para Piyasası'!$AC$2:$AC$62,ROW()-3),'V_Para Piyasası'!$AC$2:$AC$62,0))</f>
        <v/>
      </c>
      <c r="N28" s="11">
        <f>INDEX('V_Para Piyasası'!M$2:M$62,MATCH(LARGE('V_Para Piyasası'!$AC$2:$AC$62,ROW()-3),'V_Para Piyasası'!$AC$2:$AC$62,0))</f>
        <v/>
      </c>
      <c r="O28" s="11">
        <f>INDEX('V_Para Piyasası'!N$2:N$62,MATCH(LARGE('V_Para Piyasası'!$AC$2:$AC$62,ROW()-3),'V_Para Piyasası'!$AC$2:$AC$62,0))</f>
        <v/>
      </c>
      <c r="P28" s="8">
        <f>INDEX('V_Para Piyasası'!O$2:O$62,MATCH(LARGE('V_Para Piyasası'!$AC$2:$AC$62,ROW()-3),'V_Para Piyasası'!$AC$2:$AC$62,0))</f>
        <v/>
      </c>
      <c r="Q28" s="9">
        <f>INDEX('V_Para Piyasası'!P$2:P$62,MATCH(LARGE('V_Para Piyasası'!$AC$2:$AC$62,ROW()-3),'V_Para Piyasası'!$AC$2:$AC$62,0))</f>
        <v/>
      </c>
      <c r="R28" s="5">
        <f>INDEX('V_Para Piyasası'!Q$2:Q$62,MATCH(LARGE('V_Para Piyasası'!$AC$2:$AC$62,ROW()-3),'V_Para Piyasası'!$AC$2:$AC$62,0))</f>
        <v/>
      </c>
      <c r="S28" s="8">
        <f>INDEX('V_Para Piyasası'!R$2:R$62,MATCH(LARGE('V_Para Piyasası'!$AC$2:$AC$62,ROW()-3),'V_Para Piyasası'!$AC$2:$AC$62,0))</f>
        <v/>
      </c>
      <c r="T28" s="8">
        <f>INDEX('V_Para Piyasası'!S$2:S$62,MATCH(LARGE('V_Para Piyasası'!$AC$2:$AC$62,ROW()-3),'V_Para Piyasası'!$AC$2:$AC$62,0))</f>
        <v/>
      </c>
      <c r="U28" s="8">
        <f>INDEX('V_Para Piyasası'!T$2:T$62,MATCH(LARGE('V_Para Piyasası'!$AC$2:$AC$62,ROW()-3),'V_Para Piyasası'!$AC$2:$AC$62,0))</f>
        <v/>
      </c>
      <c r="V28" s="8">
        <f>INDEX('V_Para Piyasası'!U$2:U$62,MATCH(LARGE('V_Para Piyasası'!$AC$2:$AC$62,ROW()-3),'V_Para Piyasası'!$AC$2:$AC$62,0))</f>
        <v/>
      </c>
      <c r="W28" s="8">
        <f>INDEX('V_Para Piyasası'!V$2:V$62,MATCH(LARGE('V_Para Piyasası'!$AC$2:$AC$62,ROW()-3),'V_Para Piyasası'!$AC$2:$AC$62,0))</f>
        <v/>
      </c>
      <c r="X28" s="8">
        <f>INDEX('V_Para Piyasası'!W$2:W$62,MATCH(LARGE('V_Para Piyasası'!$AC$2:$AC$62,ROW()-3),'V_Para Piyasası'!$AC$2:$AC$62,0))</f>
        <v/>
      </c>
      <c r="Y28" s="8">
        <f>INDEX('V_Para Piyasası'!X$2:X$62,MATCH(LARGE('V_Para Piyasası'!$AC$2:$AC$62,ROW()-3),'V_Para Piyasası'!$AC$2:$AC$62,0))</f>
        <v/>
      </c>
      <c r="Z28" s="8">
        <f>INDEX('V_Para Piyasası'!Y$2:Y$62,MATCH(LARGE('V_Para Piyasası'!$AC$2:$AC$62,ROW()-3),'V_Para Piyasası'!$AC$2:$AC$62,0))</f>
        <v/>
      </c>
      <c r="AA28" s="8">
        <f>INDEX('V_Para Piyasası'!Z$2:Z$62,MATCH(LARGE('V_Para Piyasası'!$AC$2:$AC$62,ROW()-3),'V_Para Piyasası'!$AC$2:$AC$62,0))</f>
        <v/>
      </c>
      <c r="AB28" s="8">
        <f>INDEX('V_Para Piyasası'!AA$2:AA$62,MATCH(LARGE('V_Para Piyasası'!$AC$2:$AC$62,ROW()-3),'V_Para Piyasası'!$AC$2:$AC$62,0))</f>
        <v/>
      </c>
    </row>
    <row r="29">
      <c r="A29" t="n">
        <v>26</v>
      </c>
      <c r="B29" s="5">
        <f>INDEX('V_Para Piyasası'!A$2:A$62,MATCH(LARGE('V_Para Piyasası'!$AC$2:$AC$62,ROW()-3),'V_Para Piyasası'!$AC$2:$AC$62,0))</f>
        <v/>
      </c>
      <c r="C29" s="5">
        <f>INDEX('V_Para Piyasası'!B$2:B$62,MATCH(LARGE('V_Para Piyasası'!$AC$2:$AC$62,ROW()-3),'V_Para Piyasası'!$AC$2:$AC$62,0))</f>
        <v/>
      </c>
      <c r="D29" s="5">
        <f>INDEX('V_Para Piyasası'!C$2:C$62,MATCH(LARGE('V_Para Piyasası'!$AC$2:$AC$62,ROW()-3),'V_Para Piyasası'!$AC$2:$AC$62,0))</f>
        <v/>
      </c>
      <c r="E29" s="8">
        <f>INDEX('V_Para Piyasası'!D$2:D$62,MATCH(LARGE('V_Para Piyasası'!$AC$2:$AC$62,ROW()-3),'V_Para Piyasası'!$AC$2:$AC$62,0))</f>
        <v/>
      </c>
      <c r="F29" s="9">
        <f>INDEX('V_Para Piyasası'!E$2:E$62,MATCH(LARGE('V_Para Piyasası'!$AC$2:$AC$62,ROW()-3),'V_Para Piyasası'!$AC$2:$AC$62,0))</f>
        <v/>
      </c>
      <c r="G29" s="9">
        <f>INDEX('V_Para Piyasası'!F$2:F$62,MATCH(LARGE('V_Para Piyasası'!$AC$2:$AC$62,ROW()-3),'V_Para Piyasası'!$AC$2:$AC$62,0))</f>
        <v/>
      </c>
      <c r="H29" s="9">
        <f>INDEX('V_Para Piyasası'!G$2:G$62,MATCH(LARGE('V_Para Piyasası'!$AC$2:$AC$62,ROW()-3),'V_Para Piyasası'!$AC$2:$AC$62,0))</f>
        <v/>
      </c>
      <c r="I29" s="9">
        <f>INDEX('V_Para Piyasası'!H$2:H$62,MATCH(LARGE('V_Para Piyasası'!$AC$2:$AC$62,ROW()-3),'V_Para Piyasası'!$AC$2:$AC$62,0))</f>
        <v/>
      </c>
      <c r="J29" s="9">
        <f>INDEX('V_Para Piyasası'!I$2:I$62,MATCH(LARGE('V_Para Piyasası'!$AC$2:$AC$62,ROW()-3),'V_Para Piyasası'!$AC$2:$AC$62,0))</f>
        <v/>
      </c>
      <c r="K29" s="10">
        <f>INDEX('V_Para Piyasası'!J$2:J$62,MATCH(LARGE('V_Para Piyasası'!$AC$2:$AC$62,ROW()-3),'V_Para Piyasası'!$AC$2:$AC$62,0))</f>
        <v/>
      </c>
      <c r="L29" s="10">
        <f>INDEX('V_Para Piyasası'!K$2:K$62,MATCH(LARGE('V_Para Piyasası'!$AC$2:$AC$62,ROW()-3),'V_Para Piyasası'!$AC$2:$AC$62,0))</f>
        <v/>
      </c>
      <c r="M29" s="8">
        <f>INDEX('V_Para Piyasası'!L$2:L$62,MATCH(LARGE('V_Para Piyasası'!$AC$2:$AC$62,ROW()-3),'V_Para Piyasası'!$AC$2:$AC$62,0))</f>
        <v/>
      </c>
      <c r="N29" s="11">
        <f>INDEX('V_Para Piyasası'!M$2:M$62,MATCH(LARGE('V_Para Piyasası'!$AC$2:$AC$62,ROW()-3),'V_Para Piyasası'!$AC$2:$AC$62,0))</f>
        <v/>
      </c>
      <c r="O29" s="11">
        <f>INDEX('V_Para Piyasası'!N$2:N$62,MATCH(LARGE('V_Para Piyasası'!$AC$2:$AC$62,ROW()-3),'V_Para Piyasası'!$AC$2:$AC$62,0))</f>
        <v/>
      </c>
      <c r="P29" s="8">
        <f>INDEX('V_Para Piyasası'!O$2:O$62,MATCH(LARGE('V_Para Piyasası'!$AC$2:$AC$62,ROW()-3),'V_Para Piyasası'!$AC$2:$AC$62,0))</f>
        <v/>
      </c>
      <c r="Q29" s="9">
        <f>INDEX('V_Para Piyasası'!P$2:P$62,MATCH(LARGE('V_Para Piyasası'!$AC$2:$AC$62,ROW()-3),'V_Para Piyasası'!$AC$2:$AC$62,0))</f>
        <v/>
      </c>
      <c r="R29" s="5">
        <f>INDEX('V_Para Piyasası'!Q$2:Q$62,MATCH(LARGE('V_Para Piyasası'!$AC$2:$AC$62,ROW()-3),'V_Para Piyasası'!$AC$2:$AC$62,0))</f>
        <v/>
      </c>
      <c r="S29" s="8">
        <f>INDEX('V_Para Piyasası'!R$2:R$62,MATCH(LARGE('V_Para Piyasası'!$AC$2:$AC$62,ROW()-3),'V_Para Piyasası'!$AC$2:$AC$62,0))</f>
        <v/>
      </c>
      <c r="T29" s="8">
        <f>INDEX('V_Para Piyasası'!S$2:S$62,MATCH(LARGE('V_Para Piyasası'!$AC$2:$AC$62,ROW()-3),'V_Para Piyasası'!$AC$2:$AC$62,0))</f>
        <v/>
      </c>
      <c r="U29" s="8">
        <f>INDEX('V_Para Piyasası'!T$2:T$62,MATCH(LARGE('V_Para Piyasası'!$AC$2:$AC$62,ROW()-3),'V_Para Piyasası'!$AC$2:$AC$62,0))</f>
        <v/>
      </c>
      <c r="V29" s="8">
        <f>INDEX('V_Para Piyasası'!U$2:U$62,MATCH(LARGE('V_Para Piyasası'!$AC$2:$AC$62,ROW()-3),'V_Para Piyasası'!$AC$2:$AC$62,0))</f>
        <v/>
      </c>
      <c r="W29" s="8">
        <f>INDEX('V_Para Piyasası'!V$2:V$62,MATCH(LARGE('V_Para Piyasası'!$AC$2:$AC$62,ROW()-3),'V_Para Piyasası'!$AC$2:$AC$62,0))</f>
        <v/>
      </c>
      <c r="X29" s="8">
        <f>INDEX('V_Para Piyasası'!W$2:W$62,MATCH(LARGE('V_Para Piyasası'!$AC$2:$AC$62,ROW()-3),'V_Para Piyasası'!$AC$2:$AC$62,0))</f>
        <v/>
      </c>
      <c r="Y29" s="8">
        <f>INDEX('V_Para Piyasası'!X$2:X$62,MATCH(LARGE('V_Para Piyasası'!$AC$2:$AC$62,ROW()-3),'V_Para Piyasası'!$AC$2:$AC$62,0))</f>
        <v/>
      </c>
      <c r="Z29" s="8">
        <f>INDEX('V_Para Piyasası'!Y$2:Y$62,MATCH(LARGE('V_Para Piyasası'!$AC$2:$AC$62,ROW()-3),'V_Para Piyasası'!$AC$2:$AC$62,0))</f>
        <v/>
      </c>
      <c r="AA29" s="8">
        <f>INDEX('V_Para Piyasası'!Z$2:Z$62,MATCH(LARGE('V_Para Piyasası'!$AC$2:$AC$62,ROW()-3),'V_Para Piyasası'!$AC$2:$AC$62,0))</f>
        <v/>
      </c>
      <c r="AB29" s="8">
        <f>INDEX('V_Para Piyasası'!AA$2:AA$62,MATCH(LARGE('V_Para Piyasası'!$AC$2:$AC$62,ROW()-3),'V_Para Piyasası'!$AC$2:$AC$62,0))</f>
        <v/>
      </c>
    </row>
    <row r="30">
      <c r="A30" t="n">
        <v>27</v>
      </c>
      <c r="B30" s="5">
        <f>INDEX('V_Para Piyasası'!A$2:A$62,MATCH(LARGE('V_Para Piyasası'!$AC$2:$AC$62,ROW()-3),'V_Para Piyasası'!$AC$2:$AC$62,0))</f>
        <v/>
      </c>
      <c r="C30" s="5">
        <f>INDEX('V_Para Piyasası'!B$2:B$62,MATCH(LARGE('V_Para Piyasası'!$AC$2:$AC$62,ROW()-3),'V_Para Piyasası'!$AC$2:$AC$62,0))</f>
        <v/>
      </c>
      <c r="D30" s="5">
        <f>INDEX('V_Para Piyasası'!C$2:C$62,MATCH(LARGE('V_Para Piyasası'!$AC$2:$AC$62,ROW()-3),'V_Para Piyasası'!$AC$2:$AC$62,0))</f>
        <v/>
      </c>
      <c r="E30" s="8">
        <f>INDEX('V_Para Piyasası'!D$2:D$62,MATCH(LARGE('V_Para Piyasası'!$AC$2:$AC$62,ROW()-3),'V_Para Piyasası'!$AC$2:$AC$62,0))</f>
        <v/>
      </c>
      <c r="F30" s="9">
        <f>INDEX('V_Para Piyasası'!E$2:E$62,MATCH(LARGE('V_Para Piyasası'!$AC$2:$AC$62,ROW()-3),'V_Para Piyasası'!$AC$2:$AC$62,0))</f>
        <v/>
      </c>
      <c r="G30" s="9">
        <f>INDEX('V_Para Piyasası'!F$2:F$62,MATCH(LARGE('V_Para Piyasası'!$AC$2:$AC$62,ROW()-3),'V_Para Piyasası'!$AC$2:$AC$62,0))</f>
        <v/>
      </c>
      <c r="H30" s="9">
        <f>INDEX('V_Para Piyasası'!G$2:G$62,MATCH(LARGE('V_Para Piyasası'!$AC$2:$AC$62,ROW()-3),'V_Para Piyasası'!$AC$2:$AC$62,0))</f>
        <v/>
      </c>
      <c r="I30" s="9">
        <f>INDEX('V_Para Piyasası'!H$2:H$62,MATCH(LARGE('V_Para Piyasası'!$AC$2:$AC$62,ROW()-3),'V_Para Piyasası'!$AC$2:$AC$62,0))</f>
        <v/>
      </c>
      <c r="J30" s="9">
        <f>INDEX('V_Para Piyasası'!I$2:I$62,MATCH(LARGE('V_Para Piyasası'!$AC$2:$AC$62,ROW()-3),'V_Para Piyasası'!$AC$2:$AC$62,0))</f>
        <v/>
      </c>
      <c r="K30" s="10">
        <f>INDEX('V_Para Piyasası'!J$2:J$62,MATCH(LARGE('V_Para Piyasası'!$AC$2:$AC$62,ROW()-3),'V_Para Piyasası'!$AC$2:$AC$62,0))</f>
        <v/>
      </c>
      <c r="L30" s="10">
        <f>INDEX('V_Para Piyasası'!K$2:K$62,MATCH(LARGE('V_Para Piyasası'!$AC$2:$AC$62,ROW()-3),'V_Para Piyasası'!$AC$2:$AC$62,0))</f>
        <v/>
      </c>
      <c r="M30" s="8">
        <f>INDEX('V_Para Piyasası'!L$2:L$62,MATCH(LARGE('V_Para Piyasası'!$AC$2:$AC$62,ROW()-3),'V_Para Piyasası'!$AC$2:$AC$62,0))</f>
        <v/>
      </c>
      <c r="N30" s="11">
        <f>INDEX('V_Para Piyasası'!M$2:M$62,MATCH(LARGE('V_Para Piyasası'!$AC$2:$AC$62,ROW()-3),'V_Para Piyasası'!$AC$2:$AC$62,0))</f>
        <v/>
      </c>
      <c r="O30" s="11">
        <f>INDEX('V_Para Piyasası'!N$2:N$62,MATCH(LARGE('V_Para Piyasası'!$AC$2:$AC$62,ROW()-3),'V_Para Piyasası'!$AC$2:$AC$62,0))</f>
        <v/>
      </c>
      <c r="P30" s="8">
        <f>INDEX('V_Para Piyasası'!O$2:O$62,MATCH(LARGE('V_Para Piyasası'!$AC$2:$AC$62,ROW()-3),'V_Para Piyasası'!$AC$2:$AC$62,0))</f>
        <v/>
      </c>
      <c r="Q30" s="9">
        <f>INDEX('V_Para Piyasası'!P$2:P$62,MATCH(LARGE('V_Para Piyasası'!$AC$2:$AC$62,ROW()-3),'V_Para Piyasası'!$AC$2:$AC$62,0))</f>
        <v/>
      </c>
      <c r="R30" s="5">
        <f>INDEX('V_Para Piyasası'!Q$2:Q$62,MATCH(LARGE('V_Para Piyasası'!$AC$2:$AC$62,ROW()-3),'V_Para Piyasası'!$AC$2:$AC$62,0))</f>
        <v/>
      </c>
      <c r="S30" s="8">
        <f>INDEX('V_Para Piyasası'!R$2:R$62,MATCH(LARGE('V_Para Piyasası'!$AC$2:$AC$62,ROW()-3),'V_Para Piyasası'!$AC$2:$AC$62,0))</f>
        <v/>
      </c>
      <c r="T30" s="8">
        <f>INDEX('V_Para Piyasası'!S$2:S$62,MATCH(LARGE('V_Para Piyasası'!$AC$2:$AC$62,ROW()-3),'V_Para Piyasası'!$AC$2:$AC$62,0))</f>
        <v/>
      </c>
      <c r="U30" s="8">
        <f>INDEX('V_Para Piyasası'!T$2:T$62,MATCH(LARGE('V_Para Piyasası'!$AC$2:$AC$62,ROW()-3),'V_Para Piyasası'!$AC$2:$AC$62,0))</f>
        <v/>
      </c>
      <c r="V30" s="8">
        <f>INDEX('V_Para Piyasası'!U$2:U$62,MATCH(LARGE('V_Para Piyasası'!$AC$2:$AC$62,ROW()-3),'V_Para Piyasası'!$AC$2:$AC$62,0))</f>
        <v/>
      </c>
      <c r="W30" s="8">
        <f>INDEX('V_Para Piyasası'!V$2:V$62,MATCH(LARGE('V_Para Piyasası'!$AC$2:$AC$62,ROW()-3),'V_Para Piyasası'!$AC$2:$AC$62,0))</f>
        <v/>
      </c>
      <c r="X30" s="8">
        <f>INDEX('V_Para Piyasası'!W$2:W$62,MATCH(LARGE('V_Para Piyasası'!$AC$2:$AC$62,ROW()-3),'V_Para Piyasası'!$AC$2:$AC$62,0))</f>
        <v/>
      </c>
      <c r="Y30" s="8">
        <f>INDEX('V_Para Piyasası'!X$2:X$62,MATCH(LARGE('V_Para Piyasası'!$AC$2:$AC$62,ROW()-3),'V_Para Piyasası'!$AC$2:$AC$62,0))</f>
        <v/>
      </c>
      <c r="Z30" s="8">
        <f>INDEX('V_Para Piyasası'!Y$2:Y$62,MATCH(LARGE('V_Para Piyasası'!$AC$2:$AC$62,ROW()-3),'V_Para Piyasası'!$AC$2:$AC$62,0))</f>
        <v/>
      </c>
      <c r="AA30" s="8">
        <f>INDEX('V_Para Piyasası'!Z$2:Z$62,MATCH(LARGE('V_Para Piyasası'!$AC$2:$AC$62,ROW()-3),'V_Para Piyasası'!$AC$2:$AC$62,0))</f>
        <v/>
      </c>
      <c r="AB30" s="8">
        <f>INDEX('V_Para Piyasası'!AA$2:AA$62,MATCH(LARGE('V_Para Piyasası'!$AC$2:$AC$62,ROW()-3),'V_Para Piyasası'!$AC$2:$AC$62,0))</f>
        <v/>
      </c>
    </row>
    <row r="31">
      <c r="A31" t="n">
        <v>28</v>
      </c>
      <c r="B31" s="5">
        <f>INDEX('V_Para Piyasası'!A$2:A$62,MATCH(LARGE('V_Para Piyasası'!$AC$2:$AC$62,ROW()-3),'V_Para Piyasası'!$AC$2:$AC$62,0))</f>
        <v/>
      </c>
      <c r="C31" s="5">
        <f>INDEX('V_Para Piyasası'!B$2:B$62,MATCH(LARGE('V_Para Piyasası'!$AC$2:$AC$62,ROW()-3),'V_Para Piyasası'!$AC$2:$AC$62,0))</f>
        <v/>
      </c>
      <c r="D31" s="5">
        <f>INDEX('V_Para Piyasası'!C$2:C$62,MATCH(LARGE('V_Para Piyasası'!$AC$2:$AC$62,ROW()-3),'V_Para Piyasası'!$AC$2:$AC$62,0))</f>
        <v/>
      </c>
      <c r="E31" s="8">
        <f>INDEX('V_Para Piyasası'!D$2:D$62,MATCH(LARGE('V_Para Piyasası'!$AC$2:$AC$62,ROW()-3),'V_Para Piyasası'!$AC$2:$AC$62,0))</f>
        <v/>
      </c>
      <c r="F31" s="9">
        <f>INDEX('V_Para Piyasası'!E$2:E$62,MATCH(LARGE('V_Para Piyasası'!$AC$2:$AC$62,ROW()-3),'V_Para Piyasası'!$AC$2:$AC$62,0))</f>
        <v/>
      </c>
      <c r="G31" s="9">
        <f>INDEX('V_Para Piyasası'!F$2:F$62,MATCH(LARGE('V_Para Piyasası'!$AC$2:$AC$62,ROW()-3),'V_Para Piyasası'!$AC$2:$AC$62,0))</f>
        <v/>
      </c>
      <c r="H31" s="9">
        <f>INDEX('V_Para Piyasası'!G$2:G$62,MATCH(LARGE('V_Para Piyasası'!$AC$2:$AC$62,ROW()-3),'V_Para Piyasası'!$AC$2:$AC$62,0))</f>
        <v/>
      </c>
      <c r="I31" s="9">
        <f>INDEX('V_Para Piyasası'!H$2:H$62,MATCH(LARGE('V_Para Piyasası'!$AC$2:$AC$62,ROW()-3),'V_Para Piyasası'!$AC$2:$AC$62,0))</f>
        <v/>
      </c>
      <c r="J31" s="9">
        <f>INDEX('V_Para Piyasası'!I$2:I$62,MATCH(LARGE('V_Para Piyasası'!$AC$2:$AC$62,ROW()-3),'V_Para Piyasası'!$AC$2:$AC$62,0))</f>
        <v/>
      </c>
      <c r="K31" s="10">
        <f>INDEX('V_Para Piyasası'!J$2:J$62,MATCH(LARGE('V_Para Piyasası'!$AC$2:$AC$62,ROW()-3),'V_Para Piyasası'!$AC$2:$AC$62,0))</f>
        <v/>
      </c>
      <c r="L31" s="10">
        <f>INDEX('V_Para Piyasası'!K$2:K$62,MATCH(LARGE('V_Para Piyasası'!$AC$2:$AC$62,ROW()-3),'V_Para Piyasası'!$AC$2:$AC$62,0))</f>
        <v/>
      </c>
      <c r="M31" s="8">
        <f>INDEX('V_Para Piyasası'!L$2:L$62,MATCH(LARGE('V_Para Piyasası'!$AC$2:$AC$62,ROW()-3),'V_Para Piyasası'!$AC$2:$AC$62,0))</f>
        <v/>
      </c>
      <c r="N31" s="11">
        <f>INDEX('V_Para Piyasası'!M$2:M$62,MATCH(LARGE('V_Para Piyasası'!$AC$2:$AC$62,ROW()-3),'V_Para Piyasası'!$AC$2:$AC$62,0))</f>
        <v/>
      </c>
      <c r="O31" s="11">
        <f>INDEX('V_Para Piyasası'!N$2:N$62,MATCH(LARGE('V_Para Piyasası'!$AC$2:$AC$62,ROW()-3),'V_Para Piyasası'!$AC$2:$AC$62,0))</f>
        <v/>
      </c>
      <c r="P31" s="8">
        <f>INDEX('V_Para Piyasası'!O$2:O$62,MATCH(LARGE('V_Para Piyasası'!$AC$2:$AC$62,ROW()-3),'V_Para Piyasası'!$AC$2:$AC$62,0))</f>
        <v/>
      </c>
      <c r="Q31" s="9">
        <f>INDEX('V_Para Piyasası'!P$2:P$62,MATCH(LARGE('V_Para Piyasası'!$AC$2:$AC$62,ROW()-3),'V_Para Piyasası'!$AC$2:$AC$62,0))</f>
        <v/>
      </c>
      <c r="R31" s="5">
        <f>INDEX('V_Para Piyasası'!Q$2:Q$62,MATCH(LARGE('V_Para Piyasası'!$AC$2:$AC$62,ROW()-3),'V_Para Piyasası'!$AC$2:$AC$62,0))</f>
        <v/>
      </c>
      <c r="S31" s="8">
        <f>INDEX('V_Para Piyasası'!R$2:R$62,MATCH(LARGE('V_Para Piyasası'!$AC$2:$AC$62,ROW()-3),'V_Para Piyasası'!$AC$2:$AC$62,0))</f>
        <v/>
      </c>
      <c r="T31" s="8">
        <f>INDEX('V_Para Piyasası'!S$2:S$62,MATCH(LARGE('V_Para Piyasası'!$AC$2:$AC$62,ROW()-3),'V_Para Piyasası'!$AC$2:$AC$62,0))</f>
        <v/>
      </c>
      <c r="U31" s="8">
        <f>INDEX('V_Para Piyasası'!T$2:T$62,MATCH(LARGE('V_Para Piyasası'!$AC$2:$AC$62,ROW()-3),'V_Para Piyasası'!$AC$2:$AC$62,0))</f>
        <v/>
      </c>
      <c r="V31" s="8">
        <f>INDEX('V_Para Piyasası'!U$2:U$62,MATCH(LARGE('V_Para Piyasası'!$AC$2:$AC$62,ROW()-3),'V_Para Piyasası'!$AC$2:$AC$62,0))</f>
        <v/>
      </c>
      <c r="W31" s="8">
        <f>INDEX('V_Para Piyasası'!V$2:V$62,MATCH(LARGE('V_Para Piyasası'!$AC$2:$AC$62,ROW()-3),'V_Para Piyasası'!$AC$2:$AC$62,0))</f>
        <v/>
      </c>
      <c r="X31" s="8">
        <f>INDEX('V_Para Piyasası'!W$2:W$62,MATCH(LARGE('V_Para Piyasası'!$AC$2:$AC$62,ROW()-3),'V_Para Piyasası'!$AC$2:$AC$62,0))</f>
        <v/>
      </c>
      <c r="Y31" s="8">
        <f>INDEX('V_Para Piyasası'!X$2:X$62,MATCH(LARGE('V_Para Piyasası'!$AC$2:$AC$62,ROW()-3),'V_Para Piyasası'!$AC$2:$AC$62,0))</f>
        <v/>
      </c>
      <c r="Z31" s="8">
        <f>INDEX('V_Para Piyasası'!Y$2:Y$62,MATCH(LARGE('V_Para Piyasası'!$AC$2:$AC$62,ROW()-3),'V_Para Piyasası'!$AC$2:$AC$62,0))</f>
        <v/>
      </c>
      <c r="AA31" s="8">
        <f>INDEX('V_Para Piyasası'!Z$2:Z$62,MATCH(LARGE('V_Para Piyasası'!$AC$2:$AC$62,ROW()-3),'V_Para Piyasası'!$AC$2:$AC$62,0))</f>
        <v/>
      </c>
      <c r="AB31" s="8">
        <f>INDEX('V_Para Piyasası'!AA$2:AA$62,MATCH(LARGE('V_Para Piyasası'!$AC$2:$AC$62,ROW()-3),'V_Para Piyasası'!$AC$2:$AC$62,0))</f>
        <v/>
      </c>
    </row>
    <row r="32">
      <c r="A32" t="n">
        <v>29</v>
      </c>
      <c r="B32" s="5">
        <f>INDEX('V_Para Piyasası'!A$2:A$62,MATCH(LARGE('V_Para Piyasası'!$AC$2:$AC$62,ROW()-3),'V_Para Piyasası'!$AC$2:$AC$62,0))</f>
        <v/>
      </c>
      <c r="C32" s="5">
        <f>INDEX('V_Para Piyasası'!B$2:B$62,MATCH(LARGE('V_Para Piyasası'!$AC$2:$AC$62,ROW()-3),'V_Para Piyasası'!$AC$2:$AC$62,0))</f>
        <v/>
      </c>
      <c r="D32" s="5">
        <f>INDEX('V_Para Piyasası'!C$2:C$62,MATCH(LARGE('V_Para Piyasası'!$AC$2:$AC$62,ROW()-3),'V_Para Piyasası'!$AC$2:$AC$62,0))</f>
        <v/>
      </c>
      <c r="E32" s="8">
        <f>INDEX('V_Para Piyasası'!D$2:D$62,MATCH(LARGE('V_Para Piyasası'!$AC$2:$AC$62,ROW()-3),'V_Para Piyasası'!$AC$2:$AC$62,0))</f>
        <v/>
      </c>
      <c r="F32" s="9">
        <f>INDEX('V_Para Piyasası'!E$2:E$62,MATCH(LARGE('V_Para Piyasası'!$AC$2:$AC$62,ROW()-3),'V_Para Piyasası'!$AC$2:$AC$62,0))</f>
        <v/>
      </c>
      <c r="G32" s="9">
        <f>INDEX('V_Para Piyasası'!F$2:F$62,MATCH(LARGE('V_Para Piyasası'!$AC$2:$AC$62,ROW()-3),'V_Para Piyasası'!$AC$2:$AC$62,0))</f>
        <v/>
      </c>
      <c r="H32" s="9">
        <f>INDEX('V_Para Piyasası'!G$2:G$62,MATCH(LARGE('V_Para Piyasası'!$AC$2:$AC$62,ROW()-3),'V_Para Piyasası'!$AC$2:$AC$62,0))</f>
        <v/>
      </c>
      <c r="I32" s="9">
        <f>INDEX('V_Para Piyasası'!H$2:H$62,MATCH(LARGE('V_Para Piyasası'!$AC$2:$AC$62,ROW()-3),'V_Para Piyasası'!$AC$2:$AC$62,0))</f>
        <v/>
      </c>
      <c r="J32" s="9">
        <f>INDEX('V_Para Piyasası'!I$2:I$62,MATCH(LARGE('V_Para Piyasası'!$AC$2:$AC$62,ROW()-3),'V_Para Piyasası'!$AC$2:$AC$62,0))</f>
        <v/>
      </c>
      <c r="K32" s="10">
        <f>INDEX('V_Para Piyasası'!J$2:J$62,MATCH(LARGE('V_Para Piyasası'!$AC$2:$AC$62,ROW()-3),'V_Para Piyasası'!$AC$2:$AC$62,0))</f>
        <v/>
      </c>
      <c r="L32" s="10">
        <f>INDEX('V_Para Piyasası'!K$2:K$62,MATCH(LARGE('V_Para Piyasası'!$AC$2:$AC$62,ROW()-3),'V_Para Piyasası'!$AC$2:$AC$62,0))</f>
        <v/>
      </c>
      <c r="M32" s="8">
        <f>INDEX('V_Para Piyasası'!L$2:L$62,MATCH(LARGE('V_Para Piyasası'!$AC$2:$AC$62,ROW()-3),'V_Para Piyasası'!$AC$2:$AC$62,0))</f>
        <v/>
      </c>
      <c r="N32" s="11">
        <f>INDEX('V_Para Piyasası'!M$2:M$62,MATCH(LARGE('V_Para Piyasası'!$AC$2:$AC$62,ROW()-3),'V_Para Piyasası'!$AC$2:$AC$62,0))</f>
        <v/>
      </c>
      <c r="O32" s="11">
        <f>INDEX('V_Para Piyasası'!N$2:N$62,MATCH(LARGE('V_Para Piyasası'!$AC$2:$AC$62,ROW()-3),'V_Para Piyasası'!$AC$2:$AC$62,0))</f>
        <v/>
      </c>
      <c r="P32" s="8">
        <f>INDEX('V_Para Piyasası'!O$2:O$62,MATCH(LARGE('V_Para Piyasası'!$AC$2:$AC$62,ROW()-3),'V_Para Piyasası'!$AC$2:$AC$62,0))</f>
        <v/>
      </c>
      <c r="Q32" s="9">
        <f>INDEX('V_Para Piyasası'!P$2:P$62,MATCH(LARGE('V_Para Piyasası'!$AC$2:$AC$62,ROW()-3),'V_Para Piyasası'!$AC$2:$AC$62,0))</f>
        <v/>
      </c>
      <c r="R32" s="5">
        <f>INDEX('V_Para Piyasası'!Q$2:Q$62,MATCH(LARGE('V_Para Piyasası'!$AC$2:$AC$62,ROW()-3),'V_Para Piyasası'!$AC$2:$AC$62,0))</f>
        <v/>
      </c>
      <c r="S32" s="8">
        <f>INDEX('V_Para Piyasası'!R$2:R$62,MATCH(LARGE('V_Para Piyasası'!$AC$2:$AC$62,ROW()-3),'V_Para Piyasası'!$AC$2:$AC$62,0))</f>
        <v/>
      </c>
      <c r="T32" s="8">
        <f>INDEX('V_Para Piyasası'!S$2:S$62,MATCH(LARGE('V_Para Piyasası'!$AC$2:$AC$62,ROW()-3),'V_Para Piyasası'!$AC$2:$AC$62,0))</f>
        <v/>
      </c>
      <c r="U32" s="8">
        <f>INDEX('V_Para Piyasası'!T$2:T$62,MATCH(LARGE('V_Para Piyasası'!$AC$2:$AC$62,ROW()-3),'V_Para Piyasası'!$AC$2:$AC$62,0))</f>
        <v/>
      </c>
      <c r="V32" s="8">
        <f>INDEX('V_Para Piyasası'!U$2:U$62,MATCH(LARGE('V_Para Piyasası'!$AC$2:$AC$62,ROW()-3),'V_Para Piyasası'!$AC$2:$AC$62,0))</f>
        <v/>
      </c>
      <c r="W32" s="8">
        <f>INDEX('V_Para Piyasası'!V$2:V$62,MATCH(LARGE('V_Para Piyasası'!$AC$2:$AC$62,ROW()-3),'V_Para Piyasası'!$AC$2:$AC$62,0))</f>
        <v/>
      </c>
      <c r="X32" s="8">
        <f>INDEX('V_Para Piyasası'!W$2:W$62,MATCH(LARGE('V_Para Piyasası'!$AC$2:$AC$62,ROW()-3),'V_Para Piyasası'!$AC$2:$AC$62,0))</f>
        <v/>
      </c>
      <c r="Y32" s="8">
        <f>INDEX('V_Para Piyasası'!X$2:X$62,MATCH(LARGE('V_Para Piyasası'!$AC$2:$AC$62,ROW()-3),'V_Para Piyasası'!$AC$2:$AC$62,0))</f>
        <v/>
      </c>
      <c r="Z32" s="8">
        <f>INDEX('V_Para Piyasası'!Y$2:Y$62,MATCH(LARGE('V_Para Piyasası'!$AC$2:$AC$62,ROW()-3),'V_Para Piyasası'!$AC$2:$AC$62,0))</f>
        <v/>
      </c>
      <c r="AA32" s="8">
        <f>INDEX('V_Para Piyasası'!Z$2:Z$62,MATCH(LARGE('V_Para Piyasası'!$AC$2:$AC$62,ROW()-3),'V_Para Piyasası'!$AC$2:$AC$62,0))</f>
        <v/>
      </c>
      <c r="AB32" s="8">
        <f>INDEX('V_Para Piyasası'!AA$2:AA$62,MATCH(LARGE('V_Para Piyasası'!$AC$2:$AC$62,ROW()-3),'V_Para Piyasası'!$AC$2:$AC$62,0))</f>
        <v/>
      </c>
    </row>
    <row r="33">
      <c r="A33" t="n">
        <v>30</v>
      </c>
      <c r="B33" s="5">
        <f>INDEX('V_Para Piyasası'!A$2:A$62,MATCH(LARGE('V_Para Piyasası'!$AC$2:$AC$62,ROW()-3),'V_Para Piyasası'!$AC$2:$AC$62,0))</f>
        <v/>
      </c>
      <c r="C33" s="5">
        <f>INDEX('V_Para Piyasası'!B$2:B$62,MATCH(LARGE('V_Para Piyasası'!$AC$2:$AC$62,ROW()-3),'V_Para Piyasası'!$AC$2:$AC$62,0))</f>
        <v/>
      </c>
      <c r="D33" s="5">
        <f>INDEX('V_Para Piyasası'!C$2:C$62,MATCH(LARGE('V_Para Piyasası'!$AC$2:$AC$62,ROW()-3),'V_Para Piyasası'!$AC$2:$AC$62,0))</f>
        <v/>
      </c>
      <c r="E33" s="8">
        <f>INDEX('V_Para Piyasası'!D$2:D$62,MATCH(LARGE('V_Para Piyasası'!$AC$2:$AC$62,ROW()-3),'V_Para Piyasası'!$AC$2:$AC$62,0))</f>
        <v/>
      </c>
      <c r="F33" s="9">
        <f>INDEX('V_Para Piyasası'!E$2:E$62,MATCH(LARGE('V_Para Piyasası'!$AC$2:$AC$62,ROW()-3),'V_Para Piyasası'!$AC$2:$AC$62,0))</f>
        <v/>
      </c>
      <c r="G33" s="9">
        <f>INDEX('V_Para Piyasası'!F$2:F$62,MATCH(LARGE('V_Para Piyasası'!$AC$2:$AC$62,ROW()-3),'V_Para Piyasası'!$AC$2:$AC$62,0))</f>
        <v/>
      </c>
      <c r="H33" s="9">
        <f>INDEX('V_Para Piyasası'!G$2:G$62,MATCH(LARGE('V_Para Piyasası'!$AC$2:$AC$62,ROW()-3),'V_Para Piyasası'!$AC$2:$AC$62,0))</f>
        <v/>
      </c>
      <c r="I33" s="9">
        <f>INDEX('V_Para Piyasası'!H$2:H$62,MATCH(LARGE('V_Para Piyasası'!$AC$2:$AC$62,ROW()-3),'V_Para Piyasası'!$AC$2:$AC$62,0))</f>
        <v/>
      </c>
      <c r="J33" s="9">
        <f>INDEX('V_Para Piyasası'!I$2:I$62,MATCH(LARGE('V_Para Piyasası'!$AC$2:$AC$62,ROW()-3),'V_Para Piyasası'!$AC$2:$AC$62,0))</f>
        <v/>
      </c>
      <c r="K33" s="10">
        <f>INDEX('V_Para Piyasası'!J$2:J$62,MATCH(LARGE('V_Para Piyasası'!$AC$2:$AC$62,ROW()-3),'V_Para Piyasası'!$AC$2:$AC$62,0))</f>
        <v/>
      </c>
      <c r="L33" s="10">
        <f>INDEX('V_Para Piyasası'!K$2:K$62,MATCH(LARGE('V_Para Piyasası'!$AC$2:$AC$62,ROW()-3),'V_Para Piyasası'!$AC$2:$AC$62,0))</f>
        <v/>
      </c>
      <c r="M33" s="8">
        <f>INDEX('V_Para Piyasası'!L$2:L$62,MATCH(LARGE('V_Para Piyasası'!$AC$2:$AC$62,ROW()-3),'V_Para Piyasası'!$AC$2:$AC$62,0))</f>
        <v/>
      </c>
      <c r="N33" s="11">
        <f>INDEX('V_Para Piyasası'!M$2:M$62,MATCH(LARGE('V_Para Piyasası'!$AC$2:$AC$62,ROW()-3),'V_Para Piyasası'!$AC$2:$AC$62,0))</f>
        <v/>
      </c>
      <c r="O33" s="11">
        <f>INDEX('V_Para Piyasası'!N$2:N$62,MATCH(LARGE('V_Para Piyasası'!$AC$2:$AC$62,ROW()-3),'V_Para Piyasası'!$AC$2:$AC$62,0))</f>
        <v/>
      </c>
      <c r="P33" s="8">
        <f>INDEX('V_Para Piyasası'!O$2:O$62,MATCH(LARGE('V_Para Piyasası'!$AC$2:$AC$62,ROW()-3),'V_Para Piyasası'!$AC$2:$AC$62,0))</f>
        <v/>
      </c>
      <c r="Q33" s="9">
        <f>INDEX('V_Para Piyasası'!P$2:P$62,MATCH(LARGE('V_Para Piyasası'!$AC$2:$AC$62,ROW()-3),'V_Para Piyasası'!$AC$2:$AC$62,0))</f>
        <v/>
      </c>
      <c r="R33" s="5">
        <f>INDEX('V_Para Piyasası'!Q$2:Q$62,MATCH(LARGE('V_Para Piyasası'!$AC$2:$AC$62,ROW()-3),'V_Para Piyasası'!$AC$2:$AC$62,0))</f>
        <v/>
      </c>
      <c r="S33" s="8">
        <f>INDEX('V_Para Piyasası'!R$2:R$62,MATCH(LARGE('V_Para Piyasası'!$AC$2:$AC$62,ROW()-3),'V_Para Piyasası'!$AC$2:$AC$62,0))</f>
        <v/>
      </c>
      <c r="T33" s="8">
        <f>INDEX('V_Para Piyasası'!S$2:S$62,MATCH(LARGE('V_Para Piyasası'!$AC$2:$AC$62,ROW()-3),'V_Para Piyasası'!$AC$2:$AC$62,0))</f>
        <v/>
      </c>
      <c r="U33" s="8">
        <f>INDEX('V_Para Piyasası'!T$2:T$62,MATCH(LARGE('V_Para Piyasası'!$AC$2:$AC$62,ROW()-3),'V_Para Piyasası'!$AC$2:$AC$62,0))</f>
        <v/>
      </c>
      <c r="V33" s="8">
        <f>INDEX('V_Para Piyasası'!U$2:U$62,MATCH(LARGE('V_Para Piyasası'!$AC$2:$AC$62,ROW()-3),'V_Para Piyasası'!$AC$2:$AC$62,0))</f>
        <v/>
      </c>
      <c r="W33" s="8">
        <f>INDEX('V_Para Piyasası'!V$2:V$62,MATCH(LARGE('V_Para Piyasası'!$AC$2:$AC$62,ROW()-3),'V_Para Piyasası'!$AC$2:$AC$62,0))</f>
        <v/>
      </c>
      <c r="X33" s="8">
        <f>INDEX('V_Para Piyasası'!W$2:W$62,MATCH(LARGE('V_Para Piyasası'!$AC$2:$AC$62,ROW()-3),'V_Para Piyasası'!$AC$2:$AC$62,0))</f>
        <v/>
      </c>
      <c r="Y33" s="8">
        <f>INDEX('V_Para Piyasası'!X$2:X$62,MATCH(LARGE('V_Para Piyasası'!$AC$2:$AC$62,ROW()-3),'V_Para Piyasası'!$AC$2:$AC$62,0))</f>
        <v/>
      </c>
      <c r="Z33" s="8">
        <f>INDEX('V_Para Piyasası'!Y$2:Y$62,MATCH(LARGE('V_Para Piyasası'!$AC$2:$AC$62,ROW()-3),'V_Para Piyasası'!$AC$2:$AC$62,0))</f>
        <v/>
      </c>
      <c r="AA33" s="8">
        <f>INDEX('V_Para Piyasası'!Z$2:Z$62,MATCH(LARGE('V_Para Piyasası'!$AC$2:$AC$62,ROW()-3),'V_Para Piyasası'!$AC$2:$AC$62,0))</f>
        <v/>
      </c>
      <c r="AB33" s="8">
        <f>INDEX('V_Para Piyasası'!AA$2:AA$62,MATCH(LARGE('V_Para Piyasası'!$AC$2:$AC$62,ROW()-3),'V_Para Piyasası'!$AC$2:$AC$62,0))</f>
        <v/>
      </c>
    </row>
    <row r="34">
      <c r="A34" t="n">
        <v>31</v>
      </c>
      <c r="B34" s="5">
        <f>INDEX('V_Para Piyasası'!A$2:A$62,MATCH(LARGE('V_Para Piyasası'!$AC$2:$AC$62,ROW()-3),'V_Para Piyasası'!$AC$2:$AC$62,0))</f>
        <v/>
      </c>
      <c r="C34" s="5">
        <f>INDEX('V_Para Piyasası'!B$2:B$62,MATCH(LARGE('V_Para Piyasası'!$AC$2:$AC$62,ROW()-3),'V_Para Piyasası'!$AC$2:$AC$62,0))</f>
        <v/>
      </c>
      <c r="D34" s="5">
        <f>INDEX('V_Para Piyasası'!C$2:C$62,MATCH(LARGE('V_Para Piyasası'!$AC$2:$AC$62,ROW()-3),'V_Para Piyasası'!$AC$2:$AC$62,0))</f>
        <v/>
      </c>
      <c r="E34" s="8">
        <f>INDEX('V_Para Piyasası'!D$2:D$62,MATCH(LARGE('V_Para Piyasası'!$AC$2:$AC$62,ROW()-3),'V_Para Piyasası'!$AC$2:$AC$62,0))</f>
        <v/>
      </c>
      <c r="F34" s="9">
        <f>INDEX('V_Para Piyasası'!E$2:E$62,MATCH(LARGE('V_Para Piyasası'!$AC$2:$AC$62,ROW()-3),'V_Para Piyasası'!$AC$2:$AC$62,0))</f>
        <v/>
      </c>
      <c r="G34" s="9">
        <f>INDEX('V_Para Piyasası'!F$2:F$62,MATCH(LARGE('V_Para Piyasası'!$AC$2:$AC$62,ROW()-3),'V_Para Piyasası'!$AC$2:$AC$62,0))</f>
        <v/>
      </c>
      <c r="H34" s="9">
        <f>INDEX('V_Para Piyasası'!G$2:G$62,MATCH(LARGE('V_Para Piyasası'!$AC$2:$AC$62,ROW()-3),'V_Para Piyasası'!$AC$2:$AC$62,0))</f>
        <v/>
      </c>
      <c r="I34" s="9">
        <f>INDEX('V_Para Piyasası'!H$2:H$62,MATCH(LARGE('V_Para Piyasası'!$AC$2:$AC$62,ROW()-3),'V_Para Piyasası'!$AC$2:$AC$62,0))</f>
        <v/>
      </c>
      <c r="J34" s="9">
        <f>INDEX('V_Para Piyasası'!I$2:I$62,MATCH(LARGE('V_Para Piyasası'!$AC$2:$AC$62,ROW()-3),'V_Para Piyasası'!$AC$2:$AC$62,0))</f>
        <v/>
      </c>
      <c r="K34" s="10">
        <f>INDEX('V_Para Piyasası'!J$2:J$62,MATCH(LARGE('V_Para Piyasası'!$AC$2:$AC$62,ROW()-3),'V_Para Piyasası'!$AC$2:$AC$62,0))</f>
        <v/>
      </c>
      <c r="L34" s="10">
        <f>INDEX('V_Para Piyasası'!K$2:K$62,MATCH(LARGE('V_Para Piyasası'!$AC$2:$AC$62,ROW()-3),'V_Para Piyasası'!$AC$2:$AC$62,0))</f>
        <v/>
      </c>
      <c r="M34" s="8">
        <f>INDEX('V_Para Piyasası'!L$2:L$62,MATCH(LARGE('V_Para Piyasası'!$AC$2:$AC$62,ROW()-3),'V_Para Piyasası'!$AC$2:$AC$62,0))</f>
        <v/>
      </c>
      <c r="N34" s="11">
        <f>INDEX('V_Para Piyasası'!M$2:M$62,MATCH(LARGE('V_Para Piyasası'!$AC$2:$AC$62,ROW()-3),'V_Para Piyasası'!$AC$2:$AC$62,0))</f>
        <v/>
      </c>
      <c r="O34" s="11">
        <f>INDEX('V_Para Piyasası'!N$2:N$62,MATCH(LARGE('V_Para Piyasası'!$AC$2:$AC$62,ROW()-3),'V_Para Piyasası'!$AC$2:$AC$62,0))</f>
        <v/>
      </c>
      <c r="P34" s="8">
        <f>INDEX('V_Para Piyasası'!O$2:O$62,MATCH(LARGE('V_Para Piyasası'!$AC$2:$AC$62,ROW()-3),'V_Para Piyasası'!$AC$2:$AC$62,0))</f>
        <v/>
      </c>
      <c r="Q34" s="9">
        <f>INDEX('V_Para Piyasası'!P$2:P$62,MATCH(LARGE('V_Para Piyasası'!$AC$2:$AC$62,ROW()-3),'V_Para Piyasası'!$AC$2:$AC$62,0))</f>
        <v/>
      </c>
      <c r="R34" s="5">
        <f>INDEX('V_Para Piyasası'!Q$2:Q$62,MATCH(LARGE('V_Para Piyasası'!$AC$2:$AC$62,ROW()-3),'V_Para Piyasası'!$AC$2:$AC$62,0))</f>
        <v/>
      </c>
      <c r="S34" s="8">
        <f>INDEX('V_Para Piyasası'!R$2:R$62,MATCH(LARGE('V_Para Piyasası'!$AC$2:$AC$62,ROW()-3),'V_Para Piyasası'!$AC$2:$AC$62,0))</f>
        <v/>
      </c>
      <c r="T34" s="8">
        <f>INDEX('V_Para Piyasası'!S$2:S$62,MATCH(LARGE('V_Para Piyasası'!$AC$2:$AC$62,ROW()-3),'V_Para Piyasası'!$AC$2:$AC$62,0))</f>
        <v/>
      </c>
      <c r="U34" s="8">
        <f>INDEX('V_Para Piyasası'!T$2:T$62,MATCH(LARGE('V_Para Piyasası'!$AC$2:$AC$62,ROW()-3),'V_Para Piyasası'!$AC$2:$AC$62,0))</f>
        <v/>
      </c>
      <c r="V34" s="8">
        <f>INDEX('V_Para Piyasası'!U$2:U$62,MATCH(LARGE('V_Para Piyasası'!$AC$2:$AC$62,ROW()-3),'V_Para Piyasası'!$AC$2:$AC$62,0))</f>
        <v/>
      </c>
      <c r="W34" s="8">
        <f>INDEX('V_Para Piyasası'!V$2:V$62,MATCH(LARGE('V_Para Piyasası'!$AC$2:$AC$62,ROW()-3),'V_Para Piyasası'!$AC$2:$AC$62,0))</f>
        <v/>
      </c>
      <c r="X34" s="8">
        <f>INDEX('V_Para Piyasası'!W$2:W$62,MATCH(LARGE('V_Para Piyasası'!$AC$2:$AC$62,ROW()-3),'V_Para Piyasası'!$AC$2:$AC$62,0))</f>
        <v/>
      </c>
      <c r="Y34" s="8">
        <f>INDEX('V_Para Piyasası'!X$2:X$62,MATCH(LARGE('V_Para Piyasası'!$AC$2:$AC$62,ROW()-3),'V_Para Piyasası'!$AC$2:$AC$62,0))</f>
        <v/>
      </c>
      <c r="Z34" s="8">
        <f>INDEX('V_Para Piyasası'!Y$2:Y$62,MATCH(LARGE('V_Para Piyasası'!$AC$2:$AC$62,ROW()-3),'V_Para Piyasası'!$AC$2:$AC$62,0))</f>
        <v/>
      </c>
      <c r="AA34" s="8">
        <f>INDEX('V_Para Piyasası'!Z$2:Z$62,MATCH(LARGE('V_Para Piyasası'!$AC$2:$AC$62,ROW()-3),'V_Para Piyasası'!$AC$2:$AC$62,0))</f>
        <v/>
      </c>
      <c r="AB34" s="8">
        <f>INDEX('V_Para Piyasası'!AA$2:AA$62,MATCH(LARGE('V_Para Piyasası'!$AC$2:$AC$62,ROW()-3),'V_Para Piyasası'!$AC$2:$AC$62,0))</f>
        <v/>
      </c>
    </row>
    <row r="35">
      <c r="A35" t="n">
        <v>32</v>
      </c>
      <c r="B35" s="5">
        <f>INDEX('V_Para Piyasası'!A$2:A$62,MATCH(LARGE('V_Para Piyasası'!$AC$2:$AC$62,ROW()-3),'V_Para Piyasası'!$AC$2:$AC$62,0))</f>
        <v/>
      </c>
      <c r="C35" s="5">
        <f>INDEX('V_Para Piyasası'!B$2:B$62,MATCH(LARGE('V_Para Piyasası'!$AC$2:$AC$62,ROW()-3),'V_Para Piyasası'!$AC$2:$AC$62,0))</f>
        <v/>
      </c>
      <c r="D35" s="5">
        <f>INDEX('V_Para Piyasası'!C$2:C$62,MATCH(LARGE('V_Para Piyasası'!$AC$2:$AC$62,ROW()-3),'V_Para Piyasası'!$AC$2:$AC$62,0))</f>
        <v/>
      </c>
      <c r="E35" s="8">
        <f>INDEX('V_Para Piyasası'!D$2:D$62,MATCH(LARGE('V_Para Piyasası'!$AC$2:$AC$62,ROW()-3),'V_Para Piyasası'!$AC$2:$AC$62,0))</f>
        <v/>
      </c>
      <c r="F35" s="9">
        <f>INDEX('V_Para Piyasası'!E$2:E$62,MATCH(LARGE('V_Para Piyasası'!$AC$2:$AC$62,ROW()-3),'V_Para Piyasası'!$AC$2:$AC$62,0))</f>
        <v/>
      </c>
      <c r="G35" s="9">
        <f>INDEX('V_Para Piyasası'!F$2:F$62,MATCH(LARGE('V_Para Piyasası'!$AC$2:$AC$62,ROW()-3),'V_Para Piyasası'!$AC$2:$AC$62,0))</f>
        <v/>
      </c>
      <c r="H35" s="9">
        <f>INDEX('V_Para Piyasası'!G$2:G$62,MATCH(LARGE('V_Para Piyasası'!$AC$2:$AC$62,ROW()-3),'V_Para Piyasası'!$AC$2:$AC$62,0))</f>
        <v/>
      </c>
      <c r="I35" s="9">
        <f>INDEX('V_Para Piyasası'!H$2:H$62,MATCH(LARGE('V_Para Piyasası'!$AC$2:$AC$62,ROW()-3),'V_Para Piyasası'!$AC$2:$AC$62,0))</f>
        <v/>
      </c>
      <c r="J35" s="9">
        <f>INDEX('V_Para Piyasası'!I$2:I$62,MATCH(LARGE('V_Para Piyasası'!$AC$2:$AC$62,ROW()-3),'V_Para Piyasası'!$AC$2:$AC$62,0))</f>
        <v/>
      </c>
      <c r="K35" s="10">
        <f>INDEX('V_Para Piyasası'!J$2:J$62,MATCH(LARGE('V_Para Piyasası'!$AC$2:$AC$62,ROW()-3),'V_Para Piyasası'!$AC$2:$AC$62,0))</f>
        <v/>
      </c>
      <c r="L35" s="10">
        <f>INDEX('V_Para Piyasası'!K$2:K$62,MATCH(LARGE('V_Para Piyasası'!$AC$2:$AC$62,ROW()-3),'V_Para Piyasası'!$AC$2:$AC$62,0))</f>
        <v/>
      </c>
      <c r="M35" s="8">
        <f>INDEX('V_Para Piyasası'!L$2:L$62,MATCH(LARGE('V_Para Piyasası'!$AC$2:$AC$62,ROW()-3),'V_Para Piyasası'!$AC$2:$AC$62,0))</f>
        <v/>
      </c>
      <c r="N35" s="11">
        <f>INDEX('V_Para Piyasası'!M$2:M$62,MATCH(LARGE('V_Para Piyasası'!$AC$2:$AC$62,ROW()-3),'V_Para Piyasası'!$AC$2:$AC$62,0))</f>
        <v/>
      </c>
      <c r="O35" s="11">
        <f>INDEX('V_Para Piyasası'!N$2:N$62,MATCH(LARGE('V_Para Piyasası'!$AC$2:$AC$62,ROW()-3),'V_Para Piyasası'!$AC$2:$AC$62,0))</f>
        <v/>
      </c>
      <c r="P35" s="8">
        <f>INDEX('V_Para Piyasası'!O$2:O$62,MATCH(LARGE('V_Para Piyasası'!$AC$2:$AC$62,ROW()-3),'V_Para Piyasası'!$AC$2:$AC$62,0))</f>
        <v/>
      </c>
      <c r="Q35" s="9">
        <f>INDEX('V_Para Piyasası'!P$2:P$62,MATCH(LARGE('V_Para Piyasası'!$AC$2:$AC$62,ROW()-3),'V_Para Piyasası'!$AC$2:$AC$62,0))</f>
        <v/>
      </c>
      <c r="R35" s="5">
        <f>INDEX('V_Para Piyasası'!Q$2:Q$62,MATCH(LARGE('V_Para Piyasası'!$AC$2:$AC$62,ROW()-3),'V_Para Piyasası'!$AC$2:$AC$62,0))</f>
        <v/>
      </c>
      <c r="S35" s="8">
        <f>INDEX('V_Para Piyasası'!R$2:R$62,MATCH(LARGE('V_Para Piyasası'!$AC$2:$AC$62,ROW()-3),'V_Para Piyasası'!$AC$2:$AC$62,0))</f>
        <v/>
      </c>
      <c r="T35" s="8">
        <f>INDEX('V_Para Piyasası'!S$2:S$62,MATCH(LARGE('V_Para Piyasası'!$AC$2:$AC$62,ROW()-3),'V_Para Piyasası'!$AC$2:$AC$62,0))</f>
        <v/>
      </c>
      <c r="U35" s="8">
        <f>INDEX('V_Para Piyasası'!T$2:T$62,MATCH(LARGE('V_Para Piyasası'!$AC$2:$AC$62,ROW()-3),'V_Para Piyasası'!$AC$2:$AC$62,0))</f>
        <v/>
      </c>
      <c r="V35" s="8">
        <f>INDEX('V_Para Piyasası'!U$2:U$62,MATCH(LARGE('V_Para Piyasası'!$AC$2:$AC$62,ROW()-3),'V_Para Piyasası'!$AC$2:$AC$62,0))</f>
        <v/>
      </c>
      <c r="W35" s="8">
        <f>INDEX('V_Para Piyasası'!V$2:V$62,MATCH(LARGE('V_Para Piyasası'!$AC$2:$AC$62,ROW()-3),'V_Para Piyasası'!$AC$2:$AC$62,0))</f>
        <v/>
      </c>
      <c r="X35" s="8">
        <f>INDEX('V_Para Piyasası'!W$2:W$62,MATCH(LARGE('V_Para Piyasası'!$AC$2:$AC$62,ROW()-3),'V_Para Piyasası'!$AC$2:$AC$62,0))</f>
        <v/>
      </c>
      <c r="Y35" s="8">
        <f>INDEX('V_Para Piyasası'!X$2:X$62,MATCH(LARGE('V_Para Piyasası'!$AC$2:$AC$62,ROW()-3),'V_Para Piyasası'!$AC$2:$AC$62,0))</f>
        <v/>
      </c>
      <c r="Z35" s="8">
        <f>INDEX('V_Para Piyasası'!Y$2:Y$62,MATCH(LARGE('V_Para Piyasası'!$AC$2:$AC$62,ROW()-3),'V_Para Piyasası'!$AC$2:$AC$62,0))</f>
        <v/>
      </c>
      <c r="AA35" s="8">
        <f>INDEX('V_Para Piyasası'!Z$2:Z$62,MATCH(LARGE('V_Para Piyasası'!$AC$2:$AC$62,ROW()-3),'V_Para Piyasası'!$AC$2:$AC$62,0))</f>
        <v/>
      </c>
      <c r="AB35" s="8">
        <f>INDEX('V_Para Piyasası'!AA$2:AA$62,MATCH(LARGE('V_Para Piyasası'!$AC$2:$AC$62,ROW()-3),'V_Para Piyasası'!$AC$2:$AC$62,0))</f>
        <v/>
      </c>
    </row>
    <row r="36">
      <c r="A36" t="n">
        <v>33</v>
      </c>
      <c r="B36" s="5">
        <f>INDEX('V_Para Piyasası'!A$2:A$62,MATCH(LARGE('V_Para Piyasası'!$AC$2:$AC$62,ROW()-3),'V_Para Piyasası'!$AC$2:$AC$62,0))</f>
        <v/>
      </c>
      <c r="C36" s="5">
        <f>INDEX('V_Para Piyasası'!B$2:B$62,MATCH(LARGE('V_Para Piyasası'!$AC$2:$AC$62,ROW()-3),'V_Para Piyasası'!$AC$2:$AC$62,0))</f>
        <v/>
      </c>
      <c r="D36" s="5">
        <f>INDEX('V_Para Piyasası'!C$2:C$62,MATCH(LARGE('V_Para Piyasası'!$AC$2:$AC$62,ROW()-3),'V_Para Piyasası'!$AC$2:$AC$62,0))</f>
        <v/>
      </c>
      <c r="E36" s="8">
        <f>INDEX('V_Para Piyasası'!D$2:D$62,MATCH(LARGE('V_Para Piyasası'!$AC$2:$AC$62,ROW()-3),'V_Para Piyasası'!$AC$2:$AC$62,0))</f>
        <v/>
      </c>
      <c r="F36" s="9">
        <f>INDEX('V_Para Piyasası'!E$2:E$62,MATCH(LARGE('V_Para Piyasası'!$AC$2:$AC$62,ROW()-3),'V_Para Piyasası'!$AC$2:$AC$62,0))</f>
        <v/>
      </c>
      <c r="G36" s="9">
        <f>INDEX('V_Para Piyasası'!F$2:F$62,MATCH(LARGE('V_Para Piyasası'!$AC$2:$AC$62,ROW()-3),'V_Para Piyasası'!$AC$2:$AC$62,0))</f>
        <v/>
      </c>
      <c r="H36" s="9">
        <f>INDEX('V_Para Piyasası'!G$2:G$62,MATCH(LARGE('V_Para Piyasası'!$AC$2:$AC$62,ROW()-3),'V_Para Piyasası'!$AC$2:$AC$62,0))</f>
        <v/>
      </c>
      <c r="I36" s="9">
        <f>INDEX('V_Para Piyasası'!H$2:H$62,MATCH(LARGE('V_Para Piyasası'!$AC$2:$AC$62,ROW()-3),'V_Para Piyasası'!$AC$2:$AC$62,0))</f>
        <v/>
      </c>
      <c r="J36" s="9">
        <f>INDEX('V_Para Piyasası'!I$2:I$62,MATCH(LARGE('V_Para Piyasası'!$AC$2:$AC$62,ROW()-3),'V_Para Piyasası'!$AC$2:$AC$62,0))</f>
        <v/>
      </c>
      <c r="K36" s="10">
        <f>INDEX('V_Para Piyasası'!J$2:J$62,MATCH(LARGE('V_Para Piyasası'!$AC$2:$AC$62,ROW()-3),'V_Para Piyasası'!$AC$2:$AC$62,0))</f>
        <v/>
      </c>
      <c r="L36" s="10">
        <f>INDEX('V_Para Piyasası'!K$2:K$62,MATCH(LARGE('V_Para Piyasası'!$AC$2:$AC$62,ROW()-3),'V_Para Piyasası'!$AC$2:$AC$62,0))</f>
        <v/>
      </c>
      <c r="M36" s="8">
        <f>INDEX('V_Para Piyasası'!L$2:L$62,MATCH(LARGE('V_Para Piyasası'!$AC$2:$AC$62,ROW()-3),'V_Para Piyasası'!$AC$2:$AC$62,0))</f>
        <v/>
      </c>
      <c r="N36" s="11">
        <f>INDEX('V_Para Piyasası'!M$2:M$62,MATCH(LARGE('V_Para Piyasası'!$AC$2:$AC$62,ROW()-3),'V_Para Piyasası'!$AC$2:$AC$62,0))</f>
        <v/>
      </c>
      <c r="O36" s="11">
        <f>INDEX('V_Para Piyasası'!N$2:N$62,MATCH(LARGE('V_Para Piyasası'!$AC$2:$AC$62,ROW()-3),'V_Para Piyasası'!$AC$2:$AC$62,0))</f>
        <v/>
      </c>
      <c r="P36" s="8">
        <f>INDEX('V_Para Piyasası'!O$2:O$62,MATCH(LARGE('V_Para Piyasası'!$AC$2:$AC$62,ROW()-3),'V_Para Piyasası'!$AC$2:$AC$62,0))</f>
        <v/>
      </c>
      <c r="Q36" s="9">
        <f>INDEX('V_Para Piyasası'!P$2:P$62,MATCH(LARGE('V_Para Piyasası'!$AC$2:$AC$62,ROW()-3),'V_Para Piyasası'!$AC$2:$AC$62,0))</f>
        <v/>
      </c>
      <c r="R36" s="5">
        <f>INDEX('V_Para Piyasası'!Q$2:Q$62,MATCH(LARGE('V_Para Piyasası'!$AC$2:$AC$62,ROW()-3),'V_Para Piyasası'!$AC$2:$AC$62,0))</f>
        <v/>
      </c>
      <c r="S36" s="8">
        <f>INDEX('V_Para Piyasası'!R$2:R$62,MATCH(LARGE('V_Para Piyasası'!$AC$2:$AC$62,ROW()-3),'V_Para Piyasası'!$AC$2:$AC$62,0))</f>
        <v/>
      </c>
      <c r="T36" s="8">
        <f>INDEX('V_Para Piyasası'!S$2:S$62,MATCH(LARGE('V_Para Piyasası'!$AC$2:$AC$62,ROW()-3),'V_Para Piyasası'!$AC$2:$AC$62,0))</f>
        <v/>
      </c>
      <c r="U36" s="8">
        <f>INDEX('V_Para Piyasası'!T$2:T$62,MATCH(LARGE('V_Para Piyasası'!$AC$2:$AC$62,ROW()-3),'V_Para Piyasası'!$AC$2:$AC$62,0))</f>
        <v/>
      </c>
      <c r="V36" s="8">
        <f>INDEX('V_Para Piyasası'!U$2:U$62,MATCH(LARGE('V_Para Piyasası'!$AC$2:$AC$62,ROW()-3),'V_Para Piyasası'!$AC$2:$AC$62,0))</f>
        <v/>
      </c>
      <c r="W36" s="8">
        <f>INDEX('V_Para Piyasası'!V$2:V$62,MATCH(LARGE('V_Para Piyasası'!$AC$2:$AC$62,ROW()-3),'V_Para Piyasası'!$AC$2:$AC$62,0))</f>
        <v/>
      </c>
      <c r="X36" s="8">
        <f>INDEX('V_Para Piyasası'!W$2:W$62,MATCH(LARGE('V_Para Piyasası'!$AC$2:$AC$62,ROW()-3),'V_Para Piyasası'!$AC$2:$AC$62,0))</f>
        <v/>
      </c>
      <c r="Y36" s="8">
        <f>INDEX('V_Para Piyasası'!X$2:X$62,MATCH(LARGE('V_Para Piyasası'!$AC$2:$AC$62,ROW()-3),'V_Para Piyasası'!$AC$2:$AC$62,0))</f>
        <v/>
      </c>
      <c r="Z36" s="8">
        <f>INDEX('V_Para Piyasası'!Y$2:Y$62,MATCH(LARGE('V_Para Piyasası'!$AC$2:$AC$62,ROW()-3),'V_Para Piyasası'!$AC$2:$AC$62,0))</f>
        <v/>
      </c>
      <c r="AA36" s="8">
        <f>INDEX('V_Para Piyasası'!Z$2:Z$62,MATCH(LARGE('V_Para Piyasası'!$AC$2:$AC$62,ROW()-3),'V_Para Piyasası'!$AC$2:$AC$62,0))</f>
        <v/>
      </c>
      <c r="AB36" s="8">
        <f>INDEX('V_Para Piyasası'!AA$2:AA$62,MATCH(LARGE('V_Para Piyasası'!$AC$2:$AC$62,ROW()-3),'V_Para Piyasası'!$AC$2:$AC$62,0))</f>
        <v/>
      </c>
    </row>
    <row r="37">
      <c r="A37" t="n">
        <v>34</v>
      </c>
      <c r="B37" s="5">
        <f>INDEX('V_Para Piyasası'!A$2:A$62,MATCH(LARGE('V_Para Piyasası'!$AC$2:$AC$62,ROW()-3),'V_Para Piyasası'!$AC$2:$AC$62,0))</f>
        <v/>
      </c>
      <c r="C37" s="5">
        <f>INDEX('V_Para Piyasası'!B$2:B$62,MATCH(LARGE('V_Para Piyasası'!$AC$2:$AC$62,ROW()-3),'V_Para Piyasası'!$AC$2:$AC$62,0))</f>
        <v/>
      </c>
      <c r="D37" s="5">
        <f>INDEX('V_Para Piyasası'!C$2:C$62,MATCH(LARGE('V_Para Piyasası'!$AC$2:$AC$62,ROW()-3),'V_Para Piyasası'!$AC$2:$AC$62,0))</f>
        <v/>
      </c>
      <c r="E37" s="8">
        <f>INDEX('V_Para Piyasası'!D$2:D$62,MATCH(LARGE('V_Para Piyasası'!$AC$2:$AC$62,ROW()-3),'V_Para Piyasası'!$AC$2:$AC$62,0))</f>
        <v/>
      </c>
      <c r="F37" s="9">
        <f>INDEX('V_Para Piyasası'!E$2:E$62,MATCH(LARGE('V_Para Piyasası'!$AC$2:$AC$62,ROW()-3),'V_Para Piyasası'!$AC$2:$AC$62,0))</f>
        <v/>
      </c>
      <c r="G37" s="9">
        <f>INDEX('V_Para Piyasası'!F$2:F$62,MATCH(LARGE('V_Para Piyasası'!$AC$2:$AC$62,ROW()-3),'V_Para Piyasası'!$AC$2:$AC$62,0))</f>
        <v/>
      </c>
      <c r="H37" s="9">
        <f>INDEX('V_Para Piyasası'!G$2:G$62,MATCH(LARGE('V_Para Piyasası'!$AC$2:$AC$62,ROW()-3),'V_Para Piyasası'!$AC$2:$AC$62,0))</f>
        <v/>
      </c>
      <c r="I37" s="9">
        <f>INDEX('V_Para Piyasası'!H$2:H$62,MATCH(LARGE('V_Para Piyasası'!$AC$2:$AC$62,ROW()-3),'V_Para Piyasası'!$AC$2:$AC$62,0))</f>
        <v/>
      </c>
      <c r="J37" s="9">
        <f>INDEX('V_Para Piyasası'!I$2:I$62,MATCH(LARGE('V_Para Piyasası'!$AC$2:$AC$62,ROW()-3),'V_Para Piyasası'!$AC$2:$AC$62,0))</f>
        <v/>
      </c>
      <c r="K37" s="10">
        <f>INDEX('V_Para Piyasası'!J$2:J$62,MATCH(LARGE('V_Para Piyasası'!$AC$2:$AC$62,ROW()-3),'V_Para Piyasası'!$AC$2:$AC$62,0))</f>
        <v/>
      </c>
      <c r="L37" s="10">
        <f>INDEX('V_Para Piyasası'!K$2:K$62,MATCH(LARGE('V_Para Piyasası'!$AC$2:$AC$62,ROW()-3),'V_Para Piyasası'!$AC$2:$AC$62,0))</f>
        <v/>
      </c>
      <c r="M37" s="8">
        <f>INDEX('V_Para Piyasası'!L$2:L$62,MATCH(LARGE('V_Para Piyasası'!$AC$2:$AC$62,ROW()-3),'V_Para Piyasası'!$AC$2:$AC$62,0))</f>
        <v/>
      </c>
      <c r="N37" s="11">
        <f>INDEX('V_Para Piyasası'!M$2:M$62,MATCH(LARGE('V_Para Piyasası'!$AC$2:$AC$62,ROW()-3),'V_Para Piyasası'!$AC$2:$AC$62,0))</f>
        <v/>
      </c>
      <c r="O37" s="11">
        <f>INDEX('V_Para Piyasası'!N$2:N$62,MATCH(LARGE('V_Para Piyasası'!$AC$2:$AC$62,ROW()-3),'V_Para Piyasası'!$AC$2:$AC$62,0))</f>
        <v/>
      </c>
      <c r="P37" s="8">
        <f>INDEX('V_Para Piyasası'!O$2:O$62,MATCH(LARGE('V_Para Piyasası'!$AC$2:$AC$62,ROW()-3),'V_Para Piyasası'!$AC$2:$AC$62,0))</f>
        <v/>
      </c>
      <c r="Q37" s="9">
        <f>INDEX('V_Para Piyasası'!P$2:P$62,MATCH(LARGE('V_Para Piyasası'!$AC$2:$AC$62,ROW()-3),'V_Para Piyasası'!$AC$2:$AC$62,0))</f>
        <v/>
      </c>
      <c r="R37" s="5">
        <f>INDEX('V_Para Piyasası'!Q$2:Q$62,MATCH(LARGE('V_Para Piyasası'!$AC$2:$AC$62,ROW()-3),'V_Para Piyasası'!$AC$2:$AC$62,0))</f>
        <v/>
      </c>
      <c r="S37" s="8">
        <f>INDEX('V_Para Piyasası'!R$2:R$62,MATCH(LARGE('V_Para Piyasası'!$AC$2:$AC$62,ROW()-3),'V_Para Piyasası'!$AC$2:$AC$62,0))</f>
        <v/>
      </c>
      <c r="T37" s="8">
        <f>INDEX('V_Para Piyasası'!S$2:S$62,MATCH(LARGE('V_Para Piyasası'!$AC$2:$AC$62,ROW()-3),'V_Para Piyasası'!$AC$2:$AC$62,0))</f>
        <v/>
      </c>
      <c r="U37" s="8">
        <f>INDEX('V_Para Piyasası'!T$2:T$62,MATCH(LARGE('V_Para Piyasası'!$AC$2:$AC$62,ROW()-3),'V_Para Piyasası'!$AC$2:$AC$62,0))</f>
        <v/>
      </c>
      <c r="V37" s="8">
        <f>INDEX('V_Para Piyasası'!U$2:U$62,MATCH(LARGE('V_Para Piyasası'!$AC$2:$AC$62,ROW()-3),'V_Para Piyasası'!$AC$2:$AC$62,0))</f>
        <v/>
      </c>
      <c r="W37" s="8">
        <f>INDEX('V_Para Piyasası'!V$2:V$62,MATCH(LARGE('V_Para Piyasası'!$AC$2:$AC$62,ROW()-3),'V_Para Piyasası'!$AC$2:$AC$62,0))</f>
        <v/>
      </c>
      <c r="X37" s="8">
        <f>INDEX('V_Para Piyasası'!W$2:W$62,MATCH(LARGE('V_Para Piyasası'!$AC$2:$AC$62,ROW()-3),'V_Para Piyasası'!$AC$2:$AC$62,0))</f>
        <v/>
      </c>
      <c r="Y37" s="8">
        <f>INDEX('V_Para Piyasası'!X$2:X$62,MATCH(LARGE('V_Para Piyasası'!$AC$2:$AC$62,ROW()-3),'V_Para Piyasası'!$AC$2:$AC$62,0))</f>
        <v/>
      </c>
      <c r="Z37" s="8">
        <f>INDEX('V_Para Piyasası'!Y$2:Y$62,MATCH(LARGE('V_Para Piyasası'!$AC$2:$AC$62,ROW()-3),'V_Para Piyasası'!$AC$2:$AC$62,0))</f>
        <v/>
      </c>
      <c r="AA37" s="8">
        <f>INDEX('V_Para Piyasası'!Z$2:Z$62,MATCH(LARGE('V_Para Piyasası'!$AC$2:$AC$62,ROW()-3),'V_Para Piyasası'!$AC$2:$AC$62,0))</f>
        <v/>
      </c>
      <c r="AB37" s="8">
        <f>INDEX('V_Para Piyasası'!AA$2:AA$62,MATCH(LARGE('V_Para Piyasası'!$AC$2:$AC$62,ROW()-3),'V_Para Piyasası'!$AC$2:$AC$62,0))</f>
        <v/>
      </c>
    </row>
    <row r="38">
      <c r="A38" t="n">
        <v>35</v>
      </c>
      <c r="B38" s="5">
        <f>INDEX('V_Para Piyasası'!A$2:A$62,MATCH(LARGE('V_Para Piyasası'!$AC$2:$AC$62,ROW()-3),'V_Para Piyasası'!$AC$2:$AC$62,0))</f>
        <v/>
      </c>
      <c r="C38" s="5">
        <f>INDEX('V_Para Piyasası'!B$2:B$62,MATCH(LARGE('V_Para Piyasası'!$AC$2:$AC$62,ROW()-3),'V_Para Piyasası'!$AC$2:$AC$62,0))</f>
        <v/>
      </c>
      <c r="D38" s="5">
        <f>INDEX('V_Para Piyasası'!C$2:C$62,MATCH(LARGE('V_Para Piyasası'!$AC$2:$AC$62,ROW()-3),'V_Para Piyasası'!$AC$2:$AC$62,0))</f>
        <v/>
      </c>
      <c r="E38" s="8">
        <f>INDEX('V_Para Piyasası'!D$2:D$62,MATCH(LARGE('V_Para Piyasası'!$AC$2:$AC$62,ROW()-3),'V_Para Piyasası'!$AC$2:$AC$62,0))</f>
        <v/>
      </c>
      <c r="F38" s="9">
        <f>INDEX('V_Para Piyasası'!E$2:E$62,MATCH(LARGE('V_Para Piyasası'!$AC$2:$AC$62,ROW()-3),'V_Para Piyasası'!$AC$2:$AC$62,0))</f>
        <v/>
      </c>
      <c r="G38" s="9">
        <f>INDEX('V_Para Piyasası'!F$2:F$62,MATCH(LARGE('V_Para Piyasası'!$AC$2:$AC$62,ROW()-3),'V_Para Piyasası'!$AC$2:$AC$62,0))</f>
        <v/>
      </c>
      <c r="H38" s="9">
        <f>INDEX('V_Para Piyasası'!G$2:G$62,MATCH(LARGE('V_Para Piyasası'!$AC$2:$AC$62,ROW()-3),'V_Para Piyasası'!$AC$2:$AC$62,0))</f>
        <v/>
      </c>
      <c r="I38" s="9">
        <f>INDEX('V_Para Piyasası'!H$2:H$62,MATCH(LARGE('V_Para Piyasası'!$AC$2:$AC$62,ROW()-3),'V_Para Piyasası'!$AC$2:$AC$62,0))</f>
        <v/>
      </c>
      <c r="J38" s="9">
        <f>INDEX('V_Para Piyasası'!I$2:I$62,MATCH(LARGE('V_Para Piyasası'!$AC$2:$AC$62,ROW()-3),'V_Para Piyasası'!$AC$2:$AC$62,0))</f>
        <v/>
      </c>
      <c r="K38" s="10">
        <f>INDEX('V_Para Piyasası'!J$2:J$62,MATCH(LARGE('V_Para Piyasası'!$AC$2:$AC$62,ROW()-3),'V_Para Piyasası'!$AC$2:$AC$62,0))</f>
        <v/>
      </c>
      <c r="L38" s="10">
        <f>INDEX('V_Para Piyasası'!K$2:K$62,MATCH(LARGE('V_Para Piyasası'!$AC$2:$AC$62,ROW()-3),'V_Para Piyasası'!$AC$2:$AC$62,0))</f>
        <v/>
      </c>
      <c r="M38" s="8">
        <f>INDEX('V_Para Piyasası'!L$2:L$62,MATCH(LARGE('V_Para Piyasası'!$AC$2:$AC$62,ROW()-3),'V_Para Piyasası'!$AC$2:$AC$62,0))</f>
        <v/>
      </c>
      <c r="N38" s="11">
        <f>INDEX('V_Para Piyasası'!M$2:M$62,MATCH(LARGE('V_Para Piyasası'!$AC$2:$AC$62,ROW()-3),'V_Para Piyasası'!$AC$2:$AC$62,0))</f>
        <v/>
      </c>
      <c r="O38" s="11">
        <f>INDEX('V_Para Piyasası'!N$2:N$62,MATCH(LARGE('V_Para Piyasası'!$AC$2:$AC$62,ROW()-3),'V_Para Piyasası'!$AC$2:$AC$62,0))</f>
        <v/>
      </c>
      <c r="P38" s="8">
        <f>INDEX('V_Para Piyasası'!O$2:O$62,MATCH(LARGE('V_Para Piyasası'!$AC$2:$AC$62,ROW()-3),'V_Para Piyasası'!$AC$2:$AC$62,0))</f>
        <v/>
      </c>
      <c r="Q38" s="9">
        <f>INDEX('V_Para Piyasası'!P$2:P$62,MATCH(LARGE('V_Para Piyasası'!$AC$2:$AC$62,ROW()-3),'V_Para Piyasası'!$AC$2:$AC$62,0))</f>
        <v/>
      </c>
      <c r="R38" s="5">
        <f>INDEX('V_Para Piyasası'!Q$2:Q$62,MATCH(LARGE('V_Para Piyasası'!$AC$2:$AC$62,ROW()-3),'V_Para Piyasası'!$AC$2:$AC$62,0))</f>
        <v/>
      </c>
      <c r="S38" s="8">
        <f>INDEX('V_Para Piyasası'!R$2:R$62,MATCH(LARGE('V_Para Piyasası'!$AC$2:$AC$62,ROW()-3),'V_Para Piyasası'!$AC$2:$AC$62,0))</f>
        <v/>
      </c>
      <c r="T38" s="8">
        <f>INDEX('V_Para Piyasası'!S$2:S$62,MATCH(LARGE('V_Para Piyasası'!$AC$2:$AC$62,ROW()-3),'V_Para Piyasası'!$AC$2:$AC$62,0))</f>
        <v/>
      </c>
      <c r="U38" s="8">
        <f>INDEX('V_Para Piyasası'!T$2:T$62,MATCH(LARGE('V_Para Piyasası'!$AC$2:$AC$62,ROW()-3),'V_Para Piyasası'!$AC$2:$AC$62,0))</f>
        <v/>
      </c>
      <c r="V38" s="8">
        <f>INDEX('V_Para Piyasası'!U$2:U$62,MATCH(LARGE('V_Para Piyasası'!$AC$2:$AC$62,ROW()-3),'V_Para Piyasası'!$AC$2:$AC$62,0))</f>
        <v/>
      </c>
      <c r="W38" s="8">
        <f>INDEX('V_Para Piyasası'!V$2:V$62,MATCH(LARGE('V_Para Piyasası'!$AC$2:$AC$62,ROW()-3),'V_Para Piyasası'!$AC$2:$AC$62,0))</f>
        <v/>
      </c>
      <c r="X38" s="8">
        <f>INDEX('V_Para Piyasası'!W$2:W$62,MATCH(LARGE('V_Para Piyasası'!$AC$2:$AC$62,ROW()-3),'V_Para Piyasası'!$AC$2:$AC$62,0))</f>
        <v/>
      </c>
      <c r="Y38" s="8">
        <f>INDEX('V_Para Piyasası'!X$2:X$62,MATCH(LARGE('V_Para Piyasası'!$AC$2:$AC$62,ROW()-3),'V_Para Piyasası'!$AC$2:$AC$62,0))</f>
        <v/>
      </c>
      <c r="Z38" s="8">
        <f>INDEX('V_Para Piyasası'!Y$2:Y$62,MATCH(LARGE('V_Para Piyasası'!$AC$2:$AC$62,ROW()-3),'V_Para Piyasası'!$AC$2:$AC$62,0))</f>
        <v/>
      </c>
      <c r="AA38" s="8">
        <f>INDEX('V_Para Piyasası'!Z$2:Z$62,MATCH(LARGE('V_Para Piyasası'!$AC$2:$AC$62,ROW()-3),'V_Para Piyasası'!$AC$2:$AC$62,0))</f>
        <v/>
      </c>
      <c r="AB38" s="8">
        <f>INDEX('V_Para Piyasası'!AA$2:AA$62,MATCH(LARGE('V_Para Piyasası'!$AC$2:$AC$62,ROW()-3),'V_Para Piyasası'!$AC$2:$AC$62,0))</f>
        <v/>
      </c>
    </row>
    <row r="39">
      <c r="A39" t="n">
        <v>36</v>
      </c>
      <c r="B39" s="5">
        <f>INDEX('V_Para Piyasası'!A$2:A$62,MATCH(LARGE('V_Para Piyasası'!$AC$2:$AC$62,ROW()-3),'V_Para Piyasası'!$AC$2:$AC$62,0))</f>
        <v/>
      </c>
      <c r="C39" s="5">
        <f>INDEX('V_Para Piyasası'!B$2:B$62,MATCH(LARGE('V_Para Piyasası'!$AC$2:$AC$62,ROW()-3),'V_Para Piyasası'!$AC$2:$AC$62,0))</f>
        <v/>
      </c>
      <c r="D39" s="5">
        <f>INDEX('V_Para Piyasası'!C$2:C$62,MATCH(LARGE('V_Para Piyasası'!$AC$2:$AC$62,ROW()-3),'V_Para Piyasası'!$AC$2:$AC$62,0))</f>
        <v/>
      </c>
      <c r="E39" s="8">
        <f>INDEX('V_Para Piyasası'!D$2:D$62,MATCH(LARGE('V_Para Piyasası'!$AC$2:$AC$62,ROW()-3),'V_Para Piyasası'!$AC$2:$AC$62,0))</f>
        <v/>
      </c>
      <c r="F39" s="9">
        <f>INDEX('V_Para Piyasası'!E$2:E$62,MATCH(LARGE('V_Para Piyasası'!$AC$2:$AC$62,ROW()-3),'V_Para Piyasası'!$AC$2:$AC$62,0))</f>
        <v/>
      </c>
      <c r="G39" s="9">
        <f>INDEX('V_Para Piyasası'!F$2:F$62,MATCH(LARGE('V_Para Piyasası'!$AC$2:$AC$62,ROW()-3),'V_Para Piyasası'!$AC$2:$AC$62,0))</f>
        <v/>
      </c>
      <c r="H39" s="9">
        <f>INDEX('V_Para Piyasası'!G$2:G$62,MATCH(LARGE('V_Para Piyasası'!$AC$2:$AC$62,ROW()-3),'V_Para Piyasası'!$AC$2:$AC$62,0))</f>
        <v/>
      </c>
      <c r="I39" s="9">
        <f>INDEX('V_Para Piyasası'!H$2:H$62,MATCH(LARGE('V_Para Piyasası'!$AC$2:$AC$62,ROW()-3),'V_Para Piyasası'!$AC$2:$AC$62,0))</f>
        <v/>
      </c>
      <c r="J39" s="9">
        <f>INDEX('V_Para Piyasası'!I$2:I$62,MATCH(LARGE('V_Para Piyasası'!$AC$2:$AC$62,ROW()-3),'V_Para Piyasası'!$AC$2:$AC$62,0))</f>
        <v/>
      </c>
      <c r="K39" s="10">
        <f>INDEX('V_Para Piyasası'!J$2:J$62,MATCH(LARGE('V_Para Piyasası'!$AC$2:$AC$62,ROW()-3),'V_Para Piyasası'!$AC$2:$AC$62,0))</f>
        <v/>
      </c>
      <c r="L39" s="10">
        <f>INDEX('V_Para Piyasası'!K$2:K$62,MATCH(LARGE('V_Para Piyasası'!$AC$2:$AC$62,ROW()-3),'V_Para Piyasası'!$AC$2:$AC$62,0))</f>
        <v/>
      </c>
      <c r="M39" s="8">
        <f>INDEX('V_Para Piyasası'!L$2:L$62,MATCH(LARGE('V_Para Piyasası'!$AC$2:$AC$62,ROW()-3),'V_Para Piyasası'!$AC$2:$AC$62,0))</f>
        <v/>
      </c>
      <c r="N39" s="11">
        <f>INDEX('V_Para Piyasası'!M$2:M$62,MATCH(LARGE('V_Para Piyasası'!$AC$2:$AC$62,ROW()-3),'V_Para Piyasası'!$AC$2:$AC$62,0))</f>
        <v/>
      </c>
      <c r="O39" s="11">
        <f>INDEX('V_Para Piyasası'!N$2:N$62,MATCH(LARGE('V_Para Piyasası'!$AC$2:$AC$62,ROW()-3),'V_Para Piyasası'!$AC$2:$AC$62,0))</f>
        <v/>
      </c>
      <c r="P39" s="8">
        <f>INDEX('V_Para Piyasası'!O$2:O$62,MATCH(LARGE('V_Para Piyasası'!$AC$2:$AC$62,ROW()-3),'V_Para Piyasası'!$AC$2:$AC$62,0))</f>
        <v/>
      </c>
      <c r="Q39" s="9">
        <f>INDEX('V_Para Piyasası'!P$2:P$62,MATCH(LARGE('V_Para Piyasası'!$AC$2:$AC$62,ROW()-3),'V_Para Piyasası'!$AC$2:$AC$62,0))</f>
        <v/>
      </c>
      <c r="R39" s="5">
        <f>INDEX('V_Para Piyasası'!Q$2:Q$62,MATCH(LARGE('V_Para Piyasası'!$AC$2:$AC$62,ROW()-3),'V_Para Piyasası'!$AC$2:$AC$62,0))</f>
        <v/>
      </c>
      <c r="S39" s="8">
        <f>INDEX('V_Para Piyasası'!R$2:R$62,MATCH(LARGE('V_Para Piyasası'!$AC$2:$AC$62,ROW()-3),'V_Para Piyasası'!$AC$2:$AC$62,0))</f>
        <v/>
      </c>
      <c r="T39" s="8">
        <f>INDEX('V_Para Piyasası'!S$2:S$62,MATCH(LARGE('V_Para Piyasası'!$AC$2:$AC$62,ROW()-3),'V_Para Piyasası'!$AC$2:$AC$62,0))</f>
        <v/>
      </c>
      <c r="U39" s="8">
        <f>INDEX('V_Para Piyasası'!T$2:T$62,MATCH(LARGE('V_Para Piyasası'!$AC$2:$AC$62,ROW()-3),'V_Para Piyasası'!$AC$2:$AC$62,0))</f>
        <v/>
      </c>
      <c r="V39" s="8">
        <f>INDEX('V_Para Piyasası'!U$2:U$62,MATCH(LARGE('V_Para Piyasası'!$AC$2:$AC$62,ROW()-3),'V_Para Piyasası'!$AC$2:$AC$62,0))</f>
        <v/>
      </c>
      <c r="W39" s="8">
        <f>INDEX('V_Para Piyasası'!V$2:V$62,MATCH(LARGE('V_Para Piyasası'!$AC$2:$AC$62,ROW()-3),'V_Para Piyasası'!$AC$2:$AC$62,0))</f>
        <v/>
      </c>
      <c r="X39" s="8">
        <f>INDEX('V_Para Piyasası'!W$2:W$62,MATCH(LARGE('V_Para Piyasası'!$AC$2:$AC$62,ROW()-3),'V_Para Piyasası'!$AC$2:$AC$62,0))</f>
        <v/>
      </c>
      <c r="Y39" s="8">
        <f>INDEX('V_Para Piyasası'!X$2:X$62,MATCH(LARGE('V_Para Piyasası'!$AC$2:$AC$62,ROW()-3),'V_Para Piyasası'!$AC$2:$AC$62,0))</f>
        <v/>
      </c>
      <c r="Z39" s="8">
        <f>INDEX('V_Para Piyasası'!Y$2:Y$62,MATCH(LARGE('V_Para Piyasası'!$AC$2:$AC$62,ROW()-3),'V_Para Piyasası'!$AC$2:$AC$62,0))</f>
        <v/>
      </c>
      <c r="AA39" s="8">
        <f>INDEX('V_Para Piyasası'!Z$2:Z$62,MATCH(LARGE('V_Para Piyasası'!$AC$2:$AC$62,ROW()-3),'V_Para Piyasası'!$AC$2:$AC$62,0))</f>
        <v/>
      </c>
      <c r="AB39" s="8">
        <f>INDEX('V_Para Piyasası'!AA$2:AA$62,MATCH(LARGE('V_Para Piyasası'!$AC$2:$AC$62,ROW()-3),'V_Para Piyasası'!$AC$2:$AC$62,0))</f>
        <v/>
      </c>
    </row>
    <row r="40">
      <c r="A40" t="n">
        <v>37</v>
      </c>
      <c r="B40" s="5">
        <f>INDEX('V_Para Piyasası'!A$2:A$62,MATCH(LARGE('V_Para Piyasası'!$AC$2:$AC$62,ROW()-3),'V_Para Piyasası'!$AC$2:$AC$62,0))</f>
        <v/>
      </c>
      <c r="C40" s="5">
        <f>INDEX('V_Para Piyasası'!B$2:B$62,MATCH(LARGE('V_Para Piyasası'!$AC$2:$AC$62,ROW()-3),'V_Para Piyasası'!$AC$2:$AC$62,0))</f>
        <v/>
      </c>
      <c r="D40" s="5">
        <f>INDEX('V_Para Piyasası'!C$2:C$62,MATCH(LARGE('V_Para Piyasası'!$AC$2:$AC$62,ROW()-3),'V_Para Piyasası'!$AC$2:$AC$62,0))</f>
        <v/>
      </c>
      <c r="E40" s="8">
        <f>INDEX('V_Para Piyasası'!D$2:D$62,MATCH(LARGE('V_Para Piyasası'!$AC$2:$AC$62,ROW()-3),'V_Para Piyasası'!$AC$2:$AC$62,0))</f>
        <v/>
      </c>
      <c r="F40" s="9">
        <f>INDEX('V_Para Piyasası'!E$2:E$62,MATCH(LARGE('V_Para Piyasası'!$AC$2:$AC$62,ROW()-3),'V_Para Piyasası'!$AC$2:$AC$62,0))</f>
        <v/>
      </c>
      <c r="G40" s="9">
        <f>INDEX('V_Para Piyasası'!F$2:F$62,MATCH(LARGE('V_Para Piyasası'!$AC$2:$AC$62,ROW()-3),'V_Para Piyasası'!$AC$2:$AC$62,0))</f>
        <v/>
      </c>
      <c r="H40" s="9">
        <f>INDEX('V_Para Piyasası'!G$2:G$62,MATCH(LARGE('V_Para Piyasası'!$AC$2:$AC$62,ROW()-3),'V_Para Piyasası'!$AC$2:$AC$62,0))</f>
        <v/>
      </c>
      <c r="I40" s="9">
        <f>INDEX('V_Para Piyasası'!H$2:H$62,MATCH(LARGE('V_Para Piyasası'!$AC$2:$AC$62,ROW()-3),'V_Para Piyasası'!$AC$2:$AC$62,0))</f>
        <v/>
      </c>
      <c r="J40" s="9">
        <f>INDEX('V_Para Piyasası'!I$2:I$62,MATCH(LARGE('V_Para Piyasası'!$AC$2:$AC$62,ROW()-3),'V_Para Piyasası'!$AC$2:$AC$62,0))</f>
        <v/>
      </c>
      <c r="K40" s="10">
        <f>INDEX('V_Para Piyasası'!J$2:J$62,MATCH(LARGE('V_Para Piyasası'!$AC$2:$AC$62,ROW()-3),'V_Para Piyasası'!$AC$2:$AC$62,0))</f>
        <v/>
      </c>
      <c r="L40" s="10">
        <f>INDEX('V_Para Piyasası'!K$2:K$62,MATCH(LARGE('V_Para Piyasası'!$AC$2:$AC$62,ROW()-3),'V_Para Piyasası'!$AC$2:$AC$62,0))</f>
        <v/>
      </c>
      <c r="M40" s="8">
        <f>INDEX('V_Para Piyasası'!L$2:L$62,MATCH(LARGE('V_Para Piyasası'!$AC$2:$AC$62,ROW()-3),'V_Para Piyasası'!$AC$2:$AC$62,0))</f>
        <v/>
      </c>
      <c r="N40" s="11">
        <f>INDEX('V_Para Piyasası'!M$2:M$62,MATCH(LARGE('V_Para Piyasası'!$AC$2:$AC$62,ROW()-3),'V_Para Piyasası'!$AC$2:$AC$62,0))</f>
        <v/>
      </c>
      <c r="O40" s="11">
        <f>INDEX('V_Para Piyasası'!N$2:N$62,MATCH(LARGE('V_Para Piyasası'!$AC$2:$AC$62,ROW()-3),'V_Para Piyasası'!$AC$2:$AC$62,0))</f>
        <v/>
      </c>
      <c r="P40" s="8">
        <f>INDEX('V_Para Piyasası'!O$2:O$62,MATCH(LARGE('V_Para Piyasası'!$AC$2:$AC$62,ROW()-3),'V_Para Piyasası'!$AC$2:$AC$62,0))</f>
        <v/>
      </c>
      <c r="Q40" s="9">
        <f>INDEX('V_Para Piyasası'!P$2:P$62,MATCH(LARGE('V_Para Piyasası'!$AC$2:$AC$62,ROW()-3),'V_Para Piyasası'!$AC$2:$AC$62,0))</f>
        <v/>
      </c>
      <c r="R40" s="5">
        <f>INDEX('V_Para Piyasası'!Q$2:Q$62,MATCH(LARGE('V_Para Piyasası'!$AC$2:$AC$62,ROW()-3),'V_Para Piyasası'!$AC$2:$AC$62,0))</f>
        <v/>
      </c>
      <c r="S40" s="8">
        <f>INDEX('V_Para Piyasası'!R$2:R$62,MATCH(LARGE('V_Para Piyasası'!$AC$2:$AC$62,ROW()-3),'V_Para Piyasası'!$AC$2:$AC$62,0))</f>
        <v/>
      </c>
      <c r="T40" s="8">
        <f>INDEX('V_Para Piyasası'!S$2:S$62,MATCH(LARGE('V_Para Piyasası'!$AC$2:$AC$62,ROW()-3),'V_Para Piyasası'!$AC$2:$AC$62,0))</f>
        <v/>
      </c>
      <c r="U40" s="8">
        <f>INDEX('V_Para Piyasası'!T$2:T$62,MATCH(LARGE('V_Para Piyasası'!$AC$2:$AC$62,ROW()-3),'V_Para Piyasası'!$AC$2:$AC$62,0))</f>
        <v/>
      </c>
      <c r="V40" s="8">
        <f>INDEX('V_Para Piyasası'!U$2:U$62,MATCH(LARGE('V_Para Piyasası'!$AC$2:$AC$62,ROW()-3),'V_Para Piyasası'!$AC$2:$AC$62,0))</f>
        <v/>
      </c>
      <c r="W40" s="8">
        <f>INDEX('V_Para Piyasası'!V$2:V$62,MATCH(LARGE('V_Para Piyasası'!$AC$2:$AC$62,ROW()-3),'V_Para Piyasası'!$AC$2:$AC$62,0))</f>
        <v/>
      </c>
      <c r="X40" s="8">
        <f>INDEX('V_Para Piyasası'!W$2:W$62,MATCH(LARGE('V_Para Piyasası'!$AC$2:$AC$62,ROW()-3),'V_Para Piyasası'!$AC$2:$AC$62,0))</f>
        <v/>
      </c>
      <c r="Y40" s="8">
        <f>INDEX('V_Para Piyasası'!X$2:X$62,MATCH(LARGE('V_Para Piyasası'!$AC$2:$AC$62,ROW()-3),'V_Para Piyasası'!$AC$2:$AC$62,0))</f>
        <v/>
      </c>
      <c r="Z40" s="8">
        <f>INDEX('V_Para Piyasası'!Y$2:Y$62,MATCH(LARGE('V_Para Piyasası'!$AC$2:$AC$62,ROW()-3),'V_Para Piyasası'!$AC$2:$AC$62,0))</f>
        <v/>
      </c>
      <c r="AA40" s="8">
        <f>INDEX('V_Para Piyasası'!Z$2:Z$62,MATCH(LARGE('V_Para Piyasası'!$AC$2:$AC$62,ROW()-3),'V_Para Piyasası'!$AC$2:$AC$62,0))</f>
        <v/>
      </c>
      <c r="AB40" s="8">
        <f>INDEX('V_Para Piyasası'!AA$2:AA$62,MATCH(LARGE('V_Para Piyasası'!$AC$2:$AC$62,ROW()-3),'V_Para Piyasası'!$AC$2:$AC$62,0))</f>
        <v/>
      </c>
    </row>
    <row r="41">
      <c r="A41" t="n">
        <v>38</v>
      </c>
      <c r="B41" s="5">
        <f>INDEX('V_Para Piyasası'!A$2:A$62,MATCH(LARGE('V_Para Piyasası'!$AC$2:$AC$62,ROW()-3),'V_Para Piyasası'!$AC$2:$AC$62,0))</f>
        <v/>
      </c>
      <c r="C41" s="5">
        <f>INDEX('V_Para Piyasası'!B$2:B$62,MATCH(LARGE('V_Para Piyasası'!$AC$2:$AC$62,ROW()-3),'V_Para Piyasası'!$AC$2:$AC$62,0))</f>
        <v/>
      </c>
      <c r="D41" s="5">
        <f>INDEX('V_Para Piyasası'!C$2:C$62,MATCH(LARGE('V_Para Piyasası'!$AC$2:$AC$62,ROW()-3),'V_Para Piyasası'!$AC$2:$AC$62,0))</f>
        <v/>
      </c>
      <c r="E41" s="8">
        <f>INDEX('V_Para Piyasası'!D$2:D$62,MATCH(LARGE('V_Para Piyasası'!$AC$2:$AC$62,ROW()-3),'V_Para Piyasası'!$AC$2:$AC$62,0))</f>
        <v/>
      </c>
      <c r="F41" s="9">
        <f>INDEX('V_Para Piyasası'!E$2:E$62,MATCH(LARGE('V_Para Piyasası'!$AC$2:$AC$62,ROW()-3),'V_Para Piyasası'!$AC$2:$AC$62,0))</f>
        <v/>
      </c>
      <c r="G41" s="9">
        <f>INDEX('V_Para Piyasası'!F$2:F$62,MATCH(LARGE('V_Para Piyasası'!$AC$2:$AC$62,ROW()-3),'V_Para Piyasası'!$AC$2:$AC$62,0))</f>
        <v/>
      </c>
      <c r="H41" s="9">
        <f>INDEX('V_Para Piyasası'!G$2:G$62,MATCH(LARGE('V_Para Piyasası'!$AC$2:$AC$62,ROW()-3),'V_Para Piyasası'!$AC$2:$AC$62,0))</f>
        <v/>
      </c>
      <c r="I41" s="9">
        <f>INDEX('V_Para Piyasası'!H$2:H$62,MATCH(LARGE('V_Para Piyasası'!$AC$2:$AC$62,ROW()-3),'V_Para Piyasası'!$AC$2:$AC$62,0))</f>
        <v/>
      </c>
      <c r="J41" s="9">
        <f>INDEX('V_Para Piyasası'!I$2:I$62,MATCH(LARGE('V_Para Piyasası'!$AC$2:$AC$62,ROW()-3),'V_Para Piyasası'!$AC$2:$AC$62,0))</f>
        <v/>
      </c>
      <c r="K41" s="10">
        <f>INDEX('V_Para Piyasası'!J$2:J$62,MATCH(LARGE('V_Para Piyasası'!$AC$2:$AC$62,ROW()-3),'V_Para Piyasası'!$AC$2:$AC$62,0))</f>
        <v/>
      </c>
      <c r="L41" s="10">
        <f>INDEX('V_Para Piyasası'!K$2:K$62,MATCH(LARGE('V_Para Piyasası'!$AC$2:$AC$62,ROW()-3),'V_Para Piyasası'!$AC$2:$AC$62,0))</f>
        <v/>
      </c>
      <c r="M41" s="8">
        <f>INDEX('V_Para Piyasası'!L$2:L$62,MATCH(LARGE('V_Para Piyasası'!$AC$2:$AC$62,ROW()-3),'V_Para Piyasası'!$AC$2:$AC$62,0))</f>
        <v/>
      </c>
      <c r="N41" s="11">
        <f>INDEX('V_Para Piyasası'!M$2:M$62,MATCH(LARGE('V_Para Piyasası'!$AC$2:$AC$62,ROW()-3),'V_Para Piyasası'!$AC$2:$AC$62,0))</f>
        <v/>
      </c>
      <c r="O41" s="11">
        <f>INDEX('V_Para Piyasası'!N$2:N$62,MATCH(LARGE('V_Para Piyasası'!$AC$2:$AC$62,ROW()-3),'V_Para Piyasası'!$AC$2:$AC$62,0))</f>
        <v/>
      </c>
      <c r="P41" s="8">
        <f>INDEX('V_Para Piyasası'!O$2:O$62,MATCH(LARGE('V_Para Piyasası'!$AC$2:$AC$62,ROW()-3),'V_Para Piyasası'!$AC$2:$AC$62,0))</f>
        <v/>
      </c>
      <c r="Q41" s="9">
        <f>INDEX('V_Para Piyasası'!P$2:P$62,MATCH(LARGE('V_Para Piyasası'!$AC$2:$AC$62,ROW()-3),'V_Para Piyasası'!$AC$2:$AC$62,0))</f>
        <v/>
      </c>
      <c r="R41" s="5">
        <f>INDEX('V_Para Piyasası'!Q$2:Q$62,MATCH(LARGE('V_Para Piyasası'!$AC$2:$AC$62,ROW()-3),'V_Para Piyasası'!$AC$2:$AC$62,0))</f>
        <v/>
      </c>
      <c r="S41" s="8">
        <f>INDEX('V_Para Piyasası'!R$2:R$62,MATCH(LARGE('V_Para Piyasası'!$AC$2:$AC$62,ROW()-3),'V_Para Piyasası'!$AC$2:$AC$62,0))</f>
        <v/>
      </c>
      <c r="T41" s="8">
        <f>INDEX('V_Para Piyasası'!S$2:S$62,MATCH(LARGE('V_Para Piyasası'!$AC$2:$AC$62,ROW()-3),'V_Para Piyasası'!$AC$2:$AC$62,0))</f>
        <v/>
      </c>
      <c r="U41" s="8">
        <f>INDEX('V_Para Piyasası'!T$2:T$62,MATCH(LARGE('V_Para Piyasası'!$AC$2:$AC$62,ROW()-3),'V_Para Piyasası'!$AC$2:$AC$62,0))</f>
        <v/>
      </c>
      <c r="V41" s="8">
        <f>INDEX('V_Para Piyasası'!U$2:U$62,MATCH(LARGE('V_Para Piyasası'!$AC$2:$AC$62,ROW()-3),'V_Para Piyasası'!$AC$2:$AC$62,0))</f>
        <v/>
      </c>
      <c r="W41" s="8">
        <f>INDEX('V_Para Piyasası'!V$2:V$62,MATCH(LARGE('V_Para Piyasası'!$AC$2:$AC$62,ROW()-3),'V_Para Piyasası'!$AC$2:$AC$62,0))</f>
        <v/>
      </c>
      <c r="X41" s="8">
        <f>INDEX('V_Para Piyasası'!W$2:W$62,MATCH(LARGE('V_Para Piyasası'!$AC$2:$AC$62,ROW()-3),'V_Para Piyasası'!$AC$2:$AC$62,0))</f>
        <v/>
      </c>
      <c r="Y41" s="8">
        <f>INDEX('V_Para Piyasası'!X$2:X$62,MATCH(LARGE('V_Para Piyasası'!$AC$2:$AC$62,ROW()-3),'V_Para Piyasası'!$AC$2:$AC$62,0))</f>
        <v/>
      </c>
      <c r="Z41" s="8">
        <f>INDEX('V_Para Piyasası'!Y$2:Y$62,MATCH(LARGE('V_Para Piyasası'!$AC$2:$AC$62,ROW()-3),'V_Para Piyasası'!$AC$2:$AC$62,0))</f>
        <v/>
      </c>
      <c r="AA41" s="8">
        <f>INDEX('V_Para Piyasası'!Z$2:Z$62,MATCH(LARGE('V_Para Piyasası'!$AC$2:$AC$62,ROW()-3),'V_Para Piyasası'!$AC$2:$AC$62,0))</f>
        <v/>
      </c>
      <c r="AB41" s="8">
        <f>INDEX('V_Para Piyasası'!AA$2:AA$62,MATCH(LARGE('V_Para Piyasası'!$AC$2:$AC$62,ROW()-3),'V_Para Piyasası'!$AC$2:$AC$62,0))</f>
        <v/>
      </c>
    </row>
    <row r="42">
      <c r="A42" t="n">
        <v>39</v>
      </c>
      <c r="B42" s="5">
        <f>INDEX('V_Para Piyasası'!A$2:A$62,MATCH(LARGE('V_Para Piyasası'!$AC$2:$AC$62,ROW()-3),'V_Para Piyasası'!$AC$2:$AC$62,0))</f>
        <v/>
      </c>
      <c r="C42" s="5">
        <f>INDEX('V_Para Piyasası'!B$2:B$62,MATCH(LARGE('V_Para Piyasası'!$AC$2:$AC$62,ROW()-3),'V_Para Piyasası'!$AC$2:$AC$62,0))</f>
        <v/>
      </c>
      <c r="D42" s="5">
        <f>INDEX('V_Para Piyasası'!C$2:C$62,MATCH(LARGE('V_Para Piyasası'!$AC$2:$AC$62,ROW()-3),'V_Para Piyasası'!$AC$2:$AC$62,0))</f>
        <v/>
      </c>
      <c r="E42" s="8">
        <f>INDEX('V_Para Piyasası'!D$2:D$62,MATCH(LARGE('V_Para Piyasası'!$AC$2:$AC$62,ROW()-3),'V_Para Piyasası'!$AC$2:$AC$62,0))</f>
        <v/>
      </c>
      <c r="F42" s="9">
        <f>INDEX('V_Para Piyasası'!E$2:E$62,MATCH(LARGE('V_Para Piyasası'!$AC$2:$AC$62,ROW()-3),'V_Para Piyasası'!$AC$2:$AC$62,0))</f>
        <v/>
      </c>
      <c r="G42" s="9">
        <f>INDEX('V_Para Piyasası'!F$2:F$62,MATCH(LARGE('V_Para Piyasası'!$AC$2:$AC$62,ROW()-3),'V_Para Piyasası'!$AC$2:$AC$62,0))</f>
        <v/>
      </c>
      <c r="H42" s="9">
        <f>INDEX('V_Para Piyasası'!G$2:G$62,MATCH(LARGE('V_Para Piyasası'!$AC$2:$AC$62,ROW()-3),'V_Para Piyasası'!$AC$2:$AC$62,0))</f>
        <v/>
      </c>
      <c r="I42" s="9">
        <f>INDEX('V_Para Piyasası'!H$2:H$62,MATCH(LARGE('V_Para Piyasası'!$AC$2:$AC$62,ROW()-3),'V_Para Piyasası'!$AC$2:$AC$62,0))</f>
        <v/>
      </c>
      <c r="J42" s="9">
        <f>INDEX('V_Para Piyasası'!I$2:I$62,MATCH(LARGE('V_Para Piyasası'!$AC$2:$AC$62,ROW()-3),'V_Para Piyasası'!$AC$2:$AC$62,0))</f>
        <v/>
      </c>
      <c r="K42" s="10">
        <f>INDEX('V_Para Piyasası'!J$2:J$62,MATCH(LARGE('V_Para Piyasası'!$AC$2:$AC$62,ROW()-3),'V_Para Piyasası'!$AC$2:$AC$62,0))</f>
        <v/>
      </c>
      <c r="L42" s="10">
        <f>INDEX('V_Para Piyasası'!K$2:K$62,MATCH(LARGE('V_Para Piyasası'!$AC$2:$AC$62,ROW()-3),'V_Para Piyasası'!$AC$2:$AC$62,0))</f>
        <v/>
      </c>
      <c r="M42" s="8">
        <f>INDEX('V_Para Piyasası'!L$2:L$62,MATCH(LARGE('V_Para Piyasası'!$AC$2:$AC$62,ROW()-3),'V_Para Piyasası'!$AC$2:$AC$62,0))</f>
        <v/>
      </c>
      <c r="N42" s="11">
        <f>INDEX('V_Para Piyasası'!M$2:M$62,MATCH(LARGE('V_Para Piyasası'!$AC$2:$AC$62,ROW()-3),'V_Para Piyasası'!$AC$2:$AC$62,0))</f>
        <v/>
      </c>
      <c r="O42" s="11">
        <f>INDEX('V_Para Piyasası'!N$2:N$62,MATCH(LARGE('V_Para Piyasası'!$AC$2:$AC$62,ROW()-3),'V_Para Piyasası'!$AC$2:$AC$62,0))</f>
        <v/>
      </c>
      <c r="P42" s="8">
        <f>INDEX('V_Para Piyasası'!O$2:O$62,MATCH(LARGE('V_Para Piyasası'!$AC$2:$AC$62,ROW()-3),'V_Para Piyasası'!$AC$2:$AC$62,0))</f>
        <v/>
      </c>
      <c r="Q42" s="9">
        <f>INDEX('V_Para Piyasası'!P$2:P$62,MATCH(LARGE('V_Para Piyasası'!$AC$2:$AC$62,ROW()-3),'V_Para Piyasası'!$AC$2:$AC$62,0))</f>
        <v/>
      </c>
      <c r="R42" s="5">
        <f>INDEX('V_Para Piyasası'!Q$2:Q$62,MATCH(LARGE('V_Para Piyasası'!$AC$2:$AC$62,ROW()-3),'V_Para Piyasası'!$AC$2:$AC$62,0))</f>
        <v/>
      </c>
      <c r="S42" s="8">
        <f>INDEX('V_Para Piyasası'!R$2:R$62,MATCH(LARGE('V_Para Piyasası'!$AC$2:$AC$62,ROW()-3),'V_Para Piyasası'!$AC$2:$AC$62,0))</f>
        <v/>
      </c>
      <c r="T42" s="8">
        <f>INDEX('V_Para Piyasası'!S$2:S$62,MATCH(LARGE('V_Para Piyasası'!$AC$2:$AC$62,ROW()-3),'V_Para Piyasası'!$AC$2:$AC$62,0))</f>
        <v/>
      </c>
      <c r="U42" s="8">
        <f>INDEX('V_Para Piyasası'!T$2:T$62,MATCH(LARGE('V_Para Piyasası'!$AC$2:$AC$62,ROW()-3),'V_Para Piyasası'!$AC$2:$AC$62,0))</f>
        <v/>
      </c>
      <c r="V42" s="8">
        <f>INDEX('V_Para Piyasası'!U$2:U$62,MATCH(LARGE('V_Para Piyasası'!$AC$2:$AC$62,ROW()-3),'V_Para Piyasası'!$AC$2:$AC$62,0))</f>
        <v/>
      </c>
      <c r="W42" s="8">
        <f>INDEX('V_Para Piyasası'!V$2:V$62,MATCH(LARGE('V_Para Piyasası'!$AC$2:$AC$62,ROW()-3),'V_Para Piyasası'!$AC$2:$AC$62,0))</f>
        <v/>
      </c>
      <c r="X42" s="8">
        <f>INDEX('V_Para Piyasası'!W$2:W$62,MATCH(LARGE('V_Para Piyasası'!$AC$2:$AC$62,ROW()-3),'V_Para Piyasası'!$AC$2:$AC$62,0))</f>
        <v/>
      </c>
      <c r="Y42" s="8">
        <f>INDEX('V_Para Piyasası'!X$2:X$62,MATCH(LARGE('V_Para Piyasası'!$AC$2:$AC$62,ROW()-3),'V_Para Piyasası'!$AC$2:$AC$62,0))</f>
        <v/>
      </c>
      <c r="Z42" s="8">
        <f>INDEX('V_Para Piyasası'!Y$2:Y$62,MATCH(LARGE('V_Para Piyasası'!$AC$2:$AC$62,ROW()-3),'V_Para Piyasası'!$AC$2:$AC$62,0))</f>
        <v/>
      </c>
      <c r="AA42" s="8">
        <f>INDEX('V_Para Piyasası'!Z$2:Z$62,MATCH(LARGE('V_Para Piyasası'!$AC$2:$AC$62,ROW()-3),'V_Para Piyasası'!$AC$2:$AC$62,0))</f>
        <v/>
      </c>
      <c r="AB42" s="8">
        <f>INDEX('V_Para Piyasası'!AA$2:AA$62,MATCH(LARGE('V_Para Piyasası'!$AC$2:$AC$62,ROW()-3),'V_Para Piyasası'!$AC$2:$AC$62,0))</f>
        <v/>
      </c>
    </row>
    <row r="43">
      <c r="A43" t="n">
        <v>40</v>
      </c>
      <c r="B43" s="5">
        <f>INDEX('V_Para Piyasası'!A$2:A$62,MATCH(LARGE('V_Para Piyasası'!$AC$2:$AC$62,ROW()-3),'V_Para Piyasası'!$AC$2:$AC$62,0))</f>
        <v/>
      </c>
      <c r="C43" s="5">
        <f>INDEX('V_Para Piyasası'!B$2:B$62,MATCH(LARGE('V_Para Piyasası'!$AC$2:$AC$62,ROW()-3),'V_Para Piyasası'!$AC$2:$AC$62,0))</f>
        <v/>
      </c>
      <c r="D43" s="5">
        <f>INDEX('V_Para Piyasası'!C$2:C$62,MATCH(LARGE('V_Para Piyasası'!$AC$2:$AC$62,ROW()-3),'V_Para Piyasası'!$AC$2:$AC$62,0))</f>
        <v/>
      </c>
      <c r="E43" s="8">
        <f>INDEX('V_Para Piyasası'!D$2:D$62,MATCH(LARGE('V_Para Piyasası'!$AC$2:$AC$62,ROW()-3),'V_Para Piyasası'!$AC$2:$AC$62,0))</f>
        <v/>
      </c>
      <c r="F43" s="9">
        <f>INDEX('V_Para Piyasası'!E$2:E$62,MATCH(LARGE('V_Para Piyasası'!$AC$2:$AC$62,ROW()-3),'V_Para Piyasası'!$AC$2:$AC$62,0))</f>
        <v/>
      </c>
      <c r="G43" s="9">
        <f>INDEX('V_Para Piyasası'!F$2:F$62,MATCH(LARGE('V_Para Piyasası'!$AC$2:$AC$62,ROW()-3),'V_Para Piyasası'!$AC$2:$AC$62,0))</f>
        <v/>
      </c>
      <c r="H43" s="9">
        <f>INDEX('V_Para Piyasası'!G$2:G$62,MATCH(LARGE('V_Para Piyasası'!$AC$2:$AC$62,ROW()-3),'V_Para Piyasası'!$AC$2:$AC$62,0))</f>
        <v/>
      </c>
      <c r="I43" s="9">
        <f>INDEX('V_Para Piyasası'!H$2:H$62,MATCH(LARGE('V_Para Piyasası'!$AC$2:$AC$62,ROW()-3),'V_Para Piyasası'!$AC$2:$AC$62,0))</f>
        <v/>
      </c>
      <c r="J43" s="9">
        <f>INDEX('V_Para Piyasası'!I$2:I$62,MATCH(LARGE('V_Para Piyasası'!$AC$2:$AC$62,ROW()-3),'V_Para Piyasası'!$AC$2:$AC$62,0))</f>
        <v/>
      </c>
      <c r="K43" s="10">
        <f>INDEX('V_Para Piyasası'!J$2:J$62,MATCH(LARGE('V_Para Piyasası'!$AC$2:$AC$62,ROW()-3),'V_Para Piyasası'!$AC$2:$AC$62,0))</f>
        <v/>
      </c>
      <c r="L43" s="10">
        <f>INDEX('V_Para Piyasası'!K$2:K$62,MATCH(LARGE('V_Para Piyasası'!$AC$2:$AC$62,ROW()-3),'V_Para Piyasası'!$AC$2:$AC$62,0))</f>
        <v/>
      </c>
      <c r="M43" s="8">
        <f>INDEX('V_Para Piyasası'!L$2:L$62,MATCH(LARGE('V_Para Piyasası'!$AC$2:$AC$62,ROW()-3),'V_Para Piyasası'!$AC$2:$AC$62,0))</f>
        <v/>
      </c>
      <c r="N43" s="11">
        <f>INDEX('V_Para Piyasası'!M$2:M$62,MATCH(LARGE('V_Para Piyasası'!$AC$2:$AC$62,ROW()-3),'V_Para Piyasası'!$AC$2:$AC$62,0))</f>
        <v/>
      </c>
      <c r="O43" s="11">
        <f>INDEX('V_Para Piyasası'!N$2:N$62,MATCH(LARGE('V_Para Piyasası'!$AC$2:$AC$62,ROW()-3),'V_Para Piyasası'!$AC$2:$AC$62,0))</f>
        <v/>
      </c>
      <c r="P43" s="8">
        <f>INDEX('V_Para Piyasası'!O$2:O$62,MATCH(LARGE('V_Para Piyasası'!$AC$2:$AC$62,ROW()-3),'V_Para Piyasası'!$AC$2:$AC$62,0))</f>
        <v/>
      </c>
      <c r="Q43" s="9">
        <f>INDEX('V_Para Piyasası'!P$2:P$62,MATCH(LARGE('V_Para Piyasası'!$AC$2:$AC$62,ROW()-3),'V_Para Piyasası'!$AC$2:$AC$62,0))</f>
        <v/>
      </c>
      <c r="R43" s="5">
        <f>INDEX('V_Para Piyasası'!Q$2:Q$62,MATCH(LARGE('V_Para Piyasası'!$AC$2:$AC$62,ROW()-3),'V_Para Piyasası'!$AC$2:$AC$62,0))</f>
        <v/>
      </c>
      <c r="S43" s="8">
        <f>INDEX('V_Para Piyasası'!R$2:R$62,MATCH(LARGE('V_Para Piyasası'!$AC$2:$AC$62,ROW()-3),'V_Para Piyasası'!$AC$2:$AC$62,0))</f>
        <v/>
      </c>
      <c r="T43" s="8">
        <f>INDEX('V_Para Piyasası'!S$2:S$62,MATCH(LARGE('V_Para Piyasası'!$AC$2:$AC$62,ROW()-3),'V_Para Piyasası'!$AC$2:$AC$62,0))</f>
        <v/>
      </c>
      <c r="U43" s="8">
        <f>INDEX('V_Para Piyasası'!T$2:T$62,MATCH(LARGE('V_Para Piyasası'!$AC$2:$AC$62,ROW()-3),'V_Para Piyasası'!$AC$2:$AC$62,0))</f>
        <v/>
      </c>
      <c r="V43" s="8">
        <f>INDEX('V_Para Piyasası'!U$2:U$62,MATCH(LARGE('V_Para Piyasası'!$AC$2:$AC$62,ROW()-3),'V_Para Piyasası'!$AC$2:$AC$62,0))</f>
        <v/>
      </c>
      <c r="W43" s="8">
        <f>INDEX('V_Para Piyasası'!V$2:V$62,MATCH(LARGE('V_Para Piyasası'!$AC$2:$AC$62,ROW()-3),'V_Para Piyasası'!$AC$2:$AC$62,0))</f>
        <v/>
      </c>
      <c r="X43" s="8">
        <f>INDEX('V_Para Piyasası'!W$2:W$62,MATCH(LARGE('V_Para Piyasası'!$AC$2:$AC$62,ROW()-3),'V_Para Piyasası'!$AC$2:$AC$62,0))</f>
        <v/>
      </c>
      <c r="Y43" s="8">
        <f>INDEX('V_Para Piyasası'!X$2:X$62,MATCH(LARGE('V_Para Piyasası'!$AC$2:$AC$62,ROW()-3),'V_Para Piyasası'!$AC$2:$AC$62,0))</f>
        <v/>
      </c>
      <c r="Z43" s="8">
        <f>INDEX('V_Para Piyasası'!Y$2:Y$62,MATCH(LARGE('V_Para Piyasası'!$AC$2:$AC$62,ROW()-3),'V_Para Piyasası'!$AC$2:$AC$62,0))</f>
        <v/>
      </c>
      <c r="AA43" s="8">
        <f>INDEX('V_Para Piyasası'!Z$2:Z$62,MATCH(LARGE('V_Para Piyasası'!$AC$2:$AC$62,ROW()-3),'V_Para Piyasası'!$AC$2:$AC$62,0))</f>
        <v/>
      </c>
      <c r="AB43" s="8">
        <f>INDEX('V_Para Piyasası'!AA$2:AA$62,MATCH(LARGE('V_Para Piyasası'!$AC$2:$AC$62,ROW()-3),'V_Para Piyasası'!$AC$2:$AC$62,0))</f>
        <v/>
      </c>
    </row>
    <row r="44">
      <c r="A44" t="n">
        <v>41</v>
      </c>
      <c r="B44" s="5">
        <f>INDEX('V_Para Piyasası'!A$2:A$62,MATCH(LARGE('V_Para Piyasası'!$AC$2:$AC$62,ROW()-3),'V_Para Piyasası'!$AC$2:$AC$62,0))</f>
        <v/>
      </c>
      <c r="C44" s="5">
        <f>INDEX('V_Para Piyasası'!B$2:B$62,MATCH(LARGE('V_Para Piyasası'!$AC$2:$AC$62,ROW()-3),'V_Para Piyasası'!$AC$2:$AC$62,0))</f>
        <v/>
      </c>
      <c r="D44" s="5">
        <f>INDEX('V_Para Piyasası'!C$2:C$62,MATCH(LARGE('V_Para Piyasası'!$AC$2:$AC$62,ROW()-3),'V_Para Piyasası'!$AC$2:$AC$62,0))</f>
        <v/>
      </c>
      <c r="E44" s="8">
        <f>INDEX('V_Para Piyasası'!D$2:D$62,MATCH(LARGE('V_Para Piyasası'!$AC$2:$AC$62,ROW()-3),'V_Para Piyasası'!$AC$2:$AC$62,0))</f>
        <v/>
      </c>
      <c r="F44" s="9">
        <f>INDEX('V_Para Piyasası'!E$2:E$62,MATCH(LARGE('V_Para Piyasası'!$AC$2:$AC$62,ROW()-3),'V_Para Piyasası'!$AC$2:$AC$62,0))</f>
        <v/>
      </c>
      <c r="G44" s="9">
        <f>INDEX('V_Para Piyasası'!F$2:F$62,MATCH(LARGE('V_Para Piyasası'!$AC$2:$AC$62,ROW()-3),'V_Para Piyasası'!$AC$2:$AC$62,0))</f>
        <v/>
      </c>
      <c r="H44" s="9">
        <f>INDEX('V_Para Piyasası'!G$2:G$62,MATCH(LARGE('V_Para Piyasası'!$AC$2:$AC$62,ROW()-3),'V_Para Piyasası'!$AC$2:$AC$62,0))</f>
        <v/>
      </c>
      <c r="I44" s="9">
        <f>INDEX('V_Para Piyasası'!H$2:H$62,MATCH(LARGE('V_Para Piyasası'!$AC$2:$AC$62,ROW()-3),'V_Para Piyasası'!$AC$2:$AC$62,0))</f>
        <v/>
      </c>
      <c r="J44" s="9">
        <f>INDEX('V_Para Piyasası'!I$2:I$62,MATCH(LARGE('V_Para Piyasası'!$AC$2:$AC$62,ROW()-3),'V_Para Piyasası'!$AC$2:$AC$62,0))</f>
        <v/>
      </c>
      <c r="K44" s="10">
        <f>INDEX('V_Para Piyasası'!J$2:J$62,MATCH(LARGE('V_Para Piyasası'!$AC$2:$AC$62,ROW()-3),'V_Para Piyasası'!$AC$2:$AC$62,0))</f>
        <v/>
      </c>
      <c r="L44" s="10">
        <f>INDEX('V_Para Piyasası'!K$2:K$62,MATCH(LARGE('V_Para Piyasası'!$AC$2:$AC$62,ROW()-3),'V_Para Piyasası'!$AC$2:$AC$62,0))</f>
        <v/>
      </c>
      <c r="M44" s="8">
        <f>INDEX('V_Para Piyasası'!L$2:L$62,MATCH(LARGE('V_Para Piyasası'!$AC$2:$AC$62,ROW()-3),'V_Para Piyasası'!$AC$2:$AC$62,0))</f>
        <v/>
      </c>
      <c r="N44" s="11">
        <f>INDEX('V_Para Piyasası'!M$2:M$62,MATCH(LARGE('V_Para Piyasası'!$AC$2:$AC$62,ROW()-3),'V_Para Piyasası'!$AC$2:$AC$62,0))</f>
        <v/>
      </c>
      <c r="O44" s="11">
        <f>INDEX('V_Para Piyasası'!N$2:N$62,MATCH(LARGE('V_Para Piyasası'!$AC$2:$AC$62,ROW()-3),'V_Para Piyasası'!$AC$2:$AC$62,0))</f>
        <v/>
      </c>
      <c r="P44" s="8">
        <f>INDEX('V_Para Piyasası'!O$2:O$62,MATCH(LARGE('V_Para Piyasası'!$AC$2:$AC$62,ROW()-3),'V_Para Piyasası'!$AC$2:$AC$62,0))</f>
        <v/>
      </c>
      <c r="Q44" s="9">
        <f>INDEX('V_Para Piyasası'!P$2:P$62,MATCH(LARGE('V_Para Piyasası'!$AC$2:$AC$62,ROW()-3),'V_Para Piyasası'!$AC$2:$AC$62,0))</f>
        <v/>
      </c>
      <c r="R44" s="5">
        <f>INDEX('V_Para Piyasası'!Q$2:Q$62,MATCH(LARGE('V_Para Piyasası'!$AC$2:$AC$62,ROW()-3),'V_Para Piyasası'!$AC$2:$AC$62,0))</f>
        <v/>
      </c>
      <c r="S44" s="8">
        <f>INDEX('V_Para Piyasası'!R$2:R$62,MATCH(LARGE('V_Para Piyasası'!$AC$2:$AC$62,ROW()-3),'V_Para Piyasası'!$AC$2:$AC$62,0))</f>
        <v/>
      </c>
      <c r="T44" s="8">
        <f>INDEX('V_Para Piyasası'!S$2:S$62,MATCH(LARGE('V_Para Piyasası'!$AC$2:$AC$62,ROW()-3),'V_Para Piyasası'!$AC$2:$AC$62,0))</f>
        <v/>
      </c>
      <c r="U44" s="8">
        <f>INDEX('V_Para Piyasası'!T$2:T$62,MATCH(LARGE('V_Para Piyasası'!$AC$2:$AC$62,ROW()-3),'V_Para Piyasası'!$AC$2:$AC$62,0))</f>
        <v/>
      </c>
      <c r="V44" s="8">
        <f>INDEX('V_Para Piyasası'!U$2:U$62,MATCH(LARGE('V_Para Piyasası'!$AC$2:$AC$62,ROW()-3),'V_Para Piyasası'!$AC$2:$AC$62,0))</f>
        <v/>
      </c>
      <c r="W44" s="8">
        <f>INDEX('V_Para Piyasası'!V$2:V$62,MATCH(LARGE('V_Para Piyasası'!$AC$2:$AC$62,ROW()-3),'V_Para Piyasası'!$AC$2:$AC$62,0))</f>
        <v/>
      </c>
      <c r="X44" s="8">
        <f>INDEX('V_Para Piyasası'!W$2:W$62,MATCH(LARGE('V_Para Piyasası'!$AC$2:$AC$62,ROW()-3),'V_Para Piyasası'!$AC$2:$AC$62,0))</f>
        <v/>
      </c>
      <c r="Y44" s="8">
        <f>INDEX('V_Para Piyasası'!X$2:X$62,MATCH(LARGE('V_Para Piyasası'!$AC$2:$AC$62,ROW()-3),'V_Para Piyasası'!$AC$2:$AC$62,0))</f>
        <v/>
      </c>
      <c r="Z44" s="8">
        <f>INDEX('V_Para Piyasası'!Y$2:Y$62,MATCH(LARGE('V_Para Piyasası'!$AC$2:$AC$62,ROW()-3),'V_Para Piyasası'!$AC$2:$AC$62,0))</f>
        <v/>
      </c>
      <c r="AA44" s="8">
        <f>INDEX('V_Para Piyasası'!Z$2:Z$62,MATCH(LARGE('V_Para Piyasası'!$AC$2:$AC$62,ROW()-3),'V_Para Piyasası'!$AC$2:$AC$62,0))</f>
        <v/>
      </c>
      <c r="AB44" s="8">
        <f>INDEX('V_Para Piyasası'!AA$2:AA$62,MATCH(LARGE('V_Para Piyasası'!$AC$2:$AC$62,ROW()-3),'V_Para Piyasası'!$AC$2:$AC$62,0))</f>
        <v/>
      </c>
    </row>
    <row r="45">
      <c r="A45" t="n">
        <v>42</v>
      </c>
      <c r="B45" s="5">
        <f>INDEX('V_Para Piyasası'!A$2:A$62,MATCH(LARGE('V_Para Piyasası'!$AC$2:$AC$62,ROW()-3),'V_Para Piyasası'!$AC$2:$AC$62,0))</f>
        <v/>
      </c>
      <c r="C45" s="5">
        <f>INDEX('V_Para Piyasası'!B$2:B$62,MATCH(LARGE('V_Para Piyasası'!$AC$2:$AC$62,ROW()-3),'V_Para Piyasası'!$AC$2:$AC$62,0))</f>
        <v/>
      </c>
      <c r="D45" s="5">
        <f>INDEX('V_Para Piyasası'!C$2:C$62,MATCH(LARGE('V_Para Piyasası'!$AC$2:$AC$62,ROW()-3),'V_Para Piyasası'!$AC$2:$AC$62,0))</f>
        <v/>
      </c>
      <c r="E45" s="8">
        <f>INDEX('V_Para Piyasası'!D$2:D$62,MATCH(LARGE('V_Para Piyasası'!$AC$2:$AC$62,ROW()-3),'V_Para Piyasası'!$AC$2:$AC$62,0))</f>
        <v/>
      </c>
      <c r="F45" s="9">
        <f>INDEX('V_Para Piyasası'!E$2:E$62,MATCH(LARGE('V_Para Piyasası'!$AC$2:$AC$62,ROW()-3),'V_Para Piyasası'!$AC$2:$AC$62,0))</f>
        <v/>
      </c>
      <c r="G45" s="9">
        <f>INDEX('V_Para Piyasası'!F$2:F$62,MATCH(LARGE('V_Para Piyasası'!$AC$2:$AC$62,ROW()-3),'V_Para Piyasası'!$AC$2:$AC$62,0))</f>
        <v/>
      </c>
      <c r="H45" s="9">
        <f>INDEX('V_Para Piyasası'!G$2:G$62,MATCH(LARGE('V_Para Piyasası'!$AC$2:$AC$62,ROW()-3),'V_Para Piyasası'!$AC$2:$AC$62,0))</f>
        <v/>
      </c>
      <c r="I45" s="9">
        <f>INDEX('V_Para Piyasası'!H$2:H$62,MATCH(LARGE('V_Para Piyasası'!$AC$2:$AC$62,ROW()-3),'V_Para Piyasası'!$AC$2:$AC$62,0))</f>
        <v/>
      </c>
      <c r="J45" s="9">
        <f>INDEX('V_Para Piyasası'!I$2:I$62,MATCH(LARGE('V_Para Piyasası'!$AC$2:$AC$62,ROW()-3),'V_Para Piyasası'!$AC$2:$AC$62,0))</f>
        <v/>
      </c>
      <c r="K45" s="10">
        <f>INDEX('V_Para Piyasası'!J$2:J$62,MATCH(LARGE('V_Para Piyasası'!$AC$2:$AC$62,ROW()-3),'V_Para Piyasası'!$AC$2:$AC$62,0))</f>
        <v/>
      </c>
      <c r="L45" s="10">
        <f>INDEX('V_Para Piyasası'!K$2:K$62,MATCH(LARGE('V_Para Piyasası'!$AC$2:$AC$62,ROW()-3),'V_Para Piyasası'!$AC$2:$AC$62,0))</f>
        <v/>
      </c>
      <c r="M45" s="8">
        <f>INDEX('V_Para Piyasası'!L$2:L$62,MATCH(LARGE('V_Para Piyasası'!$AC$2:$AC$62,ROW()-3),'V_Para Piyasası'!$AC$2:$AC$62,0))</f>
        <v/>
      </c>
      <c r="N45" s="11">
        <f>INDEX('V_Para Piyasası'!M$2:M$62,MATCH(LARGE('V_Para Piyasası'!$AC$2:$AC$62,ROW()-3),'V_Para Piyasası'!$AC$2:$AC$62,0))</f>
        <v/>
      </c>
      <c r="O45" s="11">
        <f>INDEX('V_Para Piyasası'!N$2:N$62,MATCH(LARGE('V_Para Piyasası'!$AC$2:$AC$62,ROW()-3),'V_Para Piyasası'!$AC$2:$AC$62,0))</f>
        <v/>
      </c>
      <c r="P45" s="8">
        <f>INDEX('V_Para Piyasası'!O$2:O$62,MATCH(LARGE('V_Para Piyasası'!$AC$2:$AC$62,ROW()-3),'V_Para Piyasası'!$AC$2:$AC$62,0))</f>
        <v/>
      </c>
      <c r="Q45" s="9">
        <f>INDEX('V_Para Piyasası'!P$2:P$62,MATCH(LARGE('V_Para Piyasası'!$AC$2:$AC$62,ROW()-3),'V_Para Piyasası'!$AC$2:$AC$62,0))</f>
        <v/>
      </c>
      <c r="R45" s="5">
        <f>INDEX('V_Para Piyasası'!Q$2:Q$62,MATCH(LARGE('V_Para Piyasası'!$AC$2:$AC$62,ROW()-3),'V_Para Piyasası'!$AC$2:$AC$62,0))</f>
        <v/>
      </c>
      <c r="S45" s="8">
        <f>INDEX('V_Para Piyasası'!R$2:R$62,MATCH(LARGE('V_Para Piyasası'!$AC$2:$AC$62,ROW()-3),'V_Para Piyasası'!$AC$2:$AC$62,0))</f>
        <v/>
      </c>
      <c r="T45" s="8">
        <f>INDEX('V_Para Piyasası'!S$2:S$62,MATCH(LARGE('V_Para Piyasası'!$AC$2:$AC$62,ROW()-3),'V_Para Piyasası'!$AC$2:$AC$62,0))</f>
        <v/>
      </c>
      <c r="U45" s="8">
        <f>INDEX('V_Para Piyasası'!T$2:T$62,MATCH(LARGE('V_Para Piyasası'!$AC$2:$AC$62,ROW()-3),'V_Para Piyasası'!$AC$2:$AC$62,0))</f>
        <v/>
      </c>
      <c r="V45" s="8">
        <f>INDEX('V_Para Piyasası'!U$2:U$62,MATCH(LARGE('V_Para Piyasası'!$AC$2:$AC$62,ROW()-3),'V_Para Piyasası'!$AC$2:$AC$62,0))</f>
        <v/>
      </c>
      <c r="W45" s="8">
        <f>INDEX('V_Para Piyasası'!V$2:V$62,MATCH(LARGE('V_Para Piyasası'!$AC$2:$AC$62,ROW()-3),'V_Para Piyasası'!$AC$2:$AC$62,0))</f>
        <v/>
      </c>
      <c r="X45" s="8">
        <f>INDEX('V_Para Piyasası'!W$2:W$62,MATCH(LARGE('V_Para Piyasası'!$AC$2:$AC$62,ROW()-3),'V_Para Piyasası'!$AC$2:$AC$62,0))</f>
        <v/>
      </c>
      <c r="Y45" s="8">
        <f>INDEX('V_Para Piyasası'!X$2:X$62,MATCH(LARGE('V_Para Piyasası'!$AC$2:$AC$62,ROW()-3),'V_Para Piyasası'!$AC$2:$AC$62,0))</f>
        <v/>
      </c>
      <c r="Z45" s="8">
        <f>INDEX('V_Para Piyasası'!Y$2:Y$62,MATCH(LARGE('V_Para Piyasası'!$AC$2:$AC$62,ROW()-3),'V_Para Piyasası'!$AC$2:$AC$62,0))</f>
        <v/>
      </c>
      <c r="AA45" s="8">
        <f>INDEX('V_Para Piyasası'!Z$2:Z$62,MATCH(LARGE('V_Para Piyasası'!$AC$2:$AC$62,ROW()-3),'V_Para Piyasası'!$AC$2:$AC$62,0))</f>
        <v/>
      </c>
      <c r="AB45" s="8">
        <f>INDEX('V_Para Piyasası'!AA$2:AA$62,MATCH(LARGE('V_Para Piyasası'!$AC$2:$AC$62,ROW()-3),'V_Para Piyasası'!$AC$2:$AC$62,0))</f>
        <v/>
      </c>
    </row>
    <row r="46">
      <c r="A46" t="n">
        <v>43</v>
      </c>
      <c r="B46" s="5">
        <f>INDEX('V_Para Piyasası'!A$2:A$62,MATCH(LARGE('V_Para Piyasası'!$AC$2:$AC$62,ROW()-3),'V_Para Piyasası'!$AC$2:$AC$62,0))</f>
        <v/>
      </c>
      <c r="C46" s="5">
        <f>INDEX('V_Para Piyasası'!B$2:B$62,MATCH(LARGE('V_Para Piyasası'!$AC$2:$AC$62,ROW()-3),'V_Para Piyasası'!$AC$2:$AC$62,0))</f>
        <v/>
      </c>
      <c r="D46" s="5">
        <f>INDEX('V_Para Piyasası'!C$2:C$62,MATCH(LARGE('V_Para Piyasası'!$AC$2:$AC$62,ROW()-3),'V_Para Piyasası'!$AC$2:$AC$62,0))</f>
        <v/>
      </c>
      <c r="E46" s="8">
        <f>INDEX('V_Para Piyasası'!D$2:D$62,MATCH(LARGE('V_Para Piyasası'!$AC$2:$AC$62,ROW()-3),'V_Para Piyasası'!$AC$2:$AC$62,0))</f>
        <v/>
      </c>
      <c r="F46" s="9">
        <f>INDEX('V_Para Piyasası'!E$2:E$62,MATCH(LARGE('V_Para Piyasası'!$AC$2:$AC$62,ROW()-3),'V_Para Piyasası'!$AC$2:$AC$62,0))</f>
        <v/>
      </c>
      <c r="G46" s="9">
        <f>INDEX('V_Para Piyasası'!F$2:F$62,MATCH(LARGE('V_Para Piyasası'!$AC$2:$AC$62,ROW()-3),'V_Para Piyasası'!$AC$2:$AC$62,0))</f>
        <v/>
      </c>
      <c r="H46" s="9">
        <f>INDEX('V_Para Piyasası'!G$2:G$62,MATCH(LARGE('V_Para Piyasası'!$AC$2:$AC$62,ROW()-3),'V_Para Piyasası'!$AC$2:$AC$62,0))</f>
        <v/>
      </c>
      <c r="I46" s="9">
        <f>INDEX('V_Para Piyasası'!H$2:H$62,MATCH(LARGE('V_Para Piyasası'!$AC$2:$AC$62,ROW()-3),'V_Para Piyasası'!$AC$2:$AC$62,0))</f>
        <v/>
      </c>
      <c r="J46" s="9">
        <f>INDEX('V_Para Piyasası'!I$2:I$62,MATCH(LARGE('V_Para Piyasası'!$AC$2:$AC$62,ROW()-3),'V_Para Piyasası'!$AC$2:$AC$62,0))</f>
        <v/>
      </c>
      <c r="K46" s="10">
        <f>INDEX('V_Para Piyasası'!J$2:J$62,MATCH(LARGE('V_Para Piyasası'!$AC$2:$AC$62,ROW()-3),'V_Para Piyasası'!$AC$2:$AC$62,0))</f>
        <v/>
      </c>
      <c r="L46" s="10">
        <f>INDEX('V_Para Piyasası'!K$2:K$62,MATCH(LARGE('V_Para Piyasası'!$AC$2:$AC$62,ROW()-3),'V_Para Piyasası'!$AC$2:$AC$62,0))</f>
        <v/>
      </c>
      <c r="M46" s="8">
        <f>INDEX('V_Para Piyasası'!L$2:L$62,MATCH(LARGE('V_Para Piyasası'!$AC$2:$AC$62,ROW()-3),'V_Para Piyasası'!$AC$2:$AC$62,0))</f>
        <v/>
      </c>
      <c r="N46" s="11">
        <f>INDEX('V_Para Piyasası'!M$2:M$62,MATCH(LARGE('V_Para Piyasası'!$AC$2:$AC$62,ROW()-3),'V_Para Piyasası'!$AC$2:$AC$62,0))</f>
        <v/>
      </c>
      <c r="O46" s="11">
        <f>INDEX('V_Para Piyasası'!N$2:N$62,MATCH(LARGE('V_Para Piyasası'!$AC$2:$AC$62,ROW()-3),'V_Para Piyasası'!$AC$2:$AC$62,0))</f>
        <v/>
      </c>
      <c r="P46" s="8">
        <f>INDEX('V_Para Piyasası'!O$2:O$62,MATCH(LARGE('V_Para Piyasası'!$AC$2:$AC$62,ROW()-3),'V_Para Piyasası'!$AC$2:$AC$62,0))</f>
        <v/>
      </c>
      <c r="Q46" s="9">
        <f>INDEX('V_Para Piyasası'!P$2:P$62,MATCH(LARGE('V_Para Piyasası'!$AC$2:$AC$62,ROW()-3),'V_Para Piyasası'!$AC$2:$AC$62,0))</f>
        <v/>
      </c>
      <c r="R46" s="5">
        <f>INDEX('V_Para Piyasası'!Q$2:Q$62,MATCH(LARGE('V_Para Piyasası'!$AC$2:$AC$62,ROW()-3),'V_Para Piyasası'!$AC$2:$AC$62,0))</f>
        <v/>
      </c>
      <c r="S46" s="8">
        <f>INDEX('V_Para Piyasası'!R$2:R$62,MATCH(LARGE('V_Para Piyasası'!$AC$2:$AC$62,ROW()-3),'V_Para Piyasası'!$AC$2:$AC$62,0))</f>
        <v/>
      </c>
      <c r="T46" s="8">
        <f>INDEX('V_Para Piyasası'!S$2:S$62,MATCH(LARGE('V_Para Piyasası'!$AC$2:$AC$62,ROW()-3),'V_Para Piyasası'!$AC$2:$AC$62,0))</f>
        <v/>
      </c>
      <c r="U46" s="8">
        <f>INDEX('V_Para Piyasası'!T$2:T$62,MATCH(LARGE('V_Para Piyasası'!$AC$2:$AC$62,ROW()-3),'V_Para Piyasası'!$AC$2:$AC$62,0))</f>
        <v/>
      </c>
      <c r="V46" s="8">
        <f>INDEX('V_Para Piyasası'!U$2:U$62,MATCH(LARGE('V_Para Piyasası'!$AC$2:$AC$62,ROW()-3),'V_Para Piyasası'!$AC$2:$AC$62,0))</f>
        <v/>
      </c>
      <c r="W46" s="8">
        <f>INDEX('V_Para Piyasası'!V$2:V$62,MATCH(LARGE('V_Para Piyasası'!$AC$2:$AC$62,ROW()-3),'V_Para Piyasası'!$AC$2:$AC$62,0))</f>
        <v/>
      </c>
      <c r="X46" s="8">
        <f>INDEX('V_Para Piyasası'!W$2:W$62,MATCH(LARGE('V_Para Piyasası'!$AC$2:$AC$62,ROW()-3),'V_Para Piyasası'!$AC$2:$AC$62,0))</f>
        <v/>
      </c>
      <c r="Y46" s="8">
        <f>INDEX('V_Para Piyasası'!X$2:X$62,MATCH(LARGE('V_Para Piyasası'!$AC$2:$AC$62,ROW()-3),'V_Para Piyasası'!$AC$2:$AC$62,0))</f>
        <v/>
      </c>
      <c r="Z46" s="8">
        <f>INDEX('V_Para Piyasası'!Y$2:Y$62,MATCH(LARGE('V_Para Piyasası'!$AC$2:$AC$62,ROW()-3),'V_Para Piyasası'!$AC$2:$AC$62,0))</f>
        <v/>
      </c>
      <c r="AA46" s="8">
        <f>INDEX('V_Para Piyasası'!Z$2:Z$62,MATCH(LARGE('V_Para Piyasası'!$AC$2:$AC$62,ROW()-3),'V_Para Piyasası'!$AC$2:$AC$62,0))</f>
        <v/>
      </c>
      <c r="AB46" s="8">
        <f>INDEX('V_Para Piyasası'!AA$2:AA$62,MATCH(LARGE('V_Para Piyasası'!$AC$2:$AC$62,ROW()-3),'V_Para Piyasası'!$AC$2:$AC$62,0))</f>
        <v/>
      </c>
    </row>
    <row r="47">
      <c r="A47" t="n">
        <v>44</v>
      </c>
      <c r="B47" s="5">
        <f>INDEX('V_Para Piyasası'!A$2:A$62,MATCH(LARGE('V_Para Piyasası'!$AC$2:$AC$62,ROW()-3),'V_Para Piyasası'!$AC$2:$AC$62,0))</f>
        <v/>
      </c>
      <c r="C47" s="5">
        <f>INDEX('V_Para Piyasası'!B$2:B$62,MATCH(LARGE('V_Para Piyasası'!$AC$2:$AC$62,ROW()-3),'V_Para Piyasası'!$AC$2:$AC$62,0))</f>
        <v/>
      </c>
      <c r="D47" s="5">
        <f>INDEX('V_Para Piyasası'!C$2:C$62,MATCH(LARGE('V_Para Piyasası'!$AC$2:$AC$62,ROW()-3),'V_Para Piyasası'!$AC$2:$AC$62,0))</f>
        <v/>
      </c>
      <c r="E47" s="8">
        <f>INDEX('V_Para Piyasası'!D$2:D$62,MATCH(LARGE('V_Para Piyasası'!$AC$2:$AC$62,ROW()-3),'V_Para Piyasası'!$AC$2:$AC$62,0))</f>
        <v/>
      </c>
      <c r="F47" s="9">
        <f>INDEX('V_Para Piyasası'!E$2:E$62,MATCH(LARGE('V_Para Piyasası'!$AC$2:$AC$62,ROW()-3),'V_Para Piyasası'!$AC$2:$AC$62,0))</f>
        <v/>
      </c>
      <c r="G47" s="9">
        <f>INDEX('V_Para Piyasası'!F$2:F$62,MATCH(LARGE('V_Para Piyasası'!$AC$2:$AC$62,ROW()-3),'V_Para Piyasası'!$AC$2:$AC$62,0))</f>
        <v/>
      </c>
      <c r="H47" s="9">
        <f>INDEX('V_Para Piyasası'!G$2:G$62,MATCH(LARGE('V_Para Piyasası'!$AC$2:$AC$62,ROW()-3),'V_Para Piyasası'!$AC$2:$AC$62,0))</f>
        <v/>
      </c>
      <c r="I47" s="9">
        <f>INDEX('V_Para Piyasası'!H$2:H$62,MATCH(LARGE('V_Para Piyasası'!$AC$2:$AC$62,ROW()-3),'V_Para Piyasası'!$AC$2:$AC$62,0))</f>
        <v/>
      </c>
      <c r="J47" s="9">
        <f>INDEX('V_Para Piyasası'!I$2:I$62,MATCH(LARGE('V_Para Piyasası'!$AC$2:$AC$62,ROW()-3),'V_Para Piyasası'!$AC$2:$AC$62,0))</f>
        <v/>
      </c>
      <c r="K47" s="10">
        <f>INDEX('V_Para Piyasası'!J$2:J$62,MATCH(LARGE('V_Para Piyasası'!$AC$2:$AC$62,ROW()-3),'V_Para Piyasası'!$AC$2:$AC$62,0))</f>
        <v/>
      </c>
      <c r="L47" s="10">
        <f>INDEX('V_Para Piyasası'!K$2:K$62,MATCH(LARGE('V_Para Piyasası'!$AC$2:$AC$62,ROW()-3),'V_Para Piyasası'!$AC$2:$AC$62,0))</f>
        <v/>
      </c>
      <c r="M47" s="8">
        <f>INDEX('V_Para Piyasası'!L$2:L$62,MATCH(LARGE('V_Para Piyasası'!$AC$2:$AC$62,ROW()-3),'V_Para Piyasası'!$AC$2:$AC$62,0))</f>
        <v/>
      </c>
      <c r="N47" s="11">
        <f>INDEX('V_Para Piyasası'!M$2:M$62,MATCH(LARGE('V_Para Piyasası'!$AC$2:$AC$62,ROW()-3),'V_Para Piyasası'!$AC$2:$AC$62,0))</f>
        <v/>
      </c>
      <c r="O47" s="11">
        <f>INDEX('V_Para Piyasası'!N$2:N$62,MATCH(LARGE('V_Para Piyasası'!$AC$2:$AC$62,ROW()-3),'V_Para Piyasası'!$AC$2:$AC$62,0))</f>
        <v/>
      </c>
      <c r="P47" s="8">
        <f>INDEX('V_Para Piyasası'!O$2:O$62,MATCH(LARGE('V_Para Piyasası'!$AC$2:$AC$62,ROW()-3),'V_Para Piyasası'!$AC$2:$AC$62,0))</f>
        <v/>
      </c>
      <c r="Q47" s="9">
        <f>INDEX('V_Para Piyasası'!P$2:P$62,MATCH(LARGE('V_Para Piyasası'!$AC$2:$AC$62,ROW()-3),'V_Para Piyasası'!$AC$2:$AC$62,0))</f>
        <v/>
      </c>
      <c r="R47" s="5">
        <f>INDEX('V_Para Piyasası'!Q$2:Q$62,MATCH(LARGE('V_Para Piyasası'!$AC$2:$AC$62,ROW()-3),'V_Para Piyasası'!$AC$2:$AC$62,0))</f>
        <v/>
      </c>
      <c r="S47" s="8">
        <f>INDEX('V_Para Piyasası'!R$2:R$62,MATCH(LARGE('V_Para Piyasası'!$AC$2:$AC$62,ROW()-3),'V_Para Piyasası'!$AC$2:$AC$62,0))</f>
        <v/>
      </c>
      <c r="T47" s="8">
        <f>INDEX('V_Para Piyasası'!S$2:S$62,MATCH(LARGE('V_Para Piyasası'!$AC$2:$AC$62,ROW()-3),'V_Para Piyasası'!$AC$2:$AC$62,0))</f>
        <v/>
      </c>
      <c r="U47" s="8">
        <f>INDEX('V_Para Piyasası'!T$2:T$62,MATCH(LARGE('V_Para Piyasası'!$AC$2:$AC$62,ROW()-3),'V_Para Piyasası'!$AC$2:$AC$62,0))</f>
        <v/>
      </c>
      <c r="V47" s="8">
        <f>INDEX('V_Para Piyasası'!U$2:U$62,MATCH(LARGE('V_Para Piyasası'!$AC$2:$AC$62,ROW()-3),'V_Para Piyasası'!$AC$2:$AC$62,0))</f>
        <v/>
      </c>
      <c r="W47" s="8">
        <f>INDEX('V_Para Piyasası'!V$2:V$62,MATCH(LARGE('V_Para Piyasası'!$AC$2:$AC$62,ROW()-3),'V_Para Piyasası'!$AC$2:$AC$62,0))</f>
        <v/>
      </c>
      <c r="X47" s="8">
        <f>INDEX('V_Para Piyasası'!W$2:W$62,MATCH(LARGE('V_Para Piyasası'!$AC$2:$AC$62,ROW()-3),'V_Para Piyasası'!$AC$2:$AC$62,0))</f>
        <v/>
      </c>
      <c r="Y47" s="8">
        <f>INDEX('V_Para Piyasası'!X$2:X$62,MATCH(LARGE('V_Para Piyasası'!$AC$2:$AC$62,ROW()-3),'V_Para Piyasası'!$AC$2:$AC$62,0))</f>
        <v/>
      </c>
      <c r="Z47" s="8">
        <f>INDEX('V_Para Piyasası'!Y$2:Y$62,MATCH(LARGE('V_Para Piyasası'!$AC$2:$AC$62,ROW()-3),'V_Para Piyasası'!$AC$2:$AC$62,0))</f>
        <v/>
      </c>
      <c r="AA47" s="8">
        <f>INDEX('V_Para Piyasası'!Z$2:Z$62,MATCH(LARGE('V_Para Piyasası'!$AC$2:$AC$62,ROW()-3),'V_Para Piyasası'!$AC$2:$AC$62,0))</f>
        <v/>
      </c>
      <c r="AB47" s="8">
        <f>INDEX('V_Para Piyasası'!AA$2:AA$62,MATCH(LARGE('V_Para Piyasası'!$AC$2:$AC$62,ROW()-3),'V_Para Piyasası'!$AC$2:$AC$62,0))</f>
        <v/>
      </c>
    </row>
    <row r="48">
      <c r="A48" t="n">
        <v>45</v>
      </c>
      <c r="B48" s="5">
        <f>INDEX('V_Para Piyasası'!A$2:A$62,MATCH(LARGE('V_Para Piyasası'!$AC$2:$AC$62,ROW()-3),'V_Para Piyasası'!$AC$2:$AC$62,0))</f>
        <v/>
      </c>
      <c r="C48" s="5">
        <f>INDEX('V_Para Piyasası'!B$2:B$62,MATCH(LARGE('V_Para Piyasası'!$AC$2:$AC$62,ROW()-3),'V_Para Piyasası'!$AC$2:$AC$62,0))</f>
        <v/>
      </c>
      <c r="D48" s="5">
        <f>INDEX('V_Para Piyasası'!C$2:C$62,MATCH(LARGE('V_Para Piyasası'!$AC$2:$AC$62,ROW()-3),'V_Para Piyasası'!$AC$2:$AC$62,0))</f>
        <v/>
      </c>
      <c r="E48" s="8">
        <f>INDEX('V_Para Piyasası'!D$2:D$62,MATCH(LARGE('V_Para Piyasası'!$AC$2:$AC$62,ROW()-3),'V_Para Piyasası'!$AC$2:$AC$62,0))</f>
        <v/>
      </c>
      <c r="F48" s="9">
        <f>INDEX('V_Para Piyasası'!E$2:E$62,MATCH(LARGE('V_Para Piyasası'!$AC$2:$AC$62,ROW()-3),'V_Para Piyasası'!$AC$2:$AC$62,0))</f>
        <v/>
      </c>
      <c r="G48" s="9">
        <f>INDEX('V_Para Piyasası'!F$2:F$62,MATCH(LARGE('V_Para Piyasası'!$AC$2:$AC$62,ROW()-3),'V_Para Piyasası'!$AC$2:$AC$62,0))</f>
        <v/>
      </c>
      <c r="H48" s="9">
        <f>INDEX('V_Para Piyasası'!G$2:G$62,MATCH(LARGE('V_Para Piyasası'!$AC$2:$AC$62,ROW()-3),'V_Para Piyasası'!$AC$2:$AC$62,0))</f>
        <v/>
      </c>
      <c r="I48" s="9">
        <f>INDEX('V_Para Piyasası'!H$2:H$62,MATCH(LARGE('V_Para Piyasası'!$AC$2:$AC$62,ROW()-3),'V_Para Piyasası'!$AC$2:$AC$62,0))</f>
        <v/>
      </c>
      <c r="J48" s="9">
        <f>INDEX('V_Para Piyasası'!I$2:I$62,MATCH(LARGE('V_Para Piyasası'!$AC$2:$AC$62,ROW()-3),'V_Para Piyasası'!$AC$2:$AC$62,0))</f>
        <v/>
      </c>
      <c r="K48" s="10">
        <f>INDEX('V_Para Piyasası'!J$2:J$62,MATCH(LARGE('V_Para Piyasası'!$AC$2:$AC$62,ROW()-3),'V_Para Piyasası'!$AC$2:$AC$62,0))</f>
        <v/>
      </c>
      <c r="L48" s="10">
        <f>INDEX('V_Para Piyasası'!K$2:K$62,MATCH(LARGE('V_Para Piyasası'!$AC$2:$AC$62,ROW()-3),'V_Para Piyasası'!$AC$2:$AC$62,0))</f>
        <v/>
      </c>
      <c r="M48" s="8">
        <f>INDEX('V_Para Piyasası'!L$2:L$62,MATCH(LARGE('V_Para Piyasası'!$AC$2:$AC$62,ROW()-3),'V_Para Piyasası'!$AC$2:$AC$62,0))</f>
        <v/>
      </c>
      <c r="N48" s="11">
        <f>INDEX('V_Para Piyasası'!M$2:M$62,MATCH(LARGE('V_Para Piyasası'!$AC$2:$AC$62,ROW()-3),'V_Para Piyasası'!$AC$2:$AC$62,0))</f>
        <v/>
      </c>
      <c r="O48" s="11">
        <f>INDEX('V_Para Piyasası'!N$2:N$62,MATCH(LARGE('V_Para Piyasası'!$AC$2:$AC$62,ROW()-3),'V_Para Piyasası'!$AC$2:$AC$62,0))</f>
        <v/>
      </c>
      <c r="P48" s="8">
        <f>INDEX('V_Para Piyasası'!O$2:O$62,MATCH(LARGE('V_Para Piyasası'!$AC$2:$AC$62,ROW()-3),'V_Para Piyasası'!$AC$2:$AC$62,0))</f>
        <v/>
      </c>
      <c r="Q48" s="9">
        <f>INDEX('V_Para Piyasası'!P$2:P$62,MATCH(LARGE('V_Para Piyasası'!$AC$2:$AC$62,ROW()-3),'V_Para Piyasası'!$AC$2:$AC$62,0))</f>
        <v/>
      </c>
      <c r="R48" s="5">
        <f>INDEX('V_Para Piyasası'!Q$2:Q$62,MATCH(LARGE('V_Para Piyasası'!$AC$2:$AC$62,ROW()-3),'V_Para Piyasası'!$AC$2:$AC$62,0))</f>
        <v/>
      </c>
      <c r="S48" s="8">
        <f>INDEX('V_Para Piyasası'!R$2:R$62,MATCH(LARGE('V_Para Piyasası'!$AC$2:$AC$62,ROW()-3),'V_Para Piyasası'!$AC$2:$AC$62,0))</f>
        <v/>
      </c>
      <c r="T48" s="8">
        <f>INDEX('V_Para Piyasası'!S$2:S$62,MATCH(LARGE('V_Para Piyasası'!$AC$2:$AC$62,ROW()-3),'V_Para Piyasası'!$AC$2:$AC$62,0))</f>
        <v/>
      </c>
      <c r="U48" s="8">
        <f>INDEX('V_Para Piyasası'!T$2:T$62,MATCH(LARGE('V_Para Piyasası'!$AC$2:$AC$62,ROW()-3),'V_Para Piyasası'!$AC$2:$AC$62,0))</f>
        <v/>
      </c>
      <c r="V48" s="8">
        <f>INDEX('V_Para Piyasası'!U$2:U$62,MATCH(LARGE('V_Para Piyasası'!$AC$2:$AC$62,ROW()-3),'V_Para Piyasası'!$AC$2:$AC$62,0))</f>
        <v/>
      </c>
      <c r="W48" s="8">
        <f>INDEX('V_Para Piyasası'!V$2:V$62,MATCH(LARGE('V_Para Piyasası'!$AC$2:$AC$62,ROW()-3),'V_Para Piyasası'!$AC$2:$AC$62,0))</f>
        <v/>
      </c>
      <c r="X48" s="8">
        <f>INDEX('V_Para Piyasası'!W$2:W$62,MATCH(LARGE('V_Para Piyasası'!$AC$2:$AC$62,ROW()-3),'V_Para Piyasası'!$AC$2:$AC$62,0))</f>
        <v/>
      </c>
      <c r="Y48" s="8">
        <f>INDEX('V_Para Piyasası'!X$2:X$62,MATCH(LARGE('V_Para Piyasası'!$AC$2:$AC$62,ROW()-3),'V_Para Piyasası'!$AC$2:$AC$62,0))</f>
        <v/>
      </c>
      <c r="Z48" s="8">
        <f>INDEX('V_Para Piyasası'!Y$2:Y$62,MATCH(LARGE('V_Para Piyasası'!$AC$2:$AC$62,ROW()-3),'V_Para Piyasası'!$AC$2:$AC$62,0))</f>
        <v/>
      </c>
      <c r="AA48" s="8">
        <f>INDEX('V_Para Piyasası'!Z$2:Z$62,MATCH(LARGE('V_Para Piyasası'!$AC$2:$AC$62,ROW()-3),'V_Para Piyasası'!$AC$2:$AC$62,0))</f>
        <v/>
      </c>
      <c r="AB48" s="8">
        <f>INDEX('V_Para Piyasası'!AA$2:AA$62,MATCH(LARGE('V_Para Piyasası'!$AC$2:$AC$62,ROW()-3),'V_Para Piyasası'!$AC$2:$AC$62,0))</f>
        <v/>
      </c>
    </row>
    <row r="49">
      <c r="A49" t="n">
        <v>46</v>
      </c>
      <c r="B49" s="5">
        <f>INDEX('V_Para Piyasası'!A$2:A$62,MATCH(LARGE('V_Para Piyasası'!$AC$2:$AC$62,ROW()-3),'V_Para Piyasası'!$AC$2:$AC$62,0))</f>
        <v/>
      </c>
      <c r="C49" s="5">
        <f>INDEX('V_Para Piyasası'!B$2:B$62,MATCH(LARGE('V_Para Piyasası'!$AC$2:$AC$62,ROW()-3),'V_Para Piyasası'!$AC$2:$AC$62,0))</f>
        <v/>
      </c>
      <c r="D49" s="5">
        <f>INDEX('V_Para Piyasası'!C$2:C$62,MATCH(LARGE('V_Para Piyasası'!$AC$2:$AC$62,ROW()-3),'V_Para Piyasası'!$AC$2:$AC$62,0))</f>
        <v/>
      </c>
      <c r="E49" s="8">
        <f>INDEX('V_Para Piyasası'!D$2:D$62,MATCH(LARGE('V_Para Piyasası'!$AC$2:$AC$62,ROW()-3),'V_Para Piyasası'!$AC$2:$AC$62,0))</f>
        <v/>
      </c>
      <c r="F49" s="9">
        <f>INDEX('V_Para Piyasası'!E$2:E$62,MATCH(LARGE('V_Para Piyasası'!$AC$2:$AC$62,ROW()-3),'V_Para Piyasası'!$AC$2:$AC$62,0))</f>
        <v/>
      </c>
      <c r="G49" s="9">
        <f>INDEX('V_Para Piyasası'!F$2:F$62,MATCH(LARGE('V_Para Piyasası'!$AC$2:$AC$62,ROW()-3),'V_Para Piyasası'!$AC$2:$AC$62,0))</f>
        <v/>
      </c>
      <c r="H49" s="9">
        <f>INDEX('V_Para Piyasası'!G$2:G$62,MATCH(LARGE('V_Para Piyasası'!$AC$2:$AC$62,ROW()-3),'V_Para Piyasası'!$AC$2:$AC$62,0))</f>
        <v/>
      </c>
      <c r="I49" s="9">
        <f>INDEX('V_Para Piyasası'!H$2:H$62,MATCH(LARGE('V_Para Piyasası'!$AC$2:$AC$62,ROW()-3),'V_Para Piyasası'!$AC$2:$AC$62,0))</f>
        <v/>
      </c>
      <c r="J49" s="9">
        <f>INDEX('V_Para Piyasası'!I$2:I$62,MATCH(LARGE('V_Para Piyasası'!$AC$2:$AC$62,ROW()-3),'V_Para Piyasası'!$AC$2:$AC$62,0))</f>
        <v/>
      </c>
      <c r="K49" s="10">
        <f>INDEX('V_Para Piyasası'!J$2:J$62,MATCH(LARGE('V_Para Piyasası'!$AC$2:$AC$62,ROW()-3),'V_Para Piyasası'!$AC$2:$AC$62,0))</f>
        <v/>
      </c>
      <c r="L49" s="10">
        <f>INDEX('V_Para Piyasası'!K$2:K$62,MATCH(LARGE('V_Para Piyasası'!$AC$2:$AC$62,ROW()-3),'V_Para Piyasası'!$AC$2:$AC$62,0))</f>
        <v/>
      </c>
      <c r="M49" s="8">
        <f>INDEX('V_Para Piyasası'!L$2:L$62,MATCH(LARGE('V_Para Piyasası'!$AC$2:$AC$62,ROW()-3),'V_Para Piyasası'!$AC$2:$AC$62,0))</f>
        <v/>
      </c>
      <c r="N49" s="11">
        <f>INDEX('V_Para Piyasası'!M$2:M$62,MATCH(LARGE('V_Para Piyasası'!$AC$2:$AC$62,ROW()-3),'V_Para Piyasası'!$AC$2:$AC$62,0))</f>
        <v/>
      </c>
      <c r="O49" s="11">
        <f>INDEX('V_Para Piyasası'!N$2:N$62,MATCH(LARGE('V_Para Piyasası'!$AC$2:$AC$62,ROW()-3),'V_Para Piyasası'!$AC$2:$AC$62,0))</f>
        <v/>
      </c>
      <c r="P49" s="8">
        <f>INDEX('V_Para Piyasası'!O$2:O$62,MATCH(LARGE('V_Para Piyasası'!$AC$2:$AC$62,ROW()-3),'V_Para Piyasası'!$AC$2:$AC$62,0))</f>
        <v/>
      </c>
      <c r="Q49" s="9">
        <f>INDEX('V_Para Piyasası'!P$2:P$62,MATCH(LARGE('V_Para Piyasası'!$AC$2:$AC$62,ROW()-3),'V_Para Piyasası'!$AC$2:$AC$62,0))</f>
        <v/>
      </c>
      <c r="R49" s="5">
        <f>INDEX('V_Para Piyasası'!Q$2:Q$62,MATCH(LARGE('V_Para Piyasası'!$AC$2:$AC$62,ROW()-3),'V_Para Piyasası'!$AC$2:$AC$62,0))</f>
        <v/>
      </c>
      <c r="S49" s="8">
        <f>INDEX('V_Para Piyasası'!R$2:R$62,MATCH(LARGE('V_Para Piyasası'!$AC$2:$AC$62,ROW()-3),'V_Para Piyasası'!$AC$2:$AC$62,0))</f>
        <v/>
      </c>
      <c r="T49" s="8">
        <f>INDEX('V_Para Piyasası'!S$2:S$62,MATCH(LARGE('V_Para Piyasası'!$AC$2:$AC$62,ROW()-3),'V_Para Piyasası'!$AC$2:$AC$62,0))</f>
        <v/>
      </c>
      <c r="U49" s="8">
        <f>INDEX('V_Para Piyasası'!T$2:T$62,MATCH(LARGE('V_Para Piyasası'!$AC$2:$AC$62,ROW()-3),'V_Para Piyasası'!$AC$2:$AC$62,0))</f>
        <v/>
      </c>
      <c r="V49" s="8">
        <f>INDEX('V_Para Piyasası'!U$2:U$62,MATCH(LARGE('V_Para Piyasası'!$AC$2:$AC$62,ROW()-3),'V_Para Piyasası'!$AC$2:$AC$62,0))</f>
        <v/>
      </c>
      <c r="W49" s="8">
        <f>INDEX('V_Para Piyasası'!V$2:V$62,MATCH(LARGE('V_Para Piyasası'!$AC$2:$AC$62,ROW()-3),'V_Para Piyasası'!$AC$2:$AC$62,0))</f>
        <v/>
      </c>
      <c r="X49" s="8">
        <f>INDEX('V_Para Piyasası'!W$2:W$62,MATCH(LARGE('V_Para Piyasası'!$AC$2:$AC$62,ROW()-3),'V_Para Piyasası'!$AC$2:$AC$62,0))</f>
        <v/>
      </c>
      <c r="Y49" s="8">
        <f>INDEX('V_Para Piyasası'!X$2:X$62,MATCH(LARGE('V_Para Piyasası'!$AC$2:$AC$62,ROW()-3),'V_Para Piyasası'!$AC$2:$AC$62,0))</f>
        <v/>
      </c>
      <c r="Z49" s="8">
        <f>INDEX('V_Para Piyasası'!Y$2:Y$62,MATCH(LARGE('V_Para Piyasası'!$AC$2:$AC$62,ROW()-3),'V_Para Piyasası'!$AC$2:$AC$62,0))</f>
        <v/>
      </c>
      <c r="AA49" s="8">
        <f>INDEX('V_Para Piyasası'!Z$2:Z$62,MATCH(LARGE('V_Para Piyasası'!$AC$2:$AC$62,ROW()-3),'V_Para Piyasası'!$AC$2:$AC$62,0))</f>
        <v/>
      </c>
      <c r="AB49" s="8">
        <f>INDEX('V_Para Piyasası'!AA$2:AA$62,MATCH(LARGE('V_Para Piyasası'!$AC$2:$AC$62,ROW()-3),'V_Para Piyasası'!$AC$2:$AC$62,0))</f>
        <v/>
      </c>
    </row>
    <row r="50">
      <c r="A50" t="n">
        <v>47</v>
      </c>
      <c r="B50" s="5">
        <f>INDEX('V_Para Piyasası'!A$2:A$62,MATCH(LARGE('V_Para Piyasası'!$AC$2:$AC$62,ROW()-3),'V_Para Piyasası'!$AC$2:$AC$62,0))</f>
        <v/>
      </c>
      <c r="C50" s="5">
        <f>INDEX('V_Para Piyasası'!B$2:B$62,MATCH(LARGE('V_Para Piyasası'!$AC$2:$AC$62,ROW()-3),'V_Para Piyasası'!$AC$2:$AC$62,0))</f>
        <v/>
      </c>
      <c r="D50" s="5">
        <f>INDEX('V_Para Piyasası'!C$2:C$62,MATCH(LARGE('V_Para Piyasası'!$AC$2:$AC$62,ROW()-3),'V_Para Piyasası'!$AC$2:$AC$62,0))</f>
        <v/>
      </c>
      <c r="E50" s="8">
        <f>INDEX('V_Para Piyasası'!D$2:D$62,MATCH(LARGE('V_Para Piyasası'!$AC$2:$AC$62,ROW()-3),'V_Para Piyasası'!$AC$2:$AC$62,0))</f>
        <v/>
      </c>
      <c r="F50" s="9">
        <f>INDEX('V_Para Piyasası'!E$2:E$62,MATCH(LARGE('V_Para Piyasası'!$AC$2:$AC$62,ROW()-3),'V_Para Piyasası'!$AC$2:$AC$62,0))</f>
        <v/>
      </c>
      <c r="G50" s="9">
        <f>INDEX('V_Para Piyasası'!F$2:F$62,MATCH(LARGE('V_Para Piyasası'!$AC$2:$AC$62,ROW()-3),'V_Para Piyasası'!$AC$2:$AC$62,0))</f>
        <v/>
      </c>
      <c r="H50" s="9">
        <f>INDEX('V_Para Piyasası'!G$2:G$62,MATCH(LARGE('V_Para Piyasası'!$AC$2:$AC$62,ROW()-3),'V_Para Piyasası'!$AC$2:$AC$62,0))</f>
        <v/>
      </c>
      <c r="I50" s="9">
        <f>INDEX('V_Para Piyasası'!H$2:H$62,MATCH(LARGE('V_Para Piyasası'!$AC$2:$AC$62,ROW()-3),'V_Para Piyasası'!$AC$2:$AC$62,0))</f>
        <v/>
      </c>
      <c r="J50" s="9">
        <f>INDEX('V_Para Piyasası'!I$2:I$62,MATCH(LARGE('V_Para Piyasası'!$AC$2:$AC$62,ROW()-3),'V_Para Piyasası'!$AC$2:$AC$62,0))</f>
        <v/>
      </c>
      <c r="K50" s="10">
        <f>INDEX('V_Para Piyasası'!J$2:J$62,MATCH(LARGE('V_Para Piyasası'!$AC$2:$AC$62,ROW()-3),'V_Para Piyasası'!$AC$2:$AC$62,0))</f>
        <v/>
      </c>
      <c r="L50" s="10">
        <f>INDEX('V_Para Piyasası'!K$2:K$62,MATCH(LARGE('V_Para Piyasası'!$AC$2:$AC$62,ROW()-3),'V_Para Piyasası'!$AC$2:$AC$62,0))</f>
        <v/>
      </c>
      <c r="M50" s="8">
        <f>INDEX('V_Para Piyasası'!L$2:L$62,MATCH(LARGE('V_Para Piyasası'!$AC$2:$AC$62,ROW()-3),'V_Para Piyasası'!$AC$2:$AC$62,0))</f>
        <v/>
      </c>
      <c r="N50" s="11">
        <f>INDEX('V_Para Piyasası'!M$2:M$62,MATCH(LARGE('V_Para Piyasası'!$AC$2:$AC$62,ROW()-3),'V_Para Piyasası'!$AC$2:$AC$62,0))</f>
        <v/>
      </c>
      <c r="O50" s="11">
        <f>INDEX('V_Para Piyasası'!N$2:N$62,MATCH(LARGE('V_Para Piyasası'!$AC$2:$AC$62,ROW()-3),'V_Para Piyasası'!$AC$2:$AC$62,0))</f>
        <v/>
      </c>
      <c r="P50" s="8">
        <f>INDEX('V_Para Piyasası'!O$2:O$62,MATCH(LARGE('V_Para Piyasası'!$AC$2:$AC$62,ROW()-3),'V_Para Piyasası'!$AC$2:$AC$62,0))</f>
        <v/>
      </c>
      <c r="Q50" s="9">
        <f>INDEX('V_Para Piyasası'!P$2:P$62,MATCH(LARGE('V_Para Piyasası'!$AC$2:$AC$62,ROW()-3),'V_Para Piyasası'!$AC$2:$AC$62,0))</f>
        <v/>
      </c>
      <c r="R50" s="5">
        <f>INDEX('V_Para Piyasası'!Q$2:Q$62,MATCH(LARGE('V_Para Piyasası'!$AC$2:$AC$62,ROW()-3),'V_Para Piyasası'!$AC$2:$AC$62,0))</f>
        <v/>
      </c>
      <c r="S50" s="8">
        <f>INDEX('V_Para Piyasası'!R$2:R$62,MATCH(LARGE('V_Para Piyasası'!$AC$2:$AC$62,ROW()-3),'V_Para Piyasası'!$AC$2:$AC$62,0))</f>
        <v/>
      </c>
      <c r="T50" s="8">
        <f>INDEX('V_Para Piyasası'!S$2:S$62,MATCH(LARGE('V_Para Piyasası'!$AC$2:$AC$62,ROW()-3),'V_Para Piyasası'!$AC$2:$AC$62,0))</f>
        <v/>
      </c>
      <c r="U50" s="8">
        <f>INDEX('V_Para Piyasası'!T$2:T$62,MATCH(LARGE('V_Para Piyasası'!$AC$2:$AC$62,ROW()-3),'V_Para Piyasası'!$AC$2:$AC$62,0))</f>
        <v/>
      </c>
      <c r="V50" s="8">
        <f>INDEX('V_Para Piyasası'!U$2:U$62,MATCH(LARGE('V_Para Piyasası'!$AC$2:$AC$62,ROW()-3),'V_Para Piyasası'!$AC$2:$AC$62,0))</f>
        <v/>
      </c>
      <c r="W50" s="8">
        <f>INDEX('V_Para Piyasası'!V$2:V$62,MATCH(LARGE('V_Para Piyasası'!$AC$2:$AC$62,ROW()-3),'V_Para Piyasası'!$AC$2:$AC$62,0))</f>
        <v/>
      </c>
      <c r="X50" s="8">
        <f>INDEX('V_Para Piyasası'!W$2:W$62,MATCH(LARGE('V_Para Piyasası'!$AC$2:$AC$62,ROW()-3),'V_Para Piyasası'!$AC$2:$AC$62,0))</f>
        <v/>
      </c>
      <c r="Y50" s="8">
        <f>INDEX('V_Para Piyasası'!X$2:X$62,MATCH(LARGE('V_Para Piyasası'!$AC$2:$AC$62,ROW()-3),'V_Para Piyasası'!$AC$2:$AC$62,0))</f>
        <v/>
      </c>
      <c r="Z50" s="8">
        <f>INDEX('V_Para Piyasası'!Y$2:Y$62,MATCH(LARGE('V_Para Piyasası'!$AC$2:$AC$62,ROW()-3),'V_Para Piyasası'!$AC$2:$AC$62,0))</f>
        <v/>
      </c>
      <c r="AA50" s="8">
        <f>INDEX('V_Para Piyasası'!Z$2:Z$62,MATCH(LARGE('V_Para Piyasası'!$AC$2:$AC$62,ROW()-3),'V_Para Piyasası'!$AC$2:$AC$62,0))</f>
        <v/>
      </c>
      <c r="AB50" s="8">
        <f>INDEX('V_Para Piyasası'!AA$2:AA$62,MATCH(LARGE('V_Para Piyasası'!$AC$2:$AC$62,ROW()-3),'V_Para Piyasası'!$AC$2:$AC$62,0))</f>
        <v/>
      </c>
    </row>
    <row r="51">
      <c r="A51" t="n">
        <v>48</v>
      </c>
      <c r="B51" s="5">
        <f>INDEX('V_Para Piyasası'!A$2:A$62,MATCH(LARGE('V_Para Piyasası'!$AC$2:$AC$62,ROW()-3),'V_Para Piyasası'!$AC$2:$AC$62,0))</f>
        <v/>
      </c>
      <c r="C51" s="5">
        <f>INDEX('V_Para Piyasası'!B$2:B$62,MATCH(LARGE('V_Para Piyasası'!$AC$2:$AC$62,ROW()-3),'V_Para Piyasası'!$AC$2:$AC$62,0))</f>
        <v/>
      </c>
      <c r="D51" s="5">
        <f>INDEX('V_Para Piyasası'!C$2:C$62,MATCH(LARGE('V_Para Piyasası'!$AC$2:$AC$62,ROW()-3),'V_Para Piyasası'!$AC$2:$AC$62,0))</f>
        <v/>
      </c>
      <c r="E51" s="8">
        <f>INDEX('V_Para Piyasası'!D$2:D$62,MATCH(LARGE('V_Para Piyasası'!$AC$2:$AC$62,ROW()-3),'V_Para Piyasası'!$AC$2:$AC$62,0))</f>
        <v/>
      </c>
      <c r="F51" s="9">
        <f>INDEX('V_Para Piyasası'!E$2:E$62,MATCH(LARGE('V_Para Piyasası'!$AC$2:$AC$62,ROW()-3),'V_Para Piyasası'!$AC$2:$AC$62,0))</f>
        <v/>
      </c>
      <c r="G51" s="9">
        <f>INDEX('V_Para Piyasası'!F$2:F$62,MATCH(LARGE('V_Para Piyasası'!$AC$2:$AC$62,ROW()-3),'V_Para Piyasası'!$AC$2:$AC$62,0))</f>
        <v/>
      </c>
      <c r="H51" s="9">
        <f>INDEX('V_Para Piyasası'!G$2:G$62,MATCH(LARGE('V_Para Piyasası'!$AC$2:$AC$62,ROW()-3),'V_Para Piyasası'!$AC$2:$AC$62,0))</f>
        <v/>
      </c>
      <c r="I51" s="9">
        <f>INDEX('V_Para Piyasası'!H$2:H$62,MATCH(LARGE('V_Para Piyasası'!$AC$2:$AC$62,ROW()-3),'V_Para Piyasası'!$AC$2:$AC$62,0))</f>
        <v/>
      </c>
      <c r="J51" s="9">
        <f>INDEX('V_Para Piyasası'!I$2:I$62,MATCH(LARGE('V_Para Piyasası'!$AC$2:$AC$62,ROW()-3),'V_Para Piyasası'!$AC$2:$AC$62,0))</f>
        <v/>
      </c>
      <c r="K51" s="10">
        <f>INDEX('V_Para Piyasası'!J$2:J$62,MATCH(LARGE('V_Para Piyasası'!$AC$2:$AC$62,ROW()-3),'V_Para Piyasası'!$AC$2:$AC$62,0))</f>
        <v/>
      </c>
      <c r="L51" s="10">
        <f>INDEX('V_Para Piyasası'!K$2:K$62,MATCH(LARGE('V_Para Piyasası'!$AC$2:$AC$62,ROW()-3),'V_Para Piyasası'!$AC$2:$AC$62,0))</f>
        <v/>
      </c>
      <c r="M51" s="8">
        <f>INDEX('V_Para Piyasası'!L$2:L$62,MATCH(LARGE('V_Para Piyasası'!$AC$2:$AC$62,ROW()-3),'V_Para Piyasası'!$AC$2:$AC$62,0))</f>
        <v/>
      </c>
      <c r="N51" s="11">
        <f>INDEX('V_Para Piyasası'!M$2:M$62,MATCH(LARGE('V_Para Piyasası'!$AC$2:$AC$62,ROW()-3),'V_Para Piyasası'!$AC$2:$AC$62,0))</f>
        <v/>
      </c>
      <c r="O51" s="11">
        <f>INDEX('V_Para Piyasası'!N$2:N$62,MATCH(LARGE('V_Para Piyasası'!$AC$2:$AC$62,ROW()-3),'V_Para Piyasası'!$AC$2:$AC$62,0))</f>
        <v/>
      </c>
      <c r="P51" s="8">
        <f>INDEX('V_Para Piyasası'!O$2:O$62,MATCH(LARGE('V_Para Piyasası'!$AC$2:$AC$62,ROW()-3),'V_Para Piyasası'!$AC$2:$AC$62,0))</f>
        <v/>
      </c>
      <c r="Q51" s="9">
        <f>INDEX('V_Para Piyasası'!P$2:P$62,MATCH(LARGE('V_Para Piyasası'!$AC$2:$AC$62,ROW()-3),'V_Para Piyasası'!$AC$2:$AC$62,0))</f>
        <v/>
      </c>
      <c r="R51" s="5">
        <f>INDEX('V_Para Piyasası'!Q$2:Q$62,MATCH(LARGE('V_Para Piyasası'!$AC$2:$AC$62,ROW()-3),'V_Para Piyasası'!$AC$2:$AC$62,0))</f>
        <v/>
      </c>
      <c r="S51" s="8">
        <f>INDEX('V_Para Piyasası'!R$2:R$62,MATCH(LARGE('V_Para Piyasası'!$AC$2:$AC$62,ROW()-3),'V_Para Piyasası'!$AC$2:$AC$62,0))</f>
        <v/>
      </c>
      <c r="T51" s="8">
        <f>INDEX('V_Para Piyasası'!S$2:S$62,MATCH(LARGE('V_Para Piyasası'!$AC$2:$AC$62,ROW()-3),'V_Para Piyasası'!$AC$2:$AC$62,0))</f>
        <v/>
      </c>
      <c r="U51" s="8">
        <f>INDEX('V_Para Piyasası'!T$2:T$62,MATCH(LARGE('V_Para Piyasası'!$AC$2:$AC$62,ROW()-3),'V_Para Piyasası'!$AC$2:$AC$62,0))</f>
        <v/>
      </c>
      <c r="V51" s="8">
        <f>INDEX('V_Para Piyasası'!U$2:U$62,MATCH(LARGE('V_Para Piyasası'!$AC$2:$AC$62,ROW()-3),'V_Para Piyasası'!$AC$2:$AC$62,0))</f>
        <v/>
      </c>
      <c r="W51" s="8">
        <f>INDEX('V_Para Piyasası'!V$2:V$62,MATCH(LARGE('V_Para Piyasası'!$AC$2:$AC$62,ROW()-3),'V_Para Piyasası'!$AC$2:$AC$62,0))</f>
        <v/>
      </c>
      <c r="X51" s="8">
        <f>INDEX('V_Para Piyasası'!W$2:W$62,MATCH(LARGE('V_Para Piyasası'!$AC$2:$AC$62,ROW()-3),'V_Para Piyasası'!$AC$2:$AC$62,0))</f>
        <v/>
      </c>
      <c r="Y51" s="8">
        <f>INDEX('V_Para Piyasası'!X$2:X$62,MATCH(LARGE('V_Para Piyasası'!$AC$2:$AC$62,ROW()-3),'V_Para Piyasası'!$AC$2:$AC$62,0))</f>
        <v/>
      </c>
      <c r="Z51" s="8">
        <f>INDEX('V_Para Piyasası'!Y$2:Y$62,MATCH(LARGE('V_Para Piyasası'!$AC$2:$AC$62,ROW()-3),'V_Para Piyasası'!$AC$2:$AC$62,0))</f>
        <v/>
      </c>
      <c r="AA51" s="8">
        <f>INDEX('V_Para Piyasası'!Z$2:Z$62,MATCH(LARGE('V_Para Piyasası'!$AC$2:$AC$62,ROW()-3),'V_Para Piyasası'!$AC$2:$AC$62,0))</f>
        <v/>
      </c>
      <c r="AB51" s="8">
        <f>INDEX('V_Para Piyasası'!AA$2:AA$62,MATCH(LARGE('V_Para Piyasası'!$AC$2:$AC$62,ROW()-3),'V_Para Piyasası'!$AC$2:$AC$62,0))</f>
        <v/>
      </c>
    </row>
    <row r="52">
      <c r="A52" t="n">
        <v>49</v>
      </c>
      <c r="B52" s="5">
        <f>INDEX('V_Para Piyasası'!A$2:A$62,MATCH(LARGE('V_Para Piyasası'!$AC$2:$AC$62,ROW()-3),'V_Para Piyasası'!$AC$2:$AC$62,0))</f>
        <v/>
      </c>
      <c r="C52" s="5">
        <f>INDEX('V_Para Piyasası'!B$2:B$62,MATCH(LARGE('V_Para Piyasası'!$AC$2:$AC$62,ROW()-3),'V_Para Piyasası'!$AC$2:$AC$62,0))</f>
        <v/>
      </c>
      <c r="D52" s="5">
        <f>INDEX('V_Para Piyasası'!C$2:C$62,MATCH(LARGE('V_Para Piyasası'!$AC$2:$AC$62,ROW()-3),'V_Para Piyasası'!$AC$2:$AC$62,0))</f>
        <v/>
      </c>
      <c r="E52" s="8">
        <f>INDEX('V_Para Piyasası'!D$2:D$62,MATCH(LARGE('V_Para Piyasası'!$AC$2:$AC$62,ROW()-3),'V_Para Piyasası'!$AC$2:$AC$62,0))</f>
        <v/>
      </c>
      <c r="F52" s="9">
        <f>INDEX('V_Para Piyasası'!E$2:E$62,MATCH(LARGE('V_Para Piyasası'!$AC$2:$AC$62,ROW()-3),'V_Para Piyasası'!$AC$2:$AC$62,0))</f>
        <v/>
      </c>
      <c r="G52" s="9">
        <f>INDEX('V_Para Piyasası'!F$2:F$62,MATCH(LARGE('V_Para Piyasası'!$AC$2:$AC$62,ROW()-3),'V_Para Piyasası'!$AC$2:$AC$62,0))</f>
        <v/>
      </c>
      <c r="H52" s="9">
        <f>INDEX('V_Para Piyasası'!G$2:G$62,MATCH(LARGE('V_Para Piyasası'!$AC$2:$AC$62,ROW()-3),'V_Para Piyasası'!$AC$2:$AC$62,0))</f>
        <v/>
      </c>
      <c r="I52" s="9">
        <f>INDEX('V_Para Piyasası'!H$2:H$62,MATCH(LARGE('V_Para Piyasası'!$AC$2:$AC$62,ROW()-3),'V_Para Piyasası'!$AC$2:$AC$62,0))</f>
        <v/>
      </c>
      <c r="J52" s="9">
        <f>INDEX('V_Para Piyasası'!I$2:I$62,MATCH(LARGE('V_Para Piyasası'!$AC$2:$AC$62,ROW()-3),'V_Para Piyasası'!$AC$2:$AC$62,0))</f>
        <v/>
      </c>
      <c r="K52" s="10">
        <f>INDEX('V_Para Piyasası'!J$2:J$62,MATCH(LARGE('V_Para Piyasası'!$AC$2:$AC$62,ROW()-3),'V_Para Piyasası'!$AC$2:$AC$62,0))</f>
        <v/>
      </c>
      <c r="L52" s="10">
        <f>INDEX('V_Para Piyasası'!K$2:K$62,MATCH(LARGE('V_Para Piyasası'!$AC$2:$AC$62,ROW()-3),'V_Para Piyasası'!$AC$2:$AC$62,0))</f>
        <v/>
      </c>
      <c r="M52" s="8">
        <f>INDEX('V_Para Piyasası'!L$2:L$62,MATCH(LARGE('V_Para Piyasası'!$AC$2:$AC$62,ROW()-3),'V_Para Piyasası'!$AC$2:$AC$62,0))</f>
        <v/>
      </c>
      <c r="N52" s="11">
        <f>INDEX('V_Para Piyasası'!M$2:M$62,MATCH(LARGE('V_Para Piyasası'!$AC$2:$AC$62,ROW()-3),'V_Para Piyasası'!$AC$2:$AC$62,0))</f>
        <v/>
      </c>
      <c r="O52" s="11">
        <f>INDEX('V_Para Piyasası'!N$2:N$62,MATCH(LARGE('V_Para Piyasası'!$AC$2:$AC$62,ROW()-3),'V_Para Piyasası'!$AC$2:$AC$62,0))</f>
        <v/>
      </c>
      <c r="P52" s="8">
        <f>INDEX('V_Para Piyasası'!O$2:O$62,MATCH(LARGE('V_Para Piyasası'!$AC$2:$AC$62,ROW()-3),'V_Para Piyasası'!$AC$2:$AC$62,0))</f>
        <v/>
      </c>
      <c r="Q52" s="9">
        <f>INDEX('V_Para Piyasası'!P$2:P$62,MATCH(LARGE('V_Para Piyasası'!$AC$2:$AC$62,ROW()-3),'V_Para Piyasası'!$AC$2:$AC$62,0))</f>
        <v/>
      </c>
      <c r="R52" s="5">
        <f>INDEX('V_Para Piyasası'!Q$2:Q$62,MATCH(LARGE('V_Para Piyasası'!$AC$2:$AC$62,ROW()-3),'V_Para Piyasası'!$AC$2:$AC$62,0))</f>
        <v/>
      </c>
      <c r="S52" s="8">
        <f>INDEX('V_Para Piyasası'!R$2:R$62,MATCH(LARGE('V_Para Piyasası'!$AC$2:$AC$62,ROW()-3),'V_Para Piyasası'!$AC$2:$AC$62,0))</f>
        <v/>
      </c>
      <c r="T52" s="8">
        <f>INDEX('V_Para Piyasası'!S$2:S$62,MATCH(LARGE('V_Para Piyasası'!$AC$2:$AC$62,ROW()-3),'V_Para Piyasası'!$AC$2:$AC$62,0))</f>
        <v/>
      </c>
      <c r="U52" s="8">
        <f>INDEX('V_Para Piyasası'!T$2:T$62,MATCH(LARGE('V_Para Piyasası'!$AC$2:$AC$62,ROW()-3),'V_Para Piyasası'!$AC$2:$AC$62,0))</f>
        <v/>
      </c>
      <c r="V52" s="8">
        <f>INDEX('V_Para Piyasası'!U$2:U$62,MATCH(LARGE('V_Para Piyasası'!$AC$2:$AC$62,ROW()-3),'V_Para Piyasası'!$AC$2:$AC$62,0))</f>
        <v/>
      </c>
      <c r="W52" s="8">
        <f>INDEX('V_Para Piyasası'!V$2:V$62,MATCH(LARGE('V_Para Piyasası'!$AC$2:$AC$62,ROW()-3),'V_Para Piyasası'!$AC$2:$AC$62,0))</f>
        <v/>
      </c>
      <c r="X52" s="8">
        <f>INDEX('V_Para Piyasası'!W$2:W$62,MATCH(LARGE('V_Para Piyasası'!$AC$2:$AC$62,ROW()-3),'V_Para Piyasası'!$AC$2:$AC$62,0))</f>
        <v/>
      </c>
      <c r="Y52" s="8">
        <f>INDEX('V_Para Piyasası'!X$2:X$62,MATCH(LARGE('V_Para Piyasası'!$AC$2:$AC$62,ROW()-3),'V_Para Piyasası'!$AC$2:$AC$62,0))</f>
        <v/>
      </c>
      <c r="Z52" s="8">
        <f>INDEX('V_Para Piyasası'!Y$2:Y$62,MATCH(LARGE('V_Para Piyasası'!$AC$2:$AC$62,ROW()-3),'V_Para Piyasası'!$AC$2:$AC$62,0))</f>
        <v/>
      </c>
      <c r="AA52" s="8">
        <f>INDEX('V_Para Piyasası'!Z$2:Z$62,MATCH(LARGE('V_Para Piyasası'!$AC$2:$AC$62,ROW()-3),'V_Para Piyasası'!$AC$2:$AC$62,0))</f>
        <v/>
      </c>
      <c r="AB52" s="8">
        <f>INDEX('V_Para Piyasası'!AA$2:AA$62,MATCH(LARGE('V_Para Piyasası'!$AC$2:$AC$62,ROW()-3),'V_Para Piyasası'!$AC$2:$AC$62,0))</f>
        <v/>
      </c>
    </row>
    <row r="53">
      <c r="A53" t="n">
        <v>50</v>
      </c>
      <c r="B53" s="5">
        <f>INDEX('V_Para Piyasası'!A$2:A$62,MATCH(LARGE('V_Para Piyasası'!$AC$2:$AC$62,ROW()-3),'V_Para Piyasası'!$AC$2:$AC$62,0))</f>
        <v/>
      </c>
      <c r="C53" s="5">
        <f>INDEX('V_Para Piyasası'!B$2:B$62,MATCH(LARGE('V_Para Piyasası'!$AC$2:$AC$62,ROW()-3),'V_Para Piyasası'!$AC$2:$AC$62,0))</f>
        <v/>
      </c>
      <c r="D53" s="5">
        <f>INDEX('V_Para Piyasası'!C$2:C$62,MATCH(LARGE('V_Para Piyasası'!$AC$2:$AC$62,ROW()-3),'V_Para Piyasası'!$AC$2:$AC$62,0))</f>
        <v/>
      </c>
      <c r="E53" s="8">
        <f>INDEX('V_Para Piyasası'!D$2:D$62,MATCH(LARGE('V_Para Piyasası'!$AC$2:$AC$62,ROW()-3),'V_Para Piyasası'!$AC$2:$AC$62,0))</f>
        <v/>
      </c>
      <c r="F53" s="9">
        <f>INDEX('V_Para Piyasası'!E$2:E$62,MATCH(LARGE('V_Para Piyasası'!$AC$2:$AC$62,ROW()-3),'V_Para Piyasası'!$AC$2:$AC$62,0))</f>
        <v/>
      </c>
      <c r="G53" s="9">
        <f>INDEX('V_Para Piyasası'!F$2:F$62,MATCH(LARGE('V_Para Piyasası'!$AC$2:$AC$62,ROW()-3),'V_Para Piyasası'!$AC$2:$AC$62,0))</f>
        <v/>
      </c>
      <c r="H53" s="9">
        <f>INDEX('V_Para Piyasası'!G$2:G$62,MATCH(LARGE('V_Para Piyasası'!$AC$2:$AC$62,ROW()-3),'V_Para Piyasası'!$AC$2:$AC$62,0))</f>
        <v/>
      </c>
      <c r="I53" s="9">
        <f>INDEX('V_Para Piyasası'!H$2:H$62,MATCH(LARGE('V_Para Piyasası'!$AC$2:$AC$62,ROW()-3),'V_Para Piyasası'!$AC$2:$AC$62,0))</f>
        <v/>
      </c>
      <c r="J53" s="9">
        <f>INDEX('V_Para Piyasası'!I$2:I$62,MATCH(LARGE('V_Para Piyasası'!$AC$2:$AC$62,ROW()-3),'V_Para Piyasası'!$AC$2:$AC$62,0))</f>
        <v/>
      </c>
      <c r="K53" s="10">
        <f>INDEX('V_Para Piyasası'!J$2:J$62,MATCH(LARGE('V_Para Piyasası'!$AC$2:$AC$62,ROW()-3),'V_Para Piyasası'!$AC$2:$AC$62,0))</f>
        <v/>
      </c>
      <c r="L53" s="10">
        <f>INDEX('V_Para Piyasası'!K$2:K$62,MATCH(LARGE('V_Para Piyasası'!$AC$2:$AC$62,ROW()-3),'V_Para Piyasası'!$AC$2:$AC$62,0))</f>
        <v/>
      </c>
      <c r="M53" s="8">
        <f>INDEX('V_Para Piyasası'!L$2:L$62,MATCH(LARGE('V_Para Piyasası'!$AC$2:$AC$62,ROW()-3),'V_Para Piyasası'!$AC$2:$AC$62,0))</f>
        <v/>
      </c>
      <c r="N53" s="11">
        <f>INDEX('V_Para Piyasası'!M$2:M$62,MATCH(LARGE('V_Para Piyasası'!$AC$2:$AC$62,ROW()-3),'V_Para Piyasası'!$AC$2:$AC$62,0))</f>
        <v/>
      </c>
      <c r="O53" s="11">
        <f>INDEX('V_Para Piyasası'!N$2:N$62,MATCH(LARGE('V_Para Piyasası'!$AC$2:$AC$62,ROW()-3),'V_Para Piyasası'!$AC$2:$AC$62,0))</f>
        <v/>
      </c>
      <c r="P53" s="8">
        <f>INDEX('V_Para Piyasası'!O$2:O$62,MATCH(LARGE('V_Para Piyasası'!$AC$2:$AC$62,ROW()-3),'V_Para Piyasası'!$AC$2:$AC$62,0))</f>
        <v/>
      </c>
      <c r="Q53" s="9">
        <f>INDEX('V_Para Piyasası'!P$2:P$62,MATCH(LARGE('V_Para Piyasası'!$AC$2:$AC$62,ROW()-3),'V_Para Piyasası'!$AC$2:$AC$62,0))</f>
        <v/>
      </c>
      <c r="R53" s="5">
        <f>INDEX('V_Para Piyasası'!Q$2:Q$62,MATCH(LARGE('V_Para Piyasası'!$AC$2:$AC$62,ROW()-3),'V_Para Piyasası'!$AC$2:$AC$62,0))</f>
        <v/>
      </c>
      <c r="S53" s="8">
        <f>INDEX('V_Para Piyasası'!R$2:R$62,MATCH(LARGE('V_Para Piyasası'!$AC$2:$AC$62,ROW()-3),'V_Para Piyasası'!$AC$2:$AC$62,0))</f>
        <v/>
      </c>
      <c r="T53" s="8">
        <f>INDEX('V_Para Piyasası'!S$2:S$62,MATCH(LARGE('V_Para Piyasası'!$AC$2:$AC$62,ROW()-3),'V_Para Piyasası'!$AC$2:$AC$62,0))</f>
        <v/>
      </c>
      <c r="U53" s="8">
        <f>INDEX('V_Para Piyasası'!T$2:T$62,MATCH(LARGE('V_Para Piyasası'!$AC$2:$AC$62,ROW()-3),'V_Para Piyasası'!$AC$2:$AC$62,0))</f>
        <v/>
      </c>
      <c r="V53" s="8">
        <f>INDEX('V_Para Piyasası'!U$2:U$62,MATCH(LARGE('V_Para Piyasası'!$AC$2:$AC$62,ROW()-3),'V_Para Piyasası'!$AC$2:$AC$62,0))</f>
        <v/>
      </c>
      <c r="W53" s="8">
        <f>INDEX('V_Para Piyasası'!V$2:V$62,MATCH(LARGE('V_Para Piyasası'!$AC$2:$AC$62,ROW()-3),'V_Para Piyasası'!$AC$2:$AC$62,0))</f>
        <v/>
      </c>
      <c r="X53" s="8">
        <f>INDEX('V_Para Piyasası'!W$2:W$62,MATCH(LARGE('V_Para Piyasası'!$AC$2:$AC$62,ROW()-3),'V_Para Piyasası'!$AC$2:$AC$62,0))</f>
        <v/>
      </c>
      <c r="Y53" s="8">
        <f>INDEX('V_Para Piyasası'!X$2:X$62,MATCH(LARGE('V_Para Piyasası'!$AC$2:$AC$62,ROW()-3),'V_Para Piyasası'!$AC$2:$AC$62,0))</f>
        <v/>
      </c>
      <c r="Z53" s="8">
        <f>INDEX('V_Para Piyasası'!Y$2:Y$62,MATCH(LARGE('V_Para Piyasası'!$AC$2:$AC$62,ROW()-3),'V_Para Piyasası'!$AC$2:$AC$62,0))</f>
        <v/>
      </c>
      <c r="AA53" s="8">
        <f>INDEX('V_Para Piyasası'!Z$2:Z$62,MATCH(LARGE('V_Para Piyasası'!$AC$2:$AC$62,ROW()-3),'V_Para Piyasası'!$AC$2:$AC$62,0))</f>
        <v/>
      </c>
      <c r="AB53" s="8">
        <f>INDEX('V_Para Piyasası'!AA$2:AA$62,MATCH(LARGE('V_Para Piyasası'!$AC$2:$AC$62,ROW()-3),'V_Para Piyasası'!$AC$2:$AC$62,0))</f>
        <v/>
      </c>
    </row>
    <row r="54">
      <c r="A54" t="n">
        <v>51</v>
      </c>
      <c r="B54" s="5">
        <f>INDEX('V_Para Piyasası'!A$2:A$62,MATCH(LARGE('V_Para Piyasası'!$AC$2:$AC$62,ROW()-3),'V_Para Piyasası'!$AC$2:$AC$62,0))</f>
        <v/>
      </c>
      <c r="C54" s="5">
        <f>INDEX('V_Para Piyasası'!B$2:B$62,MATCH(LARGE('V_Para Piyasası'!$AC$2:$AC$62,ROW()-3),'V_Para Piyasası'!$AC$2:$AC$62,0))</f>
        <v/>
      </c>
      <c r="D54" s="5">
        <f>INDEX('V_Para Piyasası'!C$2:C$62,MATCH(LARGE('V_Para Piyasası'!$AC$2:$AC$62,ROW()-3),'V_Para Piyasası'!$AC$2:$AC$62,0))</f>
        <v/>
      </c>
      <c r="E54" s="8">
        <f>INDEX('V_Para Piyasası'!D$2:D$62,MATCH(LARGE('V_Para Piyasası'!$AC$2:$AC$62,ROW()-3),'V_Para Piyasası'!$AC$2:$AC$62,0))</f>
        <v/>
      </c>
      <c r="F54" s="9">
        <f>INDEX('V_Para Piyasası'!E$2:E$62,MATCH(LARGE('V_Para Piyasası'!$AC$2:$AC$62,ROW()-3),'V_Para Piyasası'!$AC$2:$AC$62,0))</f>
        <v/>
      </c>
      <c r="G54" s="9">
        <f>INDEX('V_Para Piyasası'!F$2:F$62,MATCH(LARGE('V_Para Piyasası'!$AC$2:$AC$62,ROW()-3),'V_Para Piyasası'!$AC$2:$AC$62,0))</f>
        <v/>
      </c>
      <c r="H54" s="9">
        <f>INDEX('V_Para Piyasası'!G$2:G$62,MATCH(LARGE('V_Para Piyasası'!$AC$2:$AC$62,ROW()-3),'V_Para Piyasası'!$AC$2:$AC$62,0))</f>
        <v/>
      </c>
      <c r="I54" s="9">
        <f>INDEX('V_Para Piyasası'!H$2:H$62,MATCH(LARGE('V_Para Piyasası'!$AC$2:$AC$62,ROW()-3),'V_Para Piyasası'!$AC$2:$AC$62,0))</f>
        <v/>
      </c>
      <c r="J54" s="9">
        <f>INDEX('V_Para Piyasası'!I$2:I$62,MATCH(LARGE('V_Para Piyasası'!$AC$2:$AC$62,ROW()-3),'V_Para Piyasası'!$AC$2:$AC$62,0))</f>
        <v/>
      </c>
      <c r="K54" s="10">
        <f>INDEX('V_Para Piyasası'!J$2:J$62,MATCH(LARGE('V_Para Piyasası'!$AC$2:$AC$62,ROW()-3),'V_Para Piyasası'!$AC$2:$AC$62,0))</f>
        <v/>
      </c>
      <c r="L54" s="10">
        <f>INDEX('V_Para Piyasası'!K$2:K$62,MATCH(LARGE('V_Para Piyasası'!$AC$2:$AC$62,ROW()-3),'V_Para Piyasası'!$AC$2:$AC$62,0))</f>
        <v/>
      </c>
      <c r="M54" s="8">
        <f>INDEX('V_Para Piyasası'!L$2:L$62,MATCH(LARGE('V_Para Piyasası'!$AC$2:$AC$62,ROW()-3),'V_Para Piyasası'!$AC$2:$AC$62,0))</f>
        <v/>
      </c>
      <c r="N54" s="11">
        <f>INDEX('V_Para Piyasası'!M$2:M$62,MATCH(LARGE('V_Para Piyasası'!$AC$2:$AC$62,ROW()-3),'V_Para Piyasası'!$AC$2:$AC$62,0))</f>
        <v/>
      </c>
      <c r="O54" s="11">
        <f>INDEX('V_Para Piyasası'!N$2:N$62,MATCH(LARGE('V_Para Piyasası'!$AC$2:$AC$62,ROW()-3),'V_Para Piyasası'!$AC$2:$AC$62,0))</f>
        <v/>
      </c>
      <c r="P54" s="8">
        <f>INDEX('V_Para Piyasası'!O$2:O$62,MATCH(LARGE('V_Para Piyasası'!$AC$2:$AC$62,ROW()-3),'V_Para Piyasası'!$AC$2:$AC$62,0))</f>
        <v/>
      </c>
      <c r="Q54" s="9">
        <f>INDEX('V_Para Piyasası'!P$2:P$62,MATCH(LARGE('V_Para Piyasası'!$AC$2:$AC$62,ROW()-3),'V_Para Piyasası'!$AC$2:$AC$62,0))</f>
        <v/>
      </c>
      <c r="R54" s="5">
        <f>INDEX('V_Para Piyasası'!Q$2:Q$62,MATCH(LARGE('V_Para Piyasası'!$AC$2:$AC$62,ROW()-3),'V_Para Piyasası'!$AC$2:$AC$62,0))</f>
        <v/>
      </c>
      <c r="S54" s="8">
        <f>INDEX('V_Para Piyasası'!R$2:R$62,MATCH(LARGE('V_Para Piyasası'!$AC$2:$AC$62,ROW()-3),'V_Para Piyasası'!$AC$2:$AC$62,0))</f>
        <v/>
      </c>
      <c r="T54" s="8">
        <f>INDEX('V_Para Piyasası'!S$2:S$62,MATCH(LARGE('V_Para Piyasası'!$AC$2:$AC$62,ROW()-3),'V_Para Piyasası'!$AC$2:$AC$62,0))</f>
        <v/>
      </c>
      <c r="U54" s="8">
        <f>INDEX('V_Para Piyasası'!T$2:T$62,MATCH(LARGE('V_Para Piyasası'!$AC$2:$AC$62,ROW()-3),'V_Para Piyasası'!$AC$2:$AC$62,0))</f>
        <v/>
      </c>
      <c r="V54" s="8">
        <f>INDEX('V_Para Piyasası'!U$2:U$62,MATCH(LARGE('V_Para Piyasası'!$AC$2:$AC$62,ROW()-3),'V_Para Piyasası'!$AC$2:$AC$62,0))</f>
        <v/>
      </c>
      <c r="W54" s="8">
        <f>INDEX('V_Para Piyasası'!V$2:V$62,MATCH(LARGE('V_Para Piyasası'!$AC$2:$AC$62,ROW()-3),'V_Para Piyasası'!$AC$2:$AC$62,0))</f>
        <v/>
      </c>
      <c r="X54" s="8">
        <f>INDEX('V_Para Piyasası'!W$2:W$62,MATCH(LARGE('V_Para Piyasası'!$AC$2:$AC$62,ROW()-3),'V_Para Piyasası'!$AC$2:$AC$62,0))</f>
        <v/>
      </c>
      <c r="Y54" s="8">
        <f>INDEX('V_Para Piyasası'!X$2:X$62,MATCH(LARGE('V_Para Piyasası'!$AC$2:$AC$62,ROW()-3),'V_Para Piyasası'!$AC$2:$AC$62,0))</f>
        <v/>
      </c>
      <c r="Z54" s="8">
        <f>INDEX('V_Para Piyasası'!Y$2:Y$62,MATCH(LARGE('V_Para Piyasası'!$AC$2:$AC$62,ROW()-3),'V_Para Piyasası'!$AC$2:$AC$62,0))</f>
        <v/>
      </c>
      <c r="AA54" s="8">
        <f>INDEX('V_Para Piyasası'!Z$2:Z$62,MATCH(LARGE('V_Para Piyasası'!$AC$2:$AC$62,ROW()-3),'V_Para Piyasası'!$AC$2:$AC$62,0))</f>
        <v/>
      </c>
      <c r="AB54" s="8">
        <f>INDEX('V_Para Piyasası'!AA$2:AA$62,MATCH(LARGE('V_Para Piyasası'!$AC$2:$AC$62,ROW()-3),'V_Para Piyasası'!$AC$2:$AC$62,0))</f>
        <v/>
      </c>
    </row>
    <row r="55">
      <c r="A55" t="n">
        <v>52</v>
      </c>
      <c r="B55" s="5">
        <f>INDEX('V_Para Piyasası'!A$2:A$62,MATCH(LARGE('V_Para Piyasası'!$AC$2:$AC$62,ROW()-3),'V_Para Piyasası'!$AC$2:$AC$62,0))</f>
        <v/>
      </c>
      <c r="C55" s="5">
        <f>INDEX('V_Para Piyasası'!B$2:B$62,MATCH(LARGE('V_Para Piyasası'!$AC$2:$AC$62,ROW()-3),'V_Para Piyasası'!$AC$2:$AC$62,0))</f>
        <v/>
      </c>
      <c r="D55" s="5">
        <f>INDEX('V_Para Piyasası'!C$2:C$62,MATCH(LARGE('V_Para Piyasası'!$AC$2:$AC$62,ROW()-3),'V_Para Piyasası'!$AC$2:$AC$62,0))</f>
        <v/>
      </c>
      <c r="E55" s="8">
        <f>INDEX('V_Para Piyasası'!D$2:D$62,MATCH(LARGE('V_Para Piyasası'!$AC$2:$AC$62,ROW()-3),'V_Para Piyasası'!$AC$2:$AC$62,0))</f>
        <v/>
      </c>
      <c r="F55" s="9">
        <f>INDEX('V_Para Piyasası'!E$2:E$62,MATCH(LARGE('V_Para Piyasası'!$AC$2:$AC$62,ROW()-3),'V_Para Piyasası'!$AC$2:$AC$62,0))</f>
        <v/>
      </c>
      <c r="G55" s="9">
        <f>INDEX('V_Para Piyasası'!F$2:F$62,MATCH(LARGE('V_Para Piyasası'!$AC$2:$AC$62,ROW()-3),'V_Para Piyasası'!$AC$2:$AC$62,0))</f>
        <v/>
      </c>
      <c r="H55" s="9">
        <f>INDEX('V_Para Piyasası'!G$2:G$62,MATCH(LARGE('V_Para Piyasası'!$AC$2:$AC$62,ROW()-3),'V_Para Piyasası'!$AC$2:$AC$62,0))</f>
        <v/>
      </c>
      <c r="I55" s="9">
        <f>INDEX('V_Para Piyasası'!H$2:H$62,MATCH(LARGE('V_Para Piyasası'!$AC$2:$AC$62,ROW()-3),'V_Para Piyasası'!$AC$2:$AC$62,0))</f>
        <v/>
      </c>
      <c r="J55" s="9">
        <f>INDEX('V_Para Piyasası'!I$2:I$62,MATCH(LARGE('V_Para Piyasası'!$AC$2:$AC$62,ROW()-3),'V_Para Piyasası'!$AC$2:$AC$62,0))</f>
        <v/>
      </c>
      <c r="K55" s="10">
        <f>INDEX('V_Para Piyasası'!J$2:J$62,MATCH(LARGE('V_Para Piyasası'!$AC$2:$AC$62,ROW()-3),'V_Para Piyasası'!$AC$2:$AC$62,0))</f>
        <v/>
      </c>
      <c r="L55" s="10">
        <f>INDEX('V_Para Piyasası'!K$2:K$62,MATCH(LARGE('V_Para Piyasası'!$AC$2:$AC$62,ROW()-3),'V_Para Piyasası'!$AC$2:$AC$62,0))</f>
        <v/>
      </c>
      <c r="M55" s="8">
        <f>INDEX('V_Para Piyasası'!L$2:L$62,MATCH(LARGE('V_Para Piyasası'!$AC$2:$AC$62,ROW()-3),'V_Para Piyasası'!$AC$2:$AC$62,0))</f>
        <v/>
      </c>
      <c r="N55" s="11">
        <f>INDEX('V_Para Piyasası'!M$2:M$62,MATCH(LARGE('V_Para Piyasası'!$AC$2:$AC$62,ROW()-3),'V_Para Piyasası'!$AC$2:$AC$62,0))</f>
        <v/>
      </c>
      <c r="O55" s="11">
        <f>INDEX('V_Para Piyasası'!N$2:N$62,MATCH(LARGE('V_Para Piyasası'!$AC$2:$AC$62,ROW()-3),'V_Para Piyasası'!$AC$2:$AC$62,0))</f>
        <v/>
      </c>
      <c r="P55" s="8">
        <f>INDEX('V_Para Piyasası'!O$2:O$62,MATCH(LARGE('V_Para Piyasası'!$AC$2:$AC$62,ROW()-3),'V_Para Piyasası'!$AC$2:$AC$62,0))</f>
        <v/>
      </c>
      <c r="Q55" s="9">
        <f>INDEX('V_Para Piyasası'!P$2:P$62,MATCH(LARGE('V_Para Piyasası'!$AC$2:$AC$62,ROW()-3),'V_Para Piyasası'!$AC$2:$AC$62,0))</f>
        <v/>
      </c>
      <c r="R55" s="5">
        <f>INDEX('V_Para Piyasası'!Q$2:Q$62,MATCH(LARGE('V_Para Piyasası'!$AC$2:$AC$62,ROW()-3),'V_Para Piyasası'!$AC$2:$AC$62,0))</f>
        <v/>
      </c>
      <c r="S55" s="8">
        <f>INDEX('V_Para Piyasası'!R$2:R$62,MATCH(LARGE('V_Para Piyasası'!$AC$2:$AC$62,ROW()-3),'V_Para Piyasası'!$AC$2:$AC$62,0))</f>
        <v/>
      </c>
      <c r="T55" s="8">
        <f>INDEX('V_Para Piyasası'!S$2:S$62,MATCH(LARGE('V_Para Piyasası'!$AC$2:$AC$62,ROW()-3),'V_Para Piyasası'!$AC$2:$AC$62,0))</f>
        <v/>
      </c>
      <c r="U55" s="8">
        <f>INDEX('V_Para Piyasası'!T$2:T$62,MATCH(LARGE('V_Para Piyasası'!$AC$2:$AC$62,ROW()-3),'V_Para Piyasası'!$AC$2:$AC$62,0))</f>
        <v/>
      </c>
      <c r="V55" s="8">
        <f>INDEX('V_Para Piyasası'!U$2:U$62,MATCH(LARGE('V_Para Piyasası'!$AC$2:$AC$62,ROW()-3),'V_Para Piyasası'!$AC$2:$AC$62,0))</f>
        <v/>
      </c>
      <c r="W55" s="8">
        <f>INDEX('V_Para Piyasası'!V$2:V$62,MATCH(LARGE('V_Para Piyasası'!$AC$2:$AC$62,ROW()-3),'V_Para Piyasası'!$AC$2:$AC$62,0))</f>
        <v/>
      </c>
      <c r="X55" s="8">
        <f>INDEX('V_Para Piyasası'!W$2:W$62,MATCH(LARGE('V_Para Piyasası'!$AC$2:$AC$62,ROW()-3),'V_Para Piyasası'!$AC$2:$AC$62,0))</f>
        <v/>
      </c>
      <c r="Y55" s="8">
        <f>INDEX('V_Para Piyasası'!X$2:X$62,MATCH(LARGE('V_Para Piyasası'!$AC$2:$AC$62,ROW()-3),'V_Para Piyasası'!$AC$2:$AC$62,0))</f>
        <v/>
      </c>
      <c r="Z55" s="8">
        <f>INDEX('V_Para Piyasası'!Y$2:Y$62,MATCH(LARGE('V_Para Piyasası'!$AC$2:$AC$62,ROW()-3),'V_Para Piyasası'!$AC$2:$AC$62,0))</f>
        <v/>
      </c>
      <c r="AA55" s="8">
        <f>INDEX('V_Para Piyasası'!Z$2:Z$62,MATCH(LARGE('V_Para Piyasası'!$AC$2:$AC$62,ROW()-3),'V_Para Piyasası'!$AC$2:$AC$62,0))</f>
        <v/>
      </c>
      <c r="AB55" s="8">
        <f>INDEX('V_Para Piyasası'!AA$2:AA$62,MATCH(LARGE('V_Para Piyasası'!$AC$2:$AC$62,ROW()-3),'V_Para Piyasası'!$AC$2:$AC$62,0))</f>
        <v/>
      </c>
    </row>
    <row r="56">
      <c r="A56" t="n">
        <v>53</v>
      </c>
      <c r="B56" s="5">
        <f>INDEX('V_Para Piyasası'!A$2:A$62,MATCH(LARGE('V_Para Piyasası'!$AC$2:$AC$62,ROW()-3),'V_Para Piyasası'!$AC$2:$AC$62,0))</f>
        <v/>
      </c>
      <c r="C56" s="5">
        <f>INDEX('V_Para Piyasası'!B$2:B$62,MATCH(LARGE('V_Para Piyasası'!$AC$2:$AC$62,ROW()-3),'V_Para Piyasası'!$AC$2:$AC$62,0))</f>
        <v/>
      </c>
      <c r="D56" s="5">
        <f>INDEX('V_Para Piyasası'!C$2:C$62,MATCH(LARGE('V_Para Piyasası'!$AC$2:$AC$62,ROW()-3),'V_Para Piyasası'!$AC$2:$AC$62,0))</f>
        <v/>
      </c>
      <c r="E56" s="8">
        <f>INDEX('V_Para Piyasası'!D$2:D$62,MATCH(LARGE('V_Para Piyasası'!$AC$2:$AC$62,ROW()-3),'V_Para Piyasası'!$AC$2:$AC$62,0))</f>
        <v/>
      </c>
      <c r="F56" s="9">
        <f>INDEX('V_Para Piyasası'!E$2:E$62,MATCH(LARGE('V_Para Piyasası'!$AC$2:$AC$62,ROW()-3),'V_Para Piyasası'!$AC$2:$AC$62,0))</f>
        <v/>
      </c>
      <c r="G56" s="9">
        <f>INDEX('V_Para Piyasası'!F$2:F$62,MATCH(LARGE('V_Para Piyasası'!$AC$2:$AC$62,ROW()-3),'V_Para Piyasası'!$AC$2:$AC$62,0))</f>
        <v/>
      </c>
      <c r="H56" s="9">
        <f>INDEX('V_Para Piyasası'!G$2:G$62,MATCH(LARGE('V_Para Piyasası'!$AC$2:$AC$62,ROW()-3),'V_Para Piyasası'!$AC$2:$AC$62,0))</f>
        <v/>
      </c>
      <c r="I56" s="9">
        <f>INDEX('V_Para Piyasası'!H$2:H$62,MATCH(LARGE('V_Para Piyasası'!$AC$2:$AC$62,ROW()-3),'V_Para Piyasası'!$AC$2:$AC$62,0))</f>
        <v/>
      </c>
      <c r="J56" s="9">
        <f>INDEX('V_Para Piyasası'!I$2:I$62,MATCH(LARGE('V_Para Piyasası'!$AC$2:$AC$62,ROW()-3),'V_Para Piyasası'!$AC$2:$AC$62,0))</f>
        <v/>
      </c>
      <c r="K56" s="10">
        <f>INDEX('V_Para Piyasası'!J$2:J$62,MATCH(LARGE('V_Para Piyasası'!$AC$2:$AC$62,ROW()-3),'V_Para Piyasası'!$AC$2:$AC$62,0))</f>
        <v/>
      </c>
      <c r="L56" s="10">
        <f>INDEX('V_Para Piyasası'!K$2:K$62,MATCH(LARGE('V_Para Piyasası'!$AC$2:$AC$62,ROW()-3),'V_Para Piyasası'!$AC$2:$AC$62,0))</f>
        <v/>
      </c>
      <c r="M56" s="8">
        <f>INDEX('V_Para Piyasası'!L$2:L$62,MATCH(LARGE('V_Para Piyasası'!$AC$2:$AC$62,ROW()-3),'V_Para Piyasası'!$AC$2:$AC$62,0))</f>
        <v/>
      </c>
      <c r="N56" s="11">
        <f>INDEX('V_Para Piyasası'!M$2:M$62,MATCH(LARGE('V_Para Piyasası'!$AC$2:$AC$62,ROW()-3),'V_Para Piyasası'!$AC$2:$AC$62,0))</f>
        <v/>
      </c>
      <c r="O56" s="11">
        <f>INDEX('V_Para Piyasası'!N$2:N$62,MATCH(LARGE('V_Para Piyasası'!$AC$2:$AC$62,ROW()-3),'V_Para Piyasası'!$AC$2:$AC$62,0))</f>
        <v/>
      </c>
      <c r="P56" s="8">
        <f>INDEX('V_Para Piyasası'!O$2:O$62,MATCH(LARGE('V_Para Piyasası'!$AC$2:$AC$62,ROW()-3),'V_Para Piyasası'!$AC$2:$AC$62,0))</f>
        <v/>
      </c>
      <c r="Q56" s="9">
        <f>INDEX('V_Para Piyasası'!P$2:P$62,MATCH(LARGE('V_Para Piyasası'!$AC$2:$AC$62,ROW()-3),'V_Para Piyasası'!$AC$2:$AC$62,0))</f>
        <v/>
      </c>
      <c r="R56" s="5">
        <f>INDEX('V_Para Piyasası'!Q$2:Q$62,MATCH(LARGE('V_Para Piyasası'!$AC$2:$AC$62,ROW()-3),'V_Para Piyasası'!$AC$2:$AC$62,0))</f>
        <v/>
      </c>
      <c r="S56" s="8">
        <f>INDEX('V_Para Piyasası'!R$2:R$62,MATCH(LARGE('V_Para Piyasası'!$AC$2:$AC$62,ROW()-3),'V_Para Piyasası'!$AC$2:$AC$62,0))</f>
        <v/>
      </c>
      <c r="T56" s="8">
        <f>INDEX('V_Para Piyasası'!S$2:S$62,MATCH(LARGE('V_Para Piyasası'!$AC$2:$AC$62,ROW()-3),'V_Para Piyasası'!$AC$2:$AC$62,0))</f>
        <v/>
      </c>
      <c r="U56" s="8">
        <f>INDEX('V_Para Piyasası'!T$2:T$62,MATCH(LARGE('V_Para Piyasası'!$AC$2:$AC$62,ROW()-3),'V_Para Piyasası'!$AC$2:$AC$62,0))</f>
        <v/>
      </c>
      <c r="V56" s="8">
        <f>INDEX('V_Para Piyasası'!U$2:U$62,MATCH(LARGE('V_Para Piyasası'!$AC$2:$AC$62,ROW()-3),'V_Para Piyasası'!$AC$2:$AC$62,0))</f>
        <v/>
      </c>
      <c r="W56" s="8">
        <f>INDEX('V_Para Piyasası'!V$2:V$62,MATCH(LARGE('V_Para Piyasası'!$AC$2:$AC$62,ROW()-3),'V_Para Piyasası'!$AC$2:$AC$62,0))</f>
        <v/>
      </c>
      <c r="X56" s="8">
        <f>INDEX('V_Para Piyasası'!W$2:W$62,MATCH(LARGE('V_Para Piyasası'!$AC$2:$AC$62,ROW()-3),'V_Para Piyasası'!$AC$2:$AC$62,0))</f>
        <v/>
      </c>
      <c r="Y56" s="8">
        <f>INDEX('V_Para Piyasası'!X$2:X$62,MATCH(LARGE('V_Para Piyasası'!$AC$2:$AC$62,ROW()-3),'V_Para Piyasası'!$AC$2:$AC$62,0))</f>
        <v/>
      </c>
      <c r="Z56" s="8">
        <f>INDEX('V_Para Piyasası'!Y$2:Y$62,MATCH(LARGE('V_Para Piyasası'!$AC$2:$AC$62,ROW()-3),'V_Para Piyasası'!$AC$2:$AC$62,0))</f>
        <v/>
      </c>
      <c r="AA56" s="8">
        <f>INDEX('V_Para Piyasası'!Z$2:Z$62,MATCH(LARGE('V_Para Piyasası'!$AC$2:$AC$62,ROW()-3),'V_Para Piyasası'!$AC$2:$AC$62,0))</f>
        <v/>
      </c>
      <c r="AB56" s="8">
        <f>INDEX('V_Para Piyasası'!AA$2:AA$62,MATCH(LARGE('V_Para Piyasası'!$AC$2:$AC$62,ROW()-3),'V_Para Piyasası'!$AC$2:$AC$62,0))</f>
        <v/>
      </c>
    </row>
    <row r="57">
      <c r="A57" t="n">
        <v>54</v>
      </c>
      <c r="B57" s="5">
        <f>INDEX('V_Para Piyasası'!A$2:A$62,MATCH(LARGE('V_Para Piyasası'!$AC$2:$AC$62,ROW()-3),'V_Para Piyasası'!$AC$2:$AC$62,0))</f>
        <v/>
      </c>
      <c r="C57" s="5">
        <f>INDEX('V_Para Piyasası'!B$2:B$62,MATCH(LARGE('V_Para Piyasası'!$AC$2:$AC$62,ROW()-3),'V_Para Piyasası'!$AC$2:$AC$62,0))</f>
        <v/>
      </c>
      <c r="D57" s="5">
        <f>INDEX('V_Para Piyasası'!C$2:C$62,MATCH(LARGE('V_Para Piyasası'!$AC$2:$AC$62,ROW()-3),'V_Para Piyasası'!$AC$2:$AC$62,0))</f>
        <v/>
      </c>
      <c r="E57" s="8">
        <f>INDEX('V_Para Piyasası'!D$2:D$62,MATCH(LARGE('V_Para Piyasası'!$AC$2:$AC$62,ROW()-3),'V_Para Piyasası'!$AC$2:$AC$62,0))</f>
        <v/>
      </c>
      <c r="F57" s="9">
        <f>INDEX('V_Para Piyasası'!E$2:E$62,MATCH(LARGE('V_Para Piyasası'!$AC$2:$AC$62,ROW()-3),'V_Para Piyasası'!$AC$2:$AC$62,0))</f>
        <v/>
      </c>
      <c r="G57" s="9">
        <f>INDEX('V_Para Piyasası'!F$2:F$62,MATCH(LARGE('V_Para Piyasası'!$AC$2:$AC$62,ROW()-3),'V_Para Piyasası'!$AC$2:$AC$62,0))</f>
        <v/>
      </c>
      <c r="H57" s="9">
        <f>INDEX('V_Para Piyasası'!G$2:G$62,MATCH(LARGE('V_Para Piyasası'!$AC$2:$AC$62,ROW()-3),'V_Para Piyasası'!$AC$2:$AC$62,0))</f>
        <v/>
      </c>
      <c r="I57" s="9">
        <f>INDEX('V_Para Piyasası'!H$2:H$62,MATCH(LARGE('V_Para Piyasası'!$AC$2:$AC$62,ROW()-3),'V_Para Piyasası'!$AC$2:$AC$62,0))</f>
        <v/>
      </c>
      <c r="J57" s="9">
        <f>INDEX('V_Para Piyasası'!I$2:I$62,MATCH(LARGE('V_Para Piyasası'!$AC$2:$AC$62,ROW()-3),'V_Para Piyasası'!$AC$2:$AC$62,0))</f>
        <v/>
      </c>
      <c r="K57" s="10">
        <f>INDEX('V_Para Piyasası'!J$2:J$62,MATCH(LARGE('V_Para Piyasası'!$AC$2:$AC$62,ROW()-3),'V_Para Piyasası'!$AC$2:$AC$62,0))</f>
        <v/>
      </c>
      <c r="L57" s="10">
        <f>INDEX('V_Para Piyasası'!K$2:K$62,MATCH(LARGE('V_Para Piyasası'!$AC$2:$AC$62,ROW()-3),'V_Para Piyasası'!$AC$2:$AC$62,0))</f>
        <v/>
      </c>
      <c r="M57" s="8">
        <f>INDEX('V_Para Piyasası'!L$2:L$62,MATCH(LARGE('V_Para Piyasası'!$AC$2:$AC$62,ROW()-3),'V_Para Piyasası'!$AC$2:$AC$62,0))</f>
        <v/>
      </c>
      <c r="N57" s="11">
        <f>INDEX('V_Para Piyasası'!M$2:M$62,MATCH(LARGE('V_Para Piyasası'!$AC$2:$AC$62,ROW()-3),'V_Para Piyasası'!$AC$2:$AC$62,0))</f>
        <v/>
      </c>
      <c r="O57" s="11">
        <f>INDEX('V_Para Piyasası'!N$2:N$62,MATCH(LARGE('V_Para Piyasası'!$AC$2:$AC$62,ROW()-3),'V_Para Piyasası'!$AC$2:$AC$62,0))</f>
        <v/>
      </c>
      <c r="P57" s="8">
        <f>INDEX('V_Para Piyasası'!O$2:O$62,MATCH(LARGE('V_Para Piyasası'!$AC$2:$AC$62,ROW()-3),'V_Para Piyasası'!$AC$2:$AC$62,0))</f>
        <v/>
      </c>
      <c r="Q57" s="9">
        <f>INDEX('V_Para Piyasası'!P$2:P$62,MATCH(LARGE('V_Para Piyasası'!$AC$2:$AC$62,ROW()-3),'V_Para Piyasası'!$AC$2:$AC$62,0))</f>
        <v/>
      </c>
      <c r="R57" s="5">
        <f>INDEX('V_Para Piyasası'!Q$2:Q$62,MATCH(LARGE('V_Para Piyasası'!$AC$2:$AC$62,ROW()-3),'V_Para Piyasası'!$AC$2:$AC$62,0))</f>
        <v/>
      </c>
      <c r="S57" s="8">
        <f>INDEX('V_Para Piyasası'!R$2:R$62,MATCH(LARGE('V_Para Piyasası'!$AC$2:$AC$62,ROW()-3),'V_Para Piyasası'!$AC$2:$AC$62,0))</f>
        <v/>
      </c>
      <c r="T57" s="8">
        <f>INDEX('V_Para Piyasası'!S$2:S$62,MATCH(LARGE('V_Para Piyasası'!$AC$2:$AC$62,ROW()-3),'V_Para Piyasası'!$AC$2:$AC$62,0))</f>
        <v/>
      </c>
      <c r="U57" s="8">
        <f>INDEX('V_Para Piyasası'!T$2:T$62,MATCH(LARGE('V_Para Piyasası'!$AC$2:$AC$62,ROW()-3),'V_Para Piyasası'!$AC$2:$AC$62,0))</f>
        <v/>
      </c>
      <c r="V57" s="8">
        <f>INDEX('V_Para Piyasası'!U$2:U$62,MATCH(LARGE('V_Para Piyasası'!$AC$2:$AC$62,ROW()-3),'V_Para Piyasası'!$AC$2:$AC$62,0))</f>
        <v/>
      </c>
      <c r="W57" s="8">
        <f>INDEX('V_Para Piyasası'!V$2:V$62,MATCH(LARGE('V_Para Piyasası'!$AC$2:$AC$62,ROW()-3),'V_Para Piyasası'!$AC$2:$AC$62,0))</f>
        <v/>
      </c>
      <c r="X57" s="8">
        <f>INDEX('V_Para Piyasası'!W$2:W$62,MATCH(LARGE('V_Para Piyasası'!$AC$2:$AC$62,ROW()-3),'V_Para Piyasası'!$AC$2:$AC$62,0))</f>
        <v/>
      </c>
      <c r="Y57" s="8">
        <f>INDEX('V_Para Piyasası'!X$2:X$62,MATCH(LARGE('V_Para Piyasası'!$AC$2:$AC$62,ROW()-3),'V_Para Piyasası'!$AC$2:$AC$62,0))</f>
        <v/>
      </c>
      <c r="Z57" s="8">
        <f>INDEX('V_Para Piyasası'!Y$2:Y$62,MATCH(LARGE('V_Para Piyasası'!$AC$2:$AC$62,ROW()-3),'V_Para Piyasası'!$AC$2:$AC$62,0))</f>
        <v/>
      </c>
      <c r="AA57" s="8">
        <f>INDEX('V_Para Piyasası'!Z$2:Z$62,MATCH(LARGE('V_Para Piyasası'!$AC$2:$AC$62,ROW()-3),'V_Para Piyasası'!$AC$2:$AC$62,0))</f>
        <v/>
      </c>
      <c r="AB57" s="8">
        <f>INDEX('V_Para Piyasası'!AA$2:AA$62,MATCH(LARGE('V_Para Piyasası'!$AC$2:$AC$62,ROW()-3),'V_Para Piyasası'!$AC$2:$AC$62,0))</f>
        <v/>
      </c>
    </row>
    <row r="58">
      <c r="A58" t="n">
        <v>55</v>
      </c>
      <c r="B58" s="5">
        <f>INDEX('V_Para Piyasası'!A$2:A$62,MATCH(LARGE('V_Para Piyasası'!$AC$2:$AC$62,ROW()-3),'V_Para Piyasası'!$AC$2:$AC$62,0))</f>
        <v/>
      </c>
      <c r="C58" s="5">
        <f>INDEX('V_Para Piyasası'!B$2:B$62,MATCH(LARGE('V_Para Piyasası'!$AC$2:$AC$62,ROW()-3),'V_Para Piyasası'!$AC$2:$AC$62,0))</f>
        <v/>
      </c>
      <c r="D58" s="5">
        <f>INDEX('V_Para Piyasası'!C$2:C$62,MATCH(LARGE('V_Para Piyasası'!$AC$2:$AC$62,ROW()-3),'V_Para Piyasası'!$AC$2:$AC$62,0))</f>
        <v/>
      </c>
      <c r="E58" s="8">
        <f>INDEX('V_Para Piyasası'!D$2:D$62,MATCH(LARGE('V_Para Piyasası'!$AC$2:$AC$62,ROW()-3),'V_Para Piyasası'!$AC$2:$AC$62,0))</f>
        <v/>
      </c>
      <c r="F58" s="9">
        <f>INDEX('V_Para Piyasası'!E$2:E$62,MATCH(LARGE('V_Para Piyasası'!$AC$2:$AC$62,ROW()-3),'V_Para Piyasası'!$AC$2:$AC$62,0))</f>
        <v/>
      </c>
      <c r="G58" s="9">
        <f>INDEX('V_Para Piyasası'!F$2:F$62,MATCH(LARGE('V_Para Piyasası'!$AC$2:$AC$62,ROW()-3),'V_Para Piyasası'!$AC$2:$AC$62,0))</f>
        <v/>
      </c>
      <c r="H58" s="9">
        <f>INDEX('V_Para Piyasası'!G$2:G$62,MATCH(LARGE('V_Para Piyasası'!$AC$2:$AC$62,ROW()-3),'V_Para Piyasası'!$AC$2:$AC$62,0))</f>
        <v/>
      </c>
      <c r="I58" s="9">
        <f>INDEX('V_Para Piyasası'!H$2:H$62,MATCH(LARGE('V_Para Piyasası'!$AC$2:$AC$62,ROW()-3),'V_Para Piyasası'!$AC$2:$AC$62,0))</f>
        <v/>
      </c>
      <c r="J58" s="9">
        <f>INDEX('V_Para Piyasası'!I$2:I$62,MATCH(LARGE('V_Para Piyasası'!$AC$2:$AC$62,ROW()-3),'V_Para Piyasası'!$AC$2:$AC$62,0))</f>
        <v/>
      </c>
      <c r="K58" s="10">
        <f>INDEX('V_Para Piyasası'!J$2:J$62,MATCH(LARGE('V_Para Piyasası'!$AC$2:$AC$62,ROW()-3),'V_Para Piyasası'!$AC$2:$AC$62,0))</f>
        <v/>
      </c>
      <c r="L58" s="10">
        <f>INDEX('V_Para Piyasası'!K$2:K$62,MATCH(LARGE('V_Para Piyasası'!$AC$2:$AC$62,ROW()-3),'V_Para Piyasası'!$AC$2:$AC$62,0))</f>
        <v/>
      </c>
      <c r="M58" s="8">
        <f>INDEX('V_Para Piyasası'!L$2:L$62,MATCH(LARGE('V_Para Piyasası'!$AC$2:$AC$62,ROW()-3),'V_Para Piyasası'!$AC$2:$AC$62,0))</f>
        <v/>
      </c>
      <c r="N58" s="11">
        <f>INDEX('V_Para Piyasası'!M$2:M$62,MATCH(LARGE('V_Para Piyasası'!$AC$2:$AC$62,ROW()-3),'V_Para Piyasası'!$AC$2:$AC$62,0))</f>
        <v/>
      </c>
      <c r="O58" s="11">
        <f>INDEX('V_Para Piyasası'!N$2:N$62,MATCH(LARGE('V_Para Piyasası'!$AC$2:$AC$62,ROW()-3),'V_Para Piyasası'!$AC$2:$AC$62,0))</f>
        <v/>
      </c>
      <c r="P58" s="8">
        <f>INDEX('V_Para Piyasası'!O$2:O$62,MATCH(LARGE('V_Para Piyasası'!$AC$2:$AC$62,ROW()-3),'V_Para Piyasası'!$AC$2:$AC$62,0))</f>
        <v/>
      </c>
      <c r="Q58" s="9">
        <f>INDEX('V_Para Piyasası'!P$2:P$62,MATCH(LARGE('V_Para Piyasası'!$AC$2:$AC$62,ROW()-3),'V_Para Piyasası'!$AC$2:$AC$62,0))</f>
        <v/>
      </c>
      <c r="R58" s="5">
        <f>INDEX('V_Para Piyasası'!Q$2:Q$62,MATCH(LARGE('V_Para Piyasası'!$AC$2:$AC$62,ROW()-3),'V_Para Piyasası'!$AC$2:$AC$62,0))</f>
        <v/>
      </c>
      <c r="S58" s="8">
        <f>INDEX('V_Para Piyasası'!R$2:R$62,MATCH(LARGE('V_Para Piyasası'!$AC$2:$AC$62,ROW()-3),'V_Para Piyasası'!$AC$2:$AC$62,0))</f>
        <v/>
      </c>
      <c r="T58" s="8">
        <f>INDEX('V_Para Piyasası'!S$2:S$62,MATCH(LARGE('V_Para Piyasası'!$AC$2:$AC$62,ROW()-3),'V_Para Piyasası'!$AC$2:$AC$62,0))</f>
        <v/>
      </c>
      <c r="U58" s="8">
        <f>INDEX('V_Para Piyasası'!T$2:T$62,MATCH(LARGE('V_Para Piyasası'!$AC$2:$AC$62,ROW()-3),'V_Para Piyasası'!$AC$2:$AC$62,0))</f>
        <v/>
      </c>
      <c r="V58" s="8">
        <f>INDEX('V_Para Piyasası'!U$2:U$62,MATCH(LARGE('V_Para Piyasası'!$AC$2:$AC$62,ROW()-3),'V_Para Piyasası'!$AC$2:$AC$62,0))</f>
        <v/>
      </c>
      <c r="W58" s="8">
        <f>INDEX('V_Para Piyasası'!V$2:V$62,MATCH(LARGE('V_Para Piyasası'!$AC$2:$AC$62,ROW()-3),'V_Para Piyasası'!$AC$2:$AC$62,0))</f>
        <v/>
      </c>
      <c r="X58" s="8">
        <f>INDEX('V_Para Piyasası'!W$2:W$62,MATCH(LARGE('V_Para Piyasası'!$AC$2:$AC$62,ROW()-3),'V_Para Piyasası'!$AC$2:$AC$62,0))</f>
        <v/>
      </c>
      <c r="Y58" s="8">
        <f>INDEX('V_Para Piyasası'!X$2:X$62,MATCH(LARGE('V_Para Piyasası'!$AC$2:$AC$62,ROW()-3),'V_Para Piyasası'!$AC$2:$AC$62,0))</f>
        <v/>
      </c>
      <c r="Z58" s="8">
        <f>INDEX('V_Para Piyasası'!Y$2:Y$62,MATCH(LARGE('V_Para Piyasası'!$AC$2:$AC$62,ROW()-3),'V_Para Piyasası'!$AC$2:$AC$62,0))</f>
        <v/>
      </c>
      <c r="AA58" s="8">
        <f>INDEX('V_Para Piyasası'!Z$2:Z$62,MATCH(LARGE('V_Para Piyasası'!$AC$2:$AC$62,ROW()-3),'V_Para Piyasası'!$AC$2:$AC$62,0))</f>
        <v/>
      </c>
      <c r="AB58" s="8">
        <f>INDEX('V_Para Piyasası'!AA$2:AA$62,MATCH(LARGE('V_Para Piyasası'!$AC$2:$AC$62,ROW()-3),'V_Para Piyasası'!$AC$2:$AC$62,0))</f>
        <v/>
      </c>
    </row>
    <row r="59">
      <c r="A59" t="n">
        <v>56</v>
      </c>
      <c r="B59" s="5">
        <f>INDEX('V_Para Piyasası'!A$2:A$62,MATCH(LARGE('V_Para Piyasası'!$AC$2:$AC$62,ROW()-3),'V_Para Piyasası'!$AC$2:$AC$62,0))</f>
        <v/>
      </c>
      <c r="C59" s="5">
        <f>INDEX('V_Para Piyasası'!B$2:B$62,MATCH(LARGE('V_Para Piyasası'!$AC$2:$AC$62,ROW()-3),'V_Para Piyasası'!$AC$2:$AC$62,0))</f>
        <v/>
      </c>
      <c r="D59" s="5">
        <f>INDEX('V_Para Piyasası'!C$2:C$62,MATCH(LARGE('V_Para Piyasası'!$AC$2:$AC$62,ROW()-3),'V_Para Piyasası'!$AC$2:$AC$62,0))</f>
        <v/>
      </c>
      <c r="E59" s="8">
        <f>INDEX('V_Para Piyasası'!D$2:D$62,MATCH(LARGE('V_Para Piyasası'!$AC$2:$AC$62,ROW()-3),'V_Para Piyasası'!$AC$2:$AC$62,0))</f>
        <v/>
      </c>
      <c r="F59" s="9">
        <f>INDEX('V_Para Piyasası'!E$2:E$62,MATCH(LARGE('V_Para Piyasası'!$AC$2:$AC$62,ROW()-3),'V_Para Piyasası'!$AC$2:$AC$62,0))</f>
        <v/>
      </c>
      <c r="G59" s="9">
        <f>INDEX('V_Para Piyasası'!F$2:F$62,MATCH(LARGE('V_Para Piyasası'!$AC$2:$AC$62,ROW()-3),'V_Para Piyasası'!$AC$2:$AC$62,0))</f>
        <v/>
      </c>
      <c r="H59" s="9">
        <f>INDEX('V_Para Piyasası'!G$2:G$62,MATCH(LARGE('V_Para Piyasası'!$AC$2:$AC$62,ROW()-3),'V_Para Piyasası'!$AC$2:$AC$62,0))</f>
        <v/>
      </c>
      <c r="I59" s="9">
        <f>INDEX('V_Para Piyasası'!H$2:H$62,MATCH(LARGE('V_Para Piyasası'!$AC$2:$AC$62,ROW()-3),'V_Para Piyasası'!$AC$2:$AC$62,0))</f>
        <v/>
      </c>
      <c r="J59" s="9">
        <f>INDEX('V_Para Piyasası'!I$2:I$62,MATCH(LARGE('V_Para Piyasası'!$AC$2:$AC$62,ROW()-3),'V_Para Piyasası'!$AC$2:$AC$62,0))</f>
        <v/>
      </c>
      <c r="K59" s="10">
        <f>INDEX('V_Para Piyasası'!J$2:J$62,MATCH(LARGE('V_Para Piyasası'!$AC$2:$AC$62,ROW()-3),'V_Para Piyasası'!$AC$2:$AC$62,0))</f>
        <v/>
      </c>
      <c r="L59" s="10">
        <f>INDEX('V_Para Piyasası'!K$2:K$62,MATCH(LARGE('V_Para Piyasası'!$AC$2:$AC$62,ROW()-3),'V_Para Piyasası'!$AC$2:$AC$62,0))</f>
        <v/>
      </c>
      <c r="M59" s="8">
        <f>INDEX('V_Para Piyasası'!L$2:L$62,MATCH(LARGE('V_Para Piyasası'!$AC$2:$AC$62,ROW()-3),'V_Para Piyasası'!$AC$2:$AC$62,0))</f>
        <v/>
      </c>
      <c r="N59" s="11">
        <f>INDEX('V_Para Piyasası'!M$2:M$62,MATCH(LARGE('V_Para Piyasası'!$AC$2:$AC$62,ROW()-3),'V_Para Piyasası'!$AC$2:$AC$62,0))</f>
        <v/>
      </c>
      <c r="O59" s="11">
        <f>INDEX('V_Para Piyasası'!N$2:N$62,MATCH(LARGE('V_Para Piyasası'!$AC$2:$AC$62,ROW()-3),'V_Para Piyasası'!$AC$2:$AC$62,0))</f>
        <v/>
      </c>
      <c r="P59" s="8">
        <f>INDEX('V_Para Piyasası'!O$2:O$62,MATCH(LARGE('V_Para Piyasası'!$AC$2:$AC$62,ROW()-3),'V_Para Piyasası'!$AC$2:$AC$62,0))</f>
        <v/>
      </c>
      <c r="Q59" s="9">
        <f>INDEX('V_Para Piyasası'!P$2:P$62,MATCH(LARGE('V_Para Piyasası'!$AC$2:$AC$62,ROW()-3),'V_Para Piyasası'!$AC$2:$AC$62,0))</f>
        <v/>
      </c>
      <c r="R59" s="5">
        <f>INDEX('V_Para Piyasası'!Q$2:Q$62,MATCH(LARGE('V_Para Piyasası'!$AC$2:$AC$62,ROW()-3),'V_Para Piyasası'!$AC$2:$AC$62,0))</f>
        <v/>
      </c>
      <c r="S59" s="8">
        <f>INDEX('V_Para Piyasası'!R$2:R$62,MATCH(LARGE('V_Para Piyasası'!$AC$2:$AC$62,ROW()-3),'V_Para Piyasası'!$AC$2:$AC$62,0))</f>
        <v/>
      </c>
      <c r="T59" s="8">
        <f>INDEX('V_Para Piyasası'!S$2:S$62,MATCH(LARGE('V_Para Piyasası'!$AC$2:$AC$62,ROW()-3),'V_Para Piyasası'!$AC$2:$AC$62,0))</f>
        <v/>
      </c>
      <c r="U59" s="8">
        <f>INDEX('V_Para Piyasası'!T$2:T$62,MATCH(LARGE('V_Para Piyasası'!$AC$2:$AC$62,ROW()-3),'V_Para Piyasası'!$AC$2:$AC$62,0))</f>
        <v/>
      </c>
      <c r="V59" s="8">
        <f>INDEX('V_Para Piyasası'!U$2:U$62,MATCH(LARGE('V_Para Piyasası'!$AC$2:$AC$62,ROW()-3),'V_Para Piyasası'!$AC$2:$AC$62,0))</f>
        <v/>
      </c>
      <c r="W59" s="8">
        <f>INDEX('V_Para Piyasası'!V$2:V$62,MATCH(LARGE('V_Para Piyasası'!$AC$2:$AC$62,ROW()-3),'V_Para Piyasası'!$AC$2:$AC$62,0))</f>
        <v/>
      </c>
      <c r="X59" s="8">
        <f>INDEX('V_Para Piyasası'!W$2:W$62,MATCH(LARGE('V_Para Piyasası'!$AC$2:$AC$62,ROW()-3),'V_Para Piyasası'!$AC$2:$AC$62,0))</f>
        <v/>
      </c>
      <c r="Y59" s="8">
        <f>INDEX('V_Para Piyasası'!X$2:X$62,MATCH(LARGE('V_Para Piyasası'!$AC$2:$AC$62,ROW()-3),'V_Para Piyasası'!$AC$2:$AC$62,0))</f>
        <v/>
      </c>
      <c r="Z59" s="8">
        <f>INDEX('V_Para Piyasası'!Y$2:Y$62,MATCH(LARGE('V_Para Piyasası'!$AC$2:$AC$62,ROW()-3),'V_Para Piyasası'!$AC$2:$AC$62,0))</f>
        <v/>
      </c>
      <c r="AA59" s="8">
        <f>INDEX('V_Para Piyasası'!Z$2:Z$62,MATCH(LARGE('V_Para Piyasası'!$AC$2:$AC$62,ROW()-3),'V_Para Piyasası'!$AC$2:$AC$62,0))</f>
        <v/>
      </c>
      <c r="AB59" s="8">
        <f>INDEX('V_Para Piyasası'!AA$2:AA$62,MATCH(LARGE('V_Para Piyasası'!$AC$2:$AC$62,ROW()-3),'V_Para Piyasası'!$AC$2:$AC$62,0))</f>
        <v/>
      </c>
    </row>
    <row r="60">
      <c r="A60" t="n">
        <v>57</v>
      </c>
      <c r="B60" s="5">
        <f>INDEX('V_Para Piyasası'!A$2:A$62,MATCH(LARGE('V_Para Piyasası'!$AC$2:$AC$62,ROW()-3),'V_Para Piyasası'!$AC$2:$AC$62,0))</f>
        <v/>
      </c>
      <c r="C60" s="5">
        <f>INDEX('V_Para Piyasası'!B$2:B$62,MATCH(LARGE('V_Para Piyasası'!$AC$2:$AC$62,ROW()-3),'V_Para Piyasası'!$AC$2:$AC$62,0))</f>
        <v/>
      </c>
      <c r="D60" s="5">
        <f>INDEX('V_Para Piyasası'!C$2:C$62,MATCH(LARGE('V_Para Piyasası'!$AC$2:$AC$62,ROW()-3),'V_Para Piyasası'!$AC$2:$AC$62,0))</f>
        <v/>
      </c>
      <c r="E60" s="8">
        <f>INDEX('V_Para Piyasası'!D$2:D$62,MATCH(LARGE('V_Para Piyasası'!$AC$2:$AC$62,ROW()-3),'V_Para Piyasası'!$AC$2:$AC$62,0))</f>
        <v/>
      </c>
      <c r="F60" s="9">
        <f>INDEX('V_Para Piyasası'!E$2:E$62,MATCH(LARGE('V_Para Piyasası'!$AC$2:$AC$62,ROW()-3),'V_Para Piyasası'!$AC$2:$AC$62,0))</f>
        <v/>
      </c>
      <c r="G60" s="9">
        <f>INDEX('V_Para Piyasası'!F$2:F$62,MATCH(LARGE('V_Para Piyasası'!$AC$2:$AC$62,ROW()-3),'V_Para Piyasası'!$AC$2:$AC$62,0))</f>
        <v/>
      </c>
      <c r="H60" s="9">
        <f>INDEX('V_Para Piyasası'!G$2:G$62,MATCH(LARGE('V_Para Piyasası'!$AC$2:$AC$62,ROW()-3),'V_Para Piyasası'!$AC$2:$AC$62,0))</f>
        <v/>
      </c>
      <c r="I60" s="9">
        <f>INDEX('V_Para Piyasası'!H$2:H$62,MATCH(LARGE('V_Para Piyasası'!$AC$2:$AC$62,ROW()-3),'V_Para Piyasası'!$AC$2:$AC$62,0))</f>
        <v/>
      </c>
      <c r="J60" s="9">
        <f>INDEX('V_Para Piyasası'!I$2:I$62,MATCH(LARGE('V_Para Piyasası'!$AC$2:$AC$62,ROW()-3),'V_Para Piyasası'!$AC$2:$AC$62,0))</f>
        <v/>
      </c>
      <c r="K60" s="10">
        <f>INDEX('V_Para Piyasası'!J$2:J$62,MATCH(LARGE('V_Para Piyasası'!$AC$2:$AC$62,ROW()-3),'V_Para Piyasası'!$AC$2:$AC$62,0))</f>
        <v/>
      </c>
      <c r="L60" s="10">
        <f>INDEX('V_Para Piyasası'!K$2:K$62,MATCH(LARGE('V_Para Piyasası'!$AC$2:$AC$62,ROW()-3),'V_Para Piyasası'!$AC$2:$AC$62,0))</f>
        <v/>
      </c>
      <c r="M60" s="8">
        <f>INDEX('V_Para Piyasası'!L$2:L$62,MATCH(LARGE('V_Para Piyasası'!$AC$2:$AC$62,ROW()-3),'V_Para Piyasası'!$AC$2:$AC$62,0))</f>
        <v/>
      </c>
      <c r="N60" s="11">
        <f>INDEX('V_Para Piyasası'!M$2:M$62,MATCH(LARGE('V_Para Piyasası'!$AC$2:$AC$62,ROW()-3),'V_Para Piyasası'!$AC$2:$AC$62,0))</f>
        <v/>
      </c>
      <c r="O60" s="11">
        <f>INDEX('V_Para Piyasası'!N$2:N$62,MATCH(LARGE('V_Para Piyasası'!$AC$2:$AC$62,ROW()-3),'V_Para Piyasası'!$AC$2:$AC$62,0))</f>
        <v/>
      </c>
      <c r="P60" s="8">
        <f>INDEX('V_Para Piyasası'!O$2:O$62,MATCH(LARGE('V_Para Piyasası'!$AC$2:$AC$62,ROW()-3),'V_Para Piyasası'!$AC$2:$AC$62,0))</f>
        <v/>
      </c>
      <c r="Q60" s="9">
        <f>INDEX('V_Para Piyasası'!P$2:P$62,MATCH(LARGE('V_Para Piyasası'!$AC$2:$AC$62,ROW()-3),'V_Para Piyasası'!$AC$2:$AC$62,0))</f>
        <v/>
      </c>
      <c r="R60" s="5">
        <f>INDEX('V_Para Piyasası'!Q$2:Q$62,MATCH(LARGE('V_Para Piyasası'!$AC$2:$AC$62,ROW()-3),'V_Para Piyasası'!$AC$2:$AC$62,0))</f>
        <v/>
      </c>
      <c r="S60" s="8">
        <f>INDEX('V_Para Piyasası'!R$2:R$62,MATCH(LARGE('V_Para Piyasası'!$AC$2:$AC$62,ROW()-3),'V_Para Piyasası'!$AC$2:$AC$62,0))</f>
        <v/>
      </c>
      <c r="T60" s="8">
        <f>INDEX('V_Para Piyasası'!S$2:S$62,MATCH(LARGE('V_Para Piyasası'!$AC$2:$AC$62,ROW()-3),'V_Para Piyasası'!$AC$2:$AC$62,0))</f>
        <v/>
      </c>
      <c r="U60" s="8">
        <f>INDEX('V_Para Piyasası'!T$2:T$62,MATCH(LARGE('V_Para Piyasası'!$AC$2:$AC$62,ROW()-3),'V_Para Piyasası'!$AC$2:$AC$62,0))</f>
        <v/>
      </c>
      <c r="V60" s="8">
        <f>INDEX('V_Para Piyasası'!U$2:U$62,MATCH(LARGE('V_Para Piyasası'!$AC$2:$AC$62,ROW()-3),'V_Para Piyasası'!$AC$2:$AC$62,0))</f>
        <v/>
      </c>
      <c r="W60" s="8">
        <f>INDEX('V_Para Piyasası'!V$2:V$62,MATCH(LARGE('V_Para Piyasası'!$AC$2:$AC$62,ROW()-3),'V_Para Piyasası'!$AC$2:$AC$62,0))</f>
        <v/>
      </c>
      <c r="X60" s="8">
        <f>INDEX('V_Para Piyasası'!W$2:W$62,MATCH(LARGE('V_Para Piyasası'!$AC$2:$AC$62,ROW()-3),'V_Para Piyasası'!$AC$2:$AC$62,0))</f>
        <v/>
      </c>
      <c r="Y60" s="8">
        <f>INDEX('V_Para Piyasası'!X$2:X$62,MATCH(LARGE('V_Para Piyasası'!$AC$2:$AC$62,ROW()-3),'V_Para Piyasası'!$AC$2:$AC$62,0))</f>
        <v/>
      </c>
      <c r="Z60" s="8">
        <f>INDEX('V_Para Piyasası'!Y$2:Y$62,MATCH(LARGE('V_Para Piyasası'!$AC$2:$AC$62,ROW()-3),'V_Para Piyasası'!$AC$2:$AC$62,0))</f>
        <v/>
      </c>
      <c r="AA60" s="8">
        <f>INDEX('V_Para Piyasası'!Z$2:Z$62,MATCH(LARGE('V_Para Piyasası'!$AC$2:$AC$62,ROW()-3),'V_Para Piyasası'!$AC$2:$AC$62,0))</f>
        <v/>
      </c>
      <c r="AB60" s="8">
        <f>INDEX('V_Para Piyasası'!AA$2:AA$62,MATCH(LARGE('V_Para Piyasası'!$AC$2:$AC$62,ROW()-3),'V_Para Piyasası'!$AC$2:$AC$62,0))</f>
        <v/>
      </c>
    </row>
    <row r="61">
      <c r="A61" t="n">
        <v>58</v>
      </c>
      <c r="B61" s="5">
        <f>INDEX('V_Para Piyasası'!A$2:A$62,MATCH(LARGE('V_Para Piyasası'!$AC$2:$AC$62,ROW()-3),'V_Para Piyasası'!$AC$2:$AC$62,0))</f>
        <v/>
      </c>
      <c r="C61" s="5">
        <f>INDEX('V_Para Piyasası'!B$2:B$62,MATCH(LARGE('V_Para Piyasası'!$AC$2:$AC$62,ROW()-3),'V_Para Piyasası'!$AC$2:$AC$62,0))</f>
        <v/>
      </c>
      <c r="D61" s="5">
        <f>INDEX('V_Para Piyasası'!C$2:C$62,MATCH(LARGE('V_Para Piyasası'!$AC$2:$AC$62,ROW()-3),'V_Para Piyasası'!$AC$2:$AC$62,0))</f>
        <v/>
      </c>
      <c r="E61" s="8">
        <f>INDEX('V_Para Piyasası'!D$2:D$62,MATCH(LARGE('V_Para Piyasası'!$AC$2:$AC$62,ROW()-3),'V_Para Piyasası'!$AC$2:$AC$62,0))</f>
        <v/>
      </c>
      <c r="F61" s="9">
        <f>INDEX('V_Para Piyasası'!E$2:E$62,MATCH(LARGE('V_Para Piyasası'!$AC$2:$AC$62,ROW()-3),'V_Para Piyasası'!$AC$2:$AC$62,0))</f>
        <v/>
      </c>
      <c r="G61" s="9">
        <f>INDEX('V_Para Piyasası'!F$2:F$62,MATCH(LARGE('V_Para Piyasası'!$AC$2:$AC$62,ROW()-3),'V_Para Piyasası'!$AC$2:$AC$62,0))</f>
        <v/>
      </c>
      <c r="H61" s="9">
        <f>INDEX('V_Para Piyasası'!G$2:G$62,MATCH(LARGE('V_Para Piyasası'!$AC$2:$AC$62,ROW()-3),'V_Para Piyasası'!$AC$2:$AC$62,0))</f>
        <v/>
      </c>
      <c r="I61" s="9">
        <f>INDEX('V_Para Piyasası'!H$2:H$62,MATCH(LARGE('V_Para Piyasası'!$AC$2:$AC$62,ROW()-3),'V_Para Piyasası'!$AC$2:$AC$62,0))</f>
        <v/>
      </c>
      <c r="J61" s="9">
        <f>INDEX('V_Para Piyasası'!I$2:I$62,MATCH(LARGE('V_Para Piyasası'!$AC$2:$AC$62,ROW()-3),'V_Para Piyasası'!$AC$2:$AC$62,0))</f>
        <v/>
      </c>
      <c r="K61" s="10">
        <f>INDEX('V_Para Piyasası'!J$2:J$62,MATCH(LARGE('V_Para Piyasası'!$AC$2:$AC$62,ROW()-3),'V_Para Piyasası'!$AC$2:$AC$62,0))</f>
        <v/>
      </c>
      <c r="L61" s="10">
        <f>INDEX('V_Para Piyasası'!K$2:K$62,MATCH(LARGE('V_Para Piyasası'!$AC$2:$AC$62,ROW()-3),'V_Para Piyasası'!$AC$2:$AC$62,0))</f>
        <v/>
      </c>
      <c r="M61" s="8">
        <f>INDEX('V_Para Piyasası'!L$2:L$62,MATCH(LARGE('V_Para Piyasası'!$AC$2:$AC$62,ROW()-3),'V_Para Piyasası'!$AC$2:$AC$62,0))</f>
        <v/>
      </c>
      <c r="N61" s="11">
        <f>INDEX('V_Para Piyasası'!M$2:M$62,MATCH(LARGE('V_Para Piyasası'!$AC$2:$AC$62,ROW()-3),'V_Para Piyasası'!$AC$2:$AC$62,0))</f>
        <v/>
      </c>
      <c r="O61" s="11">
        <f>INDEX('V_Para Piyasası'!N$2:N$62,MATCH(LARGE('V_Para Piyasası'!$AC$2:$AC$62,ROW()-3),'V_Para Piyasası'!$AC$2:$AC$62,0))</f>
        <v/>
      </c>
      <c r="P61" s="8">
        <f>INDEX('V_Para Piyasası'!O$2:O$62,MATCH(LARGE('V_Para Piyasası'!$AC$2:$AC$62,ROW()-3),'V_Para Piyasası'!$AC$2:$AC$62,0))</f>
        <v/>
      </c>
      <c r="Q61" s="9">
        <f>INDEX('V_Para Piyasası'!P$2:P$62,MATCH(LARGE('V_Para Piyasası'!$AC$2:$AC$62,ROW()-3),'V_Para Piyasası'!$AC$2:$AC$62,0))</f>
        <v/>
      </c>
      <c r="R61" s="5">
        <f>INDEX('V_Para Piyasası'!Q$2:Q$62,MATCH(LARGE('V_Para Piyasası'!$AC$2:$AC$62,ROW()-3),'V_Para Piyasası'!$AC$2:$AC$62,0))</f>
        <v/>
      </c>
      <c r="S61" s="8">
        <f>INDEX('V_Para Piyasası'!R$2:R$62,MATCH(LARGE('V_Para Piyasası'!$AC$2:$AC$62,ROW()-3),'V_Para Piyasası'!$AC$2:$AC$62,0))</f>
        <v/>
      </c>
      <c r="T61" s="8">
        <f>INDEX('V_Para Piyasası'!S$2:S$62,MATCH(LARGE('V_Para Piyasası'!$AC$2:$AC$62,ROW()-3),'V_Para Piyasası'!$AC$2:$AC$62,0))</f>
        <v/>
      </c>
      <c r="U61" s="8">
        <f>INDEX('V_Para Piyasası'!T$2:T$62,MATCH(LARGE('V_Para Piyasası'!$AC$2:$AC$62,ROW()-3),'V_Para Piyasası'!$AC$2:$AC$62,0))</f>
        <v/>
      </c>
      <c r="V61" s="8">
        <f>INDEX('V_Para Piyasası'!U$2:U$62,MATCH(LARGE('V_Para Piyasası'!$AC$2:$AC$62,ROW()-3),'V_Para Piyasası'!$AC$2:$AC$62,0))</f>
        <v/>
      </c>
      <c r="W61" s="8">
        <f>INDEX('V_Para Piyasası'!V$2:V$62,MATCH(LARGE('V_Para Piyasası'!$AC$2:$AC$62,ROW()-3),'V_Para Piyasası'!$AC$2:$AC$62,0))</f>
        <v/>
      </c>
      <c r="X61" s="8">
        <f>INDEX('V_Para Piyasası'!W$2:W$62,MATCH(LARGE('V_Para Piyasası'!$AC$2:$AC$62,ROW()-3),'V_Para Piyasası'!$AC$2:$AC$62,0))</f>
        <v/>
      </c>
      <c r="Y61" s="8">
        <f>INDEX('V_Para Piyasası'!X$2:X$62,MATCH(LARGE('V_Para Piyasası'!$AC$2:$AC$62,ROW()-3),'V_Para Piyasası'!$AC$2:$AC$62,0))</f>
        <v/>
      </c>
      <c r="Z61" s="8">
        <f>INDEX('V_Para Piyasası'!Y$2:Y$62,MATCH(LARGE('V_Para Piyasası'!$AC$2:$AC$62,ROW()-3),'V_Para Piyasası'!$AC$2:$AC$62,0))</f>
        <v/>
      </c>
      <c r="AA61" s="8">
        <f>INDEX('V_Para Piyasası'!Z$2:Z$62,MATCH(LARGE('V_Para Piyasası'!$AC$2:$AC$62,ROW()-3),'V_Para Piyasası'!$AC$2:$AC$62,0))</f>
        <v/>
      </c>
      <c r="AB61" s="8">
        <f>INDEX('V_Para Piyasası'!AA$2:AA$62,MATCH(LARGE('V_Para Piyasası'!$AC$2:$AC$62,ROW()-3),'V_Para Piyasası'!$AC$2:$AC$62,0))</f>
        <v/>
      </c>
    </row>
    <row r="62">
      <c r="A62" t="n">
        <v>59</v>
      </c>
      <c r="B62" s="5">
        <f>INDEX('V_Para Piyasası'!A$2:A$62,MATCH(LARGE('V_Para Piyasası'!$AC$2:$AC$62,ROW()-3),'V_Para Piyasası'!$AC$2:$AC$62,0))</f>
        <v/>
      </c>
      <c r="C62" s="5">
        <f>INDEX('V_Para Piyasası'!B$2:B$62,MATCH(LARGE('V_Para Piyasası'!$AC$2:$AC$62,ROW()-3),'V_Para Piyasası'!$AC$2:$AC$62,0))</f>
        <v/>
      </c>
      <c r="D62" s="5">
        <f>INDEX('V_Para Piyasası'!C$2:C$62,MATCH(LARGE('V_Para Piyasası'!$AC$2:$AC$62,ROW()-3),'V_Para Piyasası'!$AC$2:$AC$62,0))</f>
        <v/>
      </c>
      <c r="E62" s="8">
        <f>INDEX('V_Para Piyasası'!D$2:D$62,MATCH(LARGE('V_Para Piyasası'!$AC$2:$AC$62,ROW()-3),'V_Para Piyasası'!$AC$2:$AC$62,0))</f>
        <v/>
      </c>
      <c r="F62" s="9">
        <f>INDEX('V_Para Piyasası'!E$2:E$62,MATCH(LARGE('V_Para Piyasası'!$AC$2:$AC$62,ROW()-3),'V_Para Piyasası'!$AC$2:$AC$62,0))</f>
        <v/>
      </c>
      <c r="G62" s="9">
        <f>INDEX('V_Para Piyasası'!F$2:F$62,MATCH(LARGE('V_Para Piyasası'!$AC$2:$AC$62,ROW()-3),'V_Para Piyasası'!$AC$2:$AC$62,0))</f>
        <v/>
      </c>
      <c r="H62" s="9">
        <f>INDEX('V_Para Piyasası'!G$2:G$62,MATCH(LARGE('V_Para Piyasası'!$AC$2:$AC$62,ROW()-3),'V_Para Piyasası'!$AC$2:$AC$62,0))</f>
        <v/>
      </c>
      <c r="I62" s="9">
        <f>INDEX('V_Para Piyasası'!H$2:H$62,MATCH(LARGE('V_Para Piyasası'!$AC$2:$AC$62,ROW()-3),'V_Para Piyasası'!$AC$2:$AC$62,0))</f>
        <v/>
      </c>
      <c r="J62" s="9">
        <f>INDEX('V_Para Piyasası'!I$2:I$62,MATCH(LARGE('V_Para Piyasası'!$AC$2:$AC$62,ROW()-3),'V_Para Piyasası'!$AC$2:$AC$62,0))</f>
        <v/>
      </c>
      <c r="K62" s="10">
        <f>INDEX('V_Para Piyasası'!J$2:J$62,MATCH(LARGE('V_Para Piyasası'!$AC$2:$AC$62,ROW()-3),'V_Para Piyasası'!$AC$2:$AC$62,0))</f>
        <v/>
      </c>
      <c r="L62" s="10">
        <f>INDEX('V_Para Piyasası'!K$2:K$62,MATCH(LARGE('V_Para Piyasası'!$AC$2:$AC$62,ROW()-3),'V_Para Piyasası'!$AC$2:$AC$62,0))</f>
        <v/>
      </c>
      <c r="M62" s="8">
        <f>INDEX('V_Para Piyasası'!L$2:L$62,MATCH(LARGE('V_Para Piyasası'!$AC$2:$AC$62,ROW()-3),'V_Para Piyasası'!$AC$2:$AC$62,0))</f>
        <v/>
      </c>
      <c r="N62" s="11">
        <f>INDEX('V_Para Piyasası'!M$2:M$62,MATCH(LARGE('V_Para Piyasası'!$AC$2:$AC$62,ROW()-3),'V_Para Piyasası'!$AC$2:$AC$62,0))</f>
        <v/>
      </c>
      <c r="O62" s="11">
        <f>INDEX('V_Para Piyasası'!N$2:N$62,MATCH(LARGE('V_Para Piyasası'!$AC$2:$AC$62,ROW()-3),'V_Para Piyasası'!$AC$2:$AC$62,0))</f>
        <v/>
      </c>
      <c r="P62" s="8">
        <f>INDEX('V_Para Piyasası'!O$2:O$62,MATCH(LARGE('V_Para Piyasası'!$AC$2:$AC$62,ROW()-3),'V_Para Piyasası'!$AC$2:$AC$62,0))</f>
        <v/>
      </c>
      <c r="Q62" s="9">
        <f>INDEX('V_Para Piyasası'!P$2:P$62,MATCH(LARGE('V_Para Piyasası'!$AC$2:$AC$62,ROW()-3),'V_Para Piyasası'!$AC$2:$AC$62,0))</f>
        <v/>
      </c>
      <c r="R62" s="5">
        <f>INDEX('V_Para Piyasası'!Q$2:Q$62,MATCH(LARGE('V_Para Piyasası'!$AC$2:$AC$62,ROW()-3),'V_Para Piyasası'!$AC$2:$AC$62,0))</f>
        <v/>
      </c>
      <c r="S62" s="8">
        <f>INDEX('V_Para Piyasası'!R$2:R$62,MATCH(LARGE('V_Para Piyasası'!$AC$2:$AC$62,ROW()-3),'V_Para Piyasası'!$AC$2:$AC$62,0))</f>
        <v/>
      </c>
      <c r="T62" s="8">
        <f>INDEX('V_Para Piyasası'!S$2:S$62,MATCH(LARGE('V_Para Piyasası'!$AC$2:$AC$62,ROW()-3),'V_Para Piyasası'!$AC$2:$AC$62,0))</f>
        <v/>
      </c>
      <c r="U62" s="8">
        <f>INDEX('V_Para Piyasası'!T$2:T$62,MATCH(LARGE('V_Para Piyasası'!$AC$2:$AC$62,ROW()-3),'V_Para Piyasası'!$AC$2:$AC$62,0))</f>
        <v/>
      </c>
      <c r="V62" s="8">
        <f>INDEX('V_Para Piyasası'!U$2:U$62,MATCH(LARGE('V_Para Piyasası'!$AC$2:$AC$62,ROW()-3),'V_Para Piyasası'!$AC$2:$AC$62,0))</f>
        <v/>
      </c>
      <c r="W62" s="8">
        <f>INDEX('V_Para Piyasası'!V$2:V$62,MATCH(LARGE('V_Para Piyasası'!$AC$2:$AC$62,ROW()-3),'V_Para Piyasası'!$AC$2:$AC$62,0))</f>
        <v/>
      </c>
      <c r="X62" s="8">
        <f>INDEX('V_Para Piyasası'!W$2:W$62,MATCH(LARGE('V_Para Piyasası'!$AC$2:$AC$62,ROW()-3),'V_Para Piyasası'!$AC$2:$AC$62,0))</f>
        <v/>
      </c>
      <c r="Y62" s="8">
        <f>INDEX('V_Para Piyasası'!X$2:X$62,MATCH(LARGE('V_Para Piyasası'!$AC$2:$AC$62,ROW()-3),'V_Para Piyasası'!$AC$2:$AC$62,0))</f>
        <v/>
      </c>
      <c r="Z62" s="8">
        <f>INDEX('V_Para Piyasası'!Y$2:Y$62,MATCH(LARGE('V_Para Piyasası'!$AC$2:$AC$62,ROW()-3),'V_Para Piyasası'!$AC$2:$AC$62,0))</f>
        <v/>
      </c>
      <c r="AA62" s="8">
        <f>INDEX('V_Para Piyasası'!Z$2:Z$62,MATCH(LARGE('V_Para Piyasası'!$AC$2:$AC$62,ROW()-3),'V_Para Piyasası'!$AC$2:$AC$62,0))</f>
        <v/>
      </c>
      <c r="AB62" s="8">
        <f>INDEX('V_Para Piyasası'!AA$2:AA$62,MATCH(LARGE('V_Para Piyasası'!$AC$2:$AC$62,ROW()-3),'V_Para Piyasası'!$AC$2:$AC$62,0))</f>
        <v/>
      </c>
    </row>
    <row r="63">
      <c r="A63" t="n">
        <v>60</v>
      </c>
      <c r="B63" s="5">
        <f>INDEX('V_Para Piyasası'!A$2:A$62,MATCH(LARGE('V_Para Piyasası'!$AC$2:$AC$62,ROW()-3),'V_Para Piyasası'!$AC$2:$AC$62,0))</f>
        <v/>
      </c>
      <c r="C63" s="5">
        <f>INDEX('V_Para Piyasası'!B$2:B$62,MATCH(LARGE('V_Para Piyasası'!$AC$2:$AC$62,ROW()-3),'V_Para Piyasası'!$AC$2:$AC$62,0))</f>
        <v/>
      </c>
      <c r="D63" s="5">
        <f>INDEX('V_Para Piyasası'!C$2:C$62,MATCH(LARGE('V_Para Piyasası'!$AC$2:$AC$62,ROW()-3),'V_Para Piyasası'!$AC$2:$AC$62,0))</f>
        <v/>
      </c>
      <c r="E63" s="8">
        <f>INDEX('V_Para Piyasası'!D$2:D$62,MATCH(LARGE('V_Para Piyasası'!$AC$2:$AC$62,ROW()-3),'V_Para Piyasası'!$AC$2:$AC$62,0))</f>
        <v/>
      </c>
      <c r="F63" s="9">
        <f>INDEX('V_Para Piyasası'!E$2:E$62,MATCH(LARGE('V_Para Piyasası'!$AC$2:$AC$62,ROW()-3),'V_Para Piyasası'!$AC$2:$AC$62,0))</f>
        <v/>
      </c>
      <c r="G63" s="9">
        <f>INDEX('V_Para Piyasası'!F$2:F$62,MATCH(LARGE('V_Para Piyasası'!$AC$2:$AC$62,ROW()-3),'V_Para Piyasası'!$AC$2:$AC$62,0))</f>
        <v/>
      </c>
      <c r="H63" s="9">
        <f>INDEX('V_Para Piyasası'!G$2:G$62,MATCH(LARGE('V_Para Piyasası'!$AC$2:$AC$62,ROW()-3),'V_Para Piyasası'!$AC$2:$AC$62,0))</f>
        <v/>
      </c>
      <c r="I63" s="9">
        <f>INDEX('V_Para Piyasası'!H$2:H$62,MATCH(LARGE('V_Para Piyasası'!$AC$2:$AC$62,ROW()-3),'V_Para Piyasası'!$AC$2:$AC$62,0))</f>
        <v/>
      </c>
      <c r="J63" s="9">
        <f>INDEX('V_Para Piyasası'!I$2:I$62,MATCH(LARGE('V_Para Piyasası'!$AC$2:$AC$62,ROW()-3),'V_Para Piyasası'!$AC$2:$AC$62,0))</f>
        <v/>
      </c>
      <c r="K63" s="10">
        <f>INDEX('V_Para Piyasası'!J$2:J$62,MATCH(LARGE('V_Para Piyasası'!$AC$2:$AC$62,ROW()-3),'V_Para Piyasası'!$AC$2:$AC$62,0))</f>
        <v/>
      </c>
      <c r="L63" s="10">
        <f>INDEX('V_Para Piyasası'!K$2:K$62,MATCH(LARGE('V_Para Piyasası'!$AC$2:$AC$62,ROW()-3),'V_Para Piyasası'!$AC$2:$AC$62,0))</f>
        <v/>
      </c>
      <c r="M63" s="8">
        <f>INDEX('V_Para Piyasası'!L$2:L$62,MATCH(LARGE('V_Para Piyasası'!$AC$2:$AC$62,ROW()-3),'V_Para Piyasası'!$AC$2:$AC$62,0))</f>
        <v/>
      </c>
      <c r="N63" s="11">
        <f>INDEX('V_Para Piyasası'!M$2:M$62,MATCH(LARGE('V_Para Piyasası'!$AC$2:$AC$62,ROW()-3),'V_Para Piyasası'!$AC$2:$AC$62,0))</f>
        <v/>
      </c>
      <c r="O63" s="11">
        <f>INDEX('V_Para Piyasası'!N$2:N$62,MATCH(LARGE('V_Para Piyasası'!$AC$2:$AC$62,ROW()-3),'V_Para Piyasası'!$AC$2:$AC$62,0))</f>
        <v/>
      </c>
      <c r="P63" s="8">
        <f>INDEX('V_Para Piyasası'!O$2:O$62,MATCH(LARGE('V_Para Piyasası'!$AC$2:$AC$62,ROW()-3),'V_Para Piyasası'!$AC$2:$AC$62,0))</f>
        <v/>
      </c>
      <c r="Q63" s="9">
        <f>INDEX('V_Para Piyasası'!P$2:P$62,MATCH(LARGE('V_Para Piyasası'!$AC$2:$AC$62,ROW()-3),'V_Para Piyasası'!$AC$2:$AC$62,0))</f>
        <v/>
      </c>
      <c r="R63" s="5">
        <f>INDEX('V_Para Piyasası'!Q$2:Q$62,MATCH(LARGE('V_Para Piyasası'!$AC$2:$AC$62,ROW()-3),'V_Para Piyasası'!$AC$2:$AC$62,0))</f>
        <v/>
      </c>
      <c r="S63" s="8">
        <f>INDEX('V_Para Piyasası'!R$2:R$62,MATCH(LARGE('V_Para Piyasası'!$AC$2:$AC$62,ROW()-3),'V_Para Piyasası'!$AC$2:$AC$62,0))</f>
        <v/>
      </c>
      <c r="T63" s="8">
        <f>INDEX('V_Para Piyasası'!S$2:S$62,MATCH(LARGE('V_Para Piyasası'!$AC$2:$AC$62,ROW()-3),'V_Para Piyasası'!$AC$2:$AC$62,0))</f>
        <v/>
      </c>
      <c r="U63" s="8">
        <f>INDEX('V_Para Piyasası'!T$2:T$62,MATCH(LARGE('V_Para Piyasası'!$AC$2:$AC$62,ROW()-3),'V_Para Piyasası'!$AC$2:$AC$62,0))</f>
        <v/>
      </c>
      <c r="V63" s="8">
        <f>INDEX('V_Para Piyasası'!U$2:U$62,MATCH(LARGE('V_Para Piyasası'!$AC$2:$AC$62,ROW()-3),'V_Para Piyasası'!$AC$2:$AC$62,0))</f>
        <v/>
      </c>
      <c r="W63" s="8">
        <f>INDEX('V_Para Piyasası'!V$2:V$62,MATCH(LARGE('V_Para Piyasası'!$AC$2:$AC$62,ROW()-3),'V_Para Piyasası'!$AC$2:$AC$62,0))</f>
        <v/>
      </c>
      <c r="X63" s="8">
        <f>INDEX('V_Para Piyasası'!W$2:W$62,MATCH(LARGE('V_Para Piyasası'!$AC$2:$AC$62,ROW()-3),'V_Para Piyasası'!$AC$2:$AC$62,0))</f>
        <v/>
      </c>
      <c r="Y63" s="8">
        <f>INDEX('V_Para Piyasası'!X$2:X$62,MATCH(LARGE('V_Para Piyasası'!$AC$2:$AC$62,ROW()-3),'V_Para Piyasası'!$AC$2:$AC$62,0))</f>
        <v/>
      </c>
      <c r="Z63" s="8">
        <f>INDEX('V_Para Piyasası'!Y$2:Y$62,MATCH(LARGE('V_Para Piyasası'!$AC$2:$AC$62,ROW()-3),'V_Para Piyasası'!$AC$2:$AC$62,0))</f>
        <v/>
      </c>
      <c r="AA63" s="8">
        <f>INDEX('V_Para Piyasası'!Z$2:Z$62,MATCH(LARGE('V_Para Piyasası'!$AC$2:$AC$62,ROW()-3),'V_Para Piyasası'!$AC$2:$AC$62,0))</f>
        <v/>
      </c>
      <c r="AB63" s="8">
        <f>INDEX('V_Para Piyasası'!AA$2:AA$62,MATCH(LARGE('V_Para Piyasası'!$AC$2:$AC$62,ROW()-3),'V_Para Piyasası'!$AC$2:$AC$62,0))</f>
        <v/>
      </c>
    </row>
    <row r="64">
      <c r="A64" t="n">
        <v>61</v>
      </c>
      <c r="B64" s="5">
        <f>INDEX('V_Para Piyasası'!A$2:A$62,MATCH(LARGE('V_Para Piyasası'!$AC$2:$AC$62,ROW()-3),'V_Para Piyasası'!$AC$2:$AC$62,0))</f>
        <v/>
      </c>
      <c r="C64" s="5">
        <f>INDEX('V_Para Piyasası'!B$2:B$62,MATCH(LARGE('V_Para Piyasası'!$AC$2:$AC$62,ROW()-3),'V_Para Piyasası'!$AC$2:$AC$62,0))</f>
        <v/>
      </c>
      <c r="D64" s="5">
        <f>INDEX('V_Para Piyasası'!C$2:C$62,MATCH(LARGE('V_Para Piyasası'!$AC$2:$AC$62,ROW()-3),'V_Para Piyasası'!$AC$2:$AC$62,0))</f>
        <v/>
      </c>
      <c r="E64" s="8">
        <f>INDEX('V_Para Piyasası'!D$2:D$62,MATCH(LARGE('V_Para Piyasası'!$AC$2:$AC$62,ROW()-3),'V_Para Piyasası'!$AC$2:$AC$62,0))</f>
        <v/>
      </c>
      <c r="F64" s="9">
        <f>INDEX('V_Para Piyasası'!E$2:E$62,MATCH(LARGE('V_Para Piyasası'!$AC$2:$AC$62,ROW()-3),'V_Para Piyasası'!$AC$2:$AC$62,0))</f>
        <v/>
      </c>
      <c r="G64" s="9">
        <f>INDEX('V_Para Piyasası'!F$2:F$62,MATCH(LARGE('V_Para Piyasası'!$AC$2:$AC$62,ROW()-3),'V_Para Piyasası'!$AC$2:$AC$62,0))</f>
        <v/>
      </c>
      <c r="H64" s="9">
        <f>INDEX('V_Para Piyasası'!G$2:G$62,MATCH(LARGE('V_Para Piyasası'!$AC$2:$AC$62,ROW()-3),'V_Para Piyasası'!$AC$2:$AC$62,0))</f>
        <v/>
      </c>
      <c r="I64" s="9">
        <f>INDEX('V_Para Piyasası'!H$2:H$62,MATCH(LARGE('V_Para Piyasası'!$AC$2:$AC$62,ROW()-3),'V_Para Piyasası'!$AC$2:$AC$62,0))</f>
        <v/>
      </c>
      <c r="J64" s="9">
        <f>INDEX('V_Para Piyasası'!I$2:I$62,MATCH(LARGE('V_Para Piyasası'!$AC$2:$AC$62,ROW()-3),'V_Para Piyasası'!$AC$2:$AC$62,0))</f>
        <v/>
      </c>
      <c r="K64" s="10">
        <f>INDEX('V_Para Piyasası'!J$2:J$62,MATCH(LARGE('V_Para Piyasası'!$AC$2:$AC$62,ROW()-3),'V_Para Piyasası'!$AC$2:$AC$62,0))</f>
        <v/>
      </c>
      <c r="L64" s="10">
        <f>INDEX('V_Para Piyasası'!K$2:K$62,MATCH(LARGE('V_Para Piyasası'!$AC$2:$AC$62,ROW()-3),'V_Para Piyasası'!$AC$2:$AC$62,0))</f>
        <v/>
      </c>
      <c r="M64" s="8">
        <f>INDEX('V_Para Piyasası'!L$2:L$62,MATCH(LARGE('V_Para Piyasası'!$AC$2:$AC$62,ROW()-3),'V_Para Piyasası'!$AC$2:$AC$62,0))</f>
        <v/>
      </c>
      <c r="N64" s="11">
        <f>INDEX('V_Para Piyasası'!M$2:M$62,MATCH(LARGE('V_Para Piyasası'!$AC$2:$AC$62,ROW()-3),'V_Para Piyasası'!$AC$2:$AC$62,0))</f>
        <v/>
      </c>
      <c r="O64" s="11">
        <f>INDEX('V_Para Piyasası'!N$2:N$62,MATCH(LARGE('V_Para Piyasası'!$AC$2:$AC$62,ROW()-3),'V_Para Piyasası'!$AC$2:$AC$62,0))</f>
        <v/>
      </c>
      <c r="P64" s="8">
        <f>INDEX('V_Para Piyasası'!O$2:O$62,MATCH(LARGE('V_Para Piyasası'!$AC$2:$AC$62,ROW()-3),'V_Para Piyasası'!$AC$2:$AC$62,0))</f>
        <v/>
      </c>
      <c r="Q64" s="9">
        <f>INDEX('V_Para Piyasası'!P$2:P$62,MATCH(LARGE('V_Para Piyasası'!$AC$2:$AC$62,ROW()-3),'V_Para Piyasası'!$AC$2:$AC$62,0))</f>
        <v/>
      </c>
      <c r="R64" s="5">
        <f>INDEX('V_Para Piyasası'!Q$2:Q$62,MATCH(LARGE('V_Para Piyasası'!$AC$2:$AC$62,ROW()-3),'V_Para Piyasası'!$AC$2:$AC$62,0))</f>
        <v/>
      </c>
      <c r="S64" s="8">
        <f>INDEX('V_Para Piyasası'!R$2:R$62,MATCH(LARGE('V_Para Piyasası'!$AC$2:$AC$62,ROW()-3),'V_Para Piyasası'!$AC$2:$AC$62,0))</f>
        <v/>
      </c>
      <c r="T64" s="8">
        <f>INDEX('V_Para Piyasası'!S$2:S$62,MATCH(LARGE('V_Para Piyasası'!$AC$2:$AC$62,ROW()-3),'V_Para Piyasası'!$AC$2:$AC$62,0))</f>
        <v/>
      </c>
      <c r="U64" s="8">
        <f>INDEX('V_Para Piyasası'!T$2:T$62,MATCH(LARGE('V_Para Piyasası'!$AC$2:$AC$62,ROW()-3),'V_Para Piyasası'!$AC$2:$AC$62,0))</f>
        <v/>
      </c>
      <c r="V64" s="8">
        <f>INDEX('V_Para Piyasası'!U$2:U$62,MATCH(LARGE('V_Para Piyasası'!$AC$2:$AC$62,ROW()-3),'V_Para Piyasası'!$AC$2:$AC$62,0))</f>
        <v/>
      </c>
      <c r="W64" s="8">
        <f>INDEX('V_Para Piyasası'!V$2:V$62,MATCH(LARGE('V_Para Piyasası'!$AC$2:$AC$62,ROW()-3),'V_Para Piyasası'!$AC$2:$AC$62,0))</f>
        <v/>
      </c>
      <c r="X64" s="8">
        <f>INDEX('V_Para Piyasası'!W$2:W$62,MATCH(LARGE('V_Para Piyasası'!$AC$2:$AC$62,ROW()-3),'V_Para Piyasası'!$AC$2:$AC$62,0))</f>
        <v/>
      </c>
      <c r="Y64" s="8">
        <f>INDEX('V_Para Piyasası'!X$2:X$62,MATCH(LARGE('V_Para Piyasası'!$AC$2:$AC$62,ROW()-3),'V_Para Piyasası'!$AC$2:$AC$62,0))</f>
        <v/>
      </c>
      <c r="Z64" s="8">
        <f>INDEX('V_Para Piyasası'!Y$2:Y$62,MATCH(LARGE('V_Para Piyasası'!$AC$2:$AC$62,ROW()-3),'V_Para Piyasası'!$AC$2:$AC$62,0))</f>
        <v/>
      </c>
      <c r="AA64" s="8">
        <f>INDEX('V_Para Piyasası'!Z$2:Z$62,MATCH(LARGE('V_Para Piyasası'!$AC$2:$AC$62,ROW()-3),'V_Para Piyasası'!$AC$2:$AC$62,0))</f>
        <v/>
      </c>
      <c r="AB64" s="8">
        <f>INDEX('V_Para Piyasası'!AA$2:AA$62,MATCH(LARGE('V_Para Piyasası'!$AC$2:$AC$62,ROW()-3),'V_Para Piyasası'!$AC$2:$AC$62,0))</f>
        <v/>
      </c>
    </row>
  </sheetData>
  <conditionalFormatting sqref="B4:AB64">
    <cfRule type="expression" priority="1" dxfId="0">
      <formula>OR($B4="BAI",$B4="BHI",$B4="BIS",$B4="BSD",$B4="BTE",$B4="BTK",$B4="BV1",$B4="BVD",$B4="BVF",$B4="BVV",$B4="BVZ",$B4="MTD",$B4="RUT",$B4="SPR")</formula>
    </cfRule>
  </conditionalFormatting>
  <dataValidations count="1">
    <dataValidation sqref="E2" showDropDown="0" showInputMessage="0" showErrorMessage="0" allowBlank="0" type="list">
      <formula1>"Günlük%,Haftalık,Aylık,Yılbaşına Göre,Yıllık"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 Kodu</t>
        </is>
      </c>
      <c r="B1" t="inlineStr">
        <is>
          <t>Hisse Fonları</t>
        </is>
      </c>
      <c r="C1" t="inlineStr">
        <is>
          <t>Yönetici</t>
        </is>
      </c>
      <c r="D1" t="inlineStr">
        <is>
          <t>FYÜ%</t>
        </is>
      </c>
      <c r="E1" t="inlineStr">
        <is>
          <t>Günlük%</t>
        </is>
      </c>
      <c r="F1" t="inlineStr">
        <is>
          <t>Haftalık</t>
        </is>
      </c>
      <c r="G1" t="inlineStr">
        <is>
          <t>Aylık</t>
        </is>
      </c>
      <c r="H1" t="inlineStr">
        <is>
          <t>Yılbaşına Göre</t>
        </is>
      </c>
      <c r="I1" t="inlineStr">
        <is>
          <t>Yıllık</t>
        </is>
      </c>
      <c r="J1" t="inlineStr">
        <is>
          <t>Yatırımcı Sayısı T-30</t>
        </is>
      </c>
      <c r="K1" t="inlineStr">
        <is>
          <t>Yatırımcı Sayısı T-1</t>
        </is>
      </c>
      <c r="L1" t="inlineStr">
        <is>
          <t>YS Değişim</t>
        </is>
      </c>
      <c r="M1" t="inlineStr">
        <is>
          <t>Önceki Ay FTD</t>
        </is>
      </c>
      <c r="N1" t="inlineStr">
        <is>
          <t>T-1 FTD</t>
        </is>
      </c>
      <c r="O1" t="inlineStr">
        <is>
          <t>FTD Değişim</t>
        </is>
      </c>
      <c r="P1" t="inlineStr">
        <is>
          <t>Standart Sapma (Aylık)</t>
        </is>
      </c>
      <c r="Q1" t="inlineStr">
        <is>
          <t>TEFAS Durumu</t>
        </is>
      </c>
      <c r="R1" t="inlineStr">
        <is>
          <t>Mevduat (TL)</t>
        </is>
      </c>
      <c r="S1" t="inlineStr">
        <is>
          <t>Vadeli İşlemler Nakit Teminatları</t>
        </is>
      </c>
      <c r="T1" t="inlineStr">
        <is>
          <t>Ters Repo Oranı</t>
        </is>
      </c>
      <c r="U1" t="inlineStr">
        <is>
          <t>Hisse Oranı</t>
        </is>
      </c>
      <c r="V1" t="inlineStr">
        <is>
          <t>Para Piyasaları Oranı</t>
        </is>
      </c>
      <c r="W1" t="inlineStr">
        <is>
          <t>Yatırım Fonları Katılma Payları</t>
        </is>
      </c>
      <c r="X1" t="inlineStr">
        <is>
          <t>Özel Tahvil/Bono Oranı</t>
        </is>
      </c>
      <c r="Y1" t="inlineStr">
        <is>
          <t>Finansman Bonosu Oranı</t>
        </is>
      </c>
      <c r="Z1" t="inlineStr">
        <is>
          <t>Diğer Oran</t>
        </is>
      </c>
      <c r="AA1" t="inlineStr">
        <is>
          <t>Toplam</t>
        </is>
      </c>
    </row>
    <row r="2">
      <c r="A2" t="inlineStr">
        <is>
          <t>KYA</t>
        </is>
      </c>
      <c r="B2" t="inlineStr">
        <is>
          <t>Kare Portföy Hisse Senedi Fonu(hisse Senedi Yoğun Fon)</t>
        </is>
      </c>
      <c r="C2" t="inlineStr">
        <is>
          <t>Kare Portföy</t>
        </is>
      </c>
      <c r="D2" t="n">
        <v>0.0292</v>
      </c>
      <c r="E2" t="n">
        <v>2.45384830057136</v>
      </c>
      <c r="F2" t="n">
        <v>3.307280060189055</v>
      </c>
      <c r="G2" t="n">
        <v>0.1395702477719141</v>
      </c>
      <c r="H2" t="n">
        <v>13.85923664348963</v>
      </c>
      <c r="I2" t="n">
        <v>25.12584710176651</v>
      </c>
      <c r="J2" t="n">
        <v>1790</v>
      </c>
      <c r="K2" t="n">
        <v>1671</v>
      </c>
      <c r="L2" t="n">
        <v>-0.06648044692737431</v>
      </c>
      <c r="M2" t="n">
        <v>72062486.23999999</v>
      </c>
      <c r="N2" t="n">
        <v>68526463.94</v>
      </c>
      <c r="O2" t="n">
        <v>-0.04906883573546816</v>
      </c>
      <c r="P2" t="n">
        <v>1.072019333501212</v>
      </c>
      <c r="Q2" t="inlineStr">
        <is>
          <t>Görüyor</t>
        </is>
      </c>
      <c r="R2" t="n">
        <v>0</v>
      </c>
      <c r="S2" t="n">
        <v>0.05400000000000001</v>
      </c>
      <c r="T2" t="n">
        <v>0</v>
      </c>
      <c r="U2" t="n">
        <v>0.8587</v>
      </c>
      <c r="V2" t="n">
        <v>0</v>
      </c>
      <c r="W2" t="n">
        <v>0.0873</v>
      </c>
      <c r="X2" t="n">
        <v>0</v>
      </c>
      <c r="Y2" t="n">
        <v>0</v>
      </c>
      <c r="Z2" t="n">
        <v>0</v>
      </c>
      <c r="AA2" t="n">
        <v>1</v>
      </c>
      <c r="AC2">
        <f>IF(ISNUMBER(INDEX($A$2:$AA$42,1,MATCH('Hisse'!$E$2,$A$1:$AA$1,0))),INDEX($A$2:$AA$42,1,MATCH('Hisse'!$E$2,$A$1:$AA$1,0)),-1E+9)-ROW()/1E+7</f>
        <v/>
      </c>
    </row>
    <row r="3">
      <c r="A3" t="inlineStr">
        <is>
          <t>TZD</t>
        </is>
      </c>
      <c r="B3" t="inlineStr">
        <is>
          <t>Ziraat Portföy Hisse Senedi Fonu (Hisse Senedi Yoğun Fon)</t>
        </is>
      </c>
      <c r="C3" t="inlineStr">
        <is>
          <t>Ziraat Portföy</t>
        </is>
      </c>
      <c r="D3" t="n">
        <v>0.0275</v>
      </c>
      <c r="E3" t="n">
        <v>2.36239506389142</v>
      </c>
      <c r="F3" t="n">
        <v>4.765994987570443</v>
      </c>
      <c r="G3" t="n">
        <v>-2.414566976126531</v>
      </c>
      <c r="H3" t="n">
        <v>21.53433967003618</v>
      </c>
      <c r="I3" t="n">
        <v>33.1500998673452</v>
      </c>
      <c r="J3" t="n">
        <v>8046</v>
      </c>
      <c r="K3" t="n">
        <v>7947</v>
      </c>
      <c r="L3" t="n">
        <v>-0.01230425055928408</v>
      </c>
      <c r="M3" t="n">
        <v>821682342.39</v>
      </c>
      <c r="N3" t="n">
        <v>672461920.78</v>
      </c>
      <c r="O3" t="n">
        <v>-0.181603539362873</v>
      </c>
      <c r="P3" t="n">
        <v>1.268899785305873</v>
      </c>
      <c r="Q3" t="inlineStr">
        <is>
          <t>Görüyor</t>
        </is>
      </c>
      <c r="R3" t="n">
        <v>0</v>
      </c>
      <c r="S3" t="n">
        <v>0</v>
      </c>
      <c r="T3" t="n">
        <v>0.04269999999999999</v>
      </c>
      <c r="U3" t="n">
        <v>0.8951</v>
      </c>
      <c r="V3" t="n">
        <v>0</v>
      </c>
      <c r="W3" t="n">
        <v>0.0015</v>
      </c>
      <c r="X3" t="n">
        <v>0</v>
      </c>
      <c r="Y3" t="n">
        <v>0</v>
      </c>
      <c r="Z3" t="n">
        <v>0</v>
      </c>
      <c r="AA3" t="n">
        <v>0.9393</v>
      </c>
      <c r="AC3">
        <f>IF(ISNUMBER(INDEX($A$2:$AA$42,2,MATCH('Hisse'!$E$2,$A$1:$AA$1,0))),INDEX($A$2:$AA$42,2,MATCH('Hisse'!$E$2,$A$1:$AA$1,0)),-1E+9)-ROW()/1E+7</f>
        <v/>
      </c>
    </row>
    <row r="4">
      <c r="A4" t="inlineStr">
        <is>
          <t>THD</t>
        </is>
      </c>
      <c r="B4" t="inlineStr">
        <is>
          <t>Trıve Portföy Birinci Hisse Senedi (TL) Fon (Hisse Senedi Yoğun Fon)</t>
        </is>
      </c>
      <c r="C4" t="inlineStr">
        <is>
          <t>Trıve Portföy</t>
        </is>
      </c>
      <c r="D4" t="n">
        <v>0.025</v>
      </c>
      <c r="E4" t="n">
        <v>2.353095769170044</v>
      </c>
      <c r="F4" t="n">
        <v>3.541069019873055</v>
      </c>
      <c r="G4" t="n">
        <v>-1.444395935891296</v>
      </c>
      <c r="H4" t="n">
        <v>24.81843013049787</v>
      </c>
      <c r="I4" t="n">
        <v>34.04155226744459</v>
      </c>
      <c r="J4" t="n">
        <v>213</v>
      </c>
      <c r="K4" t="n">
        <v>208</v>
      </c>
      <c r="L4" t="n">
        <v>-0.02347417840375587</v>
      </c>
      <c r="M4" t="n">
        <v>9396434.970000001</v>
      </c>
      <c r="N4" t="n">
        <v>8882973.18</v>
      </c>
      <c r="O4" t="n">
        <v>-0.05464431900389144</v>
      </c>
      <c r="P4" t="n">
        <v>1.077221176856555</v>
      </c>
      <c r="Q4" t="inlineStr">
        <is>
          <t>Görüyor</t>
        </is>
      </c>
      <c r="R4" t="n">
        <v>0</v>
      </c>
      <c r="S4" t="n">
        <v>0.0425</v>
      </c>
      <c r="T4" t="n">
        <v>0</v>
      </c>
      <c r="U4" t="n">
        <v>0.9184</v>
      </c>
      <c r="V4" t="n">
        <v>0.039</v>
      </c>
      <c r="W4" t="n">
        <v>0.0001</v>
      </c>
      <c r="X4" t="n">
        <v>0</v>
      </c>
      <c r="Y4" t="n">
        <v>0</v>
      </c>
      <c r="Z4" t="n">
        <v>0</v>
      </c>
      <c r="AA4" t="n">
        <v>1</v>
      </c>
      <c r="AC4">
        <f>IF(ISNUMBER(INDEX($A$2:$AA$42,3,MATCH('Hisse'!$E$2,$A$1:$AA$1,0))),INDEX($A$2:$AA$42,3,MATCH('Hisse'!$E$2,$A$1:$AA$1,0)),-1E+9)-ROW()/1E+7</f>
        <v/>
      </c>
    </row>
    <row r="5">
      <c r="A5" t="inlineStr">
        <is>
          <t>HVZ</t>
        </is>
      </c>
      <c r="B5" t="inlineStr">
        <is>
          <t>Allbatross Portföy Birinci Hisse Senedi (TL) Fonu (Hisse Senedi Yoğun Fon)</t>
        </is>
      </c>
      <c r="C5" t="inlineStr">
        <is>
          <t>Allbatross Portföy</t>
        </is>
      </c>
      <c r="D5" t="n">
        <v>0.027</v>
      </c>
      <c r="E5" t="n">
        <v>2.34022299902783</v>
      </c>
      <c r="F5" t="n">
        <v>3.724035055334851</v>
      </c>
      <c r="G5" t="n">
        <v>-1.584853238705752</v>
      </c>
      <c r="H5" t="n">
        <v>15.92252621718793</v>
      </c>
      <c r="I5" t="n">
        <v>24.7217387806262</v>
      </c>
      <c r="J5" t="n">
        <v>1970</v>
      </c>
      <c r="K5" t="n">
        <v>1894</v>
      </c>
      <c r="L5" t="n">
        <v>-0.03857868020304567</v>
      </c>
      <c r="M5" t="n">
        <v>103954512.84</v>
      </c>
      <c r="N5" t="n">
        <v>102294795.21</v>
      </c>
      <c r="O5" t="n">
        <v>-0.01596580643453682</v>
      </c>
      <c r="P5" t="n">
        <v>0.9719761722861689</v>
      </c>
      <c r="Q5" t="inlineStr">
        <is>
          <t>Görüyor</t>
        </is>
      </c>
      <c r="R5" t="n">
        <v>0</v>
      </c>
      <c r="S5" t="n">
        <v>0</v>
      </c>
      <c r="T5" t="n">
        <v>0</v>
      </c>
      <c r="U5" t="n">
        <v>0.9087000000000001</v>
      </c>
      <c r="V5" t="n">
        <v>0</v>
      </c>
      <c r="W5" t="n">
        <v>0.09130000000000001</v>
      </c>
      <c r="X5" t="n">
        <v>0</v>
      </c>
      <c r="Y5" t="n">
        <v>0</v>
      </c>
      <c r="Z5" t="n">
        <v>0</v>
      </c>
      <c r="AA5" t="n">
        <v>1</v>
      </c>
      <c r="AC5">
        <f>IF(ISNUMBER(INDEX($A$2:$AA$42,4,MATCH('Hisse'!$E$2,$A$1:$AA$1,0))),INDEX($A$2:$AA$42,4,MATCH('Hisse'!$E$2,$A$1:$AA$1,0)),-1E+9)-ROW()/1E+7</f>
        <v/>
      </c>
    </row>
    <row r="6">
      <c r="A6" t="inlineStr">
        <is>
          <t>OPH</t>
        </is>
      </c>
      <c r="B6" t="inlineStr">
        <is>
          <t>Osmanlı Portföy Birinci Hisse Senedi Fonu(hisse Senedi Yoğun Fon)</t>
        </is>
      </c>
      <c r="C6" t="inlineStr">
        <is>
          <t>Osmanlı Portföy</t>
        </is>
      </c>
      <c r="D6" t="n">
        <v>0.026</v>
      </c>
      <c r="E6" t="n">
        <v>2.301343999646477</v>
      </c>
      <c r="F6" t="n">
        <v>4.079319655552838</v>
      </c>
      <c r="G6" t="n">
        <v>-0.3735322769285343</v>
      </c>
      <c r="H6" t="n">
        <v>27.21731027977774</v>
      </c>
      <c r="I6" t="n">
        <v>41.57201044984178</v>
      </c>
      <c r="J6" t="n">
        <v>2659</v>
      </c>
      <c r="K6" t="n">
        <v>2578</v>
      </c>
      <c r="L6" t="n">
        <v>-0.03046257991726209</v>
      </c>
      <c r="M6" t="n">
        <v>963389444.2</v>
      </c>
      <c r="N6" t="n">
        <v>947840512.33</v>
      </c>
      <c r="O6" t="n">
        <v>-0.01613981963743838</v>
      </c>
      <c r="P6" t="n">
        <v>1.035621741830125</v>
      </c>
      <c r="Q6" t="inlineStr">
        <is>
          <t>Görüyor</t>
        </is>
      </c>
      <c r="R6" t="n">
        <v>0</v>
      </c>
      <c r="S6" t="n">
        <v>0.0001</v>
      </c>
      <c r="T6" t="n">
        <v>0</v>
      </c>
      <c r="U6" t="n">
        <v>0.9987999999999999</v>
      </c>
      <c r="V6" t="n">
        <v>0.0007000000000000001</v>
      </c>
      <c r="W6" t="n">
        <v>0</v>
      </c>
      <c r="X6" t="n">
        <v>0</v>
      </c>
      <c r="Y6" t="n">
        <v>0</v>
      </c>
      <c r="Z6" t="n">
        <v>0</v>
      </c>
      <c r="AA6" t="n">
        <v>0.9995999999999999</v>
      </c>
      <c r="AC6">
        <f>IF(ISNUMBER(INDEX($A$2:$AA$42,5,MATCH('Hisse'!$E$2,$A$1:$AA$1,0))),INDEX($A$2:$AA$42,5,MATCH('Hisse'!$E$2,$A$1:$AA$1,0)),-1E+9)-ROW()/1E+7</f>
        <v/>
      </c>
    </row>
    <row r="7">
      <c r="A7" t="inlineStr">
        <is>
          <t>PHI</t>
        </is>
      </c>
      <c r="B7" t="inlineStr">
        <is>
          <t>Piramit Portföy Hisse Senedi Fonu (Hisse Senedi Yoğun Fon)</t>
        </is>
      </c>
      <c r="C7" t="inlineStr">
        <is>
          <t>Piramit Portföy</t>
        </is>
      </c>
      <c r="D7" t="n">
        <v>0.023625</v>
      </c>
      <c r="E7" t="n">
        <v>2.28971683261705</v>
      </c>
      <c r="F7" t="n">
        <v>3.409279391016873</v>
      </c>
      <c r="G7" t="n">
        <v>-1.551643894817323</v>
      </c>
      <c r="H7" t="n">
        <v>30.57971985337202</v>
      </c>
      <c r="I7" t="n">
        <v>40.24644247626419</v>
      </c>
      <c r="J7" t="n">
        <v>120</v>
      </c>
      <c r="K7" t="n">
        <v>115</v>
      </c>
      <c r="L7" t="n">
        <v>-0.04166666666666663</v>
      </c>
      <c r="M7" t="n">
        <v>72469964.27</v>
      </c>
      <c r="N7" t="n">
        <v>71257873.19</v>
      </c>
      <c r="O7" t="n">
        <v>-0.01672542676417133</v>
      </c>
      <c r="P7" t="n">
        <v>1.010619356669168</v>
      </c>
      <c r="Q7" t="inlineStr">
        <is>
          <t>Görüyor</t>
        </is>
      </c>
      <c r="R7" t="n">
        <v>0</v>
      </c>
      <c r="S7" t="n">
        <v>0.0066</v>
      </c>
      <c r="T7" t="n">
        <v>0</v>
      </c>
      <c r="U7" t="n">
        <v>0.9081</v>
      </c>
      <c r="V7" t="n">
        <v>0</v>
      </c>
      <c r="W7" t="n">
        <v>0.08529999999999999</v>
      </c>
      <c r="X7" t="n">
        <v>0</v>
      </c>
      <c r="Y7" t="n">
        <v>0</v>
      </c>
      <c r="Z7" t="n">
        <v>0</v>
      </c>
      <c r="AA7" t="n">
        <v>1</v>
      </c>
      <c r="AC7">
        <f>IF(ISNUMBER(INDEX($A$2:$AA$42,6,MATCH('Hisse'!$E$2,$A$1:$AA$1,0))),INDEX($A$2:$AA$42,6,MATCH('Hisse'!$E$2,$A$1:$AA$1,0)),-1E+9)-ROW()/1E+7</f>
        <v/>
      </c>
    </row>
    <row r="8">
      <c r="A8" t="inlineStr">
        <is>
          <t>DAH</t>
        </is>
      </c>
      <c r="B8" t="inlineStr">
        <is>
          <t>Deniz Portföy Hisse Senedi Fonu (Hisse Senedi Yoğun Fon)</t>
        </is>
      </c>
      <c r="C8" t="inlineStr">
        <is>
          <t>Deniz Portföy</t>
        </is>
      </c>
      <c r="D8" t="n">
        <v>0.0292</v>
      </c>
      <c r="E8" t="n">
        <v>2.287943001044157</v>
      </c>
      <c r="F8" t="n">
        <v>3.719418355040438</v>
      </c>
      <c r="G8" t="n">
        <v>-2.595646300076615</v>
      </c>
      <c r="H8" t="n">
        <v>19.51656786457703</v>
      </c>
      <c r="I8" t="n">
        <v>34.70807666590188</v>
      </c>
      <c r="J8" t="n">
        <v>2765</v>
      </c>
      <c r="K8" t="n">
        <v>2669</v>
      </c>
      <c r="L8" t="n">
        <v>-0.03471971066907775</v>
      </c>
      <c r="M8" t="n">
        <v>697144841.98</v>
      </c>
      <c r="N8" t="n">
        <v>617056203.54</v>
      </c>
      <c r="O8" t="n">
        <v>-0.1148809165861944</v>
      </c>
      <c r="P8" t="n">
        <v>1.270005666898659</v>
      </c>
      <c r="Q8" t="inlineStr">
        <is>
          <t>Görüyor</t>
        </is>
      </c>
      <c r="R8" t="n">
        <v>0.0008</v>
      </c>
      <c r="S8" t="n">
        <v>0.0522</v>
      </c>
      <c r="T8" t="n">
        <v>0</v>
      </c>
      <c r="U8" t="n">
        <v>0.8615999999999999</v>
      </c>
      <c r="V8" t="n">
        <v>0.08539999999999999</v>
      </c>
      <c r="W8" t="n">
        <v>0</v>
      </c>
      <c r="X8" t="n">
        <v>0</v>
      </c>
      <c r="Y8" t="n">
        <v>0</v>
      </c>
      <c r="Z8" t="n">
        <v>0</v>
      </c>
      <c r="AA8" t="n">
        <v>0.9999999999999999</v>
      </c>
      <c r="AC8">
        <f>IF(ISNUMBER(INDEX($A$2:$AA$42,7,MATCH('Hisse'!$E$2,$A$1:$AA$1,0))),INDEX($A$2:$AA$42,7,MATCH('Hisse'!$E$2,$A$1:$AA$1,0)),-1E+9)-ROW()/1E+7</f>
        <v/>
      </c>
    </row>
    <row r="9">
      <c r="A9" t="inlineStr">
        <is>
          <t>AHI</t>
        </is>
      </c>
      <c r="B9" t="inlineStr">
        <is>
          <t>Atlas Portföy Birinci Hisse Senedi Fonu(hisse Senedi Yoğun)</t>
        </is>
      </c>
      <c r="C9" t="inlineStr">
        <is>
          <t>Atlas Portföy</t>
        </is>
      </c>
      <c r="D9" t="n">
        <v>0.029</v>
      </c>
      <c r="E9" t="n">
        <v>2.181096818656503</v>
      </c>
      <c r="F9" t="n">
        <v>2.131339935166943</v>
      </c>
      <c r="G9" t="n">
        <v>-4.969370076526481</v>
      </c>
      <c r="H9" t="n">
        <v>20.48011488519901</v>
      </c>
      <c r="I9" t="n">
        <v>46.67520602629285</v>
      </c>
      <c r="J9" t="n">
        <v>2530</v>
      </c>
      <c r="K9" t="n">
        <v>2461</v>
      </c>
      <c r="L9" t="n">
        <v>-0.02727272727272723</v>
      </c>
      <c r="M9" t="n">
        <v>137394727.69</v>
      </c>
      <c r="N9" t="n">
        <v>125944555.59</v>
      </c>
      <c r="O9" t="n">
        <v>-0.0833377837163789</v>
      </c>
      <c r="P9" t="n">
        <v>1.154732496259389</v>
      </c>
      <c r="Q9" t="inlineStr">
        <is>
          <t>Görüyor</t>
        </is>
      </c>
      <c r="R9" t="n">
        <v>0</v>
      </c>
      <c r="S9" t="n">
        <v>0.008500000000000001</v>
      </c>
      <c r="T9" t="n">
        <v>0.04019999999999999</v>
      </c>
      <c r="U9" t="n">
        <v>0.9457</v>
      </c>
      <c r="V9" t="n">
        <v>0.005600000000000001</v>
      </c>
      <c r="W9" t="n">
        <v>0</v>
      </c>
      <c r="X9" t="n">
        <v>0</v>
      </c>
      <c r="Y9" t="n">
        <v>0</v>
      </c>
      <c r="Z9" t="n">
        <v>0</v>
      </c>
      <c r="AA9" t="n">
        <v>1</v>
      </c>
      <c r="AC9">
        <f>IF(ISNUMBER(INDEX($A$2:$AA$42,8,MATCH('Hisse'!$E$2,$A$1:$AA$1,0))),INDEX($A$2:$AA$42,8,MATCH('Hisse'!$E$2,$A$1:$AA$1,0)),-1E+9)-ROW()/1E+7</f>
        <v/>
      </c>
    </row>
    <row r="10">
      <c r="A10" t="inlineStr">
        <is>
          <t>MAC</t>
        </is>
      </c>
      <c r="B10" t="inlineStr">
        <is>
          <t>Marmara Capıtal Portföy Hisse Senedi (TL) Fonu (Hisse Senedi Yoğun Fon)</t>
        </is>
      </c>
      <c r="C10" t="inlineStr">
        <is>
          <t>Marmara Capital Portföy</t>
        </is>
      </c>
      <c r="D10" t="n">
        <v>0.0268</v>
      </c>
      <c r="E10" t="n">
        <v>2.131798465993784</v>
      </c>
      <c r="F10" t="n">
        <v>3.584313910439318</v>
      </c>
      <c r="G10" t="n">
        <v>-4.677365687584089</v>
      </c>
      <c r="H10" t="n">
        <v>17.63429918054737</v>
      </c>
      <c r="I10" t="n">
        <v>29.20867071387134</v>
      </c>
      <c r="J10" t="n">
        <v>37930</v>
      </c>
      <c r="K10" t="n">
        <v>37234</v>
      </c>
      <c r="L10" t="n">
        <v>-0.01834959135249148</v>
      </c>
      <c r="M10" t="n">
        <v>5105476720.14</v>
      </c>
      <c r="N10" t="n">
        <v>4730474465.89</v>
      </c>
      <c r="O10" t="n">
        <v>-0.07345097721642668</v>
      </c>
      <c r="P10" t="n">
        <v>1.198041014671691</v>
      </c>
      <c r="Q10" t="inlineStr">
        <is>
          <t>Görüyor</t>
        </is>
      </c>
      <c r="R10" t="n">
        <v>0</v>
      </c>
      <c r="S10" t="n">
        <v>0.0042</v>
      </c>
      <c r="T10" t="n">
        <v>0</v>
      </c>
      <c r="U10" t="n">
        <v>0.9575</v>
      </c>
      <c r="V10" t="n">
        <v>0.0383</v>
      </c>
      <c r="W10" t="n">
        <v>0</v>
      </c>
      <c r="X10" t="n">
        <v>0</v>
      </c>
      <c r="Y10" t="n">
        <v>0</v>
      </c>
      <c r="Z10" t="n">
        <v>0</v>
      </c>
      <c r="AA10" t="n">
        <v>1</v>
      </c>
      <c r="AC10">
        <f>IF(ISNUMBER(INDEX($A$2:$AA$42,9,MATCH('Hisse'!$E$2,$A$1:$AA$1,0))),INDEX($A$2:$AA$42,9,MATCH('Hisse'!$E$2,$A$1:$AA$1,0)),-1E+9)-ROW()/1E+7</f>
        <v/>
      </c>
    </row>
    <row r="11">
      <c r="A11" t="inlineStr">
        <is>
          <t>AK3</t>
        </is>
      </c>
      <c r="B11" t="inlineStr">
        <is>
          <t>AK Portföy Hisse Senedi (TL) Fonu (Hisse Senedi Yoğun Fon)</t>
        </is>
      </c>
      <c r="C11" t="inlineStr">
        <is>
          <t>AK Portföy</t>
        </is>
      </c>
      <c r="D11" t="n">
        <v>0.034</v>
      </c>
      <c r="E11" t="n">
        <v>2.110020513516697</v>
      </c>
      <c r="F11" t="n">
        <v>3.758947891591857</v>
      </c>
      <c r="G11" t="n">
        <v>-2.318087740282015</v>
      </c>
      <c r="H11" t="n">
        <v>28.1728001812948</v>
      </c>
      <c r="I11" t="n">
        <v>45.38688315746931</v>
      </c>
      <c r="J11" t="n">
        <v>21676</v>
      </c>
      <c r="K11" t="n">
        <v>20748</v>
      </c>
      <c r="L11" t="n">
        <v>-0.04281232699760107</v>
      </c>
      <c r="M11" t="n">
        <v>8615361348.26</v>
      </c>
      <c r="N11" t="n">
        <v>7274265722.43</v>
      </c>
      <c r="O11" t="n">
        <v>-0.155663305532838</v>
      </c>
      <c r="P11" t="n">
        <v>1.245469532517191</v>
      </c>
      <c r="Q11" t="inlineStr">
        <is>
          <t>Görüyor</t>
        </is>
      </c>
      <c r="R11" t="n">
        <v>0</v>
      </c>
      <c r="S11" t="n">
        <v>0.0492</v>
      </c>
      <c r="T11" t="n">
        <v>0.0234</v>
      </c>
      <c r="U11" t="n">
        <v>0.9003</v>
      </c>
      <c r="V11" t="n">
        <v>0.0005999999999999999</v>
      </c>
      <c r="W11" t="n">
        <v>0.0224</v>
      </c>
      <c r="X11" t="n">
        <v>0</v>
      </c>
      <c r="Y11" t="n">
        <v>0</v>
      </c>
      <c r="Z11" t="n">
        <v>0</v>
      </c>
      <c r="AA11" t="n">
        <v>0.9959</v>
      </c>
      <c r="AC11">
        <f>IF(ISNUMBER(INDEX($A$2:$AA$42,10,MATCH('Hisse'!$E$2,$A$1:$AA$1,0))),INDEX($A$2:$AA$42,10,MATCH('Hisse'!$E$2,$A$1:$AA$1,0)),-1E+9)-ROW()/1E+7</f>
        <v/>
      </c>
    </row>
    <row r="12">
      <c r="A12" t="inlineStr">
        <is>
          <t>GHS</t>
        </is>
      </c>
      <c r="B12" t="inlineStr">
        <is>
          <t>Garanti Portföy Hisse Senedi (TL) Fonu (Hisse Senedi Yoğun Fon)</t>
        </is>
      </c>
      <c r="C12" t="inlineStr">
        <is>
          <t>Garanti Portföy</t>
        </is>
      </c>
      <c r="D12" t="n">
        <v>0.032</v>
      </c>
      <c r="E12" t="n">
        <v>2.07552736600114</v>
      </c>
      <c r="F12" t="n">
        <v>2.432124023576798</v>
      </c>
      <c r="G12" t="n">
        <v>-2.305038973921458</v>
      </c>
      <c r="H12" t="n">
        <v>22.02257609950335</v>
      </c>
      <c r="I12" t="n">
        <v>32.29969988619179</v>
      </c>
      <c r="J12" t="n">
        <v>15100</v>
      </c>
      <c r="K12" t="n">
        <v>15014</v>
      </c>
      <c r="L12" t="n">
        <v>-0.00569536423841055</v>
      </c>
      <c r="M12" t="n">
        <v>3159206447.24</v>
      </c>
      <c r="N12" t="n">
        <v>3254349235.52</v>
      </c>
      <c r="O12" t="n">
        <v>0.03011604017303782</v>
      </c>
      <c r="P12" t="n">
        <v>1.222435386828493</v>
      </c>
      <c r="Q12" t="inlineStr">
        <is>
          <t>Görüyor</t>
        </is>
      </c>
      <c r="R12" t="n">
        <v>0</v>
      </c>
      <c r="S12" t="n">
        <v>0.0194</v>
      </c>
      <c r="T12" t="n">
        <v>0.0117</v>
      </c>
      <c r="U12" t="n">
        <v>0.8832</v>
      </c>
      <c r="V12" t="n">
        <v>0.0857</v>
      </c>
      <c r="W12" t="n">
        <v>0</v>
      </c>
      <c r="X12" t="n">
        <v>0</v>
      </c>
      <c r="Y12" t="n">
        <v>0</v>
      </c>
      <c r="Z12" t="n">
        <v>0</v>
      </c>
      <c r="AA12" t="n">
        <v>1</v>
      </c>
      <c r="AC12">
        <f>IF(ISNUMBER(INDEX($A$2:$AA$42,11,MATCH('Hisse'!$E$2,$A$1:$AA$1,0))),INDEX($A$2:$AA$42,11,MATCH('Hisse'!$E$2,$A$1:$AA$1,0)),-1E+9)-ROW()/1E+7</f>
        <v/>
      </c>
    </row>
    <row r="13">
      <c r="A13" t="inlineStr">
        <is>
          <t>OHB</t>
        </is>
      </c>
      <c r="B13" t="inlineStr">
        <is>
          <t>Oyak Portföy Birinci Hisse Senedi (TL) Fonu (Hisse Senedi Yoğun Fon)</t>
        </is>
      </c>
      <c r="C13" t="inlineStr">
        <is>
          <t>Oyak Portföy</t>
        </is>
      </c>
      <c r="D13" t="n">
        <v>0.020002</v>
      </c>
      <c r="E13" t="n">
        <v>2.04696177732171</v>
      </c>
      <c r="F13" t="n">
        <v>3.315909155158514</v>
      </c>
      <c r="G13" t="n">
        <v>-2.008698242378559</v>
      </c>
      <c r="H13" t="n">
        <v>21.74190896223376</v>
      </c>
      <c r="I13" t="n">
        <v>32.04534847531026</v>
      </c>
      <c r="J13" t="n">
        <v>1105</v>
      </c>
      <c r="K13" t="n">
        <v>1068</v>
      </c>
      <c r="L13" t="n">
        <v>-0.03348416289592759</v>
      </c>
      <c r="M13" t="n">
        <v>1466149747.61</v>
      </c>
      <c r="N13" t="n">
        <v>1382374682.44</v>
      </c>
      <c r="O13" t="n">
        <v>-0.05713950113660848</v>
      </c>
      <c r="P13" t="n">
        <v>1.076678058916166</v>
      </c>
      <c r="Q13" t="inlineStr">
        <is>
          <t>Görüyor</t>
        </is>
      </c>
      <c r="R13" t="n">
        <v>0</v>
      </c>
      <c r="S13" t="n">
        <v>0.0151</v>
      </c>
      <c r="T13" t="n">
        <v>0.0384</v>
      </c>
      <c r="U13" t="n">
        <v>0.9268000000000001</v>
      </c>
      <c r="V13" t="n">
        <v>0.0003</v>
      </c>
      <c r="W13" t="n">
        <v>0</v>
      </c>
      <c r="X13" t="n">
        <v>0</v>
      </c>
      <c r="Y13" t="n">
        <v>0</v>
      </c>
      <c r="Z13" t="n">
        <v>0</v>
      </c>
      <c r="AA13" t="n">
        <v>0.9806</v>
      </c>
      <c r="AC13">
        <f>IF(ISNUMBER(INDEX($A$2:$AA$42,12,MATCH('Hisse'!$E$2,$A$1:$AA$1,0))),INDEX($A$2:$AA$42,12,MATCH('Hisse'!$E$2,$A$1:$AA$1,0)),-1E+9)-ROW()/1E+7</f>
        <v/>
      </c>
    </row>
    <row r="14">
      <c r="A14" t="inlineStr">
        <is>
          <t>ICF</t>
        </is>
      </c>
      <c r="B14" t="inlineStr">
        <is>
          <t>Icbc Turkey Portföy Hisse Senedi Fonu(hisse Senedi Yoğun Fon)</t>
        </is>
      </c>
      <c r="C14" t="inlineStr">
        <is>
          <t>Icbc Turkey Portföy</t>
        </is>
      </c>
      <c r="D14" t="n">
        <v>0.02</v>
      </c>
      <c r="E14" t="n">
        <v>1.992692317967215</v>
      </c>
      <c r="F14" t="n">
        <v>3.314970050279609</v>
      </c>
      <c r="G14" t="n">
        <v>-2.53066334200569</v>
      </c>
      <c r="H14" t="n">
        <v>25.02248028274778</v>
      </c>
      <c r="I14" t="n">
        <v>34.30373244446743</v>
      </c>
      <c r="J14" t="n">
        <v>541</v>
      </c>
      <c r="K14" t="n">
        <v>511</v>
      </c>
      <c r="L14" t="n">
        <v>-0.05545286506469504</v>
      </c>
      <c r="M14" t="n">
        <v>21014976.9</v>
      </c>
      <c r="N14" t="n">
        <v>19534385.78</v>
      </c>
      <c r="O14" t="n">
        <v>-0.0704540921955521</v>
      </c>
      <c r="P14" t="n">
        <v>1.046204667970331</v>
      </c>
      <c r="Q14" t="inlineStr">
        <is>
          <t>Görüyor</t>
        </is>
      </c>
      <c r="R14" t="n">
        <v>0</v>
      </c>
      <c r="S14" t="n">
        <v>0.0849</v>
      </c>
      <c r="T14" t="n">
        <v>0</v>
      </c>
      <c r="U14" t="n">
        <v>0.8928</v>
      </c>
      <c r="V14" t="n">
        <v>0.0223</v>
      </c>
      <c r="W14" t="n">
        <v>0</v>
      </c>
      <c r="X14" t="n">
        <v>0</v>
      </c>
      <c r="Y14" t="n">
        <v>0</v>
      </c>
      <c r="Z14" t="n">
        <v>0</v>
      </c>
      <c r="AA14" t="n">
        <v>1</v>
      </c>
      <c r="AC14">
        <f>IF(ISNUMBER(INDEX($A$2:$AA$42,13,MATCH('Hisse'!$E$2,$A$1:$AA$1,0))),INDEX($A$2:$AA$42,13,MATCH('Hisse'!$E$2,$A$1:$AA$1,0)),-1E+9)-ROW()/1E+7</f>
        <v/>
      </c>
    </row>
    <row r="15">
      <c r="A15" t="inlineStr">
        <is>
          <t>UPH</t>
        </is>
      </c>
      <c r="B15" t="inlineStr">
        <is>
          <t>Ünlü Portföy Hisse Senedi (TL) Fonu(hisse Senedi Yoğun Fon)</t>
        </is>
      </c>
      <c r="C15" t="inlineStr">
        <is>
          <t>Ünlü Portföy</t>
        </is>
      </c>
      <c r="D15" t="n">
        <v>0.0281</v>
      </c>
      <c r="E15" t="n">
        <v>1.983423429653475</v>
      </c>
      <c r="F15" t="n">
        <v>2.461225021239088</v>
      </c>
      <c r="G15" t="n">
        <v>-3.420644815969265</v>
      </c>
      <c r="H15" t="n">
        <v>21.81625807443657</v>
      </c>
      <c r="I15" t="n">
        <v>31.00776862425987</v>
      </c>
      <c r="J15" t="n">
        <v>565</v>
      </c>
      <c r="K15" t="n">
        <v>551</v>
      </c>
      <c r="L15" t="n">
        <v>-0.02477876106194687</v>
      </c>
      <c r="M15" t="n">
        <v>279386275.54</v>
      </c>
      <c r="N15" t="n">
        <v>269596640.16</v>
      </c>
      <c r="O15" t="n">
        <v>-0.03503978626394055</v>
      </c>
      <c r="P15" t="n">
        <v>1.139377432263682</v>
      </c>
      <c r="Q15" t="inlineStr">
        <is>
          <t>Görüyor</t>
        </is>
      </c>
      <c r="R15" t="n">
        <v>0</v>
      </c>
      <c r="S15" t="n">
        <v>0.0347</v>
      </c>
      <c r="T15" t="n">
        <v>0.09119999999999999</v>
      </c>
      <c r="U15" t="n">
        <v>0.8719</v>
      </c>
      <c r="V15" t="n">
        <v>0.0022</v>
      </c>
      <c r="W15" t="n">
        <v>0</v>
      </c>
      <c r="X15" t="n">
        <v>0</v>
      </c>
      <c r="Y15" t="n">
        <v>0</v>
      </c>
      <c r="Z15" t="n">
        <v>0</v>
      </c>
      <c r="AA15" t="n">
        <v>1</v>
      </c>
      <c r="AC15">
        <f>IF(ISNUMBER(INDEX($A$2:$AA$42,14,MATCH('Hisse'!$E$2,$A$1:$AA$1,0))),INDEX($A$2:$AA$42,14,MATCH('Hisse'!$E$2,$A$1:$AA$1,0)),-1E+9)-ROW()/1E+7</f>
        <v/>
      </c>
    </row>
    <row r="16">
      <c r="A16" t="inlineStr">
        <is>
          <t>PPB</t>
        </is>
      </c>
      <c r="B16" t="inlineStr">
        <is>
          <t>Phillip Portföy Birinci Hisse Senedi Fonu (Hisse Senedi Yoğun Fon)</t>
        </is>
      </c>
      <c r="C16" t="inlineStr">
        <is>
          <t>Phillip Portföy</t>
        </is>
      </c>
      <c r="D16" t="n">
        <v>0.029</v>
      </c>
      <c r="E16" t="n">
        <v>1.980402993217112</v>
      </c>
      <c r="F16" t="n">
        <v>1.99017982330949</v>
      </c>
      <c r="G16" t="n">
        <v>-4.146211712292292</v>
      </c>
      <c r="H16" t="n">
        <v>16.75354508006339</v>
      </c>
      <c r="I16" t="n">
        <v>24.15260842512559</v>
      </c>
      <c r="J16" t="n">
        <v>1706</v>
      </c>
      <c r="K16" t="n">
        <v>1635</v>
      </c>
      <c r="L16" t="n">
        <v>-0.04161781946072685</v>
      </c>
      <c r="M16" t="n">
        <v>425057537.52</v>
      </c>
      <c r="N16" t="n">
        <v>401506649.36</v>
      </c>
      <c r="O16" t="n">
        <v>-0.05540635344901235</v>
      </c>
      <c r="P16" t="n">
        <v>1.126156400040589</v>
      </c>
      <c r="Q16" t="inlineStr">
        <is>
          <t>Görüyor</t>
        </is>
      </c>
      <c r="R16" t="n">
        <v>0</v>
      </c>
      <c r="S16" t="n">
        <v>0.0147</v>
      </c>
      <c r="T16" t="n">
        <v>0</v>
      </c>
      <c r="U16" t="n">
        <v>0.9466</v>
      </c>
      <c r="V16" t="n">
        <v>0</v>
      </c>
      <c r="W16" t="n">
        <v>0.0387</v>
      </c>
      <c r="X16" t="n">
        <v>0</v>
      </c>
      <c r="Y16" t="n">
        <v>0</v>
      </c>
      <c r="Z16" t="n">
        <v>0</v>
      </c>
      <c r="AA16" t="n">
        <v>1</v>
      </c>
      <c r="AC16">
        <f>IF(ISNUMBER(INDEX($A$2:$AA$42,15,MATCH('Hisse'!$E$2,$A$1:$AA$1,0))),INDEX($A$2:$AA$42,15,MATCH('Hisse'!$E$2,$A$1:$AA$1,0)),-1E+9)-ROW()/1E+7</f>
        <v/>
      </c>
    </row>
    <row r="17">
      <c r="A17" t="inlineStr">
        <is>
          <t>FPH</t>
        </is>
      </c>
      <c r="B17" t="inlineStr">
        <is>
          <t>Fiba Portföy Hisse Senedi (TL) Fonu (Hisse Senedi Yoğun Fon)</t>
        </is>
      </c>
      <c r="C17" t="inlineStr">
        <is>
          <t>Fiba Portföy</t>
        </is>
      </c>
      <c r="D17" t="n">
        <v>0.03103</v>
      </c>
      <c r="E17" t="n">
        <v>1.976239234150023</v>
      </c>
      <c r="F17" t="n">
        <v>2.991941492087613</v>
      </c>
      <c r="G17" t="n">
        <v>-2.141520425727605</v>
      </c>
      <c r="H17" t="n">
        <v>19.84653359531434</v>
      </c>
      <c r="I17" t="n">
        <v>29.25663565662058</v>
      </c>
      <c r="J17" t="n">
        <v>4738</v>
      </c>
      <c r="K17" t="n">
        <v>4633</v>
      </c>
      <c r="L17" t="n">
        <v>-0.02216124947235121</v>
      </c>
      <c r="M17" t="n">
        <v>1515289720.75</v>
      </c>
      <c r="N17" t="n">
        <v>1312631923.13</v>
      </c>
      <c r="O17" t="n">
        <v>-0.1337419470645478</v>
      </c>
      <c r="P17" t="n">
        <v>1.129476243972635</v>
      </c>
      <c r="Q17" t="inlineStr">
        <is>
          <t>Görüyor</t>
        </is>
      </c>
      <c r="R17" t="n">
        <v>0.0073</v>
      </c>
      <c r="S17" t="n">
        <v>0.0149</v>
      </c>
      <c r="T17" t="n">
        <v>0.0226</v>
      </c>
      <c r="U17" t="n">
        <v>0.9309000000000001</v>
      </c>
      <c r="V17" t="n">
        <v>0.0003</v>
      </c>
      <c r="W17" t="n">
        <v>0.0001</v>
      </c>
      <c r="X17" t="n">
        <v>0</v>
      </c>
      <c r="Y17" t="n">
        <v>0</v>
      </c>
      <c r="Z17" t="n">
        <v>0</v>
      </c>
      <c r="AA17" t="n">
        <v>0.9761000000000001</v>
      </c>
      <c r="AC17">
        <f>IF(ISNUMBER(INDEX($A$2:$AA$42,16,MATCH('Hisse'!$E$2,$A$1:$AA$1,0))),INDEX($A$2:$AA$42,16,MATCH('Hisse'!$E$2,$A$1:$AA$1,0)),-1E+9)-ROW()/1E+7</f>
        <v/>
      </c>
    </row>
    <row r="18">
      <c r="A18" t="inlineStr">
        <is>
          <t>TYH</t>
        </is>
      </c>
      <c r="B18" t="inlineStr">
        <is>
          <t>Teb Portföy Hisse Senedi Fonu (Hisse Senedi Yoğun Fon)</t>
        </is>
      </c>
      <c r="C18" t="inlineStr">
        <is>
          <t>Teb Portföy</t>
        </is>
      </c>
      <c r="D18" t="n">
        <v>0.032</v>
      </c>
      <c r="E18" t="n">
        <v>1.962115520703467</v>
      </c>
      <c r="F18" t="n">
        <v>2.726330462846094</v>
      </c>
      <c r="G18" t="n">
        <v>-2.084918639584754</v>
      </c>
      <c r="H18" t="n">
        <v>16.61613817205307</v>
      </c>
      <c r="I18" t="n">
        <v>22.57907696230554</v>
      </c>
      <c r="J18" t="n">
        <v>6686</v>
      </c>
      <c r="K18" t="n">
        <v>6496</v>
      </c>
      <c r="L18" t="n">
        <v>-0.02841758899192337</v>
      </c>
      <c r="M18" t="n">
        <v>1737940862.35</v>
      </c>
      <c r="N18" t="n">
        <v>1200570484.3</v>
      </c>
      <c r="O18" t="n">
        <v>-0.3091994610929288</v>
      </c>
      <c r="P18" t="n">
        <v>1.187918315014529</v>
      </c>
      <c r="Q18" t="inlineStr">
        <is>
          <t>Görüyor</t>
        </is>
      </c>
      <c r="R18" t="n">
        <v>0</v>
      </c>
      <c r="S18" t="n">
        <v>0.0001</v>
      </c>
      <c r="T18" t="n">
        <v>0</v>
      </c>
      <c r="U18" t="n">
        <v>1.0012</v>
      </c>
      <c r="V18" t="n">
        <v>-0.0013</v>
      </c>
      <c r="W18" t="n">
        <v>0</v>
      </c>
      <c r="X18" t="n">
        <v>0</v>
      </c>
      <c r="Y18" t="n">
        <v>0</v>
      </c>
      <c r="Z18" t="n">
        <v>0</v>
      </c>
      <c r="AA18" t="n">
        <v>1</v>
      </c>
      <c r="AC18">
        <f>IF(ISNUMBER(INDEX($A$2:$AA$42,17,MATCH('Hisse'!$E$2,$A$1:$AA$1,0))),INDEX($A$2:$AA$42,17,MATCH('Hisse'!$E$2,$A$1:$AA$1,0)),-1E+9)-ROW()/1E+7</f>
        <v/>
      </c>
    </row>
    <row r="19">
      <c r="A19" t="inlineStr">
        <is>
          <t>NHY</t>
        </is>
      </c>
      <c r="B19" t="inlineStr">
        <is>
          <t>Neo Portföy Birinci Hisse Senedi (TL) Fonu (Hisse Senedi Yoğun Fon)</t>
        </is>
      </c>
      <c r="C19" t="inlineStr">
        <is>
          <t>Neo Portföy</t>
        </is>
      </c>
      <c r="D19" t="n">
        <v>0.029</v>
      </c>
      <c r="E19" t="n">
        <v>1.955553370436225</v>
      </c>
      <c r="F19" t="n">
        <v>3.025770100760838</v>
      </c>
      <c r="G19" t="n">
        <v>1.803706930744586</v>
      </c>
      <c r="H19" t="n">
        <v>36.05081779139734</v>
      </c>
      <c r="I19" t="n">
        <v>56.91540565826418</v>
      </c>
      <c r="J19" t="n">
        <v>2255</v>
      </c>
      <c r="K19" t="n">
        <v>2197</v>
      </c>
      <c r="L19" t="n">
        <v>-0.0257206208425721</v>
      </c>
      <c r="M19" t="n">
        <v>177102409.65</v>
      </c>
      <c r="N19" t="n">
        <v>194517906.6</v>
      </c>
      <c r="O19" t="n">
        <v>0.09833574249168886</v>
      </c>
      <c r="P19" t="n">
        <v>1.066842753811679</v>
      </c>
      <c r="Q19" t="inlineStr">
        <is>
          <t>Görüyor</t>
        </is>
      </c>
      <c r="R19" t="n">
        <v>0</v>
      </c>
      <c r="S19" t="n">
        <v>0</v>
      </c>
      <c r="T19" t="n">
        <v>0</v>
      </c>
      <c r="U19" t="n">
        <v>1.0509</v>
      </c>
      <c r="V19" t="n">
        <v>-0.0509</v>
      </c>
      <c r="W19" t="n">
        <v>0</v>
      </c>
      <c r="X19" t="n">
        <v>0</v>
      </c>
      <c r="Y19" t="n">
        <v>0</v>
      </c>
      <c r="Z19" t="n">
        <v>0</v>
      </c>
      <c r="AA19" t="n">
        <v>1</v>
      </c>
      <c r="AC19">
        <f>IF(ISNUMBER(INDEX($A$2:$AA$42,18,MATCH('Hisse'!$E$2,$A$1:$AA$1,0))),INDEX($A$2:$AA$42,18,MATCH('Hisse'!$E$2,$A$1:$AA$1,0)),-1E+9)-ROW()/1E+7</f>
        <v/>
      </c>
    </row>
    <row r="20">
      <c r="A20" t="inlineStr">
        <is>
          <t>ASJ</t>
        </is>
      </c>
      <c r="B20" t="inlineStr">
        <is>
          <t>Aktif Portföy Hisse Senedi (TL) Fonu (Hisse Senedi Yoğun Fon)</t>
        </is>
      </c>
      <c r="C20" t="inlineStr">
        <is>
          <t>Aktif Portföy</t>
        </is>
      </c>
      <c r="D20" t="n">
        <v>0.0275</v>
      </c>
      <c r="E20" t="n">
        <v>1.940124370975926</v>
      </c>
      <c r="F20" t="n">
        <v>2.47409647657324</v>
      </c>
      <c r="G20" t="n">
        <v>-0.6096964667581584</v>
      </c>
      <c r="H20" t="n">
        <v>31.00281088328776</v>
      </c>
      <c r="I20" t="n">
        <v>37.18655447376536</v>
      </c>
      <c r="J20" t="n">
        <v>817</v>
      </c>
      <c r="K20" t="n">
        <v>788</v>
      </c>
      <c r="L20" t="n">
        <v>-0.03549571603427171</v>
      </c>
      <c r="M20" t="n">
        <v>70514214.81</v>
      </c>
      <c r="N20" t="n">
        <v>62439070.19</v>
      </c>
      <c r="O20" t="n">
        <v>-0.1145179683523162</v>
      </c>
      <c r="P20" t="n">
        <v>1.054572481988237</v>
      </c>
      <c r="Q20" t="inlineStr">
        <is>
          <t>Görüyor</t>
        </is>
      </c>
      <c r="R20" t="n">
        <v>0</v>
      </c>
      <c r="S20" t="n">
        <v>0.0068</v>
      </c>
      <c r="T20" t="n">
        <v>0</v>
      </c>
      <c r="U20" t="n">
        <v>0.9428</v>
      </c>
      <c r="V20" t="n">
        <v>0</v>
      </c>
      <c r="W20" t="n">
        <v>0.0504</v>
      </c>
      <c r="X20" t="n">
        <v>0</v>
      </c>
      <c r="Y20" t="n">
        <v>0</v>
      </c>
      <c r="Z20" t="n">
        <v>0</v>
      </c>
      <c r="AA20" t="n">
        <v>1</v>
      </c>
      <c r="AC20">
        <f>IF(ISNUMBER(INDEX($A$2:$AA$42,19,MATCH('Hisse'!$E$2,$A$1:$AA$1,0))),INDEX($A$2:$AA$42,19,MATCH('Hisse'!$E$2,$A$1:$AA$1,0)),-1E+9)-ROW()/1E+7</f>
        <v/>
      </c>
    </row>
    <row r="21">
      <c r="A21" t="inlineStr">
        <is>
          <t>YHS</t>
        </is>
      </c>
      <c r="B21" t="inlineStr">
        <is>
          <t>Yapı Kredi Portföy Birinci Hisse Senedi Fonu (Hisse Senedi Yoğun Fon)</t>
        </is>
      </c>
      <c r="C21" t="inlineStr">
        <is>
          <t>Yapı Kredi Portföy</t>
        </is>
      </c>
      <c r="D21" t="n">
        <v>0.0344998</v>
      </c>
      <c r="E21" t="n">
        <v>1.932647748558725</v>
      </c>
      <c r="F21" t="n">
        <v>3.187661947379894</v>
      </c>
      <c r="G21" t="n">
        <v>-1.167327230491244</v>
      </c>
      <c r="H21" t="n">
        <v>21.92561798280381</v>
      </c>
      <c r="I21" t="n">
        <v>29.94791632232236</v>
      </c>
      <c r="J21" t="n">
        <v>8606</v>
      </c>
      <c r="K21" t="n">
        <v>8517</v>
      </c>
      <c r="L21" t="n">
        <v>-0.0103416221240995</v>
      </c>
      <c r="M21" t="n">
        <v>3754846209.79</v>
      </c>
      <c r="N21" t="n">
        <v>3081048453.63</v>
      </c>
      <c r="O21" t="n">
        <v>-0.1794474975841112</v>
      </c>
      <c r="P21" t="n">
        <v>1.152493483770134</v>
      </c>
      <c r="Q21" t="inlineStr">
        <is>
          <t>Görüyor</t>
        </is>
      </c>
      <c r="R21" t="n">
        <v>0</v>
      </c>
      <c r="S21" t="n">
        <v>0.0241</v>
      </c>
      <c r="T21" t="n">
        <v>0</v>
      </c>
      <c r="U21" t="n">
        <v>0.9097</v>
      </c>
      <c r="V21" t="n">
        <v>0.0279</v>
      </c>
      <c r="W21" t="n">
        <v>0.0383</v>
      </c>
      <c r="X21" t="n">
        <v>0</v>
      </c>
      <c r="Y21" t="n">
        <v>0</v>
      </c>
      <c r="Z21" t="n">
        <v>0</v>
      </c>
      <c r="AA21" t="n">
        <v>1</v>
      </c>
      <c r="AC21">
        <f>IF(ISNUMBER(INDEX($A$2:$AA$42,20,MATCH('Hisse'!$E$2,$A$1:$AA$1,0))),INDEX($A$2:$AA$42,20,MATCH('Hisse'!$E$2,$A$1:$AA$1,0)),-1E+9)-ROW()/1E+7</f>
        <v/>
      </c>
    </row>
    <row r="22">
      <c r="A22" t="inlineStr">
        <is>
          <t>BHA</t>
        </is>
      </c>
      <c r="B22" t="inlineStr">
        <is>
          <t>Bulls Portföy Hisse Senedi (TL) Fonu (Hisse Senedi Yoğun Fon)</t>
        </is>
      </c>
      <c r="C22" t="inlineStr">
        <is>
          <t>Bulls Portföy</t>
        </is>
      </c>
      <c r="D22" t="n">
        <v>0.0275</v>
      </c>
      <c r="E22" t="n">
        <v>1.891920702457583</v>
      </c>
      <c r="F22" t="n">
        <v>3.933988231712249</v>
      </c>
      <c r="G22" t="n">
        <v>2.440921397762352</v>
      </c>
      <c r="H22" t="n">
        <v>38.20373252958693</v>
      </c>
      <c r="I22" t="n">
        <v>54.59670681483782</v>
      </c>
      <c r="J22" t="n">
        <v>745</v>
      </c>
      <c r="K22" t="n">
        <v>718</v>
      </c>
      <c r="L22" t="n">
        <v>-0.03624161073825505</v>
      </c>
      <c r="M22" t="n">
        <v>74244623.76000001</v>
      </c>
      <c r="N22" t="n">
        <v>86889552.45</v>
      </c>
      <c r="O22" t="n">
        <v>0.1703144019003375</v>
      </c>
      <c r="P22" t="n">
        <v>1.184839887949139</v>
      </c>
      <c r="Q22" t="inlineStr">
        <is>
          <t>Görüyor</t>
        </is>
      </c>
      <c r="R22" t="n">
        <v>0</v>
      </c>
      <c r="S22" t="n">
        <v>0.0386</v>
      </c>
      <c r="T22" t="n">
        <v>0</v>
      </c>
      <c r="U22" t="n">
        <v>0.8894</v>
      </c>
      <c r="V22" t="n">
        <v>0.0333</v>
      </c>
      <c r="W22" t="n">
        <v>0.0387</v>
      </c>
      <c r="X22" t="n">
        <v>0</v>
      </c>
      <c r="Y22" t="n">
        <v>0</v>
      </c>
      <c r="Z22" t="n">
        <v>0</v>
      </c>
      <c r="AA22" t="n">
        <v>1</v>
      </c>
      <c r="AC22">
        <f>IF(ISNUMBER(INDEX($A$2:$AA$42,21,MATCH('Hisse'!$E$2,$A$1:$AA$1,0))),INDEX($A$2:$AA$42,21,MATCH('Hisse'!$E$2,$A$1:$AA$1,0)),-1E+9)-ROW()/1E+7</f>
        <v/>
      </c>
    </row>
    <row r="23">
      <c r="A23" t="inlineStr">
        <is>
          <t>TKF</t>
        </is>
      </c>
      <c r="B23" t="inlineStr">
        <is>
          <t>Tacirler Portföy Hisse Senedi Fonu (Hisse Senedi Yoğun Fon)</t>
        </is>
      </c>
      <c r="C23" t="inlineStr">
        <is>
          <t>Tacirler Portföy</t>
        </is>
      </c>
      <c r="D23" t="n">
        <v>0.0292</v>
      </c>
      <c r="E23" t="n">
        <v>1.876871276808356</v>
      </c>
      <c r="F23" t="n">
        <v>1.36091553799198</v>
      </c>
      <c r="G23" t="n">
        <v>-2.61790741568011</v>
      </c>
      <c r="H23" t="n">
        <v>25.81172911904343</v>
      </c>
      <c r="I23" t="n">
        <v>37.56287393483224</v>
      </c>
      <c r="J23" t="n">
        <v>4505</v>
      </c>
      <c r="K23" t="n">
        <v>4404</v>
      </c>
      <c r="L23" t="n">
        <v>-0.02241953385127637</v>
      </c>
      <c r="M23" t="n">
        <v>1024836553.94</v>
      </c>
      <c r="N23" t="n">
        <v>974566525.9</v>
      </c>
      <c r="O23" t="n">
        <v>-0.04905175156637043</v>
      </c>
      <c r="P23" t="n">
        <v>1.030341585551548</v>
      </c>
      <c r="Q23" t="inlineStr">
        <is>
          <t>Görüyor</t>
        </is>
      </c>
      <c r="R23" t="n">
        <v>0.0001</v>
      </c>
      <c r="S23" t="n">
        <v>0.0049</v>
      </c>
      <c r="T23" t="n">
        <v>0</v>
      </c>
      <c r="U23" t="n">
        <v>0.9788</v>
      </c>
      <c r="V23" t="n">
        <v>0.0002</v>
      </c>
      <c r="W23" t="n">
        <v>0.0406</v>
      </c>
      <c r="X23" t="n">
        <v>0</v>
      </c>
      <c r="Y23" t="n">
        <v>0</v>
      </c>
      <c r="Z23" t="n">
        <v>0</v>
      </c>
      <c r="AA23" t="n">
        <v>1.0246</v>
      </c>
      <c r="AC23">
        <f>IF(ISNUMBER(INDEX($A$2:$AA$42,22,MATCH('Hisse'!$E$2,$A$1:$AA$1,0))),INDEX($A$2:$AA$42,22,MATCH('Hisse'!$E$2,$A$1:$AA$1,0)),-1E+9)-ROW()/1E+7</f>
        <v/>
      </c>
    </row>
    <row r="24">
      <c r="A24" t="inlineStr">
        <is>
          <t>FYD</t>
        </is>
      </c>
      <c r="B24" t="inlineStr">
        <is>
          <t>Qnb Portföy Birinci Hisse Senedi Fonu (Hisse Senedi Yoğun Fon)</t>
        </is>
      </c>
      <c r="C24" t="inlineStr">
        <is>
          <t>Qnb Portföy</t>
        </is>
      </c>
      <c r="D24" t="n">
        <v>0.0274</v>
      </c>
      <c r="E24" t="n">
        <v>1.827195462260689</v>
      </c>
      <c r="F24" t="n">
        <v>3.04610846066975</v>
      </c>
      <c r="G24" t="n">
        <v>-2.664611225128144</v>
      </c>
      <c r="H24" t="n">
        <v>11.01443160824827</v>
      </c>
      <c r="I24" t="n">
        <v>23.86966415455067</v>
      </c>
      <c r="J24" t="n">
        <v>5702</v>
      </c>
      <c r="K24" t="n">
        <v>5507</v>
      </c>
      <c r="L24" t="n">
        <v>-0.03419852683269031</v>
      </c>
      <c r="M24" t="n">
        <v>3826404367.65</v>
      </c>
      <c r="N24" t="n">
        <v>3449939986.87</v>
      </c>
      <c r="O24" t="n">
        <v>-0.09838593745156299</v>
      </c>
      <c r="P24" t="n">
        <v>1.178845205662046</v>
      </c>
      <c r="Q24" t="inlineStr">
        <is>
          <t>Görüyor</t>
        </is>
      </c>
      <c r="R24" t="n">
        <v>0</v>
      </c>
      <c r="S24" t="n">
        <v>0.0114</v>
      </c>
      <c r="T24" t="n">
        <v>0.0428</v>
      </c>
      <c r="U24" t="n">
        <v>0.9277</v>
      </c>
      <c r="V24" t="n">
        <v>0.0181</v>
      </c>
      <c r="W24" t="n">
        <v>0</v>
      </c>
      <c r="X24" t="n">
        <v>0</v>
      </c>
      <c r="Y24" t="n">
        <v>0</v>
      </c>
      <c r="Z24" t="n">
        <v>0</v>
      </c>
      <c r="AA24" t="n">
        <v>1</v>
      </c>
      <c r="AC24">
        <f>IF(ISNUMBER(INDEX($A$2:$AA$42,23,MATCH('Hisse'!$E$2,$A$1:$AA$1,0))),INDEX($A$2:$AA$42,23,MATCH('Hisse'!$E$2,$A$1:$AA$1,0)),-1E+9)-ROW()/1E+7</f>
        <v/>
      </c>
    </row>
    <row r="25">
      <c r="A25" t="inlineStr">
        <is>
          <t>ST1</t>
        </is>
      </c>
      <c r="B25" t="inlineStr">
        <is>
          <t>Strateji Portföy Birinci Hisse Senedi Fonu (Hisse Senedi Yoğun Fon)</t>
        </is>
      </c>
      <c r="C25" t="inlineStr">
        <is>
          <t>Strateji Portföy</t>
        </is>
      </c>
      <c r="D25" t="n">
        <v>0.02993</v>
      </c>
      <c r="E25" t="n">
        <v>1.758952781403589</v>
      </c>
      <c r="F25" t="n">
        <v>3.37768236479703</v>
      </c>
      <c r="G25" t="n">
        <v>-5.019596638993784</v>
      </c>
      <c r="H25" t="n">
        <v>15.96298615265126</v>
      </c>
      <c r="I25" t="n">
        <v>18.71247449440641</v>
      </c>
      <c r="J25" t="n">
        <v>2821</v>
      </c>
      <c r="K25" t="n">
        <v>2628</v>
      </c>
      <c r="L25" t="n">
        <v>-0.06841545551222972</v>
      </c>
      <c r="M25" t="n">
        <v>699506124.39</v>
      </c>
      <c r="N25" t="n">
        <v>654713796.5599999</v>
      </c>
      <c r="O25" t="n">
        <v>-0.06403421824084943</v>
      </c>
      <c r="P25" t="n">
        <v>0.9868309504963243</v>
      </c>
      <c r="Q25" t="inlineStr">
        <is>
          <t>Görüyor</t>
        </is>
      </c>
      <c r="R25" t="n">
        <v>0</v>
      </c>
      <c r="S25" t="n">
        <v>0.0541</v>
      </c>
      <c r="T25" t="n">
        <v>0.073</v>
      </c>
      <c r="U25" t="n">
        <v>0.8719</v>
      </c>
      <c r="V25" t="n">
        <v>0.001</v>
      </c>
      <c r="W25" t="n">
        <v>0</v>
      </c>
      <c r="X25" t="n">
        <v>0</v>
      </c>
      <c r="Y25" t="n">
        <v>0</v>
      </c>
      <c r="Z25" t="n">
        <v>0</v>
      </c>
      <c r="AA25" t="n">
        <v>1</v>
      </c>
      <c r="AC25">
        <f>IF(ISNUMBER(INDEX($A$2:$AA$42,24,MATCH('Hisse'!$E$2,$A$1:$AA$1,0))),INDEX($A$2:$AA$42,24,MATCH('Hisse'!$E$2,$A$1:$AA$1,0)),-1E+9)-ROW()/1E+7</f>
        <v/>
      </c>
    </row>
    <row r="26">
      <c r="A26" t="inlineStr">
        <is>
          <t>RHS</t>
        </is>
      </c>
      <c r="B26" t="inlineStr">
        <is>
          <t>Rota Portföy Hisse Senedi (TL) Fon (Hisse Senedi Yoğun Fon)</t>
        </is>
      </c>
      <c r="C26" t="inlineStr">
        <is>
          <t>Rota Portföy</t>
        </is>
      </c>
      <c r="D26" t="n">
        <v>0.025</v>
      </c>
      <c r="E26" t="n">
        <v>1.73952975951428</v>
      </c>
      <c r="F26" t="n">
        <v>3.387714712236445</v>
      </c>
      <c r="G26" t="n">
        <v>-0.1845844328146162</v>
      </c>
      <c r="H26" t="n">
        <v>27.62806115997147</v>
      </c>
      <c r="I26" t="n">
        <v>49.94306959590251</v>
      </c>
      <c r="J26" t="n">
        <v>1700</v>
      </c>
      <c r="K26" t="n">
        <v>1628</v>
      </c>
      <c r="L26" t="n">
        <v>-0.04235294117647059</v>
      </c>
      <c r="M26" t="n">
        <v>650167152.3</v>
      </c>
      <c r="N26" t="n">
        <v>851119415.24</v>
      </c>
      <c r="O26" t="n">
        <v>0.3090778459494932</v>
      </c>
      <c r="P26" t="n">
        <v>1.153078921768845</v>
      </c>
      <c r="Q26" t="inlineStr">
        <is>
          <t>Görüyor</t>
        </is>
      </c>
      <c r="R26" t="n">
        <v>0</v>
      </c>
      <c r="S26" t="n">
        <v>0.0408</v>
      </c>
      <c r="T26" t="n">
        <v>0.0645</v>
      </c>
      <c r="U26" t="n">
        <v>0.866</v>
      </c>
      <c r="V26" t="n">
        <v>0</v>
      </c>
      <c r="W26" t="n">
        <v>0.0026</v>
      </c>
      <c r="X26" t="n">
        <v>0</v>
      </c>
      <c r="Y26" t="n">
        <v>0</v>
      </c>
      <c r="Z26" t="n">
        <v>0</v>
      </c>
      <c r="AA26" t="n">
        <v>0.9739</v>
      </c>
      <c r="AC26">
        <f>IF(ISNUMBER(INDEX($A$2:$AA$42,25,MATCH('Hisse'!$E$2,$A$1:$AA$1,0))),INDEX($A$2:$AA$42,25,MATCH('Hisse'!$E$2,$A$1:$AA$1,0)),-1E+9)-ROW()/1E+7</f>
        <v/>
      </c>
    </row>
    <row r="27">
      <c r="A27" t="inlineStr">
        <is>
          <t>EC2</t>
        </is>
      </c>
      <c r="B27" t="inlineStr">
        <is>
          <t>Global MD Portföy Birinci Hisse Senedi Fonu(hisse Senedi Yoğun Fon)</t>
        </is>
      </c>
      <c r="C27" t="inlineStr">
        <is>
          <t>Global MD Portföy</t>
        </is>
      </c>
      <c r="D27" t="n">
        <v>0.0274</v>
      </c>
      <c r="E27" t="n">
        <v>1.682308730266269</v>
      </c>
      <c r="F27" t="n">
        <v>3.35186442328399</v>
      </c>
      <c r="G27" t="n">
        <v>-4.152669064525416</v>
      </c>
      <c r="H27" t="n">
        <v>5.430212996301087</v>
      </c>
      <c r="I27" t="n">
        <v>5.477364176059418</v>
      </c>
      <c r="J27" t="n">
        <v>2299</v>
      </c>
      <c r="K27" t="n">
        <v>2131</v>
      </c>
      <c r="L27" t="n">
        <v>-0.07307525010874294</v>
      </c>
      <c r="M27" t="n">
        <v>83429095.73</v>
      </c>
      <c r="N27" t="n">
        <v>71349215</v>
      </c>
      <c r="O27" t="n">
        <v>-0.1447921810047408</v>
      </c>
      <c r="P27" t="n">
        <v>1.175910177304751</v>
      </c>
      <c r="Q27" t="inlineStr">
        <is>
          <t>Görüyor</t>
        </is>
      </c>
      <c r="R27" t="n">
        <v>0</v>
      </c>
      <c r="S27" t="n">
        <v>0.0218</v>
      </c>
      <c r="T27" t="n">
        <v>0</v>
      </c>
      <c r="U27" t="n">
        <v>0.8874</v>
      </c>
      <c r="V27" t="n">
        <v>0</v>
      </c>
      <c r="W27" t="n">
        <v>0.09080000000000001</v>
      </c>
      <c r="X27" t="n">
        <v>0</v>
      </c>
      <c r="Y27" t="n">
        <v>0</v>
      </c>
      <c r="Z27" t="n">
        <v>0</v>
      </c>
      <c r="AA27" t="n">
        <v>1</v>
      </c>
      <c r="AC27">
        <f>IF(ISNUMBER(INDEX($A$2:$AA$42,26,MATCH('Hisse'!$E$2,$A$1:$AA$1,0))),INDEX($A$2:$AA$42,26,MATCH('Hisse'!$E$2,$A$1:$AA$1,0)),-1E+9)-ROW()/1E+7</f>
        <v/>
      </c>
    </row>
    <row r="28">
      <c r="A28" t="inlineStr">
        <is>
          <t>TI2</t>
        </is>
      </c>
      <c r="B28" t="inlineStr">
        <is>
          <t>İŞ Portföy Hisse Senedi (TL) Fonu (Hisse Senedi Yoğun Fon)</t>
        </is>
      </c>
      <c r="C28" t="inlineStr">
        <is>
          <t>İŞ Portföy</t>
        </is>
      </c>
      <c r="D28" t="n">
        <v>0.032</v>
      </c>
      <c r="E28" t="n">
        <v>1.676961702466828</v>
      </c>
      <c r="F28" t="n">
        <v>2.033160837259151</v>
      </c>
      <c r="G28" t="n">
        <v>-4.10580992400269</v>
      </c>
      <c r="H28" t="n">
        <v>16.28366984184859</v>
      </c>
      <c r="I28" t="n">
        <v>23.85099318459836</v>
      </c>
      <c r="J28" t="n">
        <v>21916</v>
      </c>
      <c r="K28" t="n">
        <v>21078</v>
      </c>
      <c r="L28" t="n">
        <v>-0.03823690454462492</v>
      </c>
      <c r="M28" t="n">
        <v>3944368328.55</v>
      </c>
      <c r="N28" t="n">
        <v>3577139190.52</v>
      </c>
      <c r="O28" t="n">
        <v>-0.09310214144351936</v>
      </c>
      <c r="P28" t="n">
        <v>1.037445783970162</v>
      </c>
      <c r="Q28" t="inlineStr">
        <is>
          <t>Görüyor</t>
        </is>
      </c>
      <c r="R28" t="n">
        <v>0</v>
      </c>
      <c r="S28" t="n">
        <v>0.0202</v>
      </c>
      <c r="T28" t="n">
        <v>0.0199</v>
      </c>
      <c r="U28" t="n">
        <v>0.9434999999999999</v>
      </c>
      <c r="V28" t="n">
        <v>0</v>
      </c>
      <c r="W28" t="n">
        <v>0.0164</v>
      </c>
      <c r="X28" t="n">
        <v>0</v>
      </c>
      <c r="Y28" t="n">
        <v>0</v>
      </c>
      <c r="Z28" t="n">
        <v>0</v>
      </c>
      <c r="AA28" t="n">
        <v>0.9999999999999999</v>
      </c>
      <c r="AC28">
        <f>IF(ISNUMBER(INDEX($A$2:$AA$42,27,MATCH('Hisse'!$E$2,$A$1:$AA$1,0))),INDEX($A$2:$AA$42,27,MATCH('Hisse'!$E$2,$A$1:$AA$1,0)),-1E+9)-ROW()/1E+7</f>
        <v/>
      </c>
    </row>
    <row r="29">
      <c r="A29" t="inlineStr">
        <is>
          <t>THF</t>
        </is>
      </c>
      <c r="B29" t="inlineStr">
        <is>
          <t>Tera Portföy Hisse Senedi (TL) Fonu (Hisse Senedi Yoğun Fon)</t>
        </is>
      </c>
      <c r="C29" t="inlineStr">
        <is>
          <t>Tera Portföy</t>
        </is>
      </c>
      <c r="D29" t="n">
        <v>0</v>
      </c>
      <c r="E29" t="n">
        <v>1.655964405281685</v>
      </c>
      <c r="F29" t="n">
        <v>2.606357703814965</v>
      </c>
      <c r="G29" t="n">
        <v>-4.449179206596754</v>
      </c>
      <c r="H29" t="n">
        <v>30.3890725663545</v>
      </c>
      <c r="I29" t="n">
        <v>81.65287160019955</v>
      </c>
      <c r="J29" t="n">
        <v>7975</v>
      </c>
      <c r="K29" t="n">
        <v>6731</v>
      </c>
      <c r="L29" t="n">
        <v>-0.155987460815047</v>
      </c>
      <c r="M29" t="n">
        <v>1049312964.06</v>
      </c>
      <c r="N29" t="n">
        <v>944597528.71</v>
      </c>
      <c r="O29" t="n">
        <v>-0.09979428343745522</v>
      </c>
      <c r="P29" t="n">
        <v>1.184606156491856</v>
      </c>
      <c r="Q29" t="inlineStr">
        <is>
          <t>Görüyor</t>
        </is>
      </c>
      <c r="R29" t="n">
        <v>0</v>
      </c>
      <c r="S29" t="n">
        <v>0.0433</v>
      </c>
      <c r="T29" t="n">
        <v>0</v>
      </c>
      <c r="U29" t="n">
        <v>0.9567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1</v>
      </c>
      <c r="AC29">
        <f>IF(ISNUMBER(INDEX($A$2:$AA$42,28,MATCH('Hisse'!$E$2,$A$1:$AA$1,0))),INDEX($A$2:$AA$42,28,MATCH('Hisse'!$E$2,$A$1:$AA$1,0)),-1E+9)-ROW()/1E+7</f>
        <v/>
      </c>
    </row>
    <row r="30">
      <c r="A30" t="inlineStr">
        <is>
          <t>BV1</t>
        </is>
      </c>
      <c r="B30" t="inlineStr">
        <is>
          <t>BV Portföy Birinci Hisse Senedi (TL) Fon (Hisse Senedi Yoğun Fon)</t>
        </is>
      </c>
      <c r="C30" t="inlineStr">
        <is>
          <t>BV Portföy</t>
        </is>
      </c>
      <c r="D30" t="n">
        <v>0.02</v>
      </c>
      <c r="E30" t="n">
        <v>1.561003348707901</v>
      </c>
      <c r="F30" t="n">
        <v>4.400062351428224</v>
      </c>
      <c r="G30" t="n">
        <v>-0.06714388561667173</v>
      </c>
      <c r="H30" t="n">
        <v>23.00726148779</v>
      </c>
      <c r="I30" t="n">
        <v>53.93527540942473</v>
      </c>
      <c r="J30" t="n">
        <v>614</v>
      </c>
      <c r="K30" t="n">
        <v>525</v>
      </c>
      <c r="L30" t="n">
        <v>-0.1449511400651465</v>
      </c>
      <c r="M30" t="n">
        <v>94812647.76000001</v>
      </c>
      <c r="N30" t="n">
        <v>79695282.93000001</v>
      </c>
      <c r="O30" t="n">
        <v>-0.1594446014024068</v>
      </c>
      <c r="P30" t="n">
        <v>1.267462733890254</v>
      </c>
      <c r="Q30" t="inlineStr">
        <is>
          <t>Görüyor</t>
        </is>
      </c>
      <c r="R30" t="n">
        <v>0</v>
      </c>
      <c r="S30" t="n">
        <v>0.0313</v>
      </c>
      <c r="T30" t="n">
        <v>0</v>
      </c>
      <c r="U30" t="n">
        <v>0.9506</v>
      </c>
      <c r="V30" t="n">
        <v>0</v>
      </c>
      <c r="W30" t="n">
        <v>0.0181</v>
      </c>
      <c r="X30" t="n">
        <v>0</v>
      </c>
      <c r="Y30" t="n">
        <v>0</v>
      </c>
      <c r="Z30" t="n">
        <v>0</v>
      </c>
      <c r="AA30" t="n">
        <v>1</v>
      </c>
      <c r="AC30">
        <f>IF(ISNUMBER(INDEX($A$2:$AA$42,29,MATCH('Hisse'!$E$2,$A$1:$AA$1,0))),INDEX($A$2:$AA$42,29,MATCH('Hisse'!$E$2,$A$1:$AA$1,0)),-1E+9)-ROW()/1E+7</f>
        <v/>
      </c>
    </row>
    <row r="31">
      <c r="A31" t="inlineStr">
        <is>
          <t>HVS</t>
        </is>
      </c>
      <c r="B31" t="inlineStr">
        <is>
          <t>Hsbc Portföy Hisse Senedi (TL) Fonu (Hisse Senedi Yoğun Fon)</t>
        </is>
      </c>
      <c r="C31" t="inlineStr">
        <is>
          <t>Hsbc Portföy</t>
        </is>
      </c>
      <c r="D31" t="n">
        <v>0.025</v>
      </c>
      <c r="E31" t="n">
        <v>1.556916355391658</v>
      </c>
      <c r="F31" t="n">
        <v>3.108380120902998</v>
      </c>
      <c r="G31" t="n">
        <v>-1.262973700277026</v>
      </c>
      <c r="H31" t="n">
        <v>29.48423957086548</v>
      </c>
      <c r="I31" t="n">
        <v>35.99370605216811</v>
      </c>
      <c r="J31" t="n">
        <v>10543</v>
      </c>
      <c r="K31" t="n">
        <v>10149</v>
      </c>
      <c r="L31" t="n">
        <v>-0.03737076733377598</v>
      </c>
      <c r="M31" t="n">
        <v>3080857245.55</v>
      </c>
      <c r="N31" t="n">
        <v>2875909806.91</v>
      </c>
      <c r="O31" t="n">
        <v>-0.06652286110822792</v>
      </c>
      <c r="P31" t="n">
        <v>1.081445634486475</v>
      </c>
      <c r="Q31" t="inlineStr">
        <is>
          <t>Görüyor</t>
        </is>
      </c>
      <c r="R31" t="n">
        <v>0</v>
      </c>
      <c r="S31" t="n">
        <v>0.0323</v>
      </c>
      <c r="T31" t="n">
        <v>0</v>
      </c>
      <c r="U31" t="n">
        <v>0.8831</v>
      </c>
      <c r="V31" t="n">
        <v>0.08460000000000001</v>
      </c>
      <c r="W31" t="n">
        <v>0</v>
      </c>
      <c r="X31" t="n">
        <v>0</v>
      </c>
      <c r="Y31" t="n">
        <v>0</v>
      </c>
      <c r="Z31" t="n">
        <v>0</v>
      </c>
      <c r="AA31" t="n">
        <v>1</v>
      </c>
      <c r="AC31">
        <f>IF(ISNUMBER(INDEX($A$2:$AA$42,30,MATCH('Hisse'!$E$2,$A$1:$AA$1,0))),INDEX($A$2:$AA$42,30,MATCH('Hisse'!$E$2,$A$1:$AA$1,0)),-1E+9)-ROW()/1E+7</f>
        <v/>
      </c>
    </row>
    <row r="32">
      <c r="A32" t="inlineStr">
        <is>
          <t>NNF</t>
        </is>
      </c>
      <c r="B32" t="inlineStr">
        <is>
          <t>Hedef Portföy Birinci Hisse Senedi (TL) Fonu (Hisse Senedi Yoğun Fon)</t>
        </is>
      </c>
      <c r="C32" t="inlineStr">
        <is>
          <t>Hedef Portföy</t>
        </is>
      </c>
      <c r="D32" t="n">
        <v>0.027</v>
      </c>
      <c r="E32" t="n">
        <v>1.540177431054435</v>
      </c>
      <c r="F32" t="n">
        <v>1.638078068379345</v>
      </c>
      <c r="G32" t="n">
        <v>3.703521707200008</v>
      </c>
      <c r="H32" t="n">
        <v>16.34243951441605</v>
      </c>
      <c r="I32" t="n">
        <v>19.02588880528364</v>
      </c>
      <c r="J32" t="n">
        <v>20829</v>
      </c>
      <c r="K32" t="n">
        <v>19975</v>
      </c>
      <c r="L32" t="n">
        <v>-0.04100052810984689</v>
      </c>
      <c r="M32" t="n">
        <v>2823231426.52</v>
      </c>
      <c r="N32" t="n">
        <v>2716977742.89</v>
      </c>
      <c r="O32" t="n">
        <v>-0.03763548486741364</v>
      </c>
      <c r="P32" t="n">
        <v>1.00137366741234</v>
      </c>
      <c r="Q32" t="inlineStr">
        <is>
          <t>Görüyor</t>
        </is>
      </c>
      <c r="R32" t="n">
        <v>0</v>
      </c>
      <c r="S32" t="n">
        <v>0</v>
      </c>
      <c r="T32" t="n">
        <v>0</v>
      </c>
      <c r="U32" t="n">
        <v>0.9804</v>
      </c>
      <c r="V32" t="n">
        <v>0</v>
      </c>
      <c r="W32" t="n">
        <v>0.0196</v>
      </c>
      <c r="X32" t="n">
        <v>0</v>
      </c>
      <c r="Y32" t="n">
        <v>0</v>
      </c>
      <c r="Z32" t="n">
        <v>0</v>
      </c>
      <c r="AA32" t="n">
        <v>1</v>
      </c>
      <c r="AC32">
        <f>IF(ISNUMBER(INDEX($A$2:$AA$42,31,MATCH('Hisse'!$E$2,$A$1:$AA$1,0))),INDEX($A$2:$AA$42,31,MATCH('Hisse'!$E$2,$A$1:$AA$1,0)),-1E+9)-ROW()/1E+7</f>
        <v/>
      </c>
    </row>
    <row r="33">
      <c r="A33" t="inlineStr">
        <is>
          <t>GL1</t>
        </is>
      </c>
      <c r="B33" t="inlineStr">
        <is>
          <t>Azimut Pyş Birinci Hisse Senedi Fonu (Hisse Senedi Yoğun Fon)</t>
        </is>
      </c>
      <c r="C33" t="inlineStr">
        <is>
          <t>Azimut Portföy</t>
        </is>
      </c>
      <c r="D33" t="n">
        <v>0.032025</v>
      </c>
      <c r="E33" t="n">
        <v>1.455462522582462</v>
      </c>
      <c r="F33" t="n">
        <v>2.20530960603873</v>
      </c>
      <c r="G33" t="n">
        <v>-0.02468282345481354</v>
      </c>
      <c r="H33" t="n">
        <v>24.18815763207598</v>
      </c>
      <c r="I33" t="n">
        <v>45.58423509945644</v>
      </c>
      <c r="J33" t="n">
        <v>937</v>
      </c>
      <c r="K33" t="n">
        <v>923</v>
      </c>
      <c r="L33" t="n">
        <v>-0.01494130202774813</v>
      </c>
      <c r="M33" t="n">
        <v>1278522075.13</v>
      </c>
      <c r="N33" t="n">
        <v>1289892084.11</v>
      </c>
      <c r="O33" t="n">
        <v>0.008893087730881488</v>
      </c>
      <c r="P33" t="n">
        <v>1.193213843656586</v>
      </c>
      <c r="Q33" t="inlineStr">
        <is>
          <t>Görüyor</t>
        </is>
      </c>
      <c r="R33" t="n">
        <v>0</v>
      </c>
      <c r="S33" t="n">
        <v>0.0229</v>
      </c>
      <c r="T33" t="n">
        <v>0</v>
      </c>
      <c r="U33" t="n">
        <v>0.8395999999999999</v>
      </c>
      <c r="V33" t="n">
        <v>0</v>
      </c>
      <c r="W33" t="n">
        <v>0.06619999999999999</v>
      </c>
      <c r="X33" t="n">
        <v>0</v>
      </c>
      <c r="Y33" t="n">
        <v>0</v>
      </c>
      <c r="Z33" t="n">
        <v>0</v>
      </c>
      <c r="AA33" t="n">
        <v>0.9286999999999999</v>
      </c>
      <c r="AC33">
        <f>IF(ISNUMBER(INDEX($A$2:$AA$42,32,MATCH('Hisse'!$E$2,$A$1:$AA$1,0))),INDEX($A$2:$AA$42,32,MATCH('Hisse'!$E$2,$A$1:$AA$1,0)),-1E+9)-ROW()/1E+7</f>
        <v/>
      </c>
    </row>
    <row r="34">
      <c r="A34" t="inlineStr">
        <is>
          <t>EID</t>
        </is>
      </c>
      <c r="B34" t="inlineStr">
        <is>
          <t>Astra Portföy Hisse Senedi Fonu (Hisse Yoğun Fon)</t>
        </is>
      </c>
      <c r="C34" t="inlineStr">
        <is>
          <t>Astra Portföy</t>
        </is>
      </c>
      <c r="D34" t="n">
        <v>0.03</v>
      </c>
      <c r="E34" t="n">
        <v>1.334668001334682</v>
      </c>
      <c r="F34" t="n">
        <v>2.568170992619345</v>
      </c>
      <c r="G34" t="n">
        <v>-2.970124938650898</v>
      </c>
      <c r="H34" t="n">
        <v>22.10527114317467</v>
      </c>
      <c r="I34" t="n">
        <v>35.47860364309712</v>
      </c>
      <c r="J34" t="n">
        <v>2060</v>
      </c>
      <c r="K34" t="n">
        <v>1973</v>
      </c>
      <c r="L34" t="n">
        <v>-0.04223300970873789</v>
      </c>
      <c r="M34" t="n">
        <v>102180976.77</v>
      </c>
      <c r="N34" t="n">
        <v>95275933.84</v>
      </c>
      <c r="O34" t="n">
        <v>-0.06757659936587423</v>
      </c>
      <c r="P34" t="n">
        <v>1.085720478599856</v>
      </c>
      <c r="Q34" t="inlineStr">
        <is>
          <t>Görüyor</t>
        </is>
      </c>
      <c r="R34" t="n">
        <v>0</v>
      </c>
      <c r="S34" t="n">
        <v>0</v>
      </c>
      <c r="T34" t="n">
        <v>0</v>
      </c>
      <c r="U34" t="n">
        <v>0.8499</v>
      </c>
      <c r="V34" t="n">
        <v>0.1147</v>
      </c>
      <c r="W34" t="n">
        <v>0.0131</v>
      </c>
      <c r="X34" t="n">
        <v>0</v>
      </c>
      <c r="Y34" t="n">
        <v>0</v>
      </c>
      <c r="Z34" t="n">
        <v>0.0223</v>
      </c>
      <c r="AA34" t="n">
        <v>1</v>
      </c>
      <c r="AC34">
        <f>IF(ISNUMBER(INDEX($A$2:$AA$42,33,MATCH('Hisse'!$E$2,$A$1:$AA$1,0))),INDEX($A$2:$AA$42,33,MATCH('Hisse'!$E$2,$A$1:$AA$1,0)),-1E+9)-ROW()/1E+7</f>
        <v/>
      </c>
    </row>
    <row r="35">
      <c r="A35" t="inlineStr">
        <is>
          <t>RHI</t>
        </is>
      </c>
      <c r="B35" t="inlineStr">
        <is>
          <t>Re-pıe Portföy Birinci Hisse Senedi (TL) Fonu (Hisse Senedi Yoğun Fon)</t>
        </is>
      </c>
      <c r="C35" t="inlineStr">
        <is>
          <t>Re-pıe Portföy</t>
        </is>
      </c>
      <c r="D35" t="n">
        <v>0.02</v>
      </c>
      <c r="E35" t="n">
        <v>1.234751062139527</v>
      </c>
      <c r="F35" t="n">
        <v>2.272558408850411</v>
      </c>
      <c r="G35" t="n">
        <v>-2.843120014652178</v>
      </c>
      <c r="H35" t="n">
        <v>37.57072539462767</v>
      </c>
      <c r="I35" t="n">
        <v>45.66370421998129</v>
      </c>
      <c r="J35" t="n">
        <v>492</v>
      </c>
      <c r="K35" t="n">
        <v>452</v>
      </c>
      <c r="L35" t="n">
        <v>-0.08130081300813008</v>
      </c>
      <c r="M35" t="n">
        <v>65585508.73</v>
      </c>
      <c r="N35" t="n">
        <v>42528271.68</v>
      </c>
      <c r="O35" t="n">
        <v>-0.3515599329254452</v>
      </c>
      <c r="P35" t="n">
        <v>1.0375128239878</v>
      </c>
      <c r="Q35" t="inlineStr">
        <is>
          <t>Görüyor</t>
        </is>
      </c>
      <c r="R35" t="n">
        <v>0</v>
      </c>
      <c r="S35" t="n">
        <v>0</v>
      </c>
      <c r="T35" t="n">
        <v>0</v>
      </c>
      <c r="U35" t="n">
        <v>0.9490000000000001</v>
      </c>
      <c r="V35" t="n">
        <v>0.04940000000000001</v>
      </c>
      <c r="W35" t="n">
        <v>0.0016</v>
      </c>
      <c r="X35" t="n">
        <v>0</v>
      </c>
      <c r="Y35" t="n">
        <v>0</v>
      </c>
      <c r="Z35" t="n">
        <v>0</v>
      </c>
      <c r="AA35" t="n">
        <v>1</v>
      </c>
      <c r="AC35">
        <f>IF(ISNUMBER(INDEX($A$2:$AA$42,34,MATCH('Hisse'!$E$2,$A$1:$AA$1,0))),INDEX($A$2:$AA$42,34,MATCH('Hisse'!$E$2,$A$1:$AA$1,0)),-1E+9)-ROW()/1E+7</f>
        <v/>
      </c>
    </row>
    <row r="36">
      <c r="A36" t="inlineStr">
        <is>
          <t>NPH</t>
        </is>
      </c>
      <c r="B36" t="inlineStr">
        <is>
          <t>Nurol Portföy Birinci Hisse Senedi Fonu (Hisse Senedi Yoğun Fon)</t>
        </is>
      </c>
      <c r="C36" t="inlineStr">
        <is>
          <t>Nurol Portföy</t>
        </is>
      </c>
      <c r="D36" t="n">
        <v>0.0275</v>
      </c>
      <c r="E36" t="n">
        <v>1.154237914821454</v>
      </c>
      <c r="F36" t="n">
        <v>2.473721221917247</v>
      </c>
      <c r="G36" t="n">
        <v>-8.102304775328829</v>
      </c>
      <c r="H36" t="n">
        <v>3.118301928516476</v>
      </c>
      <c r="I36" t="n">
        <v>18.60783655693219</v>
      </c>
      <c r="J36" t="n">
        <v>951</v>
      </c>
      <c r="K36" t="n">
        <v>830</v>
      </c>
      <c r="L36" t="n">
        <v>-0.1272344900105152</v>
      </c>
      <c r="M36" t="n">
        <v>295583605.86</v>
      </c>
      <c r="N36" t="n">
        <v>264694674.73</v>
      </c>
      <c r="O36" t="n">
        <v>-0.104501503187664</v>
      </c>
      <c r="P36" t="n">
        <v>1.303873420697133</v>
      </c>
      <c r="Q36" t="inlineStr">
        <is>
          <t>Görüyor</t>
        </is>
      </c>
      <c r="R36" t="n">
        <v>0</v>
      </c>
      <c r="S36" t="n">
        <v>0.05889999999999999</v>
      </c>
      <c r="T36" t="n">
        <v>0</v>
      </c>
      <c r="U36" t="n">
        <v>0.9581000000000001</v>
      </c>
      <c r="V36" t="n">
        <v>0</v>
      </c>
      <c r="W36" t="n">
        <v>0.0016</v>
      </c>
      <c r="X36" t="n">
        <v>0</v>
      </c>
      <c r="Y36" t="n">
        <v>0</v>
      </c>
      <c r="Z36" t="n">
        <v>0</v>
      </c>
      <c r="AA36" t="n">
        <v>1.0186</v>
      </c>
      <c r="AC36">
        <f>IF(ISNUMBER(INDEX($A$2:$AA$42,35,MATCH('Hisse'!$E$2,$A$1:$AA$1,0))),INDEX($A$2:$AA$42,35,MATCH('Hisse'!$E$2,$A$1:$AA$1,0)),-1E+9)-ROW()/1E+7</f>
        <v/>
      </c>
    </row>
    <row r="37">
      <c r="A37" t="inlineStr">
        <is>
          <t>GO9</t>
        </is>
      </c>
      <c r="B37" t="inlineStr">
        <is>
          <t>One Portföy Birinci Hisse Senedi Fonu (Hisse Senedi Yoğun Fon)</t>
        </is>
      </c>
      <c r="C37" t="inlineStr">
        <is>
          <t>One Portföy</t>
        </is>
      </c>
      <c r="D37" t="n">
        <v>0.03</v>
      </c>
      <c r="E37" t="n">
        <v>1.146738974647588</v>
      </c>
      <c r="F37" t="n">
        <v>4.752504863548213</v>
      </c>
      <c r="G37" t="n">
        <v>6.138786444844335</v>
      </c>
      <c r="H37" t="n">
        <v>48.58469471461233</v>
      </c>
      <c r="I37" t="n">
        <v>79.0582396801661</v>
      </c>
      <c r="J37" t="n">
        <v>1828</v>
      </c>
      <c r="K37" t="n">
        <v>1752</v>
      </c>
      <c r="L37" t="n">
        <v>-0.04157549234135671</v>
      </c>
      <c r="M37" t="n">
        <v>440755064.92</v>
      </c>
      <c r="N37" t="n">
        <v>463749807.73</v>
      </c>
      <c r="O37" t="n">
        <v>0.05217125029334313</v>
      </c>
      <c r="P37" t="n">
        <v>1.146769954719119</v>
      </c>
      <c r="Q37" t="inlineStr">
        <is>
          <t>Görüyor</t>
        </is>
      </c>
      <c r="R37" t="n">
        <v>0</v>
      </c>
      <c r="S37" t="n">
        <v>0</v>
      </c>
      <c r="T37" t="n">
        <v>0</v>
      </c>
      <c r="U37" t="n">
        <v>0.9741</v>
      </c>
      <c r="V37" t="n">
        <v>0.0259</v>
      </c>
      <c r="W37" t="n">
        <v>0</v>
      </c>
      <c r="X37" t="n">
        <v>0</v>
      </c>
      <c r="Y37" t="n">
        <v>0</v>
      </c>
      <c r="Z37" t="n">
        <v>0</v>
      </c>
      <c r="AA37" t="n">
        <v>1</v>
      </c>
      <c r="AC37">
        <f>IF(ISNUMBER(INDEX($A$2:$AA$42,36,MATCH('Hisse'!$E$2,$A$1:$AA$1,0))),INDEX($A$2:$AA$42,36,MATCH('Hisse'!$E$2,$A$1:$AA$1,0)),-1E+9)-ROW()/1E+7</f>
        <v/>
      </c>
    </row>
    <row r="38">
      <c r="A38" t="inlineStr">
        <is>
          <t>GAF</t>
        </is>
      </c>
      <c r="B38" t="inlineStr">
        <is>
          <t>Inveo Portföy Birinci Hisse Senedi Fonu (Hisse Senedi Yoğun Fon)</t>
        </is>
      </c>
      <c r="C38" t="inlineStr">
        <is>
          <t>Inveo Portföy</t>
        </is>
      </c>
      <c r="D38" t="n">
        <v>0.025</v>
      </c>
      <c r="E38" t="n">
        <v>1.101058916871045</v>
      </c>
      <c r="F38" t="n">
        <v>1.273299896428126</v>
      </c>
      <c r="G38" t="n">
        <v>-5.786556370566132</v>
      </c>
      <c r="H38" t="n">
        <v>19.47762794438994</v>
      </c>
      <c r="I38" t="n">
        <v>39.31038435945213</v>
      </c>
      <c r="J38" t="n">
        <v>1719</v>
      </c>
      <c r="K38" t="n">
        <v>1663</v>
      </c>
      <c r="L38" t="n">
        <v>-0.03257707969749857</v>
      </c>
      <c r="M38" t="n">
        <v>216915197.2</v>
      </c>
      <c r="N38" t="n">
        <v>196943956.69</v>
      </c>
      <c r="O38" t="n">
        <v>-0.09206934676682021</v>
      </c>
      <c r="P38" t="n">
        <v>1.248796323210299</v>
      </c>
      <c r="Q38" t="inlineStr">
        <is>
          <t>Görüyor</t>
        </is>
      </c>
      <c r="R38" t="n">
        <v>0</v>
      </c>
      <c r="S38" t="n">
        <v>0</v>
      </c>
      <c r="T38" t="n">
        <v>0</v>
      </c>
      <c r="U38" t="n">
        <v>0.9669</v>
      </c>
      <c r="V38" t="n">
        <v>0</v>
      </c>
      <c r="W38" t="n">
        <v>0.0134</v>
      </c>
      <c r="X38" t="n">
        <v>0</v>
      </c>
      <c r="Y38" t="n">
        <v>0</v>
      </c>
      <c r="Z38" t="n">
        <v>0</v>
      </c>
      <c r="AA38" t="n">
        <v>0.9802999999999999</v>
      </c>
      <c r="AC38">
        <f>IF(ISNUMBER(INDEX($A$2:$AA$42,37,MATCH('Hisse'!$E$2,$A$1:$AA$1,0))),INDEX($A$2:$AA$42,37,MATCH('Hisse'!$E$2,$A$1:$AA$1,0)),-1E+9)-ROW()/1E+7</f>
        <v/>
      </c>
    </row>
    <row r="39">
      <c r="A39" t="inlineStr">
        <is>
          <t>TLH</t>
        </is>
      </c>
      <c r="B39" t="inlineStr">
        <is>
          <t>Aura Portföy Hisse Senedi Fonu (Hisse Senedi Yoğun Fon)</t>
        </is>
      </c>
      <c r="C39" t="inlineStr">
        <is>
          <t>Aura Portföy</t>
        </is>
      </c>
      <c r="D39" t="n">
        <v>0.0275</v>
      </c>
      <c r="E39" t="n">
        <v>0.7336456833111571</v>
      </c>
      <c r="F39" t="n">
        <v>2.303234370835305</v>
      </c>
      <c r="G39" t="n">
        <v>-4.900313517442124</v>
      </c>
      <c r="H39" t="n">
        <v>19.36262656956338</v>
      </c>
      <c r="I39" t="n">
        <v>43.20363844307289</v>
      </c>
      <c r="J39" t="n">
        <v>403</v>
      </c>
      <c r="K39" t="n">
        <v>371</v>
      </c>
      <c r="L39" t="n">
        <v>-0.07940446650124067</v>
      </c>
      <c r="M39" t="n">
        <v>139518975.07</v>
      </c>
      <c r="N39" t="n">
        <v>141226795.48</v>
      </c>
      <c r="O39" t="n">
        <v>0.0122407752002418</v>
      </c>
      <c r="P39" t="n">
        <v>0.9849193540701111</v>
      </c>
      <c r="Q39" t="inlineStr">
        <is>
          <t>Görüyor</t>
        </is>
      </c>
      <c r="R39" t="n">
        <v>0</v>
      </c>
      <c r="S39" t="n">
        <v>0.0193</v>
      </c>
      <c r="T39" t="n">
        <v>0</v>
      </c>
      <c r="U39" t="n">
        <v>0.8591</v>
      </c>
      <c r="V39" t="n">
        <v>0</v>
      </c>
      <c r="W39" t="n">
        <v>0.0989</v>
      </c>
      <c r="X39" t="n">
        <v>0</v>
      </c>
      <c r="Y39" t="n">
        <v>0</v>
      </c>
      <c r="Z39" t="n">
        <v>0</v>
      </c>
      <c r="AA39" t="n">
        <v>0.9772999999999999</v>
      </c>
      <c r="AC39">
        <f>IF(ISNUMBER(INDEX($A$2:$AA$42,38,MATCH('Hisse'!$E$2,$A$1:$AA$1,0))),INDEX($A$2:$AA$42,38,MATCH('Hisse'!$E$2,$A$1:$AA$1,0)),-1E+9)-ROW()/1E+7</f>
        <v/>
      </c>
    </row>
    <row r="40">
      <c r="A40" t="inlineStr">
        <is>
          <t>PHE</t>
        </is>
      </c>
      <c r="B40" t="inlineStr">
        <is>
          <t>Pusula Portföy Hisse Senedi Fonu (Hisse Senedi Yoğun Fon)</t>
        </is>
      </c>
      <c r="C40" t="inlineStr">
        <is>
          <t>Pusula Portföy</t>
        </is>
      </c>
      <c r="D40" t="n">
        <v>0.025</v>
      </c>
      <c r="E40" t="n">
        <v>0.4687259913469966</v>
      </c>
      <c r="F40" t="n">
        <v>2.320328235811009</v>
      </c>
      <c r="G40" t="n">
        <v>10.86132934882151</v>
      </c>
      <c r="H40" t="n">
        <v>171.2219132396304</v>
      </c>
      <c r="I40" t="n">
        <v>232.3330650350049</v>
      </c>
      <c r="J40" t="n">
        <v>103118</v>
      </c>
      <c r="K40" t="n">
        <v>153264</v>
      </c>
      <c r="L40" t="n">
        <v>0.4862972516922361</v>
      </c>
      <c r="M40" t="n">
        <v>51635935933.55</v>
      </c>
      <c r="N40" t="n">
        <v>75227440542.42</v>
      </c>
      <c r="O40" t="n">
        <v>0.4568815144404426</v>
      </c>
      <c r="P40" t="n">
        <v>0.5599964985373352</v>
      </c>
      <c r="Q40" t="inlineStr">
        <is>
          <t>Görüyor</t>
        </is>
      </c>
      <c r="R40" t="n">
        <v>0</v>
      </c>
      <c r="S40" t="n">
        <v>0.0095</v>
      </c>
      <c r="T40" t="n">
        <v>0</v>
      </c>
      <c r="U40" t="n">
        <v>0.7974</v>
      </c>
      <c r="V40" t="n">
        <v>0.015</v>
      </c>
      <c r="W40" t="n">
        <v>0.1781</v>
      </c>
      <c r="X40" t="n">
        <v>0</v>
      </c>
      <c r="Y40" t="n">
        <v>0</v>
      </c>
      <c r="Z40" t="n">
        <v>0</v>
      </c>
      <c r="AA40" t="n">
        <v>1</v>
      </c>
      <c r="AC40">
        <f>IF(ISNUMBER(INDEX($A$2:$AA$42,39,MATCH('Hisse'!$E$2,$A$1:$AA$1,0))),INDEX($A$2:$AA$42,39,MATCH('Hisse'!$E$2,$A$1:$AA$1,0)),-1E+9)-ROW()/1E+7</f>
        <v/>
      </c>
    </row>
    <row r="41">
      <c r="A41" t="inlineStr">
        <is>
          <t>BIH</t>
        </is>
      </c>
      <c r="B41" t="inlineStr">
        <is>
          <t>Pardus Portföy Birinci Hisse Senedi (TL) Fonu (Hisse Senedi Yoğun Fon)</t>
        </is>
      </c>
      <c r="C41" t="inlineStr">
        <is>
          <t>Pardus Portföy</t>
        </is>
      </c>
      <c r="D41" t="n">
        <v>0.02</v>
      </c>
      <c r="E41" t="n">
        <v>0.4481168640438238</v>
      </c>
      <c r="F41" t="n">
        <v>1.188400113166721</v>
      </c>
      <c r="G41" t="n">
        <v>5.549845476543935</v>
      </c>
      <c r="H41" t="n">
        <v>28.06427147397623</v>
      </c>
      <c r="I41" t="n">
        <v>91.45909505994013</v>
      </c>
      <c r="J41" t="n">
        <v>540</v>
      </c>
      <c r="K41" t="n">
        <v>552</v>
      </c>
      <c r="L41" t="n">
        <v>0.02222222222222214</v>
      </c>
      <c r="M41" t="n">
        <v>766544480.01</v>
      </c>
      <c r="N41" t="n">
        <v>809128055.1799999</v>
      </c>
      <c r="O41" t="n">
        <v>0.05555264734206222</v>
      </c>
      <c r="P41" t="n">
        <v>0.3886012852562629</v>
      </c>
      <c r="Q41" t="inlineStr">
        <is>
          <t>Görüyor</t>
        </is>
      </c>
      <c r="R41" t="n">
        <v>0.0005</v>
      </c>
      <c r="S41" t="n">
        <v>0.058</v>
      </c>
      <c r="T41" t="n">
        <v>0</v>
      </c>
      <c r="U41" t="n">
        <v>0.8837999999999999</v>
      </c>
      <c r="V41" t="n">
        <v>-0.0459</v>
      </c>
      <c r="W41" t="n">
        <v>0.1036</v>
      </c>
      <c r="X41" t="n">
        <v>0</v>
      </c>
      <c r="Y41" t="n">
        <v>0</v>
      </c>
      <c r="Z41" t="n">
        <v>0</v>
      </c>
      <c r="AA41" t="n">
        <v>0.9999999999999999</v>
      </c>
      <c r="AC41">
        <f>IF(ISNUMBER(INDEX($A$2:$AA$42,40,MATCH('Hisse'!$E$2,$A$1:$AA$1,0))),INDEX($A$2:$AA$42,40,MATCH('Hisse'!$E$2,$A$1:$AA$1,0)),-1E+9)-ROW()/1E+7</f>
        <v/>
      </c>
    </row>
    <row r="42">
      <c r="A42" t="inlineStr">
        <is>
          <t>MTH</t>
        </is>
      </c>
      <c r="B42" t="inlineStr">
        <is>
          <t>MT Portföy Birinci Hisse Senedi Fonu (Hisse Senedi Yoğun Fon)</t>
        </is>
      </c>
      <c r="C42" t="inlineStr">
        <is>
          <t>MT Portföy</t>
        </is>
      </c>
      <c r="D42" t="n">
        <v>0.0273</v>
      </c>
      <c r="E42" t="n">
        <v>0.2903278390577579</v>
      </c>
      <c r="F42" t="n">
        <v>1.757130873480039</v>
      </c>
      <c r="G42" t="n">
        <v>1.968720129504886</v>
      </c>
      <c r="H42" t="n">
        <v>33.86231543355609</v>
      </c>
      <c r="I42" t="n">
        <v>82.5332857041769</v>
      </c>
      <c r="J42" t="n">
        <v>3750</v>
      </c>
      <c r="K42" t="n">
        <v>3483</v>
      </c>
      <c r="L42" t="n">
        <v>-0.07120000000000004</v>
      </c>
      <c r="M42" t="n">
        <v>445189537.49</v>
      </c>
      <c r="N42" t="n">
        <v>360067113.57</v>
      </c>
      <c r="O42" t="n">
        <v>-0.1912049065661433</v>
      </c>
      <c r="P42" t="n">
        <v>1.02964807714287</v>
      </c>
      <c r="Q42" t="inlineStr">
        <is>
          <t>Görüyor</t>
        </is>
      </c>
      <c r="R42" t="n">
        <v>0.0203</v>
      </c>
      <c r="S42" t="n">
        <v>0</v>
      </c>
      <c r="T42" t="n">
        <v>0</v>
      </c>
      <c r="U42" t="n">
        <v>0.8518000000000001</v>
      </c>
      <c r="V42" t="n">
        <v>0</v>
      </c>
      <c r="W42" t="n">
        <v>0.1268</v>
      </c>
      <c r="X42" t="n">
        <v>0</v>
      </c>
      <c r="Y42" t="n">
        <v>0</v>
      </c>
      <c r="Z42" t="n">
        <v>0</v>
      </c>
      <c r="AA42" t="n">
        <v>0.9989000000000001</v>
      </c>
      <c r="AC42">
        <f>IF(ISNUMBER(INDEX($A$2:$AA$42,41,MATCH('Hisse'!$E$2,$A$1:$AA$1,0))),INDEX($A$2:$AA$42,41,MATCH('Hisse'!$E$2,$A$1:$AA$1,0)),-1E+9)-ROW()/1E+7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44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2" max="2"/>
    <col width="68" customWidth="1" min="3" max="3"/>
    <col width="2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>
      <c r="F1" s="6" t="n">
        <v>46219</v>
      </c>
      <c r="G1" s="6" t="n">
        <v>46213</v>
      </c>
      <c r="H1" s="6" t="n">
        <v>46190</v>
      </c>
      <c r="I1" s="6" t="n">
        <v>46022</v>
      </c>
      <c r="J1" s="6" t="n">
        <v>45855</v>
      </c>
    </row>
    <row r="2">
      <c r="B2" s="3" t="inlineStr">
        <is>
          <t>T-1: 17.07.2026</t>
        </is>
      </c>
      <c r="D2" s="7" t="inlineStr">
        <is>
          <t>Sırala:</t>
        </is>
      </c>
      <c r="E2" s="2" t="inlineStr">
        <is>
          <t>Günlük%</t>
        </is>
      </c>
    </row>
    <row r="3">
      <c r="B3" s="4" t="inlineStr">
        <is>
          <t>Fon Kodu</t>
        </is>
      </c>
      <c r="C3" s="4" t="inlineStr">
        <is>
          <t>Hisse Fonları</t>
        </is>
      </c>
      <c r="D3" s="4" t="inlineStr">
        <is>
          <t>Yönetici</t>
        </is>
      </c>
      <c r="E3" s="4" t="inlineStr">
        <is>
          <t>FYÜ%</t>
        </is>
      </c>
      <c r="F3" s="4" t="inlineStr">
        <is>
          <t>Günlük%</t>
        </is>
      </c>
      <c r="G3" s="4" t="inlineStr">
        <is>
          <t>Haftalık</t>
        </is>
      </c>
      <c r="H3" s="4" t="inlineStr">
        <is>
          <t>Aylık</t>
        </is>
      </c>
      <c r="I3" s="4" t="inlineStr">
        <is>
          <t>Yılbaşına Göre</t>
        </is>
      </c>
      <c r="J3" s="4" t="inlineStr">
        <is>
          <t>Yıllık</t>
        </is>
      </c>
      <c r="K3" s="4" t="inlineStr">
        <is>
          <t>Yatırımcı Sayısı T-30</t>
        </is>
      </c>
      <c r="L3" s="4" t="inlineStr">
        <is>
          <t>Yatırımcı Sayısı T-1</t>
        </is>
      </c>
      <c r="M3" s="4" t="inlineStr">
        <is>
          <t>YS Değişim</t>
        </is>
      </c>
      <c r="N3" s="4" t="inlineStr">
        <is>
          <t>Önceki Ay FTD</t>
        </is>
      </c>
      <c r="O3" s="4" t="inlineStr">
        <is>
          <t>T-1 FTD</t>
        </is>
      </c>
      <c r="P3" s="4" t="inlineStr">
        <is>
          <t>FTD Değişim</t>
        </is>
      </c>
      <c r="Q3" s="4" t="inlineStr">
        <is>
          <t>Standart Sapma (Aylık)</t>
        </is>
      </c>
      <c r="R3" s="4" t="inlineStr">
        <is>
          <t>TEFAS Durumu</t>
        </is>
      </c>
      <c r="S3" s="4" t="inlineStr">
        <is>
          <t>Mevduat (TL)</t>
        </is>
      </c>
      <c r="T3" s="4" t="inlineStr">
        <is>
          <t>Vadeli İşlemler Nakit Teminatları</t>
        </is>
      </c>
      <c r="U3" s="4" t="inlineStr">
        <is>
          <t>Ters Repo Oranı</t>
        </is>
      </c>
      <c r="V3" s="4" t="inlineStr">
        <is>
          <t>Hisse Oranı</t>
        </is>
      </c>
      <c r="W3" s="4" t="inlineStr">
        <is>
          <t>Para Piyasaları Oranı</t>
        </is>
      </c>
      <c r="X3" s="4" t="inlineStr">
        <is>
          <t>Yatırım Fonları Katılma Payları</t>
        </is>
      </c>
      <c r="Y3" s="4" t="inlineStr">
        <is>
          <t>Özel Tahvil/Bono Oranı</t>
        </is>
      </c>
      <c r="Z3" s="4" t="inlineStr">
        <is>
          <t>Finansman Bonosu Oranı</t>
        </is>
      </c>
      <c r="AA3" s="4" t="inlineStr">
        <is>
          <t>Diğer Oran</t>
        </is>
      </c>
      <c r="AB3" s="4" t="inlineStr">
        <is>
          <t>Toplam</t>
        </is>
      </c>
    </row>
    <row r="4">
      <c r="A4" t="n">
        <v>1</v>
      </c>
      <c r="B4" s="5">
        <f>INDEX('V_Hisse'!A$2:A$42,MATCH(LARGE('V_Hisse'!$AC$2:$AC$42,ROW()-3),'V_Hisse'!$AC$2:$AC$42,0))</f>
        <v/>
      </c>
      <c r="C4" s="5">
        <f>INDEX('V_Hisse'!B$2:B$42,MATCH(LARGE('V_Hisse'!$AC$2:$AC$42,ROW()-3),'V_Hisse'!$AC$2:$AC$42,0))</f>
        <v/>
      </c>
      <c r="D4" s="5">
        <f>INDEX('V_Hisse'!C$2:C$42,MATCH(LARGE('V_Hisse'!$AC$2:$AC$42,ROW()-3),'V_Hisse'!$AC$2:$AC$42,0))</f>
        <v/>
      </c>
      <c r="E4" s="8">
        <f>INDEX('V_Hisse'!D$2:D$42,MATCH(LARGE('V_Hisse'!$AC$2:$AC$42,ROW()-3),'V_Hisse'!$AC$2:$AC$42,0))</f>
        <v/>
      </c>
      <c r="F4" s="9">
        <f>INDEX('V_Hisse'!E$2:E$42,MATCH(LARGE('V_Hisse'!$AC$2:$AC$42,ROW()-3),'V_Hisse'!$AC$2:$AC$42,0))</f>
        <v/>
      </c>
      <c r="G4" s="9">
        <f>INDEX('V_Hisse'!F$2:F$42,MATCH(LARGE('V_Hisse'!$AC$2:$AC$42,ROW()-3),'V_Hisse'!$AC$2:$AC$42,0))</f>
        <v/>
      </c>
      <c r="H4" s="9">
        <f>INDEX('V_Hisse'!G$2:G$42,MATCH(LARGE('V_Hisse'!$AC$2:$AC$42,ROW()-3),'V_Hisse'!$AC$2:$AC$42,0))</f>
        <v/>
      </c>
      <c r="I4" s="9">
        <f>INDEX('V_Hisse'!H$2:H$42,MATCH(LARGE('V_Hisse'!$AC$2:$AC$42,ROW()-3),'V_Hisse'!$AC$2:$AC$42,0))</f>
        <v/>
      </c>
      <c r="J4" s="9">
        <f>INDEX('V_Hisse'!I$2:I$42,MATCH(LARGE('V_Hisse'!$AC$2:$AC$42,ROW()-3),'V_Hisse'!$AC$2:$AC$42,0))</f>
        <v/>
      </c>
      <c r="K4" s="10">
        <f>INDEX('V_Hisse'!J$2:J$42,MATCH(LARGE('V_Hisse'!$AC$2:$AC$42,ROW()-3),'V_Hisse'!$AC$2:$AC$42,0))</f>
        <v/>
      </c>
      <c r="L4" s="10">
        <f>INDEX('V_Hisse'!K$2:K$42,MATCH(LARGE('V_Hisse'!$AC$2:$AC$42,ROW()-3),'V_Hisse'!$AC$2:$AC$42,0))</f>
        <v/>
      </c>
      <c r="M4" s="8">
        <f>INDEX('V_Hisse'!L$2:L$42,MATCH(LARGE('V_Hisse'!$AC$2:$AC$42,ROW()-3),'V_Hisse'!$AC$2:$AC$42,0))</f>
        <v/>
      </c>
      <c r="N4" s="11">
        <f>INDEX('V_Hisse'!M$2:M$42,MATCH(LARGE('V_Hisse'!$AC$2:$AC$42,ROW()-3),'V_Hisse'!$AC$2:$AC$42,0))</f>
        <v/>
      </c>
      <c r="O4" s="11">
        <f>INDEX('V_Hisse'!N$2:N$42,MATCH(LARGE('V_Hisse'!$AC$2:$AC$42,ROW()-3),'V_Hisse'!$AC$2:$AC$42,0))</f>
        <v/>
      </c>
      <c r="P4" s="8">
        <f>INDEX('V_Hisse'!O$2:O$42,MATCH(LARGE('V_Hisse'!$AC$2:$AC$42,ROW()-3),'V_Hisse'!$AC$2:$AC$42,0))</f>
        <v/>
      </c>
      <c r="Q4" s="9">
        <f>INDEX('V_Hisse'!P$2:P$42,MATCH(LARGE('V_Hisse'!$AC$2:$AC$42,ROW()-3),'V_Hisse'!$AC$2:$AC$42,0))</f>
        <v/>
      </c>
      <c r="R4" s="5">
        <f>INDEX('V_Hisse'!Q$2:Q$42,MATCH(LARGE('V_Hisse'!$AC$2:$AC$42,ROW()-3),'V_Hisse'!$AC$2:$AC$42,0))</f>
        <v/>
      </c>
      <c r="S4" s="8">
        <f>INDEX('V_Hisse'!R$2:R$42,MATCH(LARGE('V_Hisse'!$AC$2:$AC$42,ROW()-3),'V_Hisse'!$AC$2:$AC$42,0))</f>
        <v/>
      </c>
      <c r="T4" s="8">
        <f>INDEX('V_Hisse'!S$2:S$42,MATCH(LARGE('V_Hisse'!$AC$2:$AC$42,ROW()-3),'V_Hisse'!$AC$2:$AC$42,0))</f>
        <v/>
      </c>
      <c r="U4" s="8">
        <f>INDEX('V_Hisse'!T$2:T$42,MATCH(LARGE('V_Hisse'!$AC$2:$AC$42,ROW()-3),'V_Hisse'!$AC$2:$AC$42,0))</f>
        <v/>
      </c>
      <c r="V4" s="8">
        <f>INDEX('V_Hisse'!U$2:U$42,MATCH(LARGE('V_Hisse'!$AC$2:$AC$42,ROW()-3),'V_Hisse'!$AC$2:$AC$42,0))</f>
        <v/>
      </c>
      <c r="W4" s="8">
        <f>INDEX('V_Hisse'!V$2:V$42,MATCH(LARGE('V_Hisse'!$AC$2:$AC$42,ROW()-3),'V_Hisse'!$AC$2:$AC$42,0))</f>
        <v/>
      </c>
      <c r="X4" s="8">
        <f>INDEX('V_Hisse'!W$2:W$42,MATCH(LARGE('V_Hisse'!$AC$2:$AC$42,ROW()-3),'V_Hisse'!$AC$2:$AC$42,0))</f>
        <v/>
      </c>
      <c r="Y4" s="8">
        <f>INDEX('V_Hisse'!X$2:X$42,MATCH(LARGE('V_Hisse'!$AC$2:$AC$42,ROW()-3),'V_Hisse'!$AC$2:$AC$42,0))</f>
        <v/>
      </c>
      <c r="Z4" s="8">
        <f>INDEX('V_Hisse'!Y$2:Y$42,MATCH(LARGE('V_Hisse'!$AC$2:$AC$42,ROW()-3),'V_Hisse'!$AC$2:$AC$42,0))</f>
        <v/>
      </c>
      <c r="AA4" s="8">
        <f>INDEX('V_Hisse'!Z$2:Z$42,MATCH(LARGE('V_Hisse'!$AC$2:$AC$42,ROW()-3),'V_Hisse'!$AC$2:$AC$42,0))</f>
        <v/>
      </c>
      <c r="AB4" s="8">
        <f>INDEX('V_Hisse'!AA$2:AA$42,MATCH(LARGE('V_Hisse'!$AC$2:$AC$42,ROW()-3),'V_Hisse'!$AC$2:$AC$42,0))</f>
        <v/>
      </c>
    </row>
    <row r="5">
      <c r="A5" t="n">
        <v>2</v>
      </c>
      <c r="B5" s="5">
        <f>INDEX('V_Hisse'!A$2:A$42,MATCH(LARGE('V_Hisse'!$AC$2:$AC$42,ROW()-3),'V_Hisse'!$AC$2:$AC$42,0))</f>
        <v/>
      </c>
      <c r="C5" s="5">
        <f>INDEX('V_Hisse'!B$2:B$42,MATCH(LARGE('V_Hisse'!$AC$2:$AC$42,ROW()-3),'V_Hisse'!$AC$2:$AC$42,0))</f>
        <v/>
      </c>
      <c r="D5" s="5">
        <f>INDEX('V_Hisse'!C$2:C$42,MATCH(LARGE('V_Hisse'!$AC$2:$AC$42,ROW()-3),'V_Hisse'!$AC$2:$AC$42,0))</f>
        <v/>
      </c>
      <c r="E5" s="8">
        <f>INDEX('V_Hisse'!D$2:D$42,MATCH(LARGE('V_Hisse'!$AC$2:$AC$42,ROW()-3),'V_Hisse'!$AC$2:$AC$42,0))</f>
        <v/>
      </c>
      <c r="F5" s="9">
        <f>INDEX('V_Hisse'!E$2:E$42,MATCH(LARGE('V_Hisse'!$AC$2:$AC$42,ROW()-3),'V_Hisse'!$AC$2:$AC$42,0))</f>
        <v/>
      </c>
      <c r="G5" s="9">
        <f>INDEX('V_Hisse'!F$2:F$42,MATCH(LARGE('V_Hisse'!$AC$2:$AC$42,ROW()-3),'V_Hisse'!$AC$2:$AC$42,0))</f>
        <v/>
      </c>
      <c r="H5" s="9">
        <f>INDEX('V_Hisse'!G$2:G$42,MATCH(LARGE('V_Hisse'!$AC$2:$AC$42,ROW()-3),'V_Hisse'!$AC$2:$AC$42,0))</f>
        <v/>
      </c>
      <c r="I5" s="9">
        <f>INDEX('V_Hisse'!H$2:H$42,MATCH(LARGE('V_Hisse'!$AC$2:$AC$42,ROW()-3),'V_Hisse'!$AC$2:$AC$42,0))</f>
        <v/>
      </c>
      <c r="J5" s="9">
        <f>INDEX('V_Hisse'!I$2:I$42,MATCH(LARGE('V_Hisse'!$AC$2:$AC$42,ROW()-3),'V_Hisse'!$AC$2:$AC$42,0))</f>
        <v/>
      </c>
      <c r="K5" s="10">
        <f>INDEX('V_Hisse'!J$2:J$42,MATCH(LARGE('V_Hisse'!$AC$2:$AC$42,ROW()-3),'V_Hisse'!$AC$2:$AC$42,0))</f>
        <v/>
      </c>
      <c r="L5" s="10">
        <f>INDEX('V_Hisse'!K$2:K$42,MATCH(LARGE('V_Hisse'!$AC$2:$AC$42,ROW()-3),'V_Hisse'!$AC$2:$AC$42,0))</f>
        <v/>
      </c>
      <c r="M5" s="8">
        <f>INDEX('V_Hisse'!L$2:L$42,MATCH(LARGE('V_Hisse'!$AC$2:$AC$42,ROW()-3),'V_Hisse'!$AC$2:$AC$42,0))</f>
        <v/>
      </c>
      <c r="N5" s="11">
        <f>INDEX('V_Hisse'!M$2:M$42,MATCH(LARGE('V_Hisse'!$AC$2:$AC$42,ROW()-3),'V_Hisse'!$AC$2:$AC$42,0))</f>
        <v/>
      </c>
      <c r="O5" s="11">
        <f>INDEX('V_Hisse'!N$2:N$42,MATCH(LARGE('V_Hisse'!$AC$2:$AC$42,ROW()-3),'V_Hisse'!$AC$2:$AC$42,0))</f>
        <v/>
      </c>
      <c r="P5" s="8">
        <f>INDEX('V_Hisse'!O$2:O$42,MATCH(LARGE('V_Hisse'!$AC$2:$AC$42,ROW()-3),'V_Hisse'!$AC$2:$AC$42,0))</f>
        <v/>
      </c>
      <c r="Q5" s="9">
        <f>INDEX('V_Hisse'!P$2:P$42,MATCH(LARGE('V_Hisse'!$AC$2:$AC$42,ROW()-3),'V_Hisse'!$AC$2:$AC$42,0))</f>
        <v/>
      </c>
      <c r="R5" s="5">
        <f>INDEX('V_Hisse'!Q$2:Q$42,MATCH(LARGE('V_Hisse'!$AC$2:$AC$42,ROW()-3),'V_Hisse'!$AC$2:$AC$42,0))</f>
        <v/>
      </c>
      <c r="S5" s="8">
        <f>INDEX('V_Hisse'!R$2:R$42,MATCH(LARGE('V_Hisse'!$AC$2:$AC$42,ROW()-3),'V_Hisse'!$AC$2:$AC$42,0))</f>
        <v/>
      </c>
      <c r="T5" s="8">
        <f>INDEX('V_Hisse'!S$2:S$42,MATCH(LARGE('V_Hisse'!$AC$2:$AC$42,ROW()-3),'V_Hisse'!$AC$2:$AC$42,0))</f>
        <v/>
      </c>
      <c r="U5" s="8">
        <f>INDEX('V_Hisse'!T$2:T$42,MATCH(LARGE('V_Hisse'!$AC$2:$AC$42,ROW()-3),'V_Hisse'!$AC$2:$AC$42,0))</f>
        <v/>
      </c>
      <c r="V5" s="8">
        <f>INDEX('V_Hisse'!U$2:U$42,MATCH(LARGE('V_Hisse'!$AC$2:$AC$42,ROW()-3),'V_Hisse'!$AC$2:$AC$42,0))</f>
        <v/>
      </c>
      <c r="W5" s="8">
        <f>INDEX('V_Hisse'!V$2:V$42,MATCH(LARGE('V_Hisse'!$AC$2:$AC$42,ROW()-3),'V_Hisse'!$AC$2:$AC$42,0))</f>
        <v/>
      </c>
      <c r="X5" s="8">
        <f>INDEX('V_Hisse'!W$2:W$42,MATCH(LARGE('V_Hisse'!$AC$2:$AC$42,ROW()-3),'V_Hisse'!$AC$2:$AC$42,0))</f>
        <v/>
      </c>
      <c r="Y5" s="8">
        <f>INDEX('V_Hisse'!X$2:X$42,MATCH(LARGE('V_Hisse'!$AC$2:$AC$42,ROW()-3),'V_Hisse'!$AC$2:$AC$42,0))</f>
        <v/>
      </c>
      <c r="Z5" s="8">
        <f>INDEX('V_Hisse'!Y$2:Y$42,MATCH(LARGE('V_Hisse'!$AC$2:$AC$42,ROW()-3),'V_Hisse'!$AC$2:$AC$42,0))</f>
        <v/>
      </c>
      <c r="AA5" s="8">
        <f>INDEX('V_Hisse'!Z$2:Z$42,MATCH(LARGE('V_Hisse'!$AC$2:$AC$42,ROW()-3),'V_Hisse'!$AC$2:$AC$42,0))</f>
        <v/>
      </c>
      <c r="AB5" s="8">
        <f>INDEX('V_Hisse'!AA$2:AA$42,MATCH(LARGE('V_Hisse'!$AC$2:$AC$42,ROW()-3),'V_Hisse'!$AC$2:$AC$42,0))</f>
        <v/>
      </c>
    </row>
    <row r="6">
      <c r="A6" t="n">
        <v>3</v>
      </c>
      <c r="B6" s="5">
        <f>INDEX('V_Hisse'!A$2:A$42,MATCH(LARGE('V_Hisse'!$AC$2:$AC$42,ROW()-3),'V_Hisse'!$AC$2:$AC$42,0))</f>
        <v/>
      </c>
      <c r="C6" s="5">
        <f>INDEX('V_Hisse'!B$2:B$42,MATCH(LARGE('V_Hisse'!$AC$2:$AC$42,ROW()-3),'V_Hisse'!$AC$2:$AC$42,0))</f>
        <v/>
      </c>
      <c r="D6" s="5">
        <f>INDEX('V_Hisse'!C$2:C$42,MATCH(LARGE('V_Hisse'!$AC$2:$AC$42,ROW()-3),'V_Hisse'!$AC$2:$AC$42,0))</f>
        <v/>
      </c>
      <c r="E6" s="8">
        <f>INDEX('V_Hisse'!D$2:D$42,MATCH(LARGE('V_Hisse'!$AC$2:$AC$42,ROW()-3),'V_Hisse'!$AC$2:$AC$42,0))</f>
        <v/>
      </c>
      <c r="F6" s="9">
        <f>INDEX('V_Hisse'!E$2:E$42,MATCH(LARGE('V_Hisse'!$AC$2:$AC$42,ROW()-3),'V_Hisse'!$AC$2:$AC$42,0))</f>
        <v/>
      </c>
      <c r="G6" s="9">
        <f>INDEX('V_Hisse'!F$2:F$42,MATCH(LARGE('V_Hisse'!$AC$2:$AC$42,ROW()-3),'V_Hisse'!$AC$2:$AC$42,0))</f>
        <v/>
      </c>
      <c r="H6" s="9">
        <f>INDEX('V_Hisse'!G$2:G$42,MATCH(LARGE('V_Hisse'!$AC$2:$AC$42,ROW()-3),'V_Hisse'!$AC$2:$AC$42,0))</f>
        <v/>
      </c>
      <c r="I6" s="9">
        <f>INDEX('V_Hisse'!H$2:H$42,MATCH(LARGE('V_Hisse'!$AC$2:$AC$42,ROW()-3),'V_Hisse'!$AC$2:$AC$42,0))</f>
        <v/>
      </c>
      <c r="J6" s="9">
        <f>INDEX('V_Hisse'!I$2:I$42,MATCH(LARGE('V_Hisse'!$AC$2:$AC$42,ROW()-3),'V_Hisse'!$AC$2:$AC$42,0))</f>
        <v/>
      </c>
      <c r="K6" s="10">
        <f>INDEX('V_Hisse'!J$2:J$42,MATCH(LARGE('V_Hisse'!$AC$2:$AC$42,ROW()-3),'V_Hisse'!$AC$2:$AC$42,0))</f>
        <v/>
      </c>
      <c r="L6" s="10">
        <f>INDEX('V_Hisse'!K$2:K$42,MATCH(LARGE('V_Hisse'!$AC$2:$AC$42,ROW()-3),'V_Hisse'!$AC$2:$AC$42,0))</f>
        <v/>
      </c>
      <c r="M6" s="8">
        <f>INDEX('V_Hisse'!L$2:L$42,MATCH(LARGE('V_Hisse'!$AC$2:$AC$42,ROW()-3),'V_Hisse'!$AC$2:$AC$42,0))</f>
        <v/>
      </c>
      <c r="N6" s="11">
        <f>INDEX('V_Hisse'!M$2:M$42,MATCH(LARGE('V_Hisse'!$AC$2:$AC$42,ROW()-3),'V_Hisse'!$AC$2:$AC$42,0))</f>
        <v/>
      </c>
      <c r="O6" s="11">
        <f>INDEX('V_Hisse'!N$2:N$42,MATCH(LARGE('V_Hisse'!$AC$2:$AC$42,ROW()-3),'V_Hisse'!$AC$2:$AC$42,0))</f>
        <v/>
      </c>
      <c r="P6" s="8">
        <f>INDEX('V_Hisse'!O$2:O$42,MATCH(LARGE('V_Hisse'!$AC$2:$AC$42,ROW()-3),'V_Hisse'!$AC$2:$AC$42,0))</f>
        <v/>
      </c>
      <c r="Q6" s="9">
        <f>INDEX('V_Hisse'!P$2:P$42,MATCH(LARGE('V_Hisse'!$AC$2:$AC$42,ROW()-3),'V_Hisse'!$AC$2:$AC$42,0))</f>
        <v/>
      </c>
      <c r="R6" s="5">
        <f>INDEX('V_Hisse'!Q$2:Q$42,MATCH(LARGE('V_Hisse'!$AC$2:$AC$42,ROW()-3),'V_Hisse'!$AC$2:$AC$42,0))</f>
        <v/>
      </c>
      <c r="S6" s="8">
        <f>INDEX('V_Hisse'!R$2:R$42,MATCH(LARGE('V_Hisse'!$AC$2:$AC$42,ROW()-3),'V_Hisse'!$AC$2:$AC$42,0))</f>
        <v/>
      </c>
      <c r="T6" s="8">
        <f>INDEX('V_Hisse'!S$2:S$42,MATCH(LARGE('V_Hisse'!$AC$2:$AC$42,ROW()-3),'V_Hisse'!$AC$2:$AC$42,0))</f>
        <v/>
      </c>
      <c r="U6" s="8">
        <f>INDEX('V_Hisse'!T$2:T$42,MATCH(LARGE('V_Hisse'!$AC$2:$AC$42,ROW()-3),'V_Hisse'!$AC$2:$AC$42,0))</f>
        <v/>
      </c>
      <c r="V6" s="8">
        <f>INDEX('V_Hisse'!U$2:U$42,MATCH(LARGE('V_Hisse'!$AC$2:$AC$42,ROW()-3),'V_Hisse'!$AC$2:$AC$42,0))</f>
        <v/>
      </c>
      <c r="W6" s="8">
        <f>INDEX('V_Hisse'!V$2:V$42,MATCH(LARGE('V_Hisse'!$AC$2:$AC$42,ROW()-3),'V_Hisse'!$AC$2:$AC$42,0))</f>
        <v/>
      </c>
      <c r="X6" s="8">
        <f>INDEX('V_Hisse'!W$2:W$42,MATCH(LARGE('V_Hisse'!$AC$2:$AC$42,ROW()-3),'V_Hisse'!$AC$2:$AC$42,0))</f>
        <v/>
      </c>
      <c r="Y6" s="8">
        <f>INDEX('V_Hisse'!X$2:X$42,MATCH(LARGE('V_Hisse'!$AC$2:$AC$42,ROW()-3),'V_Hisse'!$AC$2:$AC$42,0))</f>
        <v/>
      </c>
      <c r="Z6" s="8">
        <f>INDEX('V_Hisse'!Y$2:Y$42,MATCH(LARGE('V_Hisse'!$AC$2:$AC$42,ROW()-3),'V_Hisse'!$AC$2:$AC$42,0))</f>
        <v/>
      </c>
      <c r="AA6" s="8">
        <f>INDEX('V_Hisse'!Z$2:Z$42,MATCH(LARGE('V_Hisse'!$AC$2:$AC$42,ROW()-3),'V_Hisse'!$AC$2:$AC$42,0))</f>
        <v/>
      </c>
      <c r="AB6" s="8">
        <f>INDEX('V_Hisse'!AA$2:AA$42,MATCH(LARGE('V_Hisse'!$AC$2:$AC$42,ROW()-3),'V_Hisse'!$AC$2:$AC$42,0))</f>
        <v/>
      </c>
    </row>
    <row r="7">
      <c r="A7" t="n">
        <v>4</v>
      </c>
      <c r="B7" s="5">
        <f>INDEX('V_Hisse'!A$2:A$42,MATCH(LARGE('V_Hisse'!$AC$2:$AC$42,ROW()-3),'V_Hisse'!$AC$2:$AC$42,0))</f>
        <v/>
      </c>
      <c r="C7" s="5">
        <f>INDEX('V_Hisse'!B$2:B$42,MATCH(LARGE('V_Hisse'!$AC$2:$AC$42,ROW()-3),'V_Hisse'!$AC$2:$AC$42,0))</f>
        <v/>
      </c>
      <c r="D7" s="5">
        <f>INDEX('V_Hisse'!C$2:C$42,MATCH(LARGE('V_Hisse'!$AC$2:$AC$42,ROW()-3),'V_Hisse'!$AC$2:$AC$42,0))</f>
        <v/>
      </c>
      <c r="E7" s="8">
        <f>INDEX('V_Hisse'!D$2:D$42,MATCH(LARGE('V_Hisse'!$AC$2:$AC$42,ROW()-3),'V_Hisse'!$AC$2:$AC$42,0))</f>
        <v/>
      </c>
      <c r="F7" s="9">
        <f>INDEX('V_Hisse'!E$2:E$42,MATCH(LARGE('V_Hisse'!$AC$2:$AC$42,ROW()-3),'V_Hisse'!$AC$2:$AC$42,0))</f>
        <v/>
      </c>
      <c r="G7" s="9">
        <f>INDEX('V_Hisse'!F$2:F$42,MATCH(LARGE('V_Hisse'!$AC$2:$AC$42,ROW()-3),'V_Hisse'!$AC$2:$AC$42,0))</f>
        <v/>
      </c>
      <c r="H7" s="9">
        <f>INDEX('V_Hisse'!G$2:G$42,MATCH(LARGE('V_Hisse'!$AC$2:$AC$42,ROW()-3),'V_Hisse'!$AC$2:$AC$42,0))</f>
        <v/>
      </c>
      <c r="I7" s="9">
        <f>INDEX('V_Hisse'!H$2:H$42,MATCH(LARGE('V_Hisse'!$AC$2:$AC$42,ROW()-3),'V_Hisse'!$AC$2:$AC$42,0))</f>
        <v/>
      </c>
      <c r="J7" s="9">
        <f>INDEX('V_Hisse'!I$2:I$42,MATCH(LARGE('V_Hisse'!$AC$2:$AC$42,ROW()-3),'V_Hisse'!$AC$2:$AC$42,0))</f>
        <v/>
      </c>
      <c r="K7" s="10">
        <f>INDEX('V_Hisse'!J$2:J$42,MATCH(LARGE('V_Hisse'!$AC$2:$AC$42,ROW()-3),'V_Hisse'!$AC$2:$AC$42,0))</f>
        <v/>
      </c>
      <c r="L7" s="10">
        <f>INDEX('V_Hisse'!K$2:K$42,MATCH(LARGE('V_Hisse'!$AC$2:$AC$42,ROW()-3),'V_Hisse'!$AC$2:$AC$42,0))</f>
        <v/>
      </c>
      <c r="M7" s="8">
        <f>INDEX('V_Hisse'!L$2:L$42,MATCH(LARGE('V_Hisse'!$AC$2:$AC$42,ROW()-3),'V_Hisse'!$AC$2:$AC$42,0))</f>
        <v/>
      </c>
      <c r="N7" s="11">
        <f>INDEX('V_Hisse'!M$2:M$42,MATCH(LARGE('V_Hisse'!$AC$2:$AC$42,ROW()-3),'V_Hisse'!$AC$2:$AC$42,0))</f>
        <v/>
      </c>
      <c r="O7" s="11">
        <f>INDEX('V_Hisse'!N$2:N$42,MATCH(LARGE('V_Hisse'!$AC$2:$AC$42,ROW()-3),'V_Hisse'!$AC$2:$AC$42,0))</f>
        <v/>
      </c>
      <c r="P7" s="8">
        <f>INDEX('V_Hisse'!O$2:O$42,MATCH(LARGE('V_Hisse'!$AC$2:$AC$42,ROW()-3),'V_Hisse'!$AC$2:$AC$42,0))</f>
        <v/>
      </c>
      <c r="Q7" s="9">
        <f>INDEX('V_Hisse'!P$2:P$42,MATCH(LARGE('V_Hisse'!$AC$2:$AC$42,ROW()-3),'V_Hisse'!$AC$2:$AC$42,0))</f>
        <v/>
      </c>
      <c r="R7" s="5">
        <f>INDEX('V_Hisse'!Q$2:Q$42,MATCH(LARGE('V_Hisse'!$AC$2:$AC$42,ROW()-3),'V_Hisse'!$AC$2:$AC$42,0))</f>
        <v/>
      </c>
      <c r="S7" s="8">
        <f>INDEX('V_Hisse'!R$2:R$42,MATCH(LARGE('V_Hisse'!$AC$2:$AC$42,ROW()-3),'V_Hisse'!$AC$2:$AC$42,0))</f>
        <v/>
      </c>
      <c r="T7" s="8">
        <f>INDEX('V_Hisse'!S$2:S$42,MATCH(LARGE('V_Hisse'!$AC$2:$AC$42,ROW()-3),'V_Hisse'!$AC$2:$AC$42,0))</f>
        <v/>
      </c>
      <c r="U7" s="8">
        <f>INDEX('V_Hisse'!T$2:T$42,MATCH(LARGE('V_Hisse'!$AC$2:$AC$42,ROW()-3),'V_Hisse'!$AC$2:$AC$42,0))</f>
        <v/>
      </c>
      <c r="V7" s="8">
        <f>INDEX('V_Hisse'!U$2:U$42,MATCH(LARGE('V_Hisse'!$AC$2:$AC$42,ROW()-3),'V_Hisse'!$AC$2:$AC$42,0))</f>
        <v/>
      </c>
      <c r="W7" s="8">
        <f>INDEX('V_Hisse'!V$2:V$42,MATCH(LARGE('V_Hisse'!$AC$2:$AC$42,ROW()-3),'V_Hisse'!$AC$2:$AC$42,0))</f>
        <v/>
      </c>
      <c r="X7" s="8">
        <f>INDEX('V_Hisse'!W$2:W$42,MATCH(LARGE('V_Hisse'!$AC$2:$AC$42,ROW()-3),'V_Hisse'!$AC$2:$AC$42,0))</f>
        <v/>
      </c>
      <c r="Y7" s="8">
        <f>INDEX('V_Hisse'!X$2:X$42,MATCH(LARGE('V_Hisse'!$AC$2:$AC$42,ROW()-3),'V_Hisse'!$AC$2:$AC$42,0))</f>
        <v/>
      </c>
      <c r="Z7" s="8">
        <f>INDEX('V_Hisse'!Y$2:Y$42,MATCH(LARGE('V_Hisse'!$AC$2:$AC$42,ROW()-3),'V_Hisse'!$AC$2:$AC$42,0))</f>
        <v/>
      </c>
      <c r="AA7" s="8">
        <f>INDEX('V_Hisse'!Z$2:Z$42,MATCH(LARGE('V_Hisse'!$AC$2:$AC$42,ROW()-3),'V_Hisse'!$AC$2:$AC$42,0))</f>
        <v/>
      </c>
      <c r="AB7" s="8">
        <f>INDEX('V_Hisse'!AA$2:AA$42,MATCH(LARGE('V_Hisse'!$AC$2:$AC$42,ROW()-3),'V_Hisse'!$AC$2:$AC$42,0))</f>
        <v/>
      </c>
    </row>
    <row r="8">
      <c r="A8" t="n">
        <v>5</v>
      </c>
      <c r="B8" s="5">
        <f>INDEX('V_Hisse'!A$2:A$42,MATCH(LARGE('V_Hisse'!$AC$2:$AC$42,ROW()-3),'V_Hisse'!$AC$2:$AC$42,0))</f>
        <v/>
      </c>
      <c r="C8" s="5">
        <f>INDEX('V_Hisse'!B$2:B$42,MATCH(LARGE('V_Hisse'!$AC$2:$AC$42,ROW()-3),'V_Hisse'!$AC$2:$AC$42,0))</f>
        <v/>
      </c>
      <c r="D8" s="5">
        <f>INDEX('V_Hisse'!C$2:C$42,MATCH(LARGE('V_Hisse'!$AC$2:$AC$42,ROW()-3),'V_Hisse'!$AC$2:$AC$42,0))</f>
        <v/>
      </c>
      <c r="E8" s="8">
        <f>INDEX('V_Hisse'!D$2:D$42,MATCH(LARGE('V_Hisse'!$AC$2:$AC$42,ROW()-3),'V_Hisse'!$AC$2:$AC$42,0))</f>
        <v/>
      </c>
      <c r="F8" s="9">
        <f>INDEX('V_Hisse'!E$2:E$42,MATCH(LARGE('V_Hisse'!$AC$2:$AC$42,ROW()-3),'V_Hisse'!$AC$2:$AC$42,0))</f>
        <v/>
      </c>
      <c r="G8" s="9">
        <f>INDEX('V_Hisse'!F$2:F$42,MATCH(LARGE('V_Hisse'!$AC$2:$AC$42,ROW()-3),'V_Hisse'!$AC$2:$AC$42,0))</f>
        <v/>
      </c>
      <c r="H8" s="9">
        <f>INDEX('V_Hisse'!G$2:G$42,MATCH(LARGE('V_Hisse'!$AC$2:$AC$42,ROW()-3),'V_Hisse'!$AC$2:$AC$42,0))</f>
        <v/>
      </c>
      <c r="I8" s="9">
        <f>INDEX('V_Hisse'!H$2:H$42,MATCH(LARGE('V_Hisse'!$AC$2:$AC$42,ROW()-3),'V_Hisse'!$AC$2:$AC$42,0))</f>
        <v/>
      </c>
      <c r="J8" s="9">
        <f>INDEX('V_Hisse'!I$2:I$42,MATCH(LARGE('V_Hisse'!$AC$2:$AC$42,ROW()-3),'V_Hisse'!$AC$2:$AC$42,0))</f>
        <v/>
      </c>
      <c r="K8" s="10">
        <f>INDEX('V_Hisse'!J$2:J$42,MATCH(LARGE('V_Hisse'!$AC$2:$AC$42,ROW()-3),'V_Hisse'!$AC$2:$AC$42,0))</f>
        <v/>
      </c>
      <c r="L8" s="10">
        <f>INDEX('V_Hisse'!K$2:K$42,MATCH(LARGE('V_Hisse'!$AC$2:$AC$42,ROW()-3),'V_Hisse'!$AC$2:$AC$42,0))</f>
        <v/>
      </c>
      <c r="M8" s="8">
        <f>INDEX('V_Hisse'!L$2:L$42,MATCH(LARGE('V_Hisse'!$AC$2:$AC$42,ROW()-3),'V_Hisse'!$AC$2:$AC$42,0))</f>
        <v/>
      </c>
      <c r="N8" s="11">
        <f>INDEX('V_Hisse'!M$2:M$42,MATCH(LARGE('V_Hisse'!$AC$2:$AC$42,ROW()-3),'V_Hisse'!$AC$2:$AC$42,0))</f>
        <v/>
      </c>
      <c r="O8" s="11">
        <f>INDEX('V_Hisse'!N$2:N$42,MATCH(LARGE('V_Hisse'!$AC$2:$AC$42,ROW()-3),'V_Hisse'!$AC$2:$AC$42,0))</f>
        <v/>
      </c>
      <c r="P8" s="8">
        <f>INDEX('V_Hisse'!O$2:O$42,MATCH(LARGE('V_Hisse'!$AC$2:$AC$42,ROW()-3),'V_Hisse'!$AC$2:$AC$42,0))</f>
        <v/>
      </c>
      <c r="Q8" s="9">
        <f>INDEX('V_Hisse'!P$2:P$42,MATCH(LARGE('V_Hisse'!$AC$2:$AC$42,ROW()-3),'V_Hisse'!$AC$2:$AC$42,0))</f>
        <v/>
      </c>
      <c r="R8" s="5">
        <f>INDEX('V_Hisse'!Q$2:Q$42,MATCH(LARGE('V_Hisse'!$AC$2:$AC$42,ROW()-3),'V_Hisse'!$AC$2:$AC$42,0))</f>
        <v/>
      </c>
      <c r="S8" s="8">
        <f>INDEX('V_Hisse'!R$2:R$42,MATCH(LARGE('V_Hisse'!$AC$2:$AC$42,ROW()-3),'V_Hisse'!$AC$2:$AC$42,0))</f>
        <v/>
      </c>
      <c r="T8" s="8">
        <f>INDEX('V_Hisse'!S$2:S$42,MATCH(LARGE('V_Hisse'!$AC$2:$AC$42,ROW()-3),'V_Hisse'!$AC$2:$AC$42,0))</f>
        <v/>
      </c>
      <c r="U8" s="8">
        <f>INDEX('V_Hisse'!T$2:T$42,MATCH(LARGE('V_Hisse'!$AC$2:$AC$42,ROW()-3),'V_Hisse'!$AC$2:$AC$42,0))</f>
        <v/>
      </c>
      <c r="V8" s="8">
        <f>INDEX('V_Hisse'!U$2:U$42,MATCH(LARGE('V_Hisse'!$AC$2:$AC$42,ROW()-3),'V_Hisse'!$AC$2:$AC$42,0))</f>
        <v/>
      </c>
      <c r="W8" s="8">
        <f>INDEX('V_Hisse'!V$2:V$42,MATCH(LARGE('V_Hisse'!$AC$2:$AC$42,ROW()-3),'V_Hisse'!$AC$2:$AC$42,0))</f>
        <v/>
      </c>
      <c r="X8" s="8">
        <f>INDEX('V_Hisse'!W$2:W$42,MATCH(LARGE('V_Hisse'!$AC$2:$AC$42,ROW()-3),'V_Hisse'!$AC$2:$AC$42,0))</f>
        <v/>
      </c>
      <c r="Y8" s="8">
        <f>INDEX('V_Hisse'!X$2:X$42,MATCH(LARGE('V_Hisse'!$AC$2:$AC$42,ROW()-3),'V_Hisse'!$AC$2:$AC$42,0))</f>
        <v/>
      </c>
      <c r="Z8" s="8">
        <f>INDEX('V_Hisse'!Y$2:Y$42,MATCH(LARGE('V_Hisse'!$AC$2:$AC$42,ROW()-3),'V_Hisse'!$AC$2:$AC$42,0))</f>
        <v/>
      </c>
      <c r="AA8" s="8">
        <f>INDEX('V_Hisse'!Z$2:Z$42,MATCH(LARGE('V_Hisse'!$AC$2:$AC$42,ROW()-3),'V_Hisse'!$AC$2:$AC$42,0))</f>
        <v/>
      </c>
      <c r="AB8" s="8">
        <f>INDEX('V_Hisse'!AA$2:AA$42,MATCH(LARGE('V_Hisse'!$AC$2:$AC$42,ROW()-3),'V_Hisse'!$AC$2:$AC$42,0))</f>
        <v/>
      </c>
    </row>
    <row r="9">
      <c r="A9" t="n">
        <v>6</v>
      </c>
      <c r="B9" s="5">
        <f>INDEX('V_Hisse'!A$2:A$42,MATCH(LARGE('V_Hisse'!$AC$2:$AC$42,ROW()-3),'V_Hisse'!$AC$2:$AC$42,0))</f>
        <v/>
      </c>
      <c r="C9" s="5">
        <f>INDEX('V_Hisse'!B$2:B$42,MATCH(LARGE('V_Hisse'!$AC$2:$AC$42,ROW()-3),'V_Hisse'!$AC$2:$AC$42,0))</f>
        <v/>
      </c>
      <c r="D9" s="5">
        <f>INDEX('V_Hisse'!C$2:C$42,MATCH(LARGE('V_Hisse'!$AC$2:$AC$42,ROW()-3),'V_Hisse'!$AC$2:$AC$42,0))</f>
        <v/>
      </c>
      <c r="E9" s="8">
        <f>INDEX('V_Hisse'!D$2:D$42,MATCH(LARGE('V_Hisse'!$AC$2:$AC$42,ROW()-3),'V_Hisse'!$AC$2:$AC$42,0))</f>
        <v/>
      </c>
      <c r="F9" s="9">
        <f>INDEX('V_Hisse'!E$2:E$42,MATCH(LARGE('V_Hisse'!$AC$2:$AC$42,ROW()-3),'V_Hisse'!$AC$2:$AC$42,0))</f>
        <v/>
      </c>
      <c r="G9" s="9">
        <f>INDEX('V_Hisse'!F$2:F$42,MATCH(LARGE('V_Hisse'!$AC$2:$AC$42,ROW()-3),'V_Hisse'!$AC$2:$AC$42,0))</f>
        <v/>
      </c>
      <c r="H9" s="9">
        <f>INDEX('V_Hisse'!G$2:G$42,MATCH(LARGE('V_Hisse'!$AC$2:$AC$42,ROW()-3),'V_Hisse'!$AC$2:$AC$42,0))</f>
        <v/>
      </c>
      <c r="I9" s="9">
        <f>INDEX('V_Hisse'!H$2:H$42,MATCH(LARGE('V_Hisse'!$AC$2:$AC$42,ROW()-3),'V_Hisse'!$AC$2:$AC$42,0))</f>
        <v/>
      </c>
      <c r="J9" s="9">
        <f>INDEX('V_Hisse'!I$2:I$42,MATCH(LARGE('V_Hisse'!$AC$2:$AC$42,ROW()-3),'V_Hisse'!$AC$2:$AC$42,0))</f>
        <v/>
      </c>
      <c r="K9" s="10">
        <f>INDEX('V_Hisse'!J$2:J$42,MATCH(LARGE('V_Hisse'!$AC$2:$AC$42,ROW()-3),'V_Hisse'!$AC$2:$AC$42,0))</f>
        <v/>
      </c>
      <c r="L9" s="10">
        <f>INDEX('V_Hisse'!K$2:K$42,MATCH(LARGE('V_Hisse'!$AC$2:$AC$42,ROW()-3),'V_Hisse'!$AC$2:$AC$42,0))</f>
        <v/>
      </c>
      <c r="M9" s="8">
        <f>INDEX('V_Hisse'!L$2:L$42,MATCH(LARGE('V_Hisse'!$AC$2:$AC$42,ROW()-3),'V_Hisse'!$AC$2:$AC$42,0))</f>
        <v/>
      </c>
      <c r="N9" s="11">
        <f>INDEX('V_Hisse'!M$2:M$42,MATCH(LARGE('V_Hisse'!$AC$2:$AC$42,ROW()-3),'V_Hisse'!$AC$2:$AC$42,0))</f>
        <v/>
      </c>
      <c r="O9" s="11">
        <f>INDEX('V_Hisse'!N$2:N$42,MATCH(LARGE('V_Hisse'!$AC$2:$AC$42,ROW()-3),'V_Hisse'!$AC$2:$AC$42,0))</f>
        <v/>
      </c>
      <c r="P9" s="8">
        <f>INDEX('V_Hisse'!O$2:O$42,MATCH(LARGE('V_Hisse'!$AC$2:$AC$42,ROW()-3),'V_Hisse'!$AC$2:$AC$42,0))</f>
        <v/>
      </c>
      <c r="Q9" s="9">
        <f>INDEX('V_Hisse'!P$2:P$42,MATCH(LARGE('V_Hisse'!$AC$2:$AC$42,ROW()-3),'V_Hisse'!$AC$2:$AC$42,0))</f>
        <v/>
      </c>
      <c r="R9" s="5">
        <f>INDEX('V_Hisse'!Q$2:Q$42,MATCH(LARGE('V_Hisse'!$AC$2:$AC$42,ROW()-3),'V_Hisse'!$AC$2:$AC$42,0))</f>
        <v/>
      </c>
      <c r="S9" s="8">
        <f>INDEX('V_Hisse'!R$2:R$42,MATCH(LARGE('V_Hisse'!$AC$2:$AC$42,ROW()-3),'V_Hisse'!$AC$2:$AC$42,0))</f>
        <v/>
      </c>
      <c r="T9" s="8">
        <f>INDEX('V_Hisse'!S$2:S$42,MATCH(LARGE('V_Hisse'!$AC$2:$AC$42,ROW()-3),'V_Hisse'!$AC$2:$AC$42,0))</f>
        <v/>
      </c>
      <c r="U9" s="8">
        <f>INDEX('V_Hisse'!T$2:T$42,MATCH(LARGE('V_Hisse'!$AC$2:$AC$42,ROW()-3),'V_Hisse'!$AC$2:$AC$42,0))</f>
        <v/>
      </c>
      <c r="V9" s="8">
        <f>INDEX('V_Hisse'!U$2:U$42,MATCH(LARGE('V_Hisse'!$AC$2:$AC$42,ROW()-3),'V_Hisse'!$AC$2:$AC$42,0))</f>
        <v/>
      </c>
      <c r="W9" s="8">
        <f>INDEX('V_Hisse'!V$2:V$42,MATCH(LARGE('V_Hisse'!$AC$2:$AC$42,ROW()-3),'V_Hisse'!$AC$2:$AC$42,0))</f>
        <v/>
      </c>
      <c r="X9" s="8">
        <f>INDEX('V_Hisse'!W$2:W$42,MATCH(LARGE('V_Hisse'!$AC$2:$AC$42,ROW()-3),'V_Hisse'!$AC$2:$AC$42,0))</f>
        <v/>
      </c>
      <c r="Y9" s="8">
        <f>INDEX('V_Hisse'!X$2:X$42,MATCH(LARGE('V_Hisse'!$AC$2:$AC$42,ROW()-3),'V_Hisse'!$AC$2:$AC$42,0))</f>
        <v/>
      </c>
      <c r="Z9" s="8">
        <f>INDEX('V_Hisse'!Y$2:Y$42,MATCH(LARGE('V_Hisse'!$AC$2:$AC$42,ROW()-3),'V_Hisse'!$AC$2:$AC$42,0))</f>
        <v/>
      </c>
      <c r="AA9" s="8">
        <f>INDEX('V_Hisse'!Z$2:Z$42,MATCH(LARGE('V_Hisse'!$AC$2:$AC$42,ROW()-3),'V_Hisse'!$AC$2:$AC$42,0))</f>
        <v/>
      </c>
      <c r="AB9" s="8">
        <f>INDEX('V_Hisse'!AA$2:AA$42,MATCH(LARGE('V_Hisse'!$AC$2:$AC$42,ROW()-3),'V_Hisse'!$AC$2:$AC$42,0))</f>
        <v/>
      </c>
    </row>
    <row r="10">
      <c r="A10" t="n">
        <v>7</v>
      </c>
      <c r="B10" s="5">
        <f>INDEX('V_Hisse'!A$2:A$42,MATCH(LARGE('V_Hisse'!$AC$2:$AC$42,ROW()-3),'V_Hisse'!$AC$2:$AC$42,0))</f>
        <v/>
      </c>
      <c r="C10" s="5">
        <f>INDEX('V_Hisse'!B$2:B$42,MATCH(LARGE('V_Hisse'!$AC$2:$AC$42,ROW()-3),'V_Hisse'!$AC$2:$AC$42,0))</f>
        <v/>
      </c>
      <c r="D10" s="5">
        <f>INDEX('V_Hisse'!C$2:C$42,MATCH(LARGE('V_Hisse'!$AC$2:$AC$42,ROW()-3),'V_Hisse'!$AC$2:$AC$42,0))</f>
        <v/>
      </c>
      <c r="E10" s="8">
        <f>INDEX('V_Hisse'!D$2:D$42,MATCH(LARGE('V_Hisse'!$AC$2:$AC$42,ROW()-3),'V_Hisse'!$AC$2:$AC$42,0))</f>
        <v/>
      </c>
      <c r="F10" s="9">
        <f>INDEX('V_Hisse'!E$2:E$42,MATCH(LARGE('V_Hisse'!$AC$2:$AC$42,ROW()-3),'V_Hisse'!$AC$2:$AC$42,0))</f>
        <v/>
      </c>
      <c r="G10" s="9">
        <f>INDEX('V_Hisse'!F$2:F$42,MATCH(LARGE('V_Hisse'!$AC$2:$AC$42,ROW()-3),'V_Hisse'!$AC$2:$AC$42,0))</f>
        <v/>
      </c>
      <c r="H10" s="9">
        <f>INDEX('V_Hisse'!G$2:G$42,MATCH(LARGE('V_Hisse'!$AC$2:$AC$42,ROW()-3),'V_Hisse'!$AC$2:$AC$42,0))</f>
        <v/>
      </c>
      <c r="I10" s="9">
        <f>INDEX('V_Hisse'!H$2:H$42,MATCH(LARGE('V_Hisse'!$AC$2:$AC$42,ROW()-3),'V_Hisse'!$AC$2:$AC$42,0))</f>
        <v/>
      </c>
      <c r="J10" s="9">
        <f>INDEX('V_Hisse'!I$2:I$42,MATCH(LARGE('V_Hisse'!$AC$2:$AC$42,ROW()-3),'V_Hisse'!$AC$2:$AC$42,0))</f>
        <v/>
      </c>
      <c r="K10" s="10">
        <f>INDEX('V_Hisse'!J$2:J$42,MATCH(LARGE('V_Hisse'!$AC$2:$AC$42,ROW()-3),'V_Hisse'!$AC$2:$AC$42,0))</f>
        <v/>
      </c>
      <c r="L10" s="10">
        <f>INDEX('V_Hisse'!K$2:K$42,MATCH(LARGE('V_Hisse'!$AC$2:$AC$42,ROW()-3),'V_Hisse'!$AC$2:$AC$42,0))</f>
        <v/>
      </c>
      <c r="M10" s="8">
        <f>INDEX('V_Hisse'!L$2:L$42,MATCH(LARGE('V_Hisse'!$AC$2:$AC$42,ROW()-3),'V_Hisse'!$AC$2:$AC$42,0))</f>
        <v/>
      </c>
      <c r="N10" s="11">
        <f>INDEX('V_Hisse'!M$2:M$42,MATCH(LARGE('V_Hisse'!$AC$2:$AC$42,ROW()-3),'V_Hisse'!$AC$2:$AC$42,0))</f>
        <v/>
      </c>
      <c r="O10" s="11">
        <f>INDEX('V_Hisse'!N$2:N$42,MATCH(LARGE('V_Hisse'!$AC$2:$AC$42,ROW()-3),'V_Hisse'!$AC$2:$AC$42,0))</f>
        <v/>
      </c>
      <c r="P10" s="8">
        <f>INDEX('V_Hisse'!O$2:O$42,MATCH(LARGE('V_Hisse'!$AC$2:$AC$42,ROW()-3),'V_Hisse'!$AC$2:$AC$42,0))</f>
        <v/>
      </c>
      <c r="Q10" s="9">
        <f>INDEX('V_Hisse'!P$2:P$42,MATCH(LARGE('V_Hisse'!$AC$2:$AC$42,ROW()-3),'V_Hisse'!$AC$2:$AC$42,0))</f>
        <v/>
      </c>
      <c r="R10" s="5">
        <f>INDEX('V_Hisse'!Q$2:Q$42,MATCH(LARGE('V_Hisse'!$AC$2:$AC$42,ROW()-3),'V_Hisse'!$AC$2:$AC$42,0))</f>
        <v/>
      </c>
      <c r="S10" s="8">
        <f>INDEX('V_Hisse'!R$2:R$42,MATCH(LARGE('V_Hisse'!$AC$2:$AC$42,ROW()-3),'V_Hisse'!$AC$2:$AC$42,0))</f>
        <v/>
      </c>
      <c r="T10" s="8">
        <f>INDEX('V_Hisse'!S$2:S$42,MATCH(LARGE('V_Hisse'!$AC$2:$AC$42,ROW()-3),'V_Hisse'!$AC$2:$AC$42,0))</f>
        <v/>
      </c>
      <c r="U10" s="8">
        <f>INDEX('V_Hisse'!T$2:T$42,MATCH(LARGE('V_Hisse'!$AC$2:$AC$42,ROW()-3),'V_Hisse'!$AC$2:$AC$42,0))</f>
        <v/>
      </c>
      <c r="V10" s="8">
        <f>INDEX('V_Hisse'!U$2:U$42,MATCH(LARGE('V_Hisse'!$AC$2:$AC$42,ROW()-3),'V_Hisse'!$AC$2:$AC$42,0))</f>
        <v/>
      </c>
      <c r="W10" s="8">
        <f>INDEX('V_Hisse'!V$2:V$42,MATCH(LARGE('V_Hisse'!$AC$2:$AC$42,ROW()-3),'V_Hisse'!$AC$2:$AC$42,0))</f>
        <v/>
      </c>
      <c r="X10" s="8">
        <f>INDEX('V_Hisse'!W$2:W$42,MATCH(LARGE('V_Hisse'!$AC$2:$AC$42,ROW()-3),'V_Hisse'!$AC$2:$AC$42,0))</f>
        <v/>
      </c>
      <c r="Y10" s="8">
        <f>INDEX('V_Hisse'!X$2:X$42,MATCH(LARGE('V_Hisse'!$AC$2:$AC$42,ROW()-3),'V_Hisse'!$AC$2:$AC$42,0))</f>
        <v/>
      </c>
      <c r="Z10" s="8">
        <f>INDEX('V_Hisse'!Y$2:Y$42,MATCH(LARGE('V_Hisse'!$AC$2:$AC$42,ROW()-3),'V_Hisse'!$AC$2:$AC$42,0))</f>
        <v/>
      </c>
      <c r="AA10" s="8">
        <f>INDEX('V_Hisse'!Z$2:Z$42,MATCH(LARGE('V_Hisse'!$AC$2:$AC$42,ROW()-3),'V_Hisse'!$AC$2:$AC$42,0))</f>
        <v/>
      </c>
      <c r="AB10" s="8">
        <f>INDEX('V_Hisse'!AA$2:AA$42,MATCH(LARGE('V_Hisse'!$AC$2:$AC$42,ROW()-3),'V_Hisse'!$AC$2:$AC$42,0))</f>
        <v/>
      </c>
    </row>
    <row r="11">
      <c r="A11" t="n">
        <v>8</v>
      </c>
      <c r="B11" s="5">
        <f>INDEX('V_Hisse'!A$2:A$42,MATCH(LARGE('V_Hisse'!$AC$2:$AC$42,ROW()-3),'V_Hisse'!$AC$2:$AC$42,0))</f>
        <v/>
      </c>
      <c r="C11" s="5">
        <f>INDEX('V_Hisse'!B$2:B$42,MATCH(LARGE('V_Hisse'!$AC$2:$AC$42,ROW()-3),'V_Hisse'!$AC$2:$AC$42,0))</f>
        <v/>
      </c>
      <c r="D11" s="5">
        <f>INDEX('V_Hisse'!C$2:C$42,MATCH(LARGE('V_Hisse'!$AC$2:$AC$42,ROW()-3),'V_Hisse'!$AC$2:$AC$42,0))</f>
        <v/>
      </c>
      <c r="E11" s="8">
        <f>INDEX('V_Hisse'!D$2:D$42,MATCH(LARGE('V_Hisse'!$AC$2:$AC$42,ROW()-3),'V_Hisse'!$AC$2:$AC$42,0))</f>
        <v/>
      </c>
      <c r="F11" s="9">
        <f>INDEX('V_Hisse'!E$2:E$42,MATCH(LARGE('V_Hisse'!$AC$2:$AC$42,ROW()-3),'V_Hisse'!$AC$2:$AC$42,0))</f>
        <v/>
      </c>
      <c r="G11" s="9">
        <f>INDEX('V_Hisse'!F$2:F$42,MATCH(LARGE('V_Hisse'!$AC$2:$AC$42,ROW()-3),'V_Hisse'!$AC$2:$AC$42,0))</f>
        <v/>
      </c>
      <c r="H11" s="9">
        <f>INDEX('V_Hisse'!G$2:G$42,MATCH(LARGE('V_Hisse'!$AC$2:$AC$42,ROW()-3),'V_Hisse'!$AC$2:$AC$42,0))</f>
        <v/>
      </c>
      <c r="I11" s="9">
        <f>INDEX('V_Hisse'!H$2:H$42,MATCH(LARGE('V_Hisse'!$AC$2:$AC$42,ROW()-3),'V_Hisse'!$AC$2:$AC$42,0))</f>
        <v/>
      </c>
      <c r="J11" s="9">
        <f>INDEX('V_Hisse'!I$2:I$42,MATCH(LARGE('V_Hisse'!$AC$2:$AC$42,ROW()-3),'V_Hisse'!$AC$2:$AC$42,0))</f>
        <v/>
      </c>
      <c r="K11" s="10">
        <f>INDEX('V_Hisse'!J$2:J$42,MATCH(LARGE('V_Hisse'!$AC$2:$AC$42,ROW()-3),'V_Hisse'!$AC$2:$AC$42,0))</f>
        <v/>
      </c>
      <c r="L11" s="10">
        <f>INDEX('V_Hisse'!K$2:K$42,MATCH(LARGE('V_Hisse'!$AC$2:$AC$42,ROW()-3),'V_Hisse'!$AC$2:$AC$42,0))</f>
        <v/>
      </c>
      <c r="M11" s="8">
        <f>INDEX('V_Hisse'!L$2:L$42,MATCH(LARGE('V_Hisse'!$AC$2:$AC$42,ROW()-3),'V_Hisse'!$AC$2:$AC$42,0))</f>
        <v/>
      </c>
      <c r="N11" s="11">
        <f>INDEX('V_Hisse'!M$2:M$42,MATCH(LARGE('V_Hisse'!$AC$2:$AC$42,ROW()-3),'V_Hisse'!$AC$2:$AC$42,0))</f>
        <v/>
      </c>
      <c r="O11" s="11">
        <f>INDEX('V_Hisse'!N$2:N$42,MATCH(LARGE('V_Hisse'!$AC$2:$AC$42,ROW()-3),'V_Hisse'!$AC$2:$AC$42,0))</f>
        <v/>
      </c>
      <c r="P11" s="8">
        <f>INDEX('V_Hisse'!O$2:O$42,MATCH(LARGE('V_Hisse'!$AC$2:$AC$42,ROW()-3),'V_Hisse'!$AC$2:$AC$42,0))</f>
        <v/>
      </c>
      <c r="Q11" s="9">
        <f>INDEX('V_Hisse'!P$2:P$42,MATCH(LARGE('V_Hisse'!$AC$2:$AC$42,ROW()-3),'V_Hisse'!$AC$2:$AC$42,0))</f>
        <v/>
      </c>
      <c r="R11" s="5">
        <f>INDEX('V_Hisse'!Q$2:Q$42,MATCH(LARGE('V_Hisse'!$AC$2:$AC$42,ROW()-3),'V_Hisse'!$AC$2:$AC$42,0))</f>
        <v/>
      </c>
      <c r="S11" s="8">
        <f>INDEX('V_Hisse'!R$2:R$42,MATCH(LARGE('V_Hisse'!$AC$2:$AC$42,ROW()-3),'V_Hisse'!$AC$2:$AC$42,0))</f>
        <v/>
      </c>
      <c r="T11" s="8">
        <f>INDEX('V_Hisse'!S$2:S$42,MATCH(LARGE('V_Hisse'!$AC$2:$AC$42,ROW()-3),'V_Hisse'!$AC$2:$AC$42,0))</f>
        <v/>
      </c>
      <c r="U11" s="8">
        <f>INDEX('V_Hisse'!T$2:T$42,MATCH(LARGE('V_Hisse'!$AC$2:$AC$42,ROW()-3),'V_Hisse'!$AC$2:$AC$42,0))</f>
        <v/>
      </c>
      <c r="V11" s="8">
        <f>INDEX('V_Hisse'!U$2:U$42,MATCH(LARGE('V_Hisse'!$AC$2:$AC$42,ROW()-3),'V_Hisse'!$AC$2:$AC$42,0))</f>
        <v/>
      </c>
      <c r="W11" s="8">
        <f>INDEX('V_Hisse'!V$2:V$42,MATCH(LARGE('V_Hisse'!$AC$2:$AC$42,ROW()-3),'V_Hisse'!$AC$2:$AC$42,0))</f>
        <v/>
      </c>
      <c r="X11" s="8">
        <f>INDEX('V_Hisse'!W$2:W$42,MATCH(LARGE('V_Hisse'!$AC$2:$AC$42,ROW()-3),'V_Hisse'!$AC$2:$AC$42,0))</f>
        <v/>
      </c>
      <c r="Y11" s="8">
        <f>INDEX('V_Hisse'!X$2:X$42,MATCH(LARGE('V_Hisse'!$AC$2:$AC$42,ROW()-3),'V_Hisse'!$AC$2:$AC$42,0))</f>
        <v/>
      </c>
      <c r="Z11" s="8">
        <f>INDEX('V_Hisse'!Y$2:Y$42,MATCH(LARGE('V_Hisse'!$AC$2:$AC$42,ROW()-3),'V_Hisse'!$AC$2:$AC$42,0))</f>
        <v/>
      </c>
      <c r="AA11" s="8">
        <f>INDEX('V_Hisse'!Z$2:Z$42,MATCH(LARGE('V_Hisse'!$AC$2:$AC$42,ROW()-3),'V_Hisse'!$AC$2:$AC$42,0))</f>
        <v/>
      </c>
      <c r="AB11" s="8">
        <f>INDEX('V_Hisse'!AA$2:AA$42,MATCH(LARGE('V_Hisse'!$AC$2:$AC$42,ROW()-3),'V_Hisse'!$AC$2:$AC$42,0))</f>
        <v/>
      </c>
    </row>
    <row r="12">
      <c r="A12" t="n">
        <v>9</v>
      </c>
      <c r="B12" s="5">
        <f>INDEX('V_Hisse'!A$2:A$42,MATCH(LARGE('V_Hisse'!$AC$2:$AC$42,ROW()-3),'V_Hisse'!$AC$2:$AC$42,0))</f>
        <v/>
      </c>
      <c r="C12" s="5">
        <f>INDEX('V_Hisse'!B$2:B$42,MATCH(LARGE('V_Hisse'!$AC$2:$AC$42,ROW()-3),'V_Hisse'!$AC$2:$AC$42,0))</f>
        <v/>
      </c>
      <c r="D12" s="5">
        <f>INDEX('V_Hisse'!C$2:C$42,MATCH(LARGE('V_Hisse'!$AC$2:$AC$42,ROW()-3),'V_Hisse'!$AC$2:$AC$42,0))</f>
        <v/>
      </c>
      <c r="E12" s="8">
        <f>INDEX('V_Hisse'!D$2:D$42,MATCH(LARGE('V_Hisse'!$AC$2:$AC$42,ROW()-3),'V_Hisse'!$AC$2:$AC$42,0))</f>
        <v/>
      </c>
      <c r="F12" s="9">
        <f>INDEX('V_Hisse'!E$2:E$42,MATCH(LARGE('V_Hisse'!$AC$2:$AC$42,ROW()-3),'V_Hisse'!$AC$2:$AC$42,0))</f>
        <v/>
      </c>
      <c r="G12" s="9">
        <f>INDEX('V_Hisse'!F$2:F$42,MATCH(LARGE('V_Hisse'!$AC$2:$AC$42,ROW()-3),'V_Hisse'!$AC$2:$AC$42,0))</f>
        <v/>
      </c>
      <c r="H12" s="9">
        <f>INDEX('V_Hisse'!G$2:G$42,MATCH(LARGE('V_Hisse'!$AC$2:$AC$42,ROW()-3),'V_Hisse'!$AC$2:$AC$42,0))</f>
        <v/>
      </c>
      <c r="I12" s="9">
        <f>INDEX('V_Hisse'!H$2:H$42,MATCH(LARGE('V_Hisse'!$AC$2:$AC$42,ROW()-3),'V_Hisse'!$AC$2:$AC$42,0))</f>
        <v/>
      </c>
      <c r="J12" s="9">
        <f>INDEX('V_Hisse'!I$2:I$42,MATCH(LARGE('V_Hisse'!$AC$2:$AC$42,ROW()-3),'V_Hisse'!$AC$2:$AC$42,0))</f>
        <v/>
      </c>
      <c r="K12" s="10">
        <f>INDEX('V_Hisse'!J$2:J$42,MATCH(LARGE('V_Hisse'!$AC$2:$AC$42,ROW()-3),'V_Hisse'!$AC$2:$AC$42,0))</f>
        <v/>
      </c>
      <c r="L12" s="10">
        <f>INDEX('V_Hisse'!K$2:K$42,MATCH(LARGE('V_Hisse'!$AC$2:$AC$42,ROW()-3),'V_Hisse'!$AC$2:$AC$42,0))</f>
        <v/>
      </c>
      <c r="M12" s="8">
        <f>INDEX('V_Hisse'!L$2:L$42,MATCH(LARGE('V_Hisse'!$AC$2:$AC$42,ROW()-3),'V_Hisse'!$AC$2:$AC$42,0))</f>
        <v/>
      </c>
      <c r="N12" s="11">
        <f>INDEX('V_Hisse'!M$2:M$42,MATCH(LARGE('V_Hisse'!$AC$2:$AC$42,ROW()-3),'V_Hisse'!$AC$2:$AC$42,0))</f>
        <v/>
      </c>
      <c r="O12" s="11">
        <f>INDEX('V_Hisse'!N$2:N$42,MATCH(LARGE('V_Hisse'!$AC$2:$AC$42,ROW()-3),'V_Hisse'!$AC$2:$AC$42,0))</f>
        <v/>
      </c>
      <c r="P12" s="8">
        <f>INDEX('V_Hisse'!O$2:O$42,MATCH(LARGE('V_Hisse'!$AC$2:$AC$42,ROW()-3),'V_Hisse'!$AC$2:$AC$42,0))</f>
        <v/>
      </c>
      <c r="Q12" s="9">
        <f>INDEX('V_Hisse'!P$2:P$42,MATCH(LARGE('V_Hisse'!$AC$2:$AC$42,ROW()-3),'V_Hisse'!$AC$2:$AC$42,0))</f>
        <v/>
      </c>
      <c r="R12" s="5">
        <f>INDEX('V_Hisse'!Q$2:Q$42,MATCH(LARGE('V_Hisse'!$AC$2:$AC$42,ROW()-3),'V_Hisse'!$AC$2:$AC$42,0))</f>
        <v/>
      </c>
      <c r="S12" s="8">
        <f>INDEX('V_Hisse'!R$2:R$42,MATCH(LARGE('V_Hisse'!$AC$2:$AC$42,ROW()-3),'V_Hisse'!$AC$2:$AC$42,0))</f>
        <v/>
      </c>
      <c r="T12" s="8">
        <f>INDEX('V_Hisse'!S$2:S$42,MATCH(LARGE('V_Hisse'!$AC$2:$AC$42,ROW()-3),'V_Hisse'!$AC$2:$AC$42,0))</f>
        <v/>
      </c>
      <c r="U12" s="8">
        <f>INDEX('V_Hisse'!T$2:T$42,MATCH(LARGE('V_Hisse'!$AC$2:$AC$42,ROW()-3),'V_Hisse'!$AC$2:$AC$42,0))</f>
        <v/>
      </c>
      <c r="V12" s="8">
        <f>INDEX('V_Hisse'!U$2:U$42,MATCH(LARGE('V_Hisse'!$AC$2:$AC$42,ROW()-3),'V_Hisse'!$AC$2:$AC$42,0))</f>
        <v/>
      </c>
      <c r="W12" s="8">
        <f>INDEX('V_Hisse'!V$2:V$42,MATCH(LARGE('V_Hisse'!$AC$2:$AC$42,ROW()-3),'V_Hisse'!$AC$2:$AC$42,0))</f>
        <v/>
      </c>
      <c r="X12" s="8">
        <f>INDEX('V_Hisse'!W$2:W$42,MATCH(LARGE('V_Hisse'!$AC$2:$AC$42,ROW()-3),'V_Hisse'!$AC$2:$AC$42,0))</f>
        <v/>
      </c>
      <c r="Y12" s="8">
        <f>INDEX('V_Hisse'!X$2:X$42,MATCH(LARGE('V_Hisse'!$AC$2:$AC$42,ROW()-3),'V_Hisse'!$AC$2:$AC$42,0))</f>
        <v/>
      </c>
      <c r="Z12" s="8">
        <f>INDEX('V_Hisse'!Y$2:Y$42,MATCH(LARGE('V_Hisse'!$AC$2:$AC$42,ROW()-3),'V_Hisse'!$AC$2:$AC$42,0))</f>
        <v/>
      </c>
      <c r="AA12" s="8">
        <f>INDEX('V_Hisse'!Z$2:Z$42,MATCH(LARGE('V_Hisse'!$AC$2:$AC$42,ROW()-3),'V_Hisse'!$AC$2:$AC$42,0))</f>
        <v/>
      </c>
      <c r="AB12" s="8">
        <f>INDEX('V_Hisse'!AA$2:AA$42,MATCH(LARGE('V_Hisse'!$AC$2:$AC$42,ROW()-3),'V_Hisse'!$AC$2:$AC$42,0))</f>
        <v/>
      </c>
    </row>
    <row r="13">
      <c r="A13" t="n">
        <v>10</v>
      </c>
      <c r="B13" s="5">
        <f>INDEX('V_Hisse'!A$2:A$42,MATCH(LARGE('V_Hisse'!$AC$2:$AC$42,ROW()-3),'V_Hisse'!$AC$2:$AC$42,0))</f>
        <v/>
      </c>
      <c r="C13" s="5">
        <f>INDEX('V_Hisse'!B$2:B$42,MATCH(LARGE('V_Hisse'!$AC$2:$AC$42,ROW()-3),'V_Hisse'!$AC$2:$AC$42,0))</f>
        <v/>
      </c>
      <c r="D13" s="5">
        <f>INDEX('V_Hisse'!C$2:C$42,MATCH(LARGE('V_Hisse'!$AC$2:$AC$42,ROW()-3),'V_Hisse'!$AC$2:$AC$42,0))</f>
        <v/>
      </c>
      <c r="E13" s="8">
        <f>INDEX('V_Hisse'!D$2:D$42,MATCH(LARGE('V_Hisse'!$AC$2:$AC$42,ROW()-3),'V_Hisse'!$AC$2:$AC$42,0))</f>
        <v/>
      </c>
      <c r="F13" s="9">
        <f>INDEX('V_Hisse'!E$2:E$42,MATCH(LARGE('V_Hisse'!$AC$2:$AC$42,ROW()-3),'V_Hisse'!$AC$2:$AC$42,0))</f>
        <v/>
      </c>
      <c r="G13" s="9">
        <f>INDEX('V_Hisse'!F$2:F$42,MATCH(LARGE('V_Hisse'!$AC$2:$AC$42,ROW()-3),'V_Hisse'!$AC$2:$AC$42,0))</f>
        <v/>
      </c>
      <c r="H13" s="9">
        <f>INDEX('V_Hisse'!G$2:G$42,MATCH(LARGE('V_Hisse'!$AC$2:$AC$42,ROW()-3),'V_Hisse'!$AC$2:$AC$42,0))</f>
        <v/>
      </c>
      <c r="I13" s="9">
        <f>INDEX('V_Hisse'!H$2:H$42,MATCH(LARGE('V_Hisse'!$AC$2:$AC$42,ROW()-3),'V_Hisse'!$AC$2:$AC$42,0))</f>
        <v/>
      </c>
      <c r="J13" s="9">
        <f>INDEX('V_Hisse'!I$2:I$42,MATCH(LARGE('V_Hisse'!$AC$2:$AC$42,ROW()-3),'V_Hisse'!$AC$2:$AC$42,0))</f>
        <v/>
      </c>
      <c r="K13" s="10">
        <f>INDEX('V_Hisse'!J$2:J$42,MATCH(LARGE('V_Hisse'!$AC$2:$AC$42,ROW()-3),'V_Hisse'!$AC$2:$AC$42,0))</f>
        <v/>
      </c>
      <c r="L13" s="10">
        <f>INDEX('V_Hisse'!K$2:K$42,MATCH(LARGE('V_Hisse'!$AC$2:$AC$42,ROW()-3),'V_Hisse'!$AC$2:$AC$42,0))</f>
        <v/>
      </c>
      <c r="M13" s="8">
        <f>INDEX('V_Hisse'!L$2:L$42,MATCH(LARGE('V_Hisse'!$AC$2:$AC$42,ROW()-3),'V_Hisse'!$AC$2:$AC$42,0))</f>
        <v/>
      </c>
      <c r="N13" s="11">
        <f>INDEX('V_Hisse'!M$2:M$42,MATCH(LARGE('V_Hisse'!$AC$2:$AC$42,ROW()-3),'V_Hisse'!$AC$2:$AC$42,0))</f>
        <v/>
      </c>
      <c r="O13" s="11">
        <f>INDEX('V_Hisse'!N$2:N$42,MATCH(LARGE('V_Hisse'!$AC$2:$AC$42,ROW()-3),'V_Hisse'!$AC$2:$AC$42,0))</f>
        <v/>
      </c>
      <c r="P13" s="8">
        <f>INDEX('V_Hisse'!O$2:O$42,MATCH(LARGE('V_Hisse'!$AC$2:$AC$42,ROW()-3),'V_Hisse'!$AC$2:$AC$42,0))</f>
        <v/>
      </c>
      <c r="Q13" s="9">
        <f>INDEX('V_Hisse'!P$2:P$42,MATCH(LARGE('V_Hisse'!$AC$2:$AC$42,ROW()-3),'V_Hisse'!$AC$2:$AC$42,0))</f>
        <v/>
      </c>
      <c r="R13" s="5">
        <f>INDEX('V_Hisse'!Q$2:Q$42,MATCH(LARGE('V_Hisse'!$AC$2:$AC$42,ROW()-3),'V_Hisse'!$AC$2:$AC$42,0))</f>
        <v/>
      </c>
      <c r="S13" s="8">
        <f>INDEX('V_Hisse'!R$2:R$42,MATCH(LARGE('V_Hisse'!$AC$2:$AC$42,ROW()-3),'V_Hisse'!$AC$2:$AC$42,0))</f>
        <v/>
      </c>
      <c r="T13" s="8">
        <f>INDEX('V_Hisse'!S$2:S$42,MATCH(LARGE('V_Hisse'!$AC$2:$AC$42,ROW()-3),'V_Hisse'!$AC$2:$AC$42,0))</f>
        <v/>
      </c>
      <c r="U13" s="8">
        <f>INDEX('V_Hisse'!T$2:T$42,MATCH(LARGE('V_Hisse'!$AC$2:$AC$42,ROW()-3),'V_Hisse'!$AC$2:$AC$42,0))</f>
        <v/>
      </c>
      <c r="V13" s="8">
        <f>INDEX('V_Hisse'!U$2:U$42,MATCH(LARGE('V_Hisse'!$AC$2:$AC$42,ROW()-3),'V_Hisse'!$AC$2:$AC$42,0))</f>
        <v/>
      </c>
      <c r="W13" s="8">
        <f>INDEX('V_Hisse'!V$2:V$42,MATCH(LARGE('V_Hisse'!$AC$2:$AC$42,ROW()-3),'V_Hisse'!$AC$2:$AC$42,0))</f>
        <v/>
      </c>
      <c r="X13" s="8">
        <f>INDEX('V_Hisse'!W$2:W$42,MATCH(LARGE('V_Hisse'!$AC$2:$AC$42,ROW()-3),'V_Hisse'!$AC$2:$AC$42,0))</f>
        <v/>
      </c>
      <c r="Y13" s="8">
        <f>INDEX('V_Hisse'!X$2:X$42,MATCH(LARGE('V_Hisse'!$AC$2:$AC$42,ROW()-3),'V_Hisse'!$AC$2:$AC$42,0))</f>
        <v/>
      </c>
      <c r="Z13" s="8">
        <f>INDEX('V_Hisse'!Y$2:Y$42,MATCH(LARGE('V_Hisse'!$AC$2:$AC$42,ROW()-3),'V_Hisse'!$AC$2:$AC$42,0))</f>
        <v/>
      </c>
      <c r="AA13" s="8">
        <f>INDEX('V_Hisse'!Z$2:Z$42,MATCH(LARGE('V_Hisse'!$AC$2:$AC$42,ROW()-3),'V_Hisse'!$AC$2:$AC$42,0))</f>
        <v/>
      </c>
      <c r="AB13" s="8">
        <f>INDEX('V_Hisse'!AA$2:AA$42,MATCH(LARGE('V_Hisse'!$AC$2:$AC$42,ROW()-3),'V_Hisse'!$AC$2:$AC$42,0))</f>
        <v/>
      </c>
    </row>
    <row r="14">
      <c r="A14" t="n">
        <v>11</v>
      </c>
      <c r="B14" s="5">
        <f>INDEX('V_Hisse'!A$2:A$42,MATCH(LARGE('V_Hisse'!$AC$2:$AC$42,ROW()-3),'V_Hisse'!$AC$2:$AC$42,0))</f>
        <v/>
      </c>
      <c r="C14" s="5">
        <f>INDEX('V_Hisse'!B$2:B$42,MATCH(LARGE('V_Hisse'!$AC$2:$AC$42,ROW()-3),'V_Hisse'!$AC$2:$AC$42,0))</f>
        <v/>
      </c>
      <c r="D14" s="5">
        <f>INDEX('V_Hisse'!C$2:C$42,MATCH(LARGE('V_Hisse'!$AC$2:$AC$42,ROW()-3),'V_Hisse'!$AC$2:$AC$42,0))</f>
        <v/>
      </c>
      <c r="E14" s="8">
        <f>INDEX('V_Hisse'!D$2:D$42,MATCH(LARGE('V_Hisse'!$AC$2:$AC$42,ROW()-3),'V_Hisse'!$AC$2:$AC$42,0))</f>
        <v/>
      </c>
      <c r="F14" s="9">
        <f>INDEX('V_Hisse'!E$2:E$42,MATCH(LARGE('V_Hisse'!$AC$2:$AC$42,ROW()-3),'V_Hisse'!$AC$2:$AC$42,0))</f>
        <v/>
      </c>
      <c r="G14" s="9">
        <f>INDEX('V_Hisse'!F$2:F$42,MATCH(LARGE('V_Hisse'!$AC$2:$AC$42,ROW()-3),'V_Hisse'!$AC$2:$AC$42,0))</f>
        <v/>
      </c>
      <c r="H14" s="9">
        <f>INDEX('V_Hisse'!G$2:G$42,MATCH(LARGE('V_Hisse'!$AC$2:$AC$42,ROW()-3),'V_Hisse'!$AC$2:$AC$42,0))</f>
        <v/>
      </c>
      <c r="I14" s="9">
        <f>INDEX('V_Hisse'!H$2:H$42,MATCH(LARGE('V_Hisse'!$AC$2:$AC$42,ROW()-3),'V_Hisse'!$AC$2:$AC$42,0))</f>
        <v/>
      </c>
      <c r="J14" s="9">
        <f>INDEX('V_Hisse'!I$2:I$42,MATCH(LARGE('V_Hisse'!$AC$2:$AC$42,ROW()-3),'V_Hisse'!$AC$2:$AC$42,0))</f>
        <v/>
      </c>
      <c r="K14" s="10">
        <f>INDEX('V_Hisse'!J$2:J$42,MATCH(LARGE('V_Hisse'!$AC$2:$AC$42,ROW()-3),'V_Hisse'!$AC$2:$AC$42,0))</f>
        <v/>
      </c>
      <c r="L14" s="10">
        <f>INDEX('V_Hisse'!K$2:K$42,MATCH(LARGE('V_Hisse'!$AC$2:$AC$42,ROW()-3),'V_Hisse'!$AC$2:$AC$42,0))</f>
        <v/>
      </c>
      <c r="M14" s="8">
        <f>INDEX('V_Hisse'!L$2:L$42,MATCH(LARGE('V_Hisse'!$AC$2:$AC$42,ROW()-3),'V_Hisse'!$AC$2:$AC$42,0))</f>
        <v/>
      </c>
      <c r="N14" s="11">
        <f>INDEX('V_Hisse'!M$2:M$42,MATCH(LARGE('V_Hisse'!$AC$2:$AC$42,ROW()-3),'V_Hisse'!$AC$2:$AC$42,0))</f>
        <v/>
      </c>
      <c r="O14" s="11">
        <f>INDEX('V_Hisse'!N$2:N$42,MATCH(LARGE('V_Hisse'!$AC$2:$AC$42,ROW()-3),'V_Hisse'!$AC$2:$AC$42,0))</f>
        <v/>
      </c>
      <c r="P14" s="8">
        <f>INDEX('V_Hisse'!O$2:O$42,MATCH(LARGE('V_Hisse'!$AC$2:$AC$42,ROW()-3),'V_Hisse'!$AC$2:$AC$42,0))</f>
        <v/>
      </c>
      <c r="Q14" s="9">
        <f>INDEX('V_Hisse'!P$2:P$42,MATCH(LARGE('V_Hisse'!$AC$2:$AC$42,ROW()-3),'V_Hisse'!$AC$2:$AC$42,0))</f>
        <v/>
      </c>
      <c r="R14" s="5">
        <f>INDEX('V_Hisse'!Q$2:Q$42,MATCH(LARGE('V_Hisse'!$AC$2:$AC$42,ROW()-3),'V_Hisse'!$AC$2:$AC$42,0))</f>
        <v/>
      </c>
      <c r="S14" s="8">
        <f>INDEX('V_Hisse'!R$2:R$42,MATCH(LARGE('V_Hisse'!$AC$2:$AC$42,ROW()-3),'V_Hisse'!$AC$2:$AC$42,0))</f>
        <v/>
      </c>
      <c r="T14" s="8">
        <f>INDEX('V_Hisse'!S$2:S$42,MATCH(LARGE('V_Hisse'!$AC$2:$AC$42,ROW()-3),'V_Hisse'!$AC$2:$AC$42,0))</f>
        <v/>
      </c>
      <c r="U14" s="8">
        <f>INDEX('V_Hisse'!T$2:T$42,MATCH(LARGE('V_Hisse'!$AC$2:$AC$42,ROW()-3),'V_Hisse'!$AC$2:$AC$42,0))</f>
        <v/>
      </c>
      <c r="V14" s="8">
        <f>INDEX('V_Hisse'!U$2:U$42,MATCH(LARGE('V_Hisse'!$AC$2:$AC$42,ROW()-3),'V_Hisse'!$AC$2:$AC$42,0))</f>
        <v/>
      </c>
      <c r="W14" s="8">
        <f>INDEX('V_Hisse'!V$2:V$42,MATCH(LARGE('V_Hisse'!$AC$2:$AC$42,ROW()-3),'V_Hisse'!$AC$2:$AC$42,0))</f>
        <v/>
      </c>
      <c r="X14" s="8">
        <f>INDEX('V_Hisse'!W$2:W$42,MATCH(LARGE('V_Hisse'!$AC$2:$AC$42,ROW()-3),'V_Hisse'!$AC$2:$AC$42,0))</f>
        <v/>
      </c>
      <c r="Y14" s="8">
        <f>INDEX('V_Hisse'!X$2:X$42,MATCH(LARGE('V_Hisse'!$AC$2:$AC$42,ROW()-3),'V_Hisse'!$AC$2:$AC$42,0))</f>
        <v/>
      </c>
      <c r="Z14" s="8">
        <f>INDEX('V_Hisse'!Y$2:Y$42,MATCH(LARGE('V_Hisse'!$AC$2:$AC$42,ROW()-3),'V_Hisse'!$AC$2:$AC$42,0))</f>
        <v/>
      </c>
      <c r="AA14" s="8">
        <f>INDEX('V_Hisse'!Z$2:Z$42,MATCH(LARGE('V_Hisse'!$AC$2:$AC$42,ROW()-3),'V_Hisse'!$AC$2:$AC$42,0))</f>
        <v/>
      </c>
      <c r="AB14" s="8">
        <f>INDEX('V_Hisse'!AA$2:AA$42,MATCH(LARGE('V_Hisse'!$AC$2:$AC$42,ROW()-3),'V_Hisse'!$AC$2:$AC$42,0))</f>
        <v/>
      </c>
    </row>
    <row r="15">
      <c r="A15" t="n">
        <v>12</v>
      </c>
      <c r="B15" s="5">
        <f>INDEX('V_Hisse'!A$2:A$42,MATCH(LARGE('V_Hisse'!$AC$2:$AC$42,ROW()-3),'V_Hisse'!$AC$2:$AC$42,0))</f>
        <v/>
      </c>
      <c r="C15" s="5">
        <f>INDEX('V_Hisse'!B$2:B$42,MATCH(LARGE('V_Hisse'!$AC$2:$AC$42,ROW()-3),'V_Hisse'!$AC$2:$AC$42,0))</f>
        <v/>
      </c>
      <c r="D15" s="5">
        <f>INDEX('V_Hisse'!C$2:C$42,MATCH(LARGE('V_Hisse'!$AC$2:$AC$42,ROW()-3),'V_Hisse'!$AC$2:$AC$42,0))</f>
        <v/>
      </c>
      <c r="E15" s="8">
        <f>INDEX('V_Hisse'!D$2:D$42,MATCH(LARGE('V_Hisse'!$AC$2:$AC$42,ROW()-3),'V_Hisse'!$AC$2:$AC$42,0))</f>
        <v/>
      </c>
      <c r="F15" s="9">
        <f>INDEX('V_Hisse'!E$2:E$42,MATCH(LARGE('V_Hisse'!$AC$2:$AC$42,ROW()-3),'V_Hisse'!$AC$2:$AC$42,0))</f>
        <v/>
      </c>
      <c r="G15" s="9">
        <f>INDEX('V_Hisse'!F$2:F$42,MATCH(LARGE('V_Hisse'!$AC$2:$AC$42,ROW()-3),'V_Hisse'!$AC$2:$AC$42,0))</f>
        <v/>
      </c>
      <c r="H15" s="9">
        <f>INDEX('V_Hisse'!G$2:G$42,MATCH(LARGE('V_Hisse'!$AC$2:$AC$42,ROW()-3),'V_Hisse'!$AC$2:$AC$42,0))</f>
        <v/>
      </c>
      <c r="I15" s="9">
        <f>INDEX('V_Hisse'!H$2:H$42,MATCH(LARGE('V_Hisse'!$AC$2:$AC$42,ROW()-3),'V_Hisse'!$AC$2:$AC$42,0))</f>
        <v/>
      </c>
      <c r="J15" s="9">
        <f>INDEX('V_Hisse'!I$2:I$42,MATCH(LARGE('V_Hisse'!$AC$2:$AC$42,ROW()-3),'V_Hisse'!$AC$2:$AC$42,0))</f>
        <v/>
      </c>
      <c r="K15" s="10">
        <f>INDEX('V_Hisse'!J$2:J$42,MATCH(LARGE('V_Hisse'!$AC$2:$AC$42,ROW()-3),'V_Hisse'!$AC$2:$AC$42,0))</f>
        <v/>
      </c>
      <c r="L15" s="10">
        <f>INDEX('V_Hisse'!K$2:K$42,MATCH(LARGE('V_Hisse'!$AC$2:$AC$42,ROW()-3),'V_Hisse'!$AC$2:$AC$42,0))</f>
        <v/>
      </c>
      <c r="M15" s="8">
        <f>INDEX('V_Hisse'!L$2:L$42,MATCH(LARGE('V_Hisse'!$AC$2:$AC$42,ROW()-3),'V_Hisse'!$AC$2:$AC$42,0))</f>
        <v/>
      </c>
      <c r="N15" s="11">
        <f>INDEX('V_Hisse'!M$2:M$42,MATCH(LARGE('V_Hisse'!$AC$2:$AC$42,ROW()-3),'V_Hisse'!$AC$2:$AC$42,0))</f>
        <v/>
      </c>
      <c r="O15" s="11">
        <f>INDEX('V_Hisse'!N$2:N$42,MATCH(LARGE('V_Hisse'!$AC$2:$AC$42,ROW()-3),'V_Hisse'!$AC$2:$AC$42,0))</f>
        <v/>
      </c>
      <c r="P15" s="8">
        <f>INDEX('V_Hisse'!O$2:O$42,MATCH(LARGE('V_Hisse'!$AC$2:$AC$42,ROW()-3),'V_Hisse'!$AC$2:$AC$42,0))</f>
        <v/>
      </c>
      <c r="Q15" s="9">
        <f>INDEX('V_Hisse'!P$2:P$42,MATCH(LARGE('V_Hisse'!$AC$2:$AC$42,ROW()-3),'V_Hisse'!$AC$2:$AC$42,0))</f>
        <v/>
      </c>
      <c r="R15" s="5">
        <f>INDEX('V_Hisse'!Q$2:Q$42,MATCH(LARGE('V_Hisse'!$AC$2:$AC$42,ROW()-3),'V_Hisse'!$AC$2:$AC$42,0))</f>
        <v/>
      </c>
      <c r="S15" s="8">
        <f>INDEX('V_Hisse'!R$2:R$42,MATCH(LARGE('V_Hisse'!$AC$2:$AC$42,ROW()-3),'V_Hisse'!$AC$2:$AC$42,0))</f>
        <v/>
      </c>
      <c r="T15" s="8">
        <f>INDEX('V_Hisse'!S$2:S$42,MATCH(LARGE('V_Hisse'!$AC$2:$AC$42,ROW()-3),'V_Hisse'!$AC$2:$AC$42,0))</f>
        <v/>
      </c>
      <c r="U15" s="8">
        <f>INDEX('V_Hisse'!T$2:T$42,MATCH(LARGE('V_Hisse'!$AC$2:$AC$42,ROW()-3),'V_Hisse'!$AC$2:$AC$42,0))</f>
        <v/>
      </c>
      <c r="V15" s="8">
        <f>INDEX('V_Hisse'!U$2:U$42,MATCH(LARGE('V_Hisse'!$AC$2:$AC$42,ROW()-3),'V_Hisse'!$AC$2:$AC$42,0))</f>
        <v/>
      </c>
      <c r="W15" s="8">
        <f>INDEX('V_Hisse'!V$2:V$42,MATCH(LARGE('V_Hisse'!$AC$2:$AC$42,ROW()-3),'V_Hisse'!$AC$2:$AC$42,0))</f>
        <v/>
      </c>
      <c r="X15" s="8">
        <f>INDEX('V_Hisse'!W$2:W$42,MATCH(LARGE('V_Hisse'!$AC$2:$AC$42,ROW()-3),'V_Hisse'!$AC$2:$AC$42,0))</f>
        <v/>
      </c>
      <c r="Y15" s="8">
        <f>INDEX('V_Hisse'!X$2:X$42,MATCH(LARGE('V_Hisse'!$AC$2:$AC$42,ROW()-3),'V_Hisse'!$AC$2:$AC$42,0))</f>
        <v/>
      </c>
      <c r="Z15" s="8">
        <f>INDEX('V_Hisse'!Y$2:Y$42,MATCH(LARGE('V_Hisse'!$AC$2:$AC$42,ROW()-3),'V_Hisse'!$AC$2:$AC$42,0))</f>
        <v/>
      </c>
      <c r="AA15" s="8">
        <f>INDEX('V_Hisse'!Z$2:Z$42,MATCH(LARGE('V_Hisse'!$AC$2:$AC$42,ROW()-3),'V_Hisse'!$AC$2:$AC$42,0))</f>
        <v/>
      </c>
      <c r="AB15" s="8">
        <f>INDEX('V_Hisse'!AA$2:AA$42,MATCH(LARGE('V_Hisse'!$AC$2:$AC$42,ROW()-3),'V_Hisse'!$AC$2:$AC$42,0))</f>
        <v/>
      </c>
    </row>
    <row r="16">
      <c r="A16" t="n">
        <v>13</v>
      </c>
      <c r="B16" s="5">
        <f>INDEX('V_Hisse'!A$2:A$42,MATCH(LARGE('V_Hisse'!$AC$2:$AC$42,ROW()-3),'V_Hisse'!$AC$2:$AC$42,0))</f>
        <v/>
      </c>
      <c r="C16" s="5">
        <f>INDEX('V_Hisse'!B$2:B$42,MATCH(LARGE('V_Hisse'!$AC$2:$AC$42,ROW()-3),'V_Hisse'!$AC$2:$AC$42,0))</f>
        <v/>
      </c>
      <c r="D16" s="5">
        <f>INDEX('V_Hisse'!C$2:C$42,MATCH(LARGE('V_Hisse'!$AC$2:$AC$42,ROW()-3),'V_Hisse'!$AC$2:$AC$42,0))</f>
        <v/>
      </c>
      <c r="E16" s="8">
        <f>INDEX('V_Hisse'!D$2:D$42,MATCH(LARGE('V_Hisse'!$AC$2:$AC$42,ROW()-3),'V_Hisse'!$AC$2:$AC$42,0))</f>
        <v/>
      </c>
      <c r="F16" s="9">
        <f>INDEX('V_Hisse'!E$2:E$42,MATCH(LARGE('V_Hisse'!$AC$2:$AC$42,ROW()-3),'V_Hisse'!$AC$2:$AC$42,0))</f>
        <v/>
      </c>
      <c r="G16" s="9">
        <f>INDEX('V_Hisse'!F$2:F$42,MATCH(LARGE('V_Hisse'!$AC$2:$AC$42,ROW()-3),'V_Hisse'!$AC$2:$AC$42,0))</f>
        <v/>
      </c>
      <c r="H16" s="9">
        <f>INDEX('V_Hisse'!G$2:G$42,MATCH(LARGE('V_Hisse'!$AC$2:$AC$42,ROW()-3),'V_Hisse'!$AC$2:$AC$42,0))</f>
        <v/>
      </c>
      <c r="I16" s="9">
        <f>INDEX('V_Hisse'!H$2:H$42,MATCH(LARGE('V_Hisse'!$AC$2:$AC$42,ROW()-3),'V_Hisse'!$AC$2:$AC$42,0))</f>
        <v/>
      </c>
      <c r="J16" s="9">
        <f>INDEX('V_Hisse'!I$2:I$42,MATCH(LARGE('V_Hisse'!$AC$2:$AC$42,ROW()-3),'V_Hisse'!$AC$2:$AC$42,0))</f>
        <v/>
      </c>
      <c r="K16" s="10">
        <f>INDEX('V_Hisse'!J$2:J$42,MATCH(LARGE('V_Hisse'!$AC$2:$AC$42,ROW()-3),'V_Hisse'!$AC$2:$AC$42,0))</f>
        <v/>
      </c>
      <c r="L16" s="10">
        <f>INDEX('V_Hisse'!K$2:K$42,MATCH(LARGE('V_Hisse'!$AC$2:$AC$42,ROW()-3),'V_Hisse'!$AC$2:$AC$42,0))</f>
        <v/>
      </c>
      <c r="M16" s="8">
        <f>INDEX('V_Hisse'!L$2:L$42,MATCH(LARGE('V_Hisse'!$AC$2:$AC$42,ROW()-3),'V_Hisse'!$AC$2:$AC$42,0))</f>
        <v/>
      </c>
      <c r="N16" s="11">
        <f>INDEX('V_Hisse'!M$2:M$42,MATCH(LARGE('V_Hisse'!$AC$2:$AC$42,ROW()-3),'V_Hisse'!$AC$2:$AC$42,0))</f>
        <v/>
      </c>
      <c r="O16" s="11">
        <f>INDEX('V_Hisse'!N$2:N$42,MATCH(LARGE('V_Hisse'!$AC$2:$AC$42,ROW()-3),'V_Hisse'!$AC$2:$AC$42,0))</f>
        <v/>
      </c>
      <c r="P16" s="8">
        <f>INDEX('V_Hisse'!O$2:O$42,MATCH(LARGE('V_Hisse'!$AC$2:$AC$42,ROW()-3),'V_Hisse'!$AC$2:$AC$42,0))</f>
        <v/>
      </c>
      <c r="Q16" s="9">
        <f>INDEX('V_Hisse'!P$2:P$42,MATCH(LARGE('V_Hisse'!$AC$2:$AC$42,ROW()-3),'V_Hisse'!$AC$2:$AC$42,0))</f>
        <v/>
      </c>
      <c r="R16" s="5">
        <f>INDEX('V_Hisse'!Q$2:Q$42,MATCH(LARGE('V_Hisse'!$AC$2:$AC$42,ROW()-3),'V_Hisse'!$AC$2:$AC$42,0))</f>
        <v/>
      </c>
      <c r="S16" s="8">
        <f>INDEX('V_Hisse'!R$2:R$42,MATCH(LARGE('V_Hisse'!$AC$2:$AC$42,ROW()-3),'V_Hisse'!$AC$2:$AC$42,0))</f>
        <v/>
      </c>
      <c r="T16" s="8">
        <f>INDEX('V_Hisse'!S$2:S$42,MATCH(LARGE('V_Hisse'!$AC$2:$AC$42,ROW()-3),'V_Hisse'!$AC$2:$AC$42,0))</f>
        <v/>
      </c>
      <c r="U16" s="8">
        <f>INDEX('V_Hisse'!T$2:T$42,MATCH(LARGE('V_Hisse'!$AC$2:$AC$42,ROW()-3),'V_Hisse'!$AC$2:$AC$42,0))</f>
        <v/>
      </c>
      <c r="V16" s="8">
        <f>INDEX('V_Hisse'!U$2:U$42,MATCH(LARGE('V_Hisse'!$AC$2:$AC$42,ROW()-3),'V_Hisse'!$AC$2:$AC$42,0))</f>
        <v/>
      </c>
      <c r="W16" s="8">
        <f>INDEX('V_Hisse'!V$2:V$42,MATCH(LARGE('V_Hisse'!$AC$2:$AC$42,ROW()-3),'V_Hisse'!$AC$2:$AC$42,0))</f>
        <v/>
      </c>
      <c r="X16" s="8">
        <f>INDEX('V_Hisse'!W$2:W$42,MATCH(LARGE('V_Hisse'!$AC$2:$AC$42,ROW()-3),'V_Hisse'!$AC$2:$AC$42,0))</f>
        <v/>
      </c>
      <c r="Y16" s="8">
        <f>INDEX('V_Hisse'!X$2:X$42,MATCH(LARGE('V_Hisse'!$AC$2:$AC$42,ROW()-3),'V_Hisse'!$AC$2:$AC$42,0))</f>
        <v/>
      </c>
      <c r="Z16" s="8">
        <f>INDEX('V_Hisse'!Y$2:Y$42,MATCH(LARGE('V_Hisse'!$AC$2:$AC$42,ROW()-3),'V_Hisse'!$AC$2:$AC$42,0))</f>
        <v/>
      </c>
      <c r="AA16" s="8">
        <f>INDEX('V_Hisse'!Z$2:Z$42,MATCH(LARGE('V_Hisse'!$AC$2:$AC$42,ROW()-3),'V_Hisse'!$AC$2:$AC$42,0))</f>
        <v/>
      </c>
      <c r="AB16" s="8">
        <f>INDEX('V_Hisse'!AA$2:AA$42,MATCH(LARGE('V_Hisse'!$AC$2:$AC$42,ROW()-3),'V_Hisse'!$AC$2:$AC$42,0))</f>
        <v/>
      </c>
    </row>
    <row r="17">
      <c r="A17" t="n">
        <v>14</v>
      </c>
      <c r="B17" s="5">
        <f>INDEX('V_Hisse'!A$2:A$42,MATCH(LARGE('V_Hisse'!$AC$2:$AC$42,ROW()-3),'V_Hisse'!$AC$2:$AC$42,0))</f>
        <v/>
      </c>
      <c r="C17" s="5">
        <f>INDEX('V_Hisse'!B$2:B$42,MATCH(LARGE('V_Hisse'!$AC$2:$AC$42,ROW()-3),'V_Hisse'!$AC$2:$AC$42,0))</f>
        <v/>
      </c>
      <c r="D17" s="5">
        <f>INDEX('V_Hisse'!C$2:C$42,MATCH(LARGE('V_Hisse'!$AC$2:$AC$42,ROW()-3),'V_Hisse'!$AC$2:$AC$42,0))</f>
        <v/>
      </c>
      <c r="E17" s="8">
        <f>INDEX('V_Hisse'!D$2:D$42,MATCH(LARGE('V_Hisse'!$AC$2:$AC$42,ROW()-3),'V_Hisse'!$AC$2:$AC$42,0))</f>
        <v/>
      </c>
      <c r="F17" s="9">
        <f>INDEX('V_Hisse'!E$2:E$42,MATCH(LARGE('V_Hisse'!$AC$2:$AC$42,ROW()-3),'V_Hisse'!$AC$2:$AC$42,0))</f>
        <v/>
      </c>
      <c r="G17" s="9">
        <f>INDEX('V_Hisse'!F$2:F$42,MATCH(LARGE('V_Hisse'!$AC$2:$AC$42,ROW()-3),'V_Hisse'!$AC$2:$AC$42,0))</f>
        <v/>
      </c>
      <c r="H17" s="9">
        <f>INDEX('V_Hisse'!G$2:G$42,MATCH(LARGE('V_Hisse'!$AC$2:$AC$42,ROW()-3),'V_Hisse'!$AC$2:$AC$42,0))</f>
        <v/>
      </c>
      <c r="I17" s="9">
        <f>INDEX('V_Hisse'!H$2:H$42,MATCH(LARGE('V_Hisse'!$AC$2:$AC$42,ROW()-3),'V_Hisse'!$AC$2:$AC$42,0))</f>
        <v/>
      </c>
      <c r="J17" s="9">
        <f>INDEX('V_Hisse'!I$2:I$42,MATCH(LARGE('V_Hisse'!$AC$2:$AC$42,ROW()-3),'V_Hisse'!$AC$2:$AC$42,0))</f>
        <v/>
      </c>
      <c r="K17" s="10">
        <f>INDEX('V_Hisse'!J$2:J$42,MATCH(LARGE('V_Hisse'!$AC$2:$AC$42,ROW()-3),'V_Hisse'!$AC$2:$AC$42,0))</f>
        <v/>
      </c>
      <c r="L17" s="10">
        <f>INDEX('V_Hisse'!K$2:K$42,MATCH(LARGE('V_Hisse'!$AC$2:$AC$42,ROW()-3),'V_Hisse'!$AC$2:$AC$42,0))</f>
        <v/>
      </c>
      <c r="M17" s="8">
        <f>INDEX('V_Hisse'!L$2:L$42,MATCH(LARGE('V_Hisse'!$AC$2:$AC$42,ROW()-3),'V_Hisse'!$AC$2:$AC$42,0))</f>
        <v/>
      </c>
      <c r="N17" s="11">
        <f>INDEX('V_Hisse'!M$2:M$42,MATCH(LARGE('V_Hisse'!$AC$2:$AC$42,ROW()-3),'V_Hisse'!$AC$2:$AC$42,0))</f>
        <v/>
      </c>
      <c r="O17" s="11">
        <f>INDEX('V_Hisse'!N$2:N$42,MATCH(LARGE('V_Hisse'!$AC$2:$AC$42,ROW()-3),'V_Hisse'!$AC$2:$AC$42,0))</f>
        <v/>
      </c>
      <c r="P17" s="8">
        <f>INDEX('V_Hisse'!O$2:O$42,MATCH(LARGE('V_Hisse'!$AC$2:$AC$42,ROW()-3),'V_Hisse'!$AC$2:$AC$42,0))</f>
        <v/>
      </c>
      <c r="Q17" s="9">
        <f>INDEX('V_Hisse'!P$2:P$42,MATCH(LARGE('V_Hisse'!$AC$2:$AC$42,ROW()-3),'V_Hisse'!$AC$2:$AC$42,0))</f>
        <v/>
      </c>
      <c r="R17" s="5">
        <f>INDEX('V_Hisse'!Q$2:Q$42,MATCH(LARGE('V_Hisse'!$AC$2:$AC$42,ROW()-3),'V_Hisse'!$AC$2:$AC$42,0))</f>
        <v/>
      </c>
      <c r="S17" s="8">
        <f>INDEX('V_Hisse'!R$2:R$42,MATCH(LARGE('V_Hisse'!$AC$2:$AC$42,ROW()-3),'V_Hisse'!$AC$2:$AC$42,0))</f>
        <v/>
      </c>
      <c r="T17" s="8">
        <f>INDEX('V_Hisse'!S$2:S$42,MATCH(LARGE('V_Hisse'!$AC$2:$AC$42,ROW()-3),'V_Hisse'!$AC$2:$AC$42,0))</f>
        <v/>
      </c>
      <c r="U17" s="8">
        <f>INDEX('V_Hisse'!T$2:T$42,MATCH(LARGE('V_Hisse'!$AC$2:$AC$42,ROW()-3),'V_Hisse'!$AC$2:$AC$42,0))</f>
        <v/>
      </c>
      <c r="V17" s="8">
        <f>INDEX('V_Hisse'!U$2:U$42,MATCH(LARGE('V_Hisse'!$AC$2:$AC$42,ROW()-3),'V_Hisse'!$AC$2:$AC$42,0))</f>
        <v/>
      </c>
      <c r="W17" s="8">
        <f>INDEX('V_Hisse'!V$2:V$42,MATCH(LARGE('V_Hisse'!$AC$2:$AC$42,ROW()-3),'V_Hisse'!$AC$2:$AC$42,0))</f>
        <v/>
      </c>
      <c r="X17" s="8">
        <f>INDEX('V_Hisse'!W$2:W$42,MATCH(LARGE('V_Hisse'!$AC$2:$AC$42,ROW()-3),'V_Hisse'!$AC$2:$AC$42,0))</f>
        <v/>
      </c>
      <c r="Y17" s="8">
        <f>INDEX('V_Hisse'!X$2:X$42,MATCH(LARGE('V_Hisse'!$AC$2:$AC$42,ROW()-3),'V_Hisse'!$AC$2:$AC$42,0))</f>
        <v/>
      </c>
      <c r="Z17" s="8">
        <f>INDEX('V_Hisse'!Y$2:Y$42,MATCH(LARGE('V_Hisse'!$AC$2:$AC$42,ROW()-3),'V_Hisse'!$AC$2:$AC$42,0))</f>
        <v/>
      </c>
      <c r="AA17" s="8">
        <f>INDEX('V_Hisse'!Z$2:Z$42,MATCH(LARGE('V_Hisse'!$AC$2:$AC$42,ROW()-3),'V_Hisse'!$AC$2:$AC$42,0))</f>
        <v/>
      </c>
      <c r="AB17" s="8">
        <f>INDEX('V_Hisse'!AA$2:AA$42,MATCH(LARGE('V_Hisse'!$AC$2:$AC$42,ROW()-3),'V_Hisse'!$AC$2:$AC$42,0))</f>
        <v/>
      </c>
    </row>
    <row r="18">
      <c r="A18" t="n">
        <v>15</v>
      </c>
      <c r="B18" s="5">
        <f>INDEX('V_Hisse'!A$2:A$42,MATCH(LARGE('V_Hisse'!$AC$2:$AC$42,ROW()-3),'V_Hisse'!$AC$2:$AC$42,0))</f>
        <v/>
      </c>
      <c r="C18" s="5">
        <f>INDEX('V_Hisse'!B$2:B$42,MATCH(LARGE('V_Hisse'!$AC$2:$AC$42,ROW()-3),'V_Hisse'!$AC$2:$AC$42,0))</f>
        <v/>
      </c>
      <c r="D18" s="5">
        <f>INDEX('V_Hisse'!C$2:C$42,MATCH(LARGE('V_Hisse'!$AC$2:$AC$42,ROW()-3),'V_Hisse'!$AC$2:$AC$42,0))</f>
        <v/>
      </c>
      <c r="E18" s="8">
        <f>INDEX('V_Hisse'!D$2:D$42,MATCH(LARGE('V_Hisse'!$AC$2:$AC$42,ROW()-3),'V_Hisse'!$AC$2:$AC$42,0))</f>
        <v/>
      </c>
      <c r="F18" s="9">
        <f>INDEX('V_Hisse'!E$2:E$42,MATCH(LARGE('V_Hisse'!$AC$2:$AC$42,ROW()-3),'V_Hisse'!$AC$2:$AC$42,0))</f>
        <v/>
      </c>
      <c r="G18" s="9">
        <f>INDEX('V_Hisse'!F$2:F$42,MATCH(LARGE('V_Hisse'!$AC$2:$AC$42,ROW()-3),'V_Hisse'!$AC$2:$AC$42,0))</f>
        <v/>
      </c>
      <c r="H18" s="9">
        <f>INDEX('V_Hisse'!G$2:G$42,MATCH(LARGE('V_Hisse'!$AC$2:$AC$42,ROW()-3),'V_Hisse'!$AC$2:$AC$42,0))</f>
        <v/>
      </c>
      <c r="I18" s="9">
        <f>INDEX('V_Hisse'!H$2:H$42,MATCH(LARGE('V_Hisse'!$AC$2:$AC$42,ROW()-3),'V_Hisse'!$AC$2:$AC$42,0))</f>
        <v/>
      </c>
      <c r="J18" s="9">
        <f>INDEX('V_Hisse'!I$2:I$42,MATCH(LARGE('V_Hisse'!$AC$2:$AC$42,ROW()-3),'V_Hisse'!$AC$2:$AC$42,0))</f>
        <v/>
      </c>
      <c r="K18" s="10">
        <f>INDEX('V_Hisse'!J$2:J$42,MATCH(LARGE('V_Hisse'!$AC$2:$AC$42,ROW()-3),'V_Hisse'!$AC$2:$AC$42,0))</f>
        <v/>
      </c>
      <c r="L18" s="10">
        <f>INDEX('V_Hisse'!K$2:K$42,MATCH(LARGE('V_Hisse'!$AC$2:$AC$42,ROW()-3),'V_Hisse'!$AC$2:$AC$42,0))</f>
        <v/>
      </c>
      <c r="M18" s="8">
        <f>INDEX('V_Hisse'!L$2:L$42,MATCH(LARGE('V_Hisse'!$AC$2:$AC$42,ROW()-3),'V_Hisse'!$AC$2:$AC$42,0))</f>
        <v/>
      </c>
      <c r="N18" s="11">
        <f>INDEX('V_Hisse'!M$2:M$42,MATCH(LARGE('V_Hisse'!$AC$2:$AC$42,ROW()-3),'V_Hisse'!$AC$2:$AC$42,0))</f>
        <v/>
      </c>
      <c r="O18" s="11">
        <f>INDEX('V_Hisse'!N$2:N$42,MATCH(LARGE('V_Hisse'!$AC$2:$AC$42,ROW()-3),'V_Hisse'!$AC$2:$AC$42,0))</f>
        <v/>
      </c>
      <c r="P18" s="8">
        <f>INDEX('V_Hisse'!O$2:O$42,MATCH(LARGE('V_Hisse'!$AC$2:$AC$42,ROW()-3),'V_Hisse'!$AC$2:$AC$42,0))</f>
        <v/>
      </c>
      <c r="Q18" s="9">
        <f>INDEX('V_Hisse'!P$2:P$42,MATCH(LARGE('V_Hisse'!$AC$2:$AC$42,ROW()-3),'V_Hisse'!$AC$2:$AC$42,0))</f>
        <v/>
      </c>
      <c r="R18" s="5">
        <f>INDEX('V_Hisse'!Q$2:Q$42,MATCH(LARGE('V_Hisse'!$AC$2:$AC$42,ROW()-3),'V_Hisse'!$AC$2:$AC$42,0))</f>
        <v/>
      </c>
      <c r="S18" s="8">
        <f>INDEX('V_Hisse'!R$2:R$42,MATCH(LARGE('V_Hisse'!$AC$2:$AC$42,ROW()-3),'V_Hisse'!$AC$2:$AC$42,0))</f>
        <v/>
      </c>
      <c r="T18" s="8">
        <f>INDEX('V_Hisse'!S$2:S$42,MATCH(LARGE('V_Hisse'!$AC$2:$AC$42,ROW()-3),'V_Hisse'!$AC$2:$AC$42,0))</f>
        <v/>
      </c>
      <c r="U18" s="8">
        <f>INDEX('V_Hisse'!T$2:T$42,MATCH(LARGE('V_Hisse'!$AC$2:$AC$42,ROW()-3),'V_Hisse'!$AC$2:$AC$42,0))</f>
        <v/>
      </c>
      <c r="V18" s="8">
        <f>INDEX('V_Hisse'!U$2:U$42,MATCH(LARGE('V_Hisse'!$AC$2:$AC$42,ROW()-3),'V_Hisse'!$AC$2:$AC$42,0))</f>
        <v/>
      </c>
      <c r="W18" s="8">
        <f>INDEX('V_Hisse'!V$2:V$42,MATCH(LARGE('V_Hisse'!$AC$2:$AC$42,ROW()-3),'V_Hisse'!$AC$2:$AC$42,0))</f>
        <v/>
      </c>
      <c r="X18" s="8">
        <f>INDEX('V_Hisse'!W$2:W$42,MATCH(LARGE('V_Hisse'!$AC$2:$AC$42,ROW()-3),'V_Hisse'!$AC$2:$AC$42,0))</f>
        <v/>
      </c>
      <c r="Y18" s="8">
        <f>INDEX('V_Hisse'!X$2:X$42,MATCH(LARGE('V_Hisse'!$AC$2:$AC$42,ROW()-3),'V_Hisse'!$AC$2:$AC$42,0))</f>
        <v/>
      </c>
      <c r="Z18" s="8">
        <f>INDEX('V_Hisse'!Y$2:Y$42,MATCH(LARGE('V_Hisse'!$AC$2:$AC$42,ROW()-3),'V_Hisse'!$AC$2:$AC$42,0))</f>
        <v/>
      </c>
      <c r="AA18" s="8">
        <f>INDEX('V_Hisse'!Z$2:Z$42,MATCH(LARGE('V_Hisse'!$AC$2:$AC$42,ROW()-3),'V_Hisse'!$AC$2:$AC$42,0))</f>
        <v/>
      </c>
      <c r="AB18" s="8">
        <f>INDEX('V_Hisse'!AA$2:AA$42,MATCH(LARGE('V_Hisse'!$AC$2:$AC$42,ROW()-3),'V_Hisse'!$AC$2:$AC$42,0))</f>
        <v/>
      </c>
    </row>
    <row r="19">
      <c r="A19" t="n">
        <v>16</v>
      </c>
      <c r="B19" s="5">
        <f>INDEX('V_Hisse'!A$2:A$42,MATCH(LARGE('V_Hisse'!$AC$2:$AC$42,ROW()-3),'V_Hisse'!$AC$2:$AC$42,0))</f>
        <v/>
      </c>
      <c r="C19" s="5">
        <f>INDEX('V_Hisse'!B$2:B$42,MATCH(LARGE('V_Hisse'!$AC$2:$AC$42,ROW()-3),'V_Hisse'!$AC$2:$AC$42,0))</f>
        <v/>
      </c>
      <c r="D19" s="5">
        <f>INDEX('V_Hisse'!C$2:C$42,MATCH(LARGE('V_Hisse'!$AC$2:$AC$42,ROW()-3),'V_Hisse'!$AC$2:$AC$42,0))</f>
        <v/>
      </c>
      <c r="E19" s="8">
        <f>INDEX('V_Hisse'!D$2:D$42,MATCH(LARGE('V_Hisse'!$AC$2:$AC$42,ROW()-3),'V_Hisse'!$AC$2:$AC$42,0))</f>
        <v/>
      </c>
      <c r="F19" s="9">
        <f>INDEX('V_Hisse'!E$2:E$42,MATCH(LARGE('V_Hisse'!$AC$2:$AC$42,ROW()-3),'V_Hisse'!$AC$2:$AC$42,0))</f>
        <v/>
      </c>
      <c r="G19" s="9">
        <f>INDEX('V_Hisse'!F$2:F$42,MATCH(LARGE('V_Hisse'!$AC$2:$AC$42,ROW()-3),'V_Hisse'!$AC$2:$AC$42,0))</f>
        <v/>
      </c>
      <c r="H19" s="9">
        <f>INDEX('V_Hisse'!G$2:G$42,MATCH(LARGE('V_Hisse'!$AC$2:$AC$42,ROW()-3),'V_Hisse'!$AC$2:$AC$42,0))</f>
        <v/>
      </c>
      <c r="I19" s="9">
        <f>INDEX('V_Hisse'!H$2:H$42,MATCH(LARGE('V_Hisse'!$AC$2:$AC$42,ROW()-3),'V_Hisse'!$AC$2:$AC$42,0))</f>
        <v/>
      </c>
      <c r="J19" s="9">
        <f>INDEX('V_Hisse'!I$2:I$42,MATCH(LARGE('V_Hisse'!$AC$2:$AC$42,ROW()-3),'V_Hisse'!$AC$2:$AC$42,0))</f>
        <v/>
      </c>
      <c r="K19" s="10">
        <f>INDEX('V_Hisse'!J$2:J$42,MATCH(LARGE('V_Hisse'!$AC$2:$AC$42,ROW()-3),'V_Hisse'!$AC$2:$AC$42,0))</f>
        <v/>
      </c>
      <c r="L19" s="10">
        <f>INDEX('V_Hisse'!K$2:K$42,MATCH(LARGE('V_Hisse'!$AC$2:$AC$42,ROW()-3),'V_Hisse'!$AC$2:$AC$42,0))</f>
        <v/>
      </c>
      <c r="M19" s="8">
        <f>INDEX('V_Hisse'!L$2:L$42,MATCH(LARGE('V_Hisse'!$AC$2:$AC$42,ROW()-3),'V_Hisse'!$AC$2:$AC$42,0))</f>
        <v/>
      </c>
      <c r="N19" s="11">
        <f>INDEX('V_Hisse'!M$2:M$42,MATCH(LARGE('V_Hisse'!$AC$2:$AC$42,ROW()-3),'V_Hisse'!$AC$2:$AC$42,0))</f>
        <v/>
      </c>
      <c r="O19" s="11">
        <f>INDEX('V_Hisse'!N$2:N$42,MATCH(LARGE('V_Hisse'!$AC$2:$AC$42,ROW()-3),'V_Hisse'!$AC$2:$AC$42,0))</f>
        <v/>
      </c>
      <c r="P19" s="8">
        <f>INDEX('V_Hisse'!O$2:O$42,MATCH(LARGE('V_Hisse'!$AC$2:$AC$42,ROW()-3),'V_Hisse'!$AC$2:$AC$42,0))</f>
        <v/>
      </c>
      <c r="Q19" s="9">
        <f>INDEX('V_Hisse'!P$2:P$42,MATCH(LARGE('V_Hisse'!$AC$2:$AC$42,ROW()-3),'V_Hisse'!$AC$2:$AC$42,0))</f>
        <v/>
      </c>
      <c r="R19" s="5">
        <f>INDEX('V_Hisse'!Q$2:Q$42,MATCH(LARGE('V_Hisse'!$AC$2:$AC$42,ROW()-3),'V_Hisse'!$AC$2:$AC$42,0))</f>
        <v/>
      </c>
      <c r="S19" s="8">
        <f>INDEX('V_Hisse'!R$2:R$42,MATCH(LARGE('V_Hisse'!$AC$2:$AC$42,ROW()-3),'V_Hisse'!$AC$2:$AC$42,0))</f>
        <v/>
      </c>
      <c r="T19" s="8">
        <f>INDEX('V_Hisse'!S$2:S$42,MATCH(LARGE('V_Hisse'!$AC$2:$AC$42,ROW()-3),'V_Hisse'!$AC$2:$AC$42,0))</f>
        <v/>
      </c>
      <c r="U19" s="8">
        <f>INDEX('V_Hisse'!T$2:T$42,MATCH(LARGE('V_Hisse'!$AC$2:$AC$42,ROW()-3),'V_Hisse'!$AC$2:$AC$42,0))</f>
        <v/>
      </c>
      <c r="V19" s="8">
        <f>INDEX('V_Hisse'!U$2:U$42,MATCH(LARGE('V_Hisse'!$AC$2:$AC$42,ROW()-3),'V_Hisse'!$AC$2:$AC$42,0))</f>
        <v/>
      </c>
      <c r="W19" s="8">
        <f>INDEX('V_Hisse'!V$2:V$42,MATCH(LARGE('V_Hisse'!$AC$2:$AC$42,ROW()-3),'V_Hisse'!$AC$2:$AC$42,0))</f>
        <v/>
      </c>
      <c r="X19" s="8">
        <f>INDEX('V_Hisse'!W$2:W$42,MATCH(LARGE('V_Hisse'!$AC$2:$AC$42,ROW()-3),'V_Hisse'!$AC$2:$AC$42,0))</f>
        <v/>
      </c>
      <c r="Y19" s="8">
        <f>INDEX('V_Hisse'!X$2:X$42,MATCH(LARGE('V_Hisse'!$AC$2:$AC$42,ROW()-3),'V_Hisse'!$AC$2:$AC$42,0))</f>
        <v/>
      </c>
      <c r="Z19" s="8">
        <f>INDEX('V_Hisse'!Y$2:Y$42,MATCH(LARGE('V_Hisse'!$AC$2:$AC$42,ROW()-3),'V_Hisse'!$AC$2:$AC$42,0))</f>
        <v/>
      </c>
      <c r="AA19" s="8">
        <f>INDEX('V_Hisse'!Z$2:Z$42,MATCH(LARGE('V_Hisse'!$AC$2:$AC$42,ROW()-3),'V_Hisse'!$AC$2:$AC$42,0))</f>
        <v/>
      </c>
      <c r="AB19" s="8">
        <f>INDEX('V_Hisse'!AA$2:AA$42,MATCH(LARGE('V_Hisse'!$AC$2:$AC$42,ROW()-3),'V_Hisse'!$AC$2:$AC$42,0))</f>
        <v/>
      </c>
    </row>
    <row r="20">
      <c r="A20" t="n">
        <v>17</v>
      </c>
      <c r="B20" s="5">
        <f>INDEX('V_Hisse'!A$2:A$42,MATCH(LARGE('V_Hisse'!$AC$2:$AC$42,ROW()-3),'V_Hisse'!$AC$2:$AC$42,0))</f>
        <v/>
      </c>
      <c r="C20" s="5">
        <f>INDEX('V_Hisse'!B$2:B$42,MATCH(LARGE('V_Hisse'!$AC$2:$AC$42,ROW()-3),'V_Hisse'!$AC$2:$AC$42,0))</f>
        <v/>
      </c>
      <c r="D20" s="5">
        <f>INDEX('V_Hisse'!C$2:C$42,MATCH(LARGE('V_Hisse'!$AC$2:$AC$42,ROW()-3),'V_Hisse'!$AC$2:$AC$42,0))</f>
        <v/>
      </c>
      <c r="E20" s="8">
        <f>INDEX('V_Hisse'!D$2:D$42,MATCH(LARGE('V_Hisse'!$AC$2:$AC$42,ROW()-3),'V_Hisse'!$AC$2:$AC$42,0))</f>
        <v/>
      </c>
      <c r="F20" s="9">
        <f>INDEX('V_Hisse'!E$2:E$42,MATCH(LARGE('V_Hisse'!$AC$2:$AC$42,ROW()-3),'V_Hisse'!$AC$2:$AC$42,0))</f>
        <v/>
      </c>
      <c r="G20" s="9">
        <f>INDEX('V_Hisse'!F$2:F$42,MATCH(LARGE('V_Hisse'!$AC$2:$AC$42,ROW()-3),'V_Hisse'!$AC$2:$AC$42,0))</f>
        <v/>
      </c>
      <c r="H20" s="9">
        <f>INDEX('V_Hisse'!G$2:G$42,MATCH(LARGE('V_Hisse'!$AC$2:$AC$42,ROW()-3),'V_Hisse'!$AC$2:$AC$42,0))</f>
        <v/>
      </c>
      <c r="I20" s="9">
        <f>INDEX('V_Hisse'!H$2:H$42,MATCH(LARGE('V_Hisse'!$AC$2:$AC$42,ROW()-3),'V_Hisse'!$AC$2:$AC$42,0))</f>
        <v/>
      </c>
      <c r="J20" s="9">
        <f>INDEX('V_Hisse'!I$2:I$42,MATCH(LARGE('V_Hisse'!$AC$2:$AC$42,ROW()-3),'V_Hisse'!$AC$2:$AC$42,0))</f>
        <v/>
      </c>
      <c r="K20" s="10">
        <f>INDEX('V_Hisse'!J$2:J$42,MATCH(LARGE('V_Hisse'!$AC$2:$AC$42,ROW()-3),'V_Hisse'!$AC$2:$AC$42,0))</f>
        <v/>
      </c>
      <c r="L20" s="10">
        <f>INDEX('V_Hisse'!K$2:K$42,MATCH(LARGE('V_Hisse'!$AC$2:$AC$42,ROW()-3),'V_Hisse'!$AC$2:$AC$42,0))</f>
        <v/>
      </c>
      <c r="M20" s="8">
        <f>INDEX('V_Hisse'!L$2:L$42,MATCH(LARGE('V_Hisse'!$AC$2:$AC$42,ROW()-3),'V_Hisse'!$AC$2:$AC$42,0))</f>
        <v/>
      </c>
      <c r="N20" s="11">
        <f>INDEX('V_Hisse'!M$2:M$42,MATCH(LARGE('V_Hisse'!$AC$2:$AC$42,ROW()-3),'V_Hisse'!$AC$2:$AC$42,0))</f>
        <v/>
      </c>
      <c r="O20" s="11">
        <f>INDEX('V_Hisse'!N$2:N$42,MATCH(LARGE('V_Hisse'!$AC$2:$AC$42,ROW()-3),'V_Hisse'!$AC$2:$AC$42,0))</f>
        <v/>
      </c>
      <c r="P20" s="8">
        <f>INDEX('V_Hisse'!O$2:O$42,MATCH(LARGE('V_Hisse'!$AC$2:$AC$42,ROW()-3),'V_Hisse'!$AC$2:$AC$42,0))</f>
        <v/>
      </c>
      <c r="Q20" s="9">
        <f>INDEX('V_Hisse'!P$2:P$42,MATCH(LARGE('V_Hisse'!$AC$2:$AC$42,ROW()-3),'V_Hisse'!$AC$2:$AC$42,0))</f>
        <v/>
      </c>
      <c r="R20" s="5">
        <f>INDEX('V_Hisse'!Q$2:Q$42,MATCH(LARGE('V_Hisse'!$AC$2:$AC$42,ROW()-3),'V_Hisse'!$AC$2:$AC$42,0))</f>
        <v/>
      </c>
      <c r="S20" s="8">
        <f>INDEX('V_Hisse'!R$2:R$42,MATCH(LARGE('V_Hisse'!$AC$2:$AC$42,ROW()-3),'V_Hisse'!$AC$2:$AC$42,0))</f>
        <v/>
      </c>
      <c r="T20" s="8">
        <f>INDEX('V_Hisse'!S$2:S$42,MATCH(LARGE('V_Hisse'!$AC$2:$AC$42,ROW()-3),'V_Hisse'!$AC$2:$AC$42,0))</f>
        <v/>
      </c>
      <c r="U20" s="8">
        <f>INDEX('V_Hisse'!T$2:T$42,MATCH(LARGE('V_Hisse'!$AC$2:$AC$42,ROW()-3),'V_Hisse'!$AC$2:$AC$42,0))</f>
        <v/>
      </c>
      <c r="V20" s="8">
        <f>INDEX('V_Hisse'!U$2:U$42,MATCH(LARGE('V_Hisse'!$AC$2:$AC$42,ROW()-3),'V_Hisse'!$AC$2:$AC$42,0))</f>
        <v/>
      </c>
      <c r="W20" s="8">
        <f>INDEX('V_Hisse'!V$2:V$42,MATCH(LARGE('V_Hisse'!$AC$2:$AC$42,ROW()-3),'V_Hisse'!$AC$2:$AC$42,0))</f>
        <v/>
      </c>
      <c r="X20" s="8">
        <f>INDEX('V_Hisse'!W$2:W$42,MATCH(LARGE('V_Hisse'!$AC$2:$AC$42,ROW()-3),'V_Hisse'!$AC$2:$AC$42,0))</f>
        <v/>
      </c>
      <c r="Y20" s="8">
        <f>INDEX('V_Hisse'!X$2:X$42,MATCH(LARGE('V_Hisse'!$AC$2:$AC$42,ROW()-3),'V_Hisse'!$AC$2:$AC$42,0))</f>
        <v/>
      </c>
      <c r="Z20" s="8">
        <f>INDEX('V_Hisse'!Y$2:Y$42,MATCH(LARGE('V_Hisse'!$AC$2:$AC$42,ROW()-3),'V_Hisse'!$AC$2:$AC$42,0))</f>
        <v/>
      </c>
      <c r="AA20" s="8">
        <f>INDEX('V_Hisse'!Z$2:Z$42,MATCH(LARGE('V_Hisse'!$AC$2:$AC$42,ROW()-3),'V_Hisse'!$AC$2:$AC$42,0))</f>
        <v/>
      </c>
      <c r="AB20" s="8">
        <f>INDEX('V_Hisse'!AA$2:AA$42,MATCH(LARGE('V_Hisse'!$AC$2:$AC$42,ROW()-3),'V_Hisse'!$AC$2:$AC$42,0))</f>
        <v/>
      </c>
    </row>
    <row r="21">
      <c r="A21" t="n">
        <v>18</v>
      </c>
      <c r="B21" s="5">
        <f>INDEX('V_Hisse'!A$2:A$42,MATCH(LARGE('V_Hisse'!$AC$2:$AC$42,ROW()-3),'V_Hisse'!$AC$2:$AC$42,0))</f>
        <v/>
      </c>
      <c r="C21" s="5">
        <f>INDEX('V_Hisse'!B$2:B$42,MATCH(LARGE('V_Hisse'!$AC$2:$AC$42,ROW()-3),'V_Hisse'!$AC$2:$AC$42,0))</f>
        <v/>
      </c>
      <c r="D21" s="5">
        <f>INDEX('V_Hisse'!C$2:C$42,MATCH(LARGE('V_Hisse'!$AC$2:$AC$42,ROW()-3),'V_Hisse'!$AC$2:$AC$42,0))</f>
        <v/>
      </c>
      <c r="E21" s="8">
        <f>INDEX('V_Hisse'!D$2:D$42,MATCH(LARGE('V_Hisse'!$AC$2:$AC$42,ROW()-3),'V_Hisse'!$AC$2:$AC$42,0))</f>
        <v/>
      </c>
      <c r="F21" s="9">
        <f>INDEX('V_Hisse'!E$2:E$42,MATCH(LARGE('V_Hisse'!$AC$2:$AC$42,ROW()-3),'V_Hisse'!$AC$2:$AC$42,0))</f>
        <v/>
      </c>
      <c r="G21" s="9">
        <f>INDEX('V_Hisse'!F$2:F$42,MATCH(LARGE('V_Hisse'!$AC$2:$AC$42,ROW()-3),'V_Hisse'!$AC$2:$AC$42,0))</f>
        <v/>
      </c>
      <c r="H21" s="9">
        <f>INDEX('V_Hisse'!G$2:G$42,MATCH(LARGE('V_Hisse'!$AC$2:$AC$42,ROW()-3),'V_Hisse'!$AC$2:$AC$42,0))</f>
        <v/>
      </c>
      <c r="I21" s="9">
        <f>INDEX('V_Hisse'!H$2:H$42,MATCH(LARGE('V_Hisse'!$AC$2:$AC$42,ROW()-3),'V_Hisse'!$AC$2:$AC$42,0))</f>
        <v/>
      </c>
      <c r="J21" s="9">
        <f>INDEX('V_Hisse'!I$2:I$42,MATCH(LARGE('V_Hisse'!$AC$2:$AC$42,ROW()-3),'V_Hisse'!$AC$2:$AC$42,0))</f>
        <v/>
      </c>
      <c r="K21" s="10">
        <f>INDEX('V_Hisse'!J$2:J$42,MATCH(LARGE('V_Hisse'!$AC$2:$AC$42,ROW()-3),'V_Hisse'!$AC$2:$AC$42,0))</f>
        <v/>
      </c>
      <c r="L21" s="10">
        <f>INDEX('V_Hisse'!K$2:K$42,MATCH(LARGE('V_Hisse'!$AC$2:$AC$42,ROW()-3),'V_Hisse'!$AC$2:$AC$42,0))</f>
        <v/>
      </c>
      <c r="M21" s="8">
        <f>INDEX('V_Hisse'!L$2:L$42,MATCH(LARGE('V_Hisse'!$AC$2:$AC$42,ROW()-3),'V_Hisse'!$AC$2:$AC$42,0))</f>
        <v/>
      </c>
      <c r="N21" s="11">
        <f>INDEX('V_Hisse'!M$2:M$42,MATCH(LARGE('V_Hisse'!$AC$2:$AC$42,ROW()-3),'V_Hisse'!$AC$2:$AC$42,0))</f>
        <v/>
      </c>
      <c r="O21" s="11">
        <f>INDEX('V_Hisse'!N$2:N$42,MATCH(LARGE('V_Hisse'!$AC$2:$AC$42,ROW()-3),'V_Hisse'!$AC$2:$AC$42,0))</f>
        <v/>
      </c>
      <c r="P21" s="8">
        <f>INDEX('V_Hisse'!O$2:O$42,MATCH(LARGE('V_Hisse'!$AC$2:$AC$42,ROW()-3),'V_Hisse'!$AC$2:$AC$42,0))</f>
        <v/>
      </c>
      <c r="Q21" s="9">
        <f>INDEX('V_Hisse'!P$2:P$42,MATCH(LARGE('V_Hisse'!$AC$2:$AC$42,ROW()-3),'V_Hisse'!$AC$2:$AC$42,0))</f>
        <v/>
      </c>
      <c r="R21" s="5">
        <f>INDEX('V_Hisse'!Q$2:Q$42,MATCH(LARGE('V_Hisse'!$AC$2:$AC$42,ROW()-3),'V_Hisse'!$AC$2:$AC$42,0))</f>
        <v/>
      </c>
      <c r="S21" s="8">
        <f>INDEX('V_Hisse'!R$2:R$42,MATCH(LARGE('V_Hisse'!$AC$2:$AC$42,ROW()-3),'V_Hisse'!$AC$2:$AC$42,0))</f>
        <v/>
      </c>
      <c r="T21" s="8">
        <f>INDEX('V_Hisse'!S$2:S$42,MATCH(LARGE('V_Hisse'!$AC$2:$AC$42,ROW()-3),'V_Hisse'!$AC$2:$AC$42,0))</f>
        <v/>
      </c>
      <c r="U21" s="8">
        <f>INDEX('V_Hisse'!T$2:T$42,MATCH(LARGE('V_Hisse'!$AC$2:$AC$42,ROW()-3),'V_Hisse'!$AC$2:$AC$42,0))</f>
        <v/>
      </c>
      <c r="V21" s="8">
        <f>INDEX('V_Hisse'!U$2:U$42,MATCH(LARGE('V_Hisse'!$AC$2:$AC$42,ROW()-3),'V_Hisse'!$AC$2:$AC$42,0))</f>
        <v/>
      </c>
      <c r="W21" s="8">
        <f>INDEX('V_Hisse'!V$2:V$42,MATCH(LARGE('V_Hisse'!$AC$2:$AC$42,ROW()-3),'V_Hisse'!$AC$2:$AC$42,0))</f>
        <v/>
      </c>
      <c r="X21" s="8">
        <f>INDEX('V_Hisse'!W$2:W$42,MATCH(LARGE('V_Hisse'!$AC$2:$AC$42,ROW()-3),'V_Hisse'!$AC$2:$AC$42,0))</f>
        <v/>
      </c>
      <c r="Y21" s="8">
        <f>INDEX('V_Hisse'!X$2:X$42,MATCH(LARGE('V_Hisse'!$AC$2:$AC$42,ROW()-3),'V_Hisse'!$AC$2:$AC$42,0))</f>
        <v/>
      </c>
      <c r="Z21" s="8">
        <f>INDEX('V_Hisse'!Y$2:Y$42,MATCH(LARGE('V_Hisse'!$AC$2:$AC$42,ROW()-3),'V_Hisse'!$AC$2:$AC$42,0))</f>
        <v/>
      </c>
      <c r="AA21" s="8">
        <f>INDEX('V_Hisse'!Z$2:Z$42,MATCH(LARGE('V_Hisse'!$AC$2:$AC$42,ROW()-3),'V_Hisse'!$AC$2:$AC$42,0))</f>
        <v/>
      </c>
      <c r="AB21" s="8">
        <f>INDEX('V_Hisse'!AA$2:AA$42,MATCH(LARGE('V_Hisse'!$AC$2:$AC$42,ROW()-3),'V_Hisse'!$AC$2:$AC$42,0))</f>
        <v/>
      </c>
    </row>
    <row r="22">
      <c r="A22" t="n">
        <v>19</v>
      </c>
      <c r="B22" s="5">
        <f>INDEX('V_Hisse'!A$2:A$42,MATCH(LARGE('V_Hisse'!$AC$2:$AC$42,ROW()-3),'V_Hisse'!$AC$2:$AC$42,0))</f>
        <v/>
      </c>
      <c r="C22" s="5">
        <f>INDEX('V_Hisse'!B$2:B$42,MATCH(LARGE('V_Hisse'!$AC$2:$AC$42,ROW()-3),'V_Hisse'!$AC$2:$AC$42,0))</f>
        <v/>
      </c>
      <c r="D22" s="5">
        <f>INDEX('V_Hisse'!C$2:C$42,MATCH(LARGE('V_Hisse'!$AC$2:$AC$42,ROW()-3),'V_Hisse'!$AC$2:$AC$42,0))</f>
        <v/>
      </c>
      <c r="E22" s="8">
        <f>INDEX('V_Hisse'!D$2:D$42,MATCH(LARGE('V_Hisse'!$AC$2:$AC$42,ROW()-3),'V_Hisse'!$AC$2:$AC$42,0))</f>
        <v/>
      </c>
      <c r="F22" s="9">
        <f>INDEX('V_Hisse'!E$2:E$42,MATCH(LARGE('V_Hisse'!$AC$2:$AC$42,ROW()-3),'V_Hisse'!$AC$2:$AC$42,0))</f>
        <v/>
      </c>
      <c r="G22" s="9">
        <f>INDEX('V_Hisse'!F$2:F$42,MATCH(LARGE('V_Hisse'!$AC$2:$AC$42,ROW()-3),'V_Hisse'!$AC$2:$AC$42,0))</f>
        <v/>
      </c>
      <c r="H22" s="9">
        <f>INDEX('V_Hisse'!G$2:G$42,MATCH(LARGE('V_Hisse'!$AC$2:$AC$42,ROW()-3),'V_Hisse'!$AC$2:$AC$42,0))</f>
        <v/>
      </c>
      <c r="I22" s="9">
        <f>INDEX('V_Hisse'!H$2:H$42,MATCH(LARGE('V_Hisse'!$AC$2:$AC$42,ROW()-3),'V_Hisse'!$AC$2:$AC$42,0))</f>
        <v/>
      </c>
      <c r="J22" s="9">
        <f>INDEX('V_Hisse'!I$2:I$42,MATCH(LARGE('V_Hisse'!$AC$2:$AC$42,ROW()-3),'V_Hisse'!$AC$2:$AC$42,0))</f>
        <v/>
      </c>
      <c r="K22" s="10">
        <f>INDEX('V_Hisse'!J$2:J$42,MATCH(LARGE('V_Hisse'!$AC$2:$AC$42,ROW()-3),'V_Hisse'!$AC$2:$AC$42,0))</f>
        <v/>
      </c>
      <c r="L22" s="10">
        <f>INDEX('V_Hisse'!K$2:K$42,MATCH(LARGE('V_Hisse'!$AC$2:$AC$42,ROW()-3),'V_Hisse'!$AC$2:$AC$42,0))</f>
        <v/>
      </c>
      <c r="M22" s="8">
        <f>INDEX('V_Hisse'!L$2:L$42,MATCH(LARGE('V_Hisse'!$AC$2:$AC$42,ROW()-3),'V_Hisse'!$AC$2:$AC$42,0))</f>
        <v/>
      </c>
      <c r="N22" s="11">
        <f>INDEX('V_Hisse'!M$2:M$42,MATCH(LARGE('V_Hisse'!$AC$2:$AC$42,ROW()-3),'V_Hisse'!$AC$2:$AC$42,0))</f>
        <v/>
      </c>
      <c r="O22" s="11">
        <f>INDEX('V_Hisse'!N$2:N$42,MATCH(LARGE('V_Hisse'!$AC$2:$AC$42,ROW()-3),'V_Hisse'!$AC$2:$AC$42,0))</f>
        <v/>
      </c>
      <c r="P22" s="8">
        <f>INDEX('V_Hisse'!O$2:O$42,MATCH(LARGE('V_Hisse'!$AC$2:$AC$42,ROW()-3),'V_Hisse'!$AC$2:$AC$42,0))</f>
        <v/>
      </c>
      <c r="Q22" s="9">
        <f>INDEX('V_Hisse'!P$2:P$42,MATCH(LARGE('V_Hisse'!$AC$2:$AC$42,ROW()-3),'V_Hisse'!$AC$2:$AC$42,0))</f>
        <v/>
      </c>
      <c r="R22" s="5">
        <f>INDEX('V_Hisse'!Q$2:Q$42,MATCH(LARGE('V_Hisse'!$AC$2:$AC$42,ROW()-3),'V_Hisse'!$AC$2:$AC$42,0))</f>
        <v/>
      </c>
      <c r="S22" s="8">
        <f>INDEX('V_Hisse'!R$2:R$42,MATCH(LARGE('V_Hisse'!$AC$2:$AC$42,ROW()-3),'V_Hisse'!$AC$2:$AC$42,0))</f>
        <v/>
      </c>
      <c r="T22" s="8">
        <f>INDEX('V_Hisse'!S$2:S$42,MATCH(LARGE('V_Hisse'!$AC$2:$AC$42,ROW()-3),'V_Hisse'!$AC$2:$AC$42,0))</f>
        <v/>
      </c>
      <c r="U22" s="8">
        <f>INDEX('V_Hisse'!T$2:T$42,MATCH(LARGE('V_Hisse'!$AC$2:$AC$42,ROW()-3),'V_Hisse'!$AC$2:$AC$42,0))</f>
        <v/>
      </c>
      <c r="V22" s="8">
        <f>INDEX('V_Hisse'!U$2:U$42,MATCH(LARGE('V_Hisse'!$AC$2:$AC$42,ROW()-3),'V_Hisse'!$AC$2:$AC$42,0))</f>
        <v/>
      </c>
      <c r="W22" s="8">
        <f>INDEX('V_Hisse'!V$2:V$42,MATCH(LARGE('V_Hisse'!$AC$2:$AC$42,ROW()-3),'V_Hisse'!$AC$2:$AC$42,0))</f>
        <v/>
      </c>
      <c r="X22" s="8">
        <f>INDEX('V_Hisse'!W$2:W$42,MATCH(LARGE('V_Hisse'!$AC$2:$AC$42,ROW()-3),'V_Hisse'!$AC$2:$AC$42,0))</f>
        <v/>
      </c>
      <c r="Y22" s="8">
        <f>INDEX('V_Hisse'!X$2:X$42,MATCH(LARGE('V_Hisse'!$AC$2:$AC$42,ROW()-3),'V_Hisse'!$AC$2:$AC$42,0))</f>
        <v/>
      </c>
      <c r="Z22" s="8">
        <f>INDEX('V_Hisse'!Y$2:Y$42,MATCH(LARGE('V_Hisse'!$AC$2:$AC$42,ROW()-3),'V_Hisse'!$AC$2:$AC$42,0))</f>
        <v/>
      </c>
      <c r="AA22" s="8">
        <f>INDEX('V_Hisse'!Z$2:Z$42,MATCH(LARGE('V_Hisse'!$AC$2:$AC$42,ROW()-3),'V_Hisse'!$AC$2:$AC$42,0))</f>
        <v/>
      </c>
      <c r="AB22" s="8">
        <f>INDEX('V_Hisse'!AA$2:AA$42,MATCH(LARGE('V_Hisse'!$AC$2:$AC$42,ROW()-3),'V_Hisse'!$AC$2:$AC$42,0))</f>
        <v/>
      </c>
    </row>
    <row r="23">
      <c r="A23" t="n">
        <v>20</v>
      </c>
      <c r="B23" s="5">
        <f>INDEX('V_Hisse'!A$2:A$42,MATCH(LARGE('V_Hisse'!$AC$2:$AC$42,ROW()-3),'V_Hisse'!$AC$2:$AC$42,0))</f>
        <v/>
      </c>
      <c r="C23" s="5">
        <f>INDEX('V_Hisse'!B$2:B$42,MATCH(LARGE('V_Hisse'!$AC$2:$AC$42,ROW()-3),'V_Hisse'!$AC$2:$AC$42,0))</f>
        <v/>
      </c>
      <c r="D23" s="5">
        <f>INDEX('V_Hisse'!C$2:C$42,MATCH(LARGE('V_Hisse'!$AC$2:$AC$42,ROW()-3),'V_Hisse'!$AC$2:$AC$42,0))</f>
        <v/>
      </c>
      <c r="E23" s="8">
        <f>INDEX('V_Hisse'!D$2:D$42,MATCH(LARGE('V_Hisse'!$AC$2:$AC$42,ROW()-3),'V_Hisse'!$AC$2:$AC$42,0))</f>
        <v/>
      </c>
      <c r="F23" s="9">
        <f>INDEX('V_Hisse'!E$2:E$42,MATCH(LARGE('V_Hisse'!$AC$2:$AC$42,ROW()-3),'V_Hisse'!$AC$2:$AC$42,0))</f>
        <v/>
      </c>
      <c r="G23" s="9">
        <f>INDEX('V_Hisse'!F$2:F$42,MATCH(LARGE('V_Hisse'!$AC$2:$AC$42,ROW()-3),'V_Hisse'!$AC$2:$AC$42,0))</f>
        <v/>
      </c>
      <c r="H23" s="9">
        <f>INDEX('V_Hisse'!G$2:G$42,MATCH(LARGE('V_Hisse'!$AC$2:$AC$42,ROW()-3),'V_Hisse'!$AC$2:$AC$42,0))</f>
        <v/>
      </c>
      <c r="I23" s="9">
        <f>INDEX('V_Hisse'!H$2:H$42,MATCH(LARGE('V_Hisse'!$AC$2:$AC$42,ROW()-3),'V_Hisse'!$AC$2:$AC$42,0))</f>
        <v/>
      </c>
      <c r="J23" s="9">
        <f>INDEX('V_Hisse'!I$2:I$42,MATCH(LARGE('V_Hisse'!$AC$2:$AC$42,ROW()-3),'V_Hisse'!$AC$2:$AC$42,0))</f>
        <v/>
      </c>
      <c r="K23" s="10">
        <f>INDEX('V_Hisse'!J$2:J$42,MATCH(LARGE('V_Hisse'!$AC$2:$AC$42,ROW()-3),'V_Hisse'!$AC$2:$AC$42,0))</f>
        <v/>
      </c>
      <c r="L23" s="10">
        <f>INDEX('V_Hisse'!K$2:K$42,MATCH(LARGE('V_Hisse'!$AC$2:$AC$42,ROW()-3),'V_Hisse'!$AC$2:$AC$42,0))</f>
        <v/>
      </c>
      <c r="M23" s="8">
        <f>INDEX('V_Hisse'!L$2:L$42,MATCH(LARGE('V_Hisse'!$AC$2:$AC$42,ROW()-3),'V_Hisse'!$AC$2:$AC$42,0))</f>
        <v/>
      </c>
      <c r="N23" s="11">
        <f>INDEX('V_Hisse'!M$2:M$42,MATCH(LARGE('V_Hisse'!$AC$2:$AC$42,ROW()-3),'V_Hisse'!$AC$2:$AC$42,0))</f>
        <v/>
      </c>
      <c r="O23" s="11">
        <f>INDEX('V_Hisse'!N$2:N$42,MATCH(LARGE('V_Hisse'!$AC$2:$AC$42,ROW()-3),'V_Hisse'!$AC$2:$AC$42,0))</f>
        <v/>
      </c>
      <c r="P23" s="8">
        <f>INDEX('V_Hisse'!O$2:O$42,MATCH(LARGE('V_Hisse'!$AC$2:$AC$42,ROW()-3),'V_Hisse'!$AC$2:$AC$42,0))</f>
        <v/>
      </c>
      <c r="Q23" s="9">
        <f>INDEX('V_Hisse'!P$2:P$42,MATCH(LARGE('V_Hisse'!$AC$2:$AC$42,ROW()-3),'V_Hisse'!$AC$2:$AC$42,0))</f>
        <v/>
      </c>
      <c r="R23" s="5">
        <f>INDEX('V_Hisse'!Q$2:Q$42,MATCH(LARGE('V_Hisse'!$AC$2:$AC$42,ROW()-3),'V_Hisse'!$AC$2:$AC$42,0))</f>
        <v/>
      </c>
      <c r="S23" s="8">
        <f>INDEX('V_Hisse'!R$2:R$42,MATCH(LARGE('V_Hisse'!$AC$2:$AC$42,ROW()-3),'V_Hisse'!$AC$2:$AC$42,0))</f>
        <v/>
      </c>
      <c r="T23" s="8">
        <f>INDEX('V_Hisse'!S$2:S$42,MATCH(LARGE('V_Hisse'!$AC$2:$AC$42,ROW()-3),'V_Hisse'!$AC$2:$AC$42,0))</f>
        <v/>
      </c>
      <c r="U23" s="8">
        <f>INDEX('V_Hisse'!T$2:T$42,MATCH(LARGE('V_Hisse'!$AC$2:$AC$42,ROW()-3),'V_Hisse'!$AC$2:$AC$42,0))</f>
        <v/>
      </c>
      <c r="V23" s="8">
        <f>INDEX('V_Hisse'!U$2:U$42,MATCH(LARGE('V_Hisse'!$AC$2:$AC$42,ROW()-3),'V_Hisse'!$AC$2:$AC$42,0))</f>
        <v/>
      </c>
      <c r="W23" s="8">
        <f>INDEX('V_Hisse'!V$2:V$42,MATCH(LARGE('V_Hisse'!$AC$2:$AC$42,ROW()-3),'V_Hisse'!$AC$2:$AC$42,0))</f>
        <v/>
      </c>
      <c r="X23" s="8">
        <f>INDEX('V_Hisse'!W$2:W$42,MATCH(LARGE('V_Hisse'!$AC$2:$AC$42,ROW()-3),'V_Hisse'!$AC$2:$AC$42,0))</f>
        <v/>
      </c>
      <c r="Y23" s="8">
        <f>INDEX('V_Hisse'!X$2:X$42,MATCH(LARGE('V_Hisse'!$AC$2:$AC$42,ROW()-3),'V_Hisse'!$AC$2:$AC$42,0))</f>
        <v/>
      </c>
      <c r="Z23" s="8">
        <f>INDEX('V_Hisse'!Y$2:Y$42,MATCH(LARGE('V_Hisse'!$AC$2:$AC$42,ROW()-3),'V_Hisse'!$AC$2:$AC$42,0))</f>
        <v/>
      </c>
      <c r="AA23" s="8">
        <f>INDEX('V_Hisse'!Z$2:Z$42,MATCH(LARGE('V_Hisse'!$AC$2:$AC$42,ROW()-3),'V_Hisse'!$AC$2:$AC$42,0))</f>
        <v/>
      </c>
      <c r="AB23" s="8">
        <f>INDEX('V_Hisse'!AA$2:AA$42,MATCH(LARGE('V_Hisse'!$AC$2:$AC$42,ROW()-3),'V_Hisse'!$AC$2:$AC$42,0))</f>
        <v/>
      </c>
    </row>
    <row r="24">
      <c r="A24" t="n">
        <v>21</v>
      </c>
      <c r="B24" s="5">
        <f>INDEX('V_Hisse'!A$2:A$42,MATCH(LARGE('V_Hisse'!$AC$2:$AC$42,ROW()-3),'V_Hisse'!$AC$2:$AC$42,0))</f>
        <v/>
      </c>
      <c r="C24" s="5">
        <f>INDEX('V_Hisse'!B$2:B$42,MATCH(LARGE('V_Hisse'!$AC$2:$AC$42,ROW()-3),'V_Hisse'!$AC$2:$AC$42,0))</f>
        <v/>
      </c>
      <c r="D24" s="5">
        <f>INDEX('V_Hisse'!C$2:C$42,MATCH(LARGE('V_Hisse'!$AC$2:$AC$42,ROW()-3),'V_Hisse'!$AC$2:$AC$42,0))</f>
        <v/>
      </c>
      <c r="E24" s="8">
        <f>INDEX('V_Hisse'!D$2:D$42,MATCH(LARGE('V_Hisse'!$AC$2:$AC$42,ROW()-3),'V_Hisse'!$AC$2:$AC$42,0))</f>
        <v/>
      </c>
      <c r="F24" s="9">
        <f>INDEX('V_Hisse'!E$2:E$42,MATCH(LARGE('V_Hisse'!$AC$2:$AC$42,ROW()-3),'V_Hisse'!$AC$2:$AC$42,0))</f>
        <v/>
      </c>
      <c r="G24" s="9">
        <f>INDEX('V_Hisse'!F$2:F$42,MATCH(LARGE('V_Hisse'!$AC$2:$AC$42,ROW()-3),'V_Hisse'!$AC$2:$AC$42,0))</f>
        <v/>
      </c>
      <c r="H24" s="9">
        <f>INDEX('V_Hisse'!G$2:G$42,MATCH(LARGE('V_Hisse'!$AC$2:$AC$42,ROW()-3),'V_Hisse'!$AC$2:$AC$42,0))</f>
        <v/>
      </c>
      <c r="I24" s="9">
        <f>INDEX('V_Hisse'!H$2:H$42,MATCH(LARGE('V_Hisse'!$AC$2:$AC$42,ROW()-3),'V_Hisse'!$AC$2:$AC$42,0))</f>
        <v/>
      </c>
      <c r="J24" s="9">
        <f>INDEX('V_Hisse'!I$2:I$42,MATCH(LARGE('V_Hisse'!$AC$2:$AC$42,ROW()-3),'V_Hisse'!$AC$2:$AC$42,0))</f>
        <v/>
      </c>
      <c r="K24" s="10">
        <f>INDEX('V_Hisse'!J$2:J$42,MATCH(LARGE('V_Hisse'!$AC$2:$AC$42,ROW()-3),'V_Hisse'!$AC$2:$AC$42,0))</f>
        <v/>
      </c>
      <c r="L24" s="10">
        <f>INDEX('V_Hisse'!K$2:K$42,MATCH(LARGE('V_Hisse'!$AC$2:$AC$42,ROW()-3),'V_Hisse'!$AC$2:$AC$42,0))</f>
        <v/>
      </c>
      <c r="M24" s="8">
        <f>INDEX('V_Hisse'!L$2:L$42,MATCH(LARGE('V_Hisse'!$AC$2:$AC$42,ROW()-3),'V_Hisse'!$AC$2:$AC$42,0))</f>
        <v/>
      </c>
      <c r="N24" s="11">
        <f>INDEX('V_Hisse'!M$2:M$42,MATCH(LARGE('V_Hisse'!$AC$2:$AC$42,ROW()-3),'V_Hisse'!$AC$2:$AC$42,0))</f>
        <v/>
      </c>
      <c r="O24" s="11">
        <f>INDEX('V_Hisse'!N$2:N$42,MATCH(LARGE('V_Hisse'!$AC$2:$AC$42,ROW()-3),'V_Hisse'!$AC$2:$AC$42,0))</f>
        <v/>
      </c>
      <c r="P24" s="8">
        <f>INDEX('V_Hisse'!O$2:O$42,MATCH(LARGE('V_Hisse'!$AC$2:$AC$42,ROW()-3),'V_Hisse'!$AC$2:$AC$42,0))</f>
        <v/>
      </c>
      <c r="Q24" s="9">
        <f>INDEX('V_Hisse'!P$2:P$42,MATCH(LARGE('V_Hisse'!$AC$2:$AC$42,ROW()-3),'V_Hisse'!$AC$2:$AC$42,0))</f>
        <v/>
      </c>
      <c r="R24" s="5">
        <f>INDEX('V_Hisse'!Q$2:Q$42,MATCH(LARGE('V_Hisse'!$AC$2:$AC$42,ROW()-3),'V_Hisse'!$AC$2:$AC$42,0))</f>
        <v/>
      </c>
      <c r="S24" s="8">
        <f>INDEX('V_Hisse'!R$2:R$42,MATCH(LARGE('V_Hisse'!$AC$2:$AC$42,ROW()-3),'V_Hisse'!$AC$2:$AC$42,0))</f>
        <v/>
      </c>
      <c r="T24" s="8">
        <f>INDEX('V_Hisse'!S$2:S$42,MATCH(LARGE('V_Hisse'!$AC$2:$AC$42,ROW()-3),'V_Hisse'!$AC$2:$AC$42,0))</f>
        <v/>
      </c>
      <c r="U24" s="8">
        <f>INDEX('V_Hisse'!T$2:T$42,MATCH(LARGE('V_Hisse'!$AC$2:$AC$42,ROW()-3),'V_Hisse'!$AC$2:$AC$42,0))</f>
        <v/>
      </c>
      <c r="V24" s="8">
        <f>INDEX('V_Hisse'!U$2:U$42,MATCH(LARGE('V_Hisse'!$AC$2:$AC$42,ROW()-3),'V_Hisse'!$AC$2:$AC$42,0))</f>
        <v/>
      </c>
      <c r="W24" s="8">
        <f>INDEX('V_Hisse'!V$2:V$42,MATCH(LARGE('V_Hisse'!$AC$2:$AC$42,ROW()-3),'V_Hisse'!$AC$2:$AC$42,0))</f>
        <v/>
      </c>
      <c r="X24" s="8">
        <f>INDEX('V_Hisse'!W$2:W$42,MATCH(LARGE('V_Hisse'!$AC$2:$AC$42,ROW()-3),'V_Hisse'!$AC$2:$AC$42,0))</f>
        <v/>
      </c>
      <c r="Y24" s="8">
        <f>INDEX('V_Hisse'!X$2:X$42,MATCH(LARGE('V_Hisse'!$AC$2:$AC$42,ROW()-3),'V_Hisse'!$AC$2:$AC$42,0))</f>
        <v/>
      </c>
      <c r="Z24" s="8">
        <f>INDEX('V_Hisse'!Y$2:Y$42,MATCH(LARGE('V_Hisse'!$AC$2:$AC$42,ROW()-3),'V_Hisse'!$AC$2:$AC$42,0))</f>
        <v/>
      </c>
      <c r="AA24" s="8">
        <f>INDEX('V_Hisse'!Z$2:Z$42,MATCH(LARGE('V_Hisse'!$AC$2:$AC$42,ROW()-3),'V_Hisse'!$AC$2:$AC$42,0))</f>
        <v/>
      </c>
      <c r="AB24" s="8">
        <f>INDEX('V_Hisse'!AA$2:AA$42,MATCH(LARGE('V_Hisse'!$AC$2:$AC$42,ROW()-3),'V_Hisse'!$AC$2:$AC$42,0))</f>
        <v/>
      </c>
    </row>
    <row r="25">
      <c r="A25" t="n">
        <v>22</v>
      </c>
      <c r="B25" s="5">
        <f>INDEX('V_Hisse'!A$2:A$42,MATCH(LARGE('V_Hisse'!$AC$2:$AC$42,ROW()-3),'V_Hisse'!$AC$2:$AC$42,0))</f>
        <v/>
      </c>
      <c r="C25" s="5">
        <f>INDEX('V_Hisse'!B$2:B$42,MATCH(LARGE('V_Hisse'!$AC$2:$AC$42,ROW()-3),'V_Hisse'!$AC$2:$AC$42,0))</f>
        <v/>
      </c>
      <c r="D25" s="5">
        <f>INDEX('V_Hisse'!C$2:C$42,MATCH(LARGE('V_Hisse'!$AC$2:$AC$42,ROW()-3),'V_Hisse'!$AC$2:$AC$42,0))</f>
        <v/>
      </c>
      <c r="E25" s="8">
        <f>INDEX('V_Hisse'!D$2:D$42,MATCH(LARGE('V_Hisse'!$AC$2:$AC$42,ROW()-3),'V_Hisse'!$AC$2:$AC$42,0))</f>
        <v/>
      </c>
      <c r="F25" s="9">
        <f>INDEX('V_Hisse'!E$2:E$42,MATCH(LARGE('V_Hisse'!$AC$2:$AC$42,ROW()-3),'V_Hisse'!$AC$2:$AC$42,0))</f>
        <v/>
      </c>
      <c r="G25" s="9">
        <f>INDEX('V_Hisse'!F$2:F$42,MATCH(LARGE('V_Hisse'!$AC$2:$AC$42,ROW()-3),'V_Hisse'!$AC$2:$AC$42,0))</f>
        <v/>
      </c>
      <c r="H25" s="9">
        <f>INDEX('V_Hisse'!G$2:G$42,MATCH(LARGE('V_Hisse'!$AC$2:$AC$42,ROW()-3),'V_Hisse'!$AC$2:$AC$42,0))</f>
        <v/>
      </c>
      <c r="I25" s="9">
        <f>INDEX('V_Hisse'!H$2:H$42,MATCH(LARGE('V_Hisse'!$AC$2:$AC$42,ROW()-3),'V_Hisse'!$AC$2:$AC$42,0))</f>
        <v/>
      </c>
      <c r="J25" s="9">
        <f>INDEX('V_Hisse'!I$2:I$42,MATCH(LARGE('V_Hisse'!$AC$2:$AC$42,ROW()-3),'V_Hisse'!$AC$2:$AC$42,0))</f>
        <v/>
      </c>
      <c r="K25" s="10">
        <f>INDEX('V_Hisse'!J$2:J$42,MATCH(LARGE('V_Hisse'!$AC$2:$AC$42,ROW()-3),'V_Hisse'!$AC$2:$AC$42,0))</f>
        <v/>
      </c>
      <c r="L25" s="10">
        <f>INDEX('V_Hisse'!K$2:K$42,MATCH(LARGE('V_Hisse'!$AC$2:$AC$42,ROW()-3),'V_Hisse'!$AC$2:$AC$42,0))</f>
        <v/>
      </c>
      <c r="M25" s="8">
        <f>INDEX('V_Hisse'!L$2:L$42,MATCH(LARGE('V_Hisse'!$AC$2:$AC$42,ROW()-3),'V_Hisse'!$AC$2:$AC$42,0))</f>
        <v/>
      </c>
      <c r="N25" s="11">
        <f>INDEX('V_Hisse'!M$2:M$42,MATCH(LARGE('V_Hisse'!$AC$2:$AC$42,ROW()-3),'V_Hisse'!$AC$2:$AC$42,0))</f>
        <v/>
      </c>
      <c r="O25" s="11">
        <f>INDEX('V_Hisse'!N$2:N$42,MATCH(LARGE('V_Hisse'!$AC$2:$AC$42,ROW()-3),'V_Hisse'!$AC$2:$AC$42,0))</f>
        <v/>
      </c>
      <c r="P25" s="8">
        <f>INDEX('V_Hisse'!O$2:O$42,MATCH(LARGE('V_Hisse'!$AC$2:$AC$42,ROW()-3),'V_Hisse'!$AC$2:$AC$42,0))</f>
        <v/>
      </c>
      <c r="Q25" s="9">
        <f>INDEX('V_Hisse'!P$2:P$42,MATCH(LARGE('V_Hisse'!$AC$2:$AC$42,ROW()-3),'V_Hisse'!$AC$2:$AC$42,0))</f>
        <v/>
      </c>
      <c r="R25" s="5">
        <f>INDEX('V_Hisse'!Q$2:Q$42,MATCH(LARGE('V_Hisse'!$AC$2:$AC$42,ROW()-3),'V_Hisse'!$AC$2:$AC$42,0))</f>
        <v/>
      </c>
      <c r="S25" s="8">
        <f>INDEX('V_Hisse'!R$2:R$42,MATCH(LARGE('V_Hisse'!$AC$2:$AC$42,ROW()-3),'V_Hisse'!$AC$2:$AC$42,0))</f>
        <v/>
      </c>
      <c r="T25" s="8">
        <f>INDEX('V_Hisse'!S$2:S$42,MATCH(LARGE('V_Hisse'!$AC$2:$AC$42,ROW()-3),'V_Hisse'!$AC$2:$AC$42,0))</f>
        <v/>
      </c>
      <c r="U25" s="8">
        <f>INDEX('V_Hisse'!T$2:T$42,MATCH(LARGE('V_Hisse'!$AC$2:$AC$42,ROW()-3),'V_Hisse'!$AC$2:$AC$42,0))</f>
        <v/>
      </c>
      <c r="V25" s="8">
        <f>INDEX('V_Hisse'!U$2:U$42,MATCH(LARGE('V_Hisse'!$AC$2:$AC$42,ROW()-3),'V_Hisse'!$AC$2:$AC$42,0))</f>
        <v/>
      </c>
      <c r="W25" s="8">
        <f>INDEX('V_Hisse'!V$2:V$42,MATCH(LARGE('V_Hisse'!$AC$2:$AC$42,ROW()-3),'V_Hisse'!$AC$2:$AC$42,0))</f>
        <v/>
      </c>
      <c r="X25" s="8">
        <f>INDEX('V_Hisse'!W$2:W$42,MATCH(LARGE('V_Hisse'!$AC$2:$AC$42,ROW()-3),'V_Hisse'!$AC$2:$AC$42,0))</f>
        <v/>
      </c>
      <c r="Y25" s="8">
        <f>INDEX('V_Hisse'!X$2:X$42,MATCH(LARGE('V_Hisse'!$AC$2:$AC$42,ROW()-3),'V_Hisse'!$AC$2:$AC$42,0))</f>
        <v/>
      </c>
      <c r="Z25" s="8">
        <f>INDEX('V_Hisse'!Y$2:Y$42,MATCH(LARGE('V_Hisse'!$AC$2:$AC$42,ROW()-3),'V_Hisse'!$AC$2:$AC$42,0))</f>
        <v/>
      </c>
      <c r="AA25" s="8">
        <f>INDEX('V_Hisse'!Z$2:Z$42,MATCH(LARGE('V_Hisse'!$AC$2:$AC$42,ROW()-3),'V_Hisse'!$AC$2:$AC$42,0))</f>
        <v/>
      </c>
      <c r="AB25" s="8">
        <f>INDEX('V_Hisse'!AA$2:AA$42,MATCH(LARGE('V_Hisse'!$AC$2:$AC$42,ROW()-3),'V_Hisse'!$AC$2:$AC$42,0))</f>
        <v/>
      </c>
    </row>
    <row r="26">
      <c r="A26" t="n">
        <v>23</v>
      </c>
      <c r="B26" s="5">
        <f>INDEX('V_Hisse'!A$2:A$42,MATCH(LARGE('V_Hisse'!$AC$2:$AC$42,ROW()-3),'V_Hisse'!$AC$2:$AC$42,0))</f>
        <v/>
      </c>
      <c r="C26" s="5">
        <f>INDEX('V_Hisse'!B$2:B$42,MATCH(LARGE('V_Hisse'!$AC$2:$AC$42,ROW()-3),'V_Hisse'!$AC$2:$AC$42,0))</f>
        <v/>
      </c>
      <c r="D26" s="5">
        <f>INDEX('V_Hisse'!C$2:C$42,MATCH(LARGE('V_Hisse'!$AC$2:$AC$42,ROW()-3),'V_Hisse'!$AC$2:$AC$42,0))</f>
        <v/>
      </c>
      <c r="E26" s="8">
        <f>INDEX('V_Hisse'!D$2:D$42,MATCH(LARGE('V_Hisse'!$AC$2:$AC$42,ROW()-3),'V_Hisse'!$AC$2:$AC$42,0))</f>
        <v/>
      </c>
      <c r="F26" s="9">
        <f>INDEX('V_Hisse'!E$2:E$42,MATCH(LARGE('V_Hisse'!$AC$2:$AC$42,ROW()-3),'V_Hisse'!$AC$2:$AC$42,0))</f>
        <v/>
      </c>
      <c r="G26" s="9">
        <f>INDEX('V_Hisse'!F$2:F$42,MATCH(LARGE('V_Hisse'!$AC$2:$AC$42,ROW()-3),'V_Hisse'!$AC$2:$AC$42,0))</f>
        <v/>
      </c>
      <c r="H26" s="9">
        <f>INDEX('V_Hisse'!G$2:G$42,MATCH(LARGE('V_Hisse'!$AC$2:$AC$42,ROW()-3),'V_Hisse'!$AC$2:$AC$42,0))</f>
        <v/>
      </c>
      <c r="I26" s="9">
        <f>INDEX('V_Hisse'!H$2:H$42,MATCH(LARGE('V_Hisse'!$AC$2:$AC$42,ROW()-3),'V_Hisse'!$AC$2:$AC$42,0))</f>
        <v/>
      </c>
      <c r="J26" s="9">
        <f>INDEX('V_Hisse'!I$2:I$42,MATCH(LARGE('V_Hisse'!$AC$2:$AC$42,ROW()-3),'V_Hisse'!$AC$2:$AC$42,0))</f>
        <v/>
      </c>
      <c r="K26" s="10">
        <f>INDEX('V_Hisse'!J$2:J$42,MATCH(LARGE('V_Hisse'!$AC$2:$AC$42,ROW()-3),'V_Hisse'!$AC$2:$AC$42,0))</f>
        <v/>
      </c>
      <c r="L26" s="10">
        <f>INDEX('V_Hisse'!K$2:K$42,MATCH(LARGE('V_Hisse'!$AC$2:$AC$42,ROW()-3),'V_Hisse'!$AC$2:$AC$42,0))</f>
        <v/>
      </c>
      <c r="M26" s="8">
        <f>INDEX('V_Hisse'!L$2:L$42,MATCH(LARGE('V_Hisse'!$AC$2:$AC$42,ROW()-3),'V_Hisse'!$AC$2:$AC$42,0))</f>
        <v/>
      </c>
      <c r="N26" s="11">
        <f>INDEX('V_Hisse'!M$2:M$42,MATCH(LARGE('V_Hisse'!$AC$2:$AC$42,ROW()-3),'V_Hisse'!$AC$2:$AC$42,0))</f>
        <v/>
      </c>
      <c r="O26" s="11">
        <f>INDEX('V_Hisse'!N$2:N$42,MATCH(LARGE('V_Hisse'!$AC$2:$AC$42,ROW()-3),'V_Hisse'!$AC$2:$AC$42,0))</f>
        <v/>
      </c>
      <c r="P26" s="8">
        <f>INDEX('V_Hisse'!O$2:O$42,MATCH(LARGE('V_Hisse'!$AC$2:$AC$42,ROW()-3),'V_Hisse'!$AC$2:$AC$42,0))</f>
        <v/>
      </c>
      <c r="Q26" s="9">
        <f>INDEX('V_Hisse'!P$2:P$42,MATCH(LARGE('V_Hisse'!$AC$2:$AC$42,ROW()-3),'V_Hisse'!$AC$2:$AC$42,0))</f>
        <v/>
      </c>
      <c r="R26" s="5">
        <f>INDEX('V_Hisse'!Q$2:Q$42,MATCH(LARGE('V_Hisse'!$AC$2:$AC$42,ROW()-3),'V_Hisse'!$AC$2:$AC$42,0))</f>
        <v/>
      </c>
      <c r="S26" s="8">
        <f>INDEX('V_Hisse'!R$2:R$42,MATCH(LARGE('V_Hisse'!$AC$2:$AC$42,ROW()-3),'V_Hisse'!$AC$2:$AC$42,0))</f>
        <v/>
      </c>
      <c r="T26" s="8">
        <f>INDEX('V_Hisse'!S$2:S$42,MATCH(LARGE('V_Hisse'!$AC$2:$AC$42,ROW()-3),'V_Hisse'!$AC$2:$AC$42,0))</f>
        <v/>
      </c>
      <c r="U26" s="8">
        <f>INDEX('V_Hisse'!T$2:T$42,MATCH(LARGE('V_Hisse'!$AC$2:$AC$42,ROW()-3),'V_Hisse'!$AC$2:$AC$42,0))</f>
        <v/>
      </c>
      <c r="V26" s="8">
        <f>INDEX('V_Hisse'!U$2:U$42,MATCH(LARGE('V_Hisse'!$AC$2:$AC$42,ROW()-3),'V_Hisse'!$AC$2:$AC$42,0))</f>
        <v/>
      </c>
      <c r="W26" s="8">
        <f>INDEX('V_Hisse'!V$2:V$42,MATCH(LARGE('V_Hisse'!$AC$2:$AC$42,ROW()-3),'V_Hisse'!$AC$2:$AC$42,0))</f>
        <v/>
      </c>
      <c r="X26" s="8">
        <f>INDEX('V_Hisse'!W$2:W$42,MATCH(LARGE('V_Hisse'!$AC$2:$AC$42,ROW()-3),'V_Hisse'!$AC$2:$AC$42,0))</f>
        <v/>
      </c>
      <c r="Y26" s="8">
        <f>INDEX('V_Hisse'!X$2:X$42,MATCH(LARGE('V_Hisse'!$AC$2:$AC$42,ROW()-3),'V_Hisse'!$AC$2:$AC$42,0))</f>
        <v/>
      </c>
      <c r="Z26" s="8">
        <f>INDEX('V_Hisse'!Y$2:Y$42,MATCH(LARGE('V_Hisse'!$AC$2:$AC$42,ROW()-3),'V_Hisse'!$AC$2:$AC$42,0))</f>
        <v/>
      </c>
      <c r="AA26" s="8">
        <f>INDEX('V_Hisse'!Z$2:Z$42,MATCH(LARGE('V_Hisse'!$AC$2:$AC$42,ROW()-3),'V_Hisse'!$AC$2:$AC$42,0))</f>
        <v/>
      </c>
      <c r="AB26" s="8">
        <f>INDEX('V_Hisse'!AA$2:AA$42,MATCH(LARGE('V_Hisse'!$AC$2:$AC$42,ROW()-3),'V_Hisse'!$AC$2:$AC$42,0))</f>
        <v/>
      </c>
    </row>
    <row r="27">
      <c r="A27" t="n">
        <v>24</v>
      </c>
      <c r="B27" s="5">
        <f>INDEX('V_Hisse'!A$2:A$42,MATCH(LARGE('V_Hisse'!$AC$2:$AC$42,ROW()-3),'V_Hisse'!$AC$2:$AC$42,0))</f>
        <v/>
      </c>
      <c r="C27" s="5">
        <f>INDEX('V_Hisse'!B$2:B$42,MATCH(LARGE('V_Hisse'!$AC$2:$AC$42,ROW()-3),'V_Hisse'!$AC$2:$AC$42,0))</f>
        <v/>
      </c>
      <c r="D27" s="5">
        <f>INDEX('V_Hisse'!C$2:C$42,MATCH(LARGE('V_Hisse'!$AC$2:$AC$42,ROW()-3),'V_Hisse'!$AC$2:$AC$42,0))</f>
        <v/>
      </c>
      <c r="E27" s="8">
        <f>INDEX('V_Hisse'!D$2:D$42,MATCH(LARGE('V_Hisse'!$AC$2:$AC$42,ROW()-3),'V_Hisse'!$AC$2:$AC$42,0))</f>
        <v/>
      </c>
      <c r="F27" s="9">
        <f>INDEX('V_Hisse'!E$2:E$42,MATCH(LARGE('V_Hisse'!$AC$2:$AC$42,ROW()-3),'V_Hisse'!$AC$2:$AC$42,0))</f>
        <v/>
      </c>
      <c r="G27" s="9">
        <f>INDEX('V_Hisse'!F$2:F$42,MATCH(LARGE('V_Hisse'!$AC$2:$AC$42,ROW()-3),'V_Hisse'!$AC$2:$AC$42,0))</f>
        <v/>
      </c>
      <c r="H27" s="9">
        <f>INDEX('V_Hisse'!G$2:G$42,MATCH(LARGE('V_Hisse'!$AC$2:$AC$42,ROW()-3),'V_Hisse'!$AC$2:$AC$42,0))</f>
        <v/>
      </c>
      <c r="I27" s="9">
        <f>INDEX('V_Hisse'!H$2:H$42,MATCH(LARGE('V_Hisse'!$AC$2:$AC$42,ROW()-3),'V_Hisse'!$AC$2:$AC$42,0))</f>
        <v/>
      </c>
      <c r="J27" s="9">
        <f>INDEX('V_Hisse'!I$2:I$42,MATCH(LARGE('V_Hisse'!$AC$2:$AC$42,ROW()-3),'V_Hisse'!$AC$2:$AC$42,0))</f>
        <v/>
      </c>
      <c r="K27" s="10">
        <f>INDEX('V_Hisse'!J$2:J$42,MATCH(LARGE('V_Hisse'!$AC$2:$AC$42,ROW()-3),'V_Hisse'!$AC$2:$AC$42,0))</f>
        <v/>
      </c>
      <c r="L27" s="10">
        <f>INDEX('V_Hisse'!K$2:K$42,MATCH(LARGE('V_Hisse'!$AC$2:$AC$42,ROW()-3),'V_Hisse'!$AC$2:$AC$42,0))</f>
        <v/>
      </c>
      <c r="M27" s="8">
        <f>INDEX('V_Hisse'!L$2:L$42,MATCH(LARGE('V_Hisse'!$AC$2:$AC$42,ROW()-3),'V_Hisse'!$AC$2:$AC$42,0))</f>
        <v/>
      </c>
      <c r="N27" s="11">
        <f>INDEX('V_Hisse'!M$2:M$42,MATCH(LARGE('V_Hisse'!$AC$2:$AC$42,ROW()-3),'V_Hisse'!$AC$2:$AC$42,0))</f>
        <v/>
      </c>
      <c r="O27" s="11">
        <f>INDEX('V_Hisse'!N$2:N$42,MATCH(LARGE('V_Hisse'!$AC$2:$AC$42,ROW()-3),'V_Hisse'!$AC$2:$AC$42,0))</f>
        <v/>
      </c>
      <c r="P27" s="8">
        <f>INDEX('V_Hisse'!O$2:O$42,MATCH(LARGE('V_Hisse'!$AC$2:$AC$42,ROW()-3),'V_Hisse'!$AC$2:$AC$42,0))</f>
        <v/>
      </c>
      <c r="Q27" s="9">
        <f>INDEX('V_Hisse'!P$2:P$42,MATCH(LARGE('V_Hisse'!$AC$2:$AC$42,ROW()-3),'V_Hisse'!$AC$2:$AC$42,0))</f>
        <v/>
      </c>
      <c r="R27" s="5">
        <f>INDEX('V_Hisse'!Q$2:Q$42,MATCH(LARGE('V_Hisse'!$AC$2:$AC$42,ROW()-3),'V_Hisse'!$AC$2:$AC$42,0))</f>
        <v/>
      </c>
      <c r="S27" s="8">
        <f>INDEX('V_Hisse'!R$2:R$42,MATCH(LARGE('V_Hisse'!$AC$2:$AC$42,ROW()-3),'V_Hisse'!$AC$2:$AC$42,0))</f>
        <v/>
      </c>
      <c r="T27" s="8">
        <f>INDEX('V_Hisse'!S$2:S$42,MATCH(LARGE('V_Hisse'!$AC$2:$AC$42,ROW()-3),'V_Hisse'!$AC$2:$AC$42,0))</f>
        <v/>
      </c>
      <c r="U27" s="8">
        <f>INDEX('V_Hisse'!T$2:T$42,MATCH(LARGE('V_Hisse'!$AC$2:$AC$42,ROW()-3),'V_Hisse'!$AC$2:$AC$42,0))</f>
        <v/>
      </c>
      <c r="V27" s="8">
        <f>INDEX('V_Hisse'!U$2:U$42,MATCH(LARGE('V_Hisse'!$AC$2:$AC$42,ROW()-3),'V_Hisse'!$AC$2:$AC$42,0))</f>
        <v/>
      </c>
      <c r="W27" s="8">
        <f>INDEX('V_Hisse'!V$2:V$42,MATCH(LARGE('V_Hisse'!$AC$2:$AC$42,ROW()-3),'V_Hisse'!$AC$2:$AC$42,0))</f>
        <v/>
      </c>
      <c r="X27" s="8">
        <f>INDEX('V_Hisse'!W$2:W$42,MATCH(LARGE('V_Hisse'!$AC$2:$AC$42,ROW()-3),'V_Hisse'!$AC$2:$AC$42,0))</f>
        <v/>
      </c>
      <c r="Y27" s="8">
        <f>INDEX('V_Hisse'!X$2:X$42,MATCH(LARGE('V_Hisse'!$AC$2:$AC$42,ROW()-3),'V_Hisse'!$AC$2:$AC$42,0))</f>
        <v/>
      </c>
      <c r="Z27" s="8">
        <f>INDEX('V_Hisse'!Y$2:Y$42,MATCH(LARGE('V_Hisse'!$AC$2:$AC$42,ROW()-3),'V_Hisse'!$AC$2:$AC$42,0))</f>
        <v/>
      </c>
      <c r="AA27" s="8">
        <f>INDEX('V_Hisse'!Z$2:Z$42,MATCH(LARGE('V_Hisse'!$AC$2:$AC$42,ROW()-3),'V_Hisse'!$AC$2:$AC$42,0))</f>
        <v/>
      </c>
      <c r="AB27" s="8">
        <f>INDEX('V_Hisse'!AA$2:AA$42,MATCH(LARGE('V_Hisse'!$AC$2:$AC$42,ROW()-3),'V_Hisse'!$AC$2:$AC$42,0))</f>
        <v/>
      </c>
    </row>
    <row r="28">
      <c r="A28" t="n">
        <v>25</v>
      </c>
      <c r="B28" s="5">
        <f>INDEX('V_Hisse'!A$2:A$42,MATCH(LARGE('V_Hisse'!$AC$2:$AC$42,ROW()-3),'V_Hisse'!$AC$2:$AC$42,0))</f>
        <v/>
      </c>
      <c r="C28" s="5">
        <f>INDEX('V_Hisse'!B$2:B$42,MATCH(LARGE('V_Hisse'!$AC$2:$AC$42,ROW()-3),'V_Hisse'!$AC$2:$AC$42,0))</f>
        <v/>
      </c>
      <c r="D28" s="5">
        <f>INDEX('V_Hisse'!C$2:C$42,MATCH(LARGE('V_Hisse'!$AC$2:$AC$42,ROW()-3),'V_Hisse'!$AC$2:$AC$42,0))</f>
        <v/>
      </c>
      <c r="E28" s="8">
        <f>INDEX('V_Hisse'!D$2:D$42,MATCH(LARGE('V_Hisse'!$AC$2:$AC$42,ROW()-3),'V_Hisse'!$AC$2:$AC$42,0))</f>
        <v/>
      </c>
      <c r="F28" s="9">
        <f>INDEX('V_Hisse'!E$2:E$42,MATCH(LARGE('V_Hisse'!$AC$2:$AC$42,ROW()-3),'V_Hisse'!$AC$2:$AC$42,0))</f>
        <v/>
      </c>
      <c r="G28" s="9">
        <f>INDEX('V_Hisse'!F$2:F$42,MATCH(LARGE('V_Hisse'!$AC$2:$AC$42,ROW()-3),'V_Hisse'!$AC$2:$AC$42,0))</f>
        <v/>
      </c>
      <c r="H28" s="9">
        <f>INDEX('V_Hisse'!G$2:G$42,MATCH(LARGE('V_Hisse'!$AC$2:$AC$42,ROW()-3),'V_Hisse'!$AC$2:$AC$42,0))</f>
        <v/>
      </c>
      <c r="I28" s="9">
        <f>INDEX('V_Hisse'!H$2:H$42,MATCH(LARGE('V_Hisse'!$AC$2:$AC$42,ROW()-3),'V_Hisse'!$AC$2:$AC$42,0))</f>
        <v/>
      </c>
      <c r="J28" s="9">
        <f>INDEX('V_Hisse'!I$2:I$42,MATCH(LARGE('V_Hisse'!$AC$2:$AC$42,ROW()-3),'V_Hisse'!$AC$2:$AC$42,0))</f>
        <v/>
      </c>
      <c r="K28" s="10">
        <f>INDEX('V_Hisse'!J$2:J$42,MATCH(LARGE('V_Hisse'!$AC$2:$AC$42,ROW()-3),'V_Hisse'!$AC$2:$AC$42,0))</f>
        <v/>
      </c>
      <c r="L28" s="10">
        <f>INDEX('V_Hisse'!K$2:K$42,MATCH(LARGE('V_Hisse'!$AC$2:$AC$42,ROW()-3),'V_Hisse'!$AC$2:$AC$42,0))</f>
        <v/>
      </c>
      <c r="M28" s="8">
        <f>INDEX('V_Hisse'!L$2:L$42,MATCH(LARGE('V_Hisse'!$AC$2:$AC$42,ROW()-3),'V_Hisse'!$AC$2:$AC$42,0))</f>
        <v/>
      </c>
      <c r="N28" s="11">
        <f>INDEX('V_Hisse'!M$2:M$42,MATCH(LARGE('V_Hisse'!$AC$2:$AC$42,ROW()-3),'V_Hisse'!$AC$2:$AC$42,0))</f>
        <v/>
      </c>
      <c r="O28" s="11">
        <f>INDEX('V_Hisse'!N$2:N$42,MATCH(LARGE('V_Hisse'!$AC$2:$AC$42,ROW()-3),'V_Hisse'!$AC$2:$AC$42,0))</f>
        <v/>
      </c>
      <c r="P28" s="8">
        <f>INDEX('V_Hisse'!O$2:O$42,MATCH(LARGE('V_Hisse'!$AC$2:$AC$42,ROW()-3),'V_Hisse'!$AC$2:$AC$42,0))</f>
        <v/>
      </c>
      <c r="Q28" s="9">
        <f>INDEX('V_Hisse'!P$2:P$42,MATCH(LARGE('V_Hisse'!$AC$2:$AC$42,ROW()-3),'V_Hisse'!$AC$2:$AC$42,0))</f>
        <v/>
      </c>
      <c r="R28" s="5">
        <f>INDEX('V_Hisse'!Q$2:Q$42,MATCH(LARGE('V_Hisse'!$AC$2:$AC$42,ROW()-3),'V_Hisse'!$AC$2:$AC$42,0))</f>
        <v/>
      </c>
      <c r="S28" s="8">
        <f>INDEX('V_Hisse'!R$2:R$42,MATCH(LARGE('V_Hisse'!$AC$2:$AC$42,ROW()-3),'V_Hisse'!$AC$2:$AC$42,0))</f>
        <v/>
      </c>
      <c r="T28" s="8">
        <f>INDEX('V_Hisse'!S$2:S$42,MATCH(LARGE('V_Hisse'!$AC$2:$AC$42,ROW()-3),'V_Hisse'!$AC$2:$AC$42,0))</f>
        <v/>
      </c>
      <c r="U28" s="8">
        <f>INDEX('V_Hisse'!T$2:T$42,MATCH(LARGE('V_Hisse'!$AC$2:$AC$42,ROW()-3),'V_Hisse'!$AC$2:$AC$42,0))</f>
        <v/>
      </c>
      <c r="V28" s="8">
        <f>INDEX('V_Hisse'!U$2:U$42,MATCH(LARGE('V_Hisse'!$AC$2:$AC$42,ROW()-3),'V_Hisse'!$AC$2:$AC$42,0))</f>
        <v/>
      </c>
      <c r="W28" s="8">
        <f>INDEX('V_Hisse'!V$2:V$42,MATCH(LARGE('V_Hisse'!$AC$2:$AC$42,ROW()-3),'V_Hisse'!$AC$2:$AC$42,0))</f>
        <v/>
      </c>
      <c r="X28" s="8">
        <f>INDEX('V_Hisse'!W$2:W$42,MATCH(LARGE('V_Hisse'!$AC$2:$AC$42,ROW()-3),'V_Hisse'!$AC$2:$AC$42,0))</f>
        <v/>
      </c>
      <c r="Y28" s="8">
        <f>INDEX('V_Hisse'!X$2:X$42,MATCH(LARGE('V_Hisse'!$AC$2:$AC$42,ROW()-3),'V_Hisse'!$AC$2:$AC$42,0))</f>
        <v/>
      </c>
      <c r="Z28" s="8">
        <f>INDEX('V_Hisse'!Y$2:Y$42,MATCH(LARGE('V_Hisse'!$AC$2:$AC$42,ROW()-3),'V_Hisse'!$AC$2:$AC$42,0))</f>
        <v/>
      </c>
      <c r="AA28" s="8">
        <f>INDEX('V_Hisse'!Z$2:Z$42,MATCH(LARGE('V_Hisse'!$AC$2:$AC$42,ROW()-3),'V_Hisse'!$AC$2:$AC$42,0))</f>
        <v/>
      </c>
      <c r="AB28" s="8">
        <f>INDEX('V_Hisse'!AA$2:AA$42,MATCH(LARGE('V_Hisse'!$AC$2:$AC$42,ROW()-3),'V_Hisse'!$AC$2:$AC$42,0))</f>
        <v/>
      </c>
    </row>
    <row r="29">
      <c r="A29" t="n">
        <v>26</v>
      </c>
      <c r="B29" s="5">
        <f>INDEX('V_Hisse'!A$2:A$42,MATCH(LARGE('V_Hisse'!$AC$2:$AC$42,ROW()-3),'V_Hisse'!$AC$2:$AC$42,0))</f>
        <v/>
      </c>
      <c r="C29" s="5">
        <f>INDEX('V_Hisse'!B$2:B$42,MATCH(LARGE('V_Hisse'!$AC$2:$AC$42,ROW()-3),'V_Hisse'!$AC$2:$AC$42,0))</f>
        <v/>
      </c>
      <c r="D29" s="5">
        <f>INDEX('V_Hisse'!C$2:C$42,MATCH(LARGE('V_Hisse'!$AC$2:$AC$42,ROW()-3),'V_Hisse'!$AC$2:$AC$42,0))</f>
        <v/>
      </c>
      <c r="E29" s="8">
        <f>INDEX('V_Hisse'!D$2:D$42,MATCH(LARGE('V_Hisse'!$AC$2:$AC$42,ROW()-3),'V_Hisse'!$AC$2:$AC$42,0))</f>
        <v/>
      </c>
      <c r="F29" s="9">
        <f>INDEX('V_Hisse'!E$2:E$42,MATCH(LARGE('V_Hisse'!$AC$2:$AC$42,ROW()-3),'V_Hisse'!$AC$2:$AC$42,0))</f>
        <v/>
      </c>
      <c r="G29" s="9">
        <f>INDEX('V_Hisse'!F$2:F$42,MATCH(LARGE('V_Hisse'!$AC$2:$AC$42,ROW()-3),'V_Hisse'!$AC$2:$AC$42,0))</f>
        <v/>
      </c>
      <c r="H29" s="9">
        <f>INDEX('V_Hisse'!G$2:G$42,MATCH(LARGE('V_Hisse'!$AC$2:$AC$42,ROW()-3),'V_Hisse'!$AC$2:$AC$42,0))</f>
        <v/>
      </c>
      <c r="I29" s="9">
        <f>INDEX('V_Hisse'!H$2:H$42,MATCH(LARGE('V_Hisse'!$AC$2:$AC$42,ROW()-3),'V_Hisse'!$AC$2:$AC$42,0))</f>
        <v/>
      </c>
      <c r="J29" s="9">
        <f>INDEX('V_Hisse'!I$2:I$42,MATCH(LARGE('V_Hisse'!$AC$2:$AC$42,ROW()-3),'V_Hisse'!$AC$2:$AC$42,0))</f>
        <v/>
      </c>
      <c r="K29" s="10">
        <f>INDEX('V_Hisse'!J$2:J$42,MATCH(LARGE('V_Hisse'!$AC$2:$AC$42,ROW()-3),'V_Hisse'!$AC$2:$AC$42,0))</f>
        <v/>
      </c>
      <c r="L29" s="10">
        <f>INDEX('V_Hisse'!K$2:K$42,MATCH(LARGE('V_Hisse'!$AC$2:$AC$42,ROW()-3),'V_Hisse'!$AC$2:$AC$42,0))</f>
        <v/>
      </c>
      <c r="M29" s="8">
        <f>INDEX('V_Hisse'!L$2:L$42,MATCH(LARGE('V_Hisse'!$AC$2:$AC$42,ROW()-3),'V_Hisse'!$AC$2:$AC$42,0))</f>
        <v/>
      </c>
      <c r="N29" s="11">
        <f>INDEX('V_Hisse'!M$2:M$42,MATCH(LARGE('V_Hisse'!$AC$2:$AC$42,ROW()-3),'V_Hisse'!$AC$2:$AC$42,0))</f>
        <v/>
      </c>
      <c r="O29" s="11">
        <f>INDEX('V_Hisse'!N$2:N$42,MATCH(LARGE('V_Hisse'!$AC$2:$AC$42,ROW()-3),'V_Hisse'!$AC$2:$AC$42,0))</f>
        <v/>
      </c>
      <c r="P29" s="8">
        <f>INDEX('V_Hisse'!O$2:O$42,MATCH(LARGE('V_Hisse'!$AC$2:$AC$42,ROW()-3),'V_Hisse'!$AC$2:$AC$42,0))</f>
        <v/>
      </c>
      <c r="Q29" s="9">
        <f>INDEX('V_Hisse'!P$2:P$42,MATCH(LARGE('V_Hisse'!$AC$2:$AC$42,ROW()-3),'V_Hisse'!$AC$2:$AC$42,0))</f>
        <v/>
      </c>
      <c r="R29" s="5">
        <f>INDEX('V_Hisse'!Q$2:Q$42,MATCH(LARGE('V_Hisse'!$AC$2:$AC$42,ROW()-3),'V_Hisse'!$AC$2:$AC$42,0))</f>
        <v/>
      </c>
      <c r="S29" s="8">
        <f>INDEX('V_Hisse'!R$2:R$42,MATCH(LARGE('V_Hisse'!$AC$2:$AC$42,ROW()-3),'V_Hisse'!$AC$2:$AC$42,0))</f>
        <v/>
      </c>
      <c r="T29" s="8">
        <f>INDEX('V_Hisse'!S$2:S$42,MATCH(LARGE('V_Hisse'!$AC$2:$AC$42,ROW()-3),'V_Hisse'!$AC$2:$AC$42,0))</f>
        <v/>
      </c>
      <c r="U29" s="8">
        <f>INDEX('V_Hisse'!T$2:T$42,MATCH(LARGE('V_Hisse'!$AC$2:$AC$42,ROW()-3),'V_Hisse'!$AC$2:$AC$42,0))</f>
        <v/>
      </c>
      <c r="V29" s="8">
        <f>INDEX('V_Hisse'!U$2:U$42,MATCH(LARGE('V_Hisse'!$AC$2:$AC$42,ROW()-3),'V_Hisse'!$AC$2:$AC$42,0))</f>
        <v/>
      </c>
      <c r="W29" s="8">
        <f>INDEX('V_Hisse'!V$2:V$42,MATCH(LARGE('V_Hisse'!$AC$2:$AC$42,ROW()-3),'V_Hisse'!$AC$2:$AC$42,0))</f>
        <v/>
      </c>
      <c r="X29" s="8">
        <f>INDEX('V_Hisse'!W$2:W$42,MATCH(LARGE('V_Hisse'!$AC$2:$AC$42,ROW()-3),'V_Hisse'!$AC$2:$AC$42,0))</f>
        <v/>
      </c>
      <c r="Y29" s="8">
        <f>INDEX('V_Hisse'!X$2:X$42,MATCH(LARGE('V_Hisse'!$AC$2:$AC$42,ROW()-3),'V_Hisse'!$AC$2:$AC$42,0))</f>
        <v/>
      </c>
      <c r="Z29" s="8">
        <f>INDEX('V_Hisse'!Y$2:Y$42,MATCH(LARGE('V_Hisse'!$AC$2:$AC$42,ROW()-3),'V_Hisse'!$AC$2:$AC$42,0))</f>
        <v/>
      </c>
      <c r="AA29" s="8">
        <f>INDEX('V_Hisse'!Z$2:Z$42,MATCH(LARGE('V_Hisse'!$AC$2:$AC$42,ROW()-3),'V_Hisse'!$AC$2:$AC$42,0))</f>
        <v/>
      </c>
      <c r="AB29" s="8">
        <f>INDEX('V_Hisse'!AA$2:AA$42,MATCH(LARGE('V_Hisse'!$AC$2:$AC$42,ROW()-3),'V_Hisse'!$AC$2:$AC$42,0))</f>
        <v/>
      </c>
    </row>
    <row r="30">
      <c r="A30" t="n">
        <v>27</v>
      </c>
      <c r="B30" s="5">
        <f>INDEX('V_Hisse'!A$2:A$42,MATCH(LARGE('V_Hisse'!$AC$2:$AC$42,ROW()-3),'V_Hisse'!$AC$2:$AC$42,0))</f>
        <v/>
      </c>
      <c r="C30" s="5">
        <f>INDEX('V_Hisse'!B$2:B$42,MATCH(LARGE('V_Hisse'!$AC$2:$AC$42,ROW()-3),'V_Hisse'!$AC$2:$AC$42,0))</f>
        <v/>
      </c>
      <c r="D30" s="5">
        <f>INDEX('V_Hisse'!C$2:C$42,MATCH(LARGE('V_Hisse'!$AC$2:$AC$42,ROW()-3),'V_Hisse'!$AC$2:$AC$42,0))</f>
        <v/>
      </c>
      <c r="E30" s="8">
        <f>INDEX('V_Hisse'!D$2:D$42,MATCH(LARGE('V_Hisse'!$AC$2:$AC$42,ROW()-3),'V_Hisse'!$AC$2:$AC$42,0))</f>
        <v/>
      </c>
      <c r="F30" s="9">
        <f>INDEX('V_Hisse'!E$2:E$42,MATCH(LARGE('V_Hisse'!$AC$2:$AC$42,ROW()-3),'V_Hisse'!$AC$2:$AC$42,0))</f>
        <v/>
      </c>
      <c r="G30" s="9">
        <f>INDEX('V_Hisse'!F$2:F$42,MATCH(LARGE('V_Hisse'!$AC$2:$AC$42,ROW()-3),'V_Hisse'!$AC$2:$AC$42,0))</f>
        <v/>
      </c>
      <c r="H30" s="9">
        <f>INDEX('V_Hisse'!G$2:G$42,MATCH(LARGE('V_Hisse'!$AC$2:$AC$42,ROW()-3),'V_Hisse'!$AC$2:$AC$42,0))</f>
        <v/>
      </c>
      <c r="I30" s="9">
        <f>INDEX('V_Hisse'!H$2:H$42,MATCH(LARGE('V_Hisse'!$AC$2:$AC$42,ROW()-3),'V_Hisse'!$AC$2:$AC$42,0))</f>
        <v/>
      </c>
      <c r="J30" s="9">
        <f>INDEX('V_Hisse'!I$2:I$42,MATCH(LARGE('V_Hisse'!$AC$2:$AC$42,ROW()-3),'V_Hisse'!$AC$2:$AC$42,0))</f>
        <v/>
      </c>
      <c r="K30" s="10">
        <f>INDEX('V_Hisse'!J$2:J$42,MATCH(LARGE('V_Hisse'!$AC$2:$AC$42,ROW()-3),'V_Hisse'!$AC$2:$AC$42,0))</f>
        <v/>
      </c>
      <c r="L30" s="10">
        <f>INDEX('V_Hisse'!K$2:K$42,MATCH(LARGE('V_Hisse'!$AC$2:$AC$42,ROW()-3),'V_Hisse'!$AC$2:$AC$42,0))</f>
        <v/>
      </c>
      <c r="M30" s="8">
        <f>INDEX('V_Hisse'!L$2:L$42,MATCH(LARGE('V_Hisse'!$AC$2:$AC$42,ROW()-3),'V_Hisse'!$AC$2:$AC$42,0))</f>
        <v/>
      </c>
      <c r="N30" s="11">
        <f>INDEX('V_Hisse'!M$2:M$42,MATCH(LARGE('V_Hisse'!$AC$2:$AC$42,ROW()-3),'V_Hisse'!$AC$2:$AC$42,0))</f>
        <v/>
      </c>
      <c r="O30" s="11">
        <f>INDEX('V_Hisse'!N$2:N$42,MATCH(LARGE('V_Hisse'!$AC$2:$AC$42,ROW()-3),'V_Hisse'!$AC$2:$AC$42,0))</f>
        <v/>
      </c>
      <c r="P30" s="8">
        <f>INDEX('V_Hisse'!O$2:O$42,MATCH(LARGE('V_Hisse'!$AC$2:$AC$42,ROW()-3),'V_Hisse'!$AC$2:$AC$42,0))</f>
        <v/>
      </c>
      <c r="Q30" s="9">
        <f>INDEX('V_Hisse'!P$2:P$42,MATCH(LARGE('V_Hisse'!$AC$2:$AC$42,ROW()-3),'V_Hisse'!$AC$2:$AC$42,0))</f>
        <v/>
      </c>
      <c r="R30" s="5">
        <f>INDEX('V_Hisse'!Q$2:Q$42,MATCH(LARGE('V_Hisse'!$AC$2:$AC$42,ROW()-3),'V_Hisse'!$AC$2:$AC$42,0))</f>
        <v/>
      </c>
      <c r="S30" s="8">
        <f>INDEX('V_Hisse'!R$2:R$42,MATCH(LARGE('V_Hisse'!$AC$2:$AC$42,ROW()-3),'V_Hisse'!$AC$2:$AC$42,0))</f>
        <v/>
      </c>
      <c r="T30" s="8">
        <f>INDEX('V_Hisse'!S$2:S$42,MATCH(LARGE('V_Hisse'!$AC$2:$AC$42,ROW()-3),'V_Hisse'!$AC$2:$AC$42,0))</f>
        <v/>
      </c>
      <c r="U30" s="8">
        <f>INDEX('V_Hisse'!T$2:T$42,MATCH(LARGE('V_Hisse'!$AC$2:$AC$42,ROW()-3),'V_Hisse'!$AC$2:$AC$42,0))</f>
        <v/>
      </c>
      <c r="V30" s="8">
        <f>INDEX('V_Hisse'!U$2:U$42,MATCH(LARGE('V_Hisse'!$AC$2:$AC$42,ROW()-3),'V_Hisse'!$AC$2:$AC$42,0))</f>
        <v/>
      </c>
      <c r="W30" s="8">
        <f>INDEX('V_Hisse'!V$2:V$42,MATCH(LARGE('V_Hisse'!$AC$2:$AC$42,ROW()-3),'V_Hisse'!$AC$2:$AC$42,0))</f>
        <v/>
      </c>
      <c r="X30" s="8">
        <f>INDEX('V_Hisse'!W$2:W$42,MATCH(LARGE('V_Hisse'!$AC$2:$AC$42,ROW()-3),'V_Hisse'!$AC$2:$AC$42,0))</f>
        <v/>
      </c>
      <c r="Y30" s="8">
        <f>INDEX('V_Hisse'!X$2:X$42,MATCH(LARGE('V_Hisse'!$AC$2:$AC$42,ROW()-3),'V_Hisse'!$AC$2:$AC$42,0))</f>
        <v/>
      </c>
      <c r="Z30" s="8">
        <f>INDEX('V_Hisse'!Y$2:Y$42,MATCH(LARGE('V_Hisse'!$AC$2:$AC$42,ROW()-3),'V_Hisse'!$AC$2:$AC$42,0))</f>
        <v/>
      </c>
      <c r="AA30" s="8">
        <f>INDEX('V_Hisse'!Z$2:Z$42,MATCH(LARGE('V_Hisse'!$AC$2:$AC$42,ROW()-3),'V_Hisse'!$AC$2:$AC$42,0))</f>
        <v/>
      </c>
      <c r="AB30" s="8">
        <f>INDEX('V_Hisse'!AA$2:AA$42,MATCH(LARGE('V_Hisse'!$AC$2:$AC$42,ROW()-3),'V_Hisse'!$AC$2:$AC$42,0))</f>
        <v/>
      </c>
    </row>
    <row r="31">
      <c r="A31" t="n">
        <v>28</v>
      </c>
      <c r="B31" s="5">
        <f>INDEX('V_Hisse'!A$2:A$42,MATCH(LARGE('V_Hisse'!$AC$2:$AC$42,ROW()-3),'V_Hisse'!$AC$2:$AC$42,0))</f>
        <v/>
      </c>
      <c r="C31" s="5">
        <f>INDEX('V_Hisse'!B$2:B$42,MATCH(LARGE('V_Hisse'!$AC$2:$AC$42,ROW()-3),'V_Hisse'!$AC$2:$AC$42,0))</f>
        <v/>
      </c>
      <c r="D31" s="5">
        <f>INDEX('V_Hisse'!C$2:C$42,MATCH(LARGE('V_Hisse'!$AC$2:$AC$42,ROW()-3),'V_Hisse'!$AC$2:$AC$42,0))</f>
        <v/>
      </c>
      <c r="E31" s="8">
        <f>INDEX('V_Hisse'!D$2:D$42,MATCH(LARGE('V_Hisse'!$AC$2:$AC$42,ROW()-3),'V_Hisse'!$AC$2:$AC$42,0))</f>
        <v/>
      </c>
      <c r="F31" s="9">
        <f>INDEX('V_Hisse'!E$2:E$42,MATCH(LARGE('V_Hisse'!$AC$2:$AC$42,ROW()-3),'V_Hisse'!$AC$2:$AC$42,0))</f>
        <v/>
      </c>
      <c r="G31" s="9">
        <f>INDEX('V_Hisse'!F$2:F$42,MATCH(LARGE('V_Hisse'!$AC$2:$AC$42,ROW()-3),'V_Hisse'!$AC$2:$AC$42,0))</f>
        <v/>
      </c>
      <c r="H31" s="9">
        <f>INDEX('V_Hisse'!G$2:G$42,MATCH(LARGE('V_Hisse'!$AC$2:$AC$42,ROW()-3),'V_Hisse'!$AC$2:$AC$42,0))</f>
        <v/>
      </c>
      <c r="I31" s="9">
        <f>INDEX('V_Hisse'!H$2:H$42,MATCH(LARGE('V_Hisse'!$AC$2:$AC$42,ROW()-3),'V_Hisse'!$AC$2:$AC$42,0))</f>
        <v/>
      </c>
      <c r="J31" s="9">
        <f>INDEX('V_Hisse'!I$2:I$42,MATCH(LARGE('V_Hisse'!$AC$2:$AC$42,ROW()-3),'V_Hisse'!$AC$2:$AC$42,0))</f>
        <v/>
      </c>
      <c r="K31" s="10">
        <f>INDEX('V_Hisse'!J$2:J$42,MATCH(LARGE('V_Hisse'!$AC$2:$AC$42,ROW()-3),'V_Hisse'!$AC$2:$AC$42,0))</f>
        <v/>
      </c>
      <c r="L31" s="10">
        <f>INDEX('V_Hisse'!K$2:K$42,MATCH(LARGE('V_Hisse'!$AC$2:$AC$42,ROW()-3),'V_Hisse'!$AC$2:$AC$42,0))</f>
        <v/>
      </c>
      <c r="M31" s="8">
        <f>INDEX('V_Hisse'!L$2:L$42,MATCH(LARGE('V_Hisse'!$AC$2:$AC$42,ROW()-3),'V_Hisse'!$AC$2:$AC$42,0))</f>
        <v/>
      </c>
      <c r="N31" s="11">
        <f>INDEX('V_Hisse'!M$2:M$42,MATCH(LARGE('V_Hisse'!$AC$2:$AC$42,ROW()-3),'V_Hisse'!$AC$2:$AC$42,0))</f>
        <v/>
      </c>
      <c r="O31" s="11">
        <f>INDEX('V_Hisse'!N$2:N$42,MATCH(LARGE('V_Hisse'!$AC$2:$AC$42,ROW()-3),'V_Hisse'!$AC$2:$AC$42,0))</f>
        <v/>
      </c>
      <c r="P31" s="8">
        <f>INDEX('V_Hisse'!O$2:O$42,MATCH(LARGE('V_Hisse'!$AC$2:$AC$42,ROW()-3),'V_Hisse'!$AC$2:$AC$42,0))</f>
        <v/>
      </c>
      <c r="Q31" s="9">
        <f>INDEX('V_Hisse'!P$2:P$42,MATCH(LARGE('V_Hisse'!$AC$2:$AC$42,ROW()-3),'V_Hisse'!$AC$2:$AC$42,0))</f>
        <v/>
      </c>
      <c r="R31" s="5">
        <f>INDEX('V_Hisse'!Q$2:Q$42,MATCH(LARGE('V_Hisse'!$AC$2:$AC$42,ROW()-3),'V_Hisse'!$AC$2:$AC$42,0))</f>
        <v/>
      </c>
      <c r="S31" s="8">
        <f>INDEX('V_Hisse'!R$2:R$42,MATCH(LARGE('V_Hisse'!$AC$2:$AC$42,ROW()-3),'V_Hisse'!$AC$2:$AC$42,0))</f>
        <v/>
      </c>
      <c r="T31" s="8">
        <f>INDEX('V_Hisse'!S$2:S$42,MATCH(LARGE('V_Hisse'!$AC$2:$AC$42,ROW()-3),'V_Hisse'!$AC$2:$AC$42,0))</f>
        <v/>
      </c>
      <c r="U31" s="8">
        <f>INDEX('V_Hisse'!T$2:T$42,MATCH(LARGE('V_Hisse'!$AC$2:$AC$42,ROW()-3),'V_Hisse'!$AC$2:$AC$42,0))</f>
        <v/>
      </c>
      <c r="V31" s="8">
        <f>INDEX('V_Hisse'!U$2:U$42,MATCH(LARGE('V_Hisse'!$AC$2:$AC$42,ROW()-3),'V_Hisse'!$AC$2:$AC$42,0))</f>
        <v/>
      </c>
      <c r="W31" s="8">
        <f>INDEX('V_Hisse'!V$2:V$42,MATCH(LARGE('V_Hisse'!$AC$2:$AC$42,ROW()-3),'V_Hisse'!$AC$2:$AC$42,0))</f>
        <v/>
      </c>
      <c r="X31" s="8">
        <f>INDEX('V_Hisse'!W$2:W$42,MATCH(LARGE('V_Hisse'!$AC$2:$AC$42,ROW()-3),'V_Hisse'!$AC$2:$AC$42,0))</f>
        <v/>
      </c>
      <c r="Y31" s="8">
        <f>INDEX('V_Hisse'!X$2:X$42,MATCH(LARGE('V_Hisse'!$AC$2:$AC$42,ROW()-3),'V_Hisse'!$AC$2:$AC$42,0))</f>
        <v/>
      </c>
      <c r="Z31" s="8">
        <f>INDEX('V_Hisse'!Y$2:Y$42,MATCH(LARGE('V_Hisse'!$AC$2:$AC$42,ROW()-3),'V_Hisse'!$AC$2:$AC$42,0))</f>
        <v/>
      </c>
      <c r="AA31" s="8">
        <f>INDEX('V_Hisse'!Z$2:Z$42,MATCH(LARGE('V_Hisse'!$AC$2:$AC$42,ROW()-3),'V_Hisse'!$AC$2:$AC$42,0))</f>
        <v/>
      </c>
      <c r="AB31" s="8">
        <f>INDEX('V_Hisse'!AA$2:AA$42,MATCH(LARGE('V_Hisse'!$AC$2:$AC$42,ROW()-3),'V_Hisse'!$AC$2:$AC$42,0))</f>
        <v/>
      </c>
    </row>
    <row r="32">
      <c r="A32" t="n">
        <v>29</v>
      </c>
      <c r="B32" s="5">
        <f>INDEX('V_Hisse'!A$2:A$42,MATCH(LARGE('V_Hisse'!$AC$2:$AC$42,ROW()-3),'V_Hisse'!$AC$2:$AC$42,0))</f>
        <v/>
      </c>
      <c r="C32" s="5">
        <f>INDEX('V_Hisse'!B$2:B$42,MATCH(LARGE('V_Hisse'!$AC$2:$AC$42,ROW()-3),'V_Hisse'!$AC$2:$AC$42,0))</f>
        <v/>
      </c>
      <c r="D32" s="5">
        <f>INDEX('V_Hisse'!C$2:C$42,MATCH(LARGE('V_Hisse'!$AC$2:$AC$42,ROW()-3),'V_Hisse'!$AC$2:$AC$42,0))</f>
        <v/>
      </c>
      <c r="E32" s="8">
        <f>INDEX('V_Hisse'!D$2:D$42,MATCH(LARGE('V_Hisse'!$AC$2:$AC$42,ROW()-3),'V_Hisse'!$AC$2:$AC$42,0))</f>
        <v/>
      </c>
      <c r="F32" s="9">
        <f>INDEX('V_Hisse'!E$2:E$42,MATCH(LARGE('V_Hisse'!$AC$2:$AC$42,ROW()-3),'V_Hisse'!$AC$2:$AC$42,0))</f>
        <v/>
      </c>
      <c r="G32" s="9">
        <f>INDEX('V_Hisse'!F$2:F$42,MATCH(LARGE('V_Hisse'!$AC$2:$AC$42,ROW()-3),'V_Hisse'!$AC$2:$AC$42,0))</f>
        <v/>
      </c>
      <c r="H32" s="9">
        <f>INDEX('V_Hisse'!G$2:G$42,MATCH(LARGE('V_Hisse'!$AC$2:$AC$42,ROW()-3),'V_Hisse'!$AC$2:$AC$42,0))</f>
        <v/>
      </c>
      <c r="I32" s="9">
        <f>INDEX('V_Hisse'!H$2:H$42,MATCH(LARGE('V_Hisse'!$AC$2:$AC$42,ROW()-3),'V_Hisse'!$AC$2:$AC$42,0))</f>
        <v/>
      </c>
      <c r="J32" s="9">
        <f>INDEX('V_Hisse'!I$2:I$42,MATCH(LARGE('V_Hisse'!$AC$2:$AC$42,ROW()-3),'V_Hisse'!$AC$2:$AC$42,0))</f>
        <v/>
      </c>
      <c r="K32" s="10">
        <f>INDEX('V_Hisse'!J$2:J$42,MATCH(LARGE('V_Hisse'!$AC$2:$AC$42,ROW()-3),'V_Hisse'!$AC$2:$AC$42,0))</f>
        <v/>
      </c>
      <c r="L32" s="10">
        <f>INDEX('V_Hisse'!K$2:K$42,MATCH(LARGE('V_Hisse'!$AC$2:$AC$42,ROW()-3),'V_Hisse'!$AC$2:$AC$42,0))</f>
        <v/>
      </c>
      <c r="M32" s="8">
        <f>INDEX('V_Hisse'!L$2:L$42,MATCH(LARGE('V_Hisse'!$AC$2:$AC$42,ROW()-3),'V_Hisse'!$AC$2:$AC$42,0))</f>
        <v/>
      </c>
      <c r="N32" s="11">
        <f>INDEX('V_Hisse'!M$2:M$42,MATCH(LARGE('V_Hisse'!$AC$2:$AC$42,ROW()-3),'V_Hisse'!$AC$2:$AC$42,0))</f>
        <v/>
      </c>
      <c r="O32" s="11">
        <f>INDEX('V_Hisse'!N$2:N$42,MATCH(LARGE('V_Hisse'!$AC$2:$AC$42,ROW()-3),'V_Hisse'!$AC$2:$AC$42,0))</f>
        <v/>
      </c>
      <c r="P32" s="8">
        <f>INDEX('V_Hisse'!O$2:O$42,MATCH(LARGE('V_Hisse'!$AC$2:$AC$42,ROW()-3),'V_Hisse'!$AC$2:$AC$42,0))</f>
        <v/>
      </c>
      <c r="Q32" s="9">
        <f>INDEX('V_Hisse'!P$2:P$42,MATCH(LARGE('V_Hisse'!$AC$2:$AC$42,ROW()-3),'V_Hisse'!$AC$2:$AC$42,0))</f>
        <v/>
      </c>
      <c r="R32" s="5">
        <f>INDEX('V_Hisse'!Q$2:Q$42,MATCH(LARGE('V_Hisse'!$AC$2:$AC$42,ROW()-3),'V_Hisse'!$AC$2:$AC$42,0))</f>
        <v/>
      </c>
      <c r="S32" s="8">
        <f>INDEX('V_Hisse'!R$2:R$42,MATCH(LARGE('V_Hisse'!$AC$2:$AC$42,ROW()-3),'V_Hisse'!$AC$2:$AC$42,0))</f>
        <v/>
      </c>
      <c r="T32" s="8">
        <f>INDEX('V_Hisse'!S$2:S$42,MATCH(LARGE('V_Hisse'!$AC$2:$AC$42,ROW()-3),'V_Hisse'!$AC$2:$AC$42,0))</f>
        <v/>
      </c>
      <c r="U32" s="8">
        <f>INDEX('V_Hisse'!T$2:T$42,MATCH(LARGE('V_Hisse'!$AC$2:$AC$42,ROW()-3),'V_Hisse'!$AC$2:$AC$42,0))</f>
        <v/>
      </c>
      <c r="V32" s="8">
        <f>INDEX('V_Hisse'!U$2:U$42,MATCH(LARGE('V_Hisse'!$AC$2:$AC$42,ROW()-3),'V_Hisse'!$AC$2:$AC$42,0))</f>
        <v/>
      </c>
      <c r="W32" s="8">
        <f>INDEX('V_Hisse'!V$2:V$42,MATCH(LARGE('V_Hisse'!$AC$2:$AC$42,ROW()-3),'V_Hisse'!$AC$2:$AC$42,0))</f>
        <v/>
      </c>
      <c r="X32" s="8">
        <f>INDEX('V_Hisse'!W$2:W$42,MATCH(LARGE('V_Hisse'!$AC$2:$AC$42,ROW()-3),'V_Hisse'!$AC$2:$AC$42,0))</f>
        <v/>
      </c>
      <c r="Y32" s="8">
        <f>INDEX('V_Hisse'!X$2:X$42,MATCH(LARGE('V_Hisse'!$AC$2:$AC$42,ROW()-3),'V_Hisse'!$AC$2:$AC$42,0))</f>
        <v/>
      </c>
      <c r="Z32" s="8">
        <f>INDEX('V_Hisse'!Y$2:Y$42,MATCH(LARGE('V_Hisse'!$AC$2:$AC$42,ROW()-3),'V_Hisse'!$AC$2:$AC$42,0))</f>
        <v/>
      </c>
      <c r="AA32" s="8">
        <f>INDEX('V_Hisse'!Z$2:Z$42,MATCH(LARGE('V_Hisse'!$AC$2:$AC$42,ROW()-3),'V_Hisse'!$AC$2:$AC$42,0))</f>
        <v/>
      </c>
      <c r="AB32" s="8">
        <f>INDEX('V_Hisse'!AA$2:AA$42,MATCH(LARGE('V_Hisse'!$AC$2:$AC$42,ROW()-3),'V_Hisse'!$AC$2:$AC$42,0))</f>
        <v/>
      </c>
    </row>
    <row r="33">
      <c r="A33" t="n">
        <v>30</v>
      </c>
      <c r="B33" s="5">
        <f>INDEX('V_Hisse'!A$2:A$42,MATCH(LARGE('V_Hisse'!$AC$2:$AC$42,ROW()-3),'V_Hisse'!$AC$2:$AC$42,0))</f>
        <v/>
      </c>
      <c r="C33" s="5">
        <f>INDEX('V_Hisse'!B$2:B$42,MATCH(LARGE('V_Hisse'!$AC$2:$AC$42,ROW()-3),'V_Hisse'!$AC$2:$AC$42,0))</f>
        <v/>
      </c>
      <c r="D33" s="5">
        <f>INDEX('V_Hisse'!C$2:C$42,MATCH(LARGE('V_Hisse'!$AC$2:$AC$42,ROW()-3),'V_Hisse'!$AC$2:$AC$42,0))</f>
        <v/>
      </c>
      <c r="E33" s="8">
        <f>INDEX('V_Hisse'!D$2:D$42,MATCH(LARGE('V_Hisse'!$AC$2:$AC$42,ROW()-3),'V_Hisse'!$AC$2:$AC$42,0))</f>
        <v/>
      </c>
      <c r="F33" s="9">
        <f>INDEX('V_Hisse'!E$2:E$42,MATCH(LARGE('V_Hisse'!$AC$2:$AC$42,ROW()-3),'V_Hisse'!$AC$2:$AC$42,0))</f>
        <v/>
      </c>
      <c r="G33" s="9">
        <f>INDEX('V_Hisse'!F$2:F$42,MATCH(LARGE('V_Hisse'!$AC$2:$AC$42,ROW()-3),'V_Hisse'!$AC$2:$AC$42,0))</f>
        <v/>
      </c>
      <c r="H33" s="9">
        <f>INDEX('V_Hisse'!G$2:G$42,MATCH(LARGE('V_Hisse'!$AC$2:$AC$42,ROW()-3),'V_Hisse'!$AC$2:$AC$42,0))</f>
        <v/>
      </c>
      <c r="I33" s="9">
        <f>INDEX('V_Hisse'!H$2:H$42,MATCH(LARGE('V_Hisse'!$AC$2:$AC$42,ROW()-3),'V_Hisse'!$AC$2:$AC$42,0))</f>
        <v/>
      </c>
      <c r="J33" s="9">
        <f>INDEX('V_Hisse'!I$2:I$42,MATCH(LARGE('V_Hisse'!$AC$2:$AC$42,ROW()-3),'V_Hisse'!$AC$2:$AC$42,0))</f>
        <v/>
      </c>
      <c r="K33" s="10">
        <f>INDEX('V_Hisse'!J$2:J$42,MATCH(LARGE('V_Hisse'!$AC$2:$AC$42,ROW()-3),'V_Hisse'!$AC$2:$AC$42,0))</f>
        <v/>
      </c>
      <c r="L33" s="10">
        <f>INDEX('V_Hisse'!K$2:K$42,MATCH(LARGE('V_Hisse'!$AC$2:$AC$42,ROW()-3),'V_Hisse'!$AC$2:$AC$42,0))</f>
        <v/>
      </c>
      <c r="M33" s="8">
        <f>INDEX('V_Hisse'!L$2:L$42,MATCH(LARGE('V_Hisse'!$AC$2:$AC$42,ROW()-3),'V_Hisse'!$AC$2:$AC$42,0))</f>
        <v/>
      </c>
      <c r="N33" s="11">
        <f>INDEX('V_Hisse'!M$2:M$42,MATCH(LARGE('V_Hisse'!$AC$2:$AC$42,ROW()-3),'V_Hisse'!$AC$2:$AC$42,0))</f>
        <v/>
      </c>
      <c r="O33" s="11">
        <f>INDEX('V_Hisse'!N$2:N$42,MATCH(LARGE('V_Hisse'!$AC$2:$AC$42,ROW()-3),'V_Hisse'!$AC$2:$AC$42,0))</f>
        <v/>
      </c>
      <c r="P33" s="8">
        <f>INDEX('V_Hisse'!O$2:O$42,MATCH(LARGE('V_Hisse'!$AC$2:$AC$42,ROW()-3),'V_Hisse'!$AC$2:$AC$42,0))</f>
        <v/>
      </c>
      <c r="Q33" s="9">
        <f>INDEX('V_Hisse'!P$2:P$42,MATCH(LARGE('V_Hisse'!$AC$2:$AC$42,ROW()-3),'V_Hisse'!$AC$2:$AC$42,0))</f>
        <v/>
      </c>
      <c r="R33" s="5">
        <f>INDEX('V_Hisse'!Q$2:Q$42,MATCH(LARGE('V_Hisse'!$AC$2:$AC$42,ROW()-3),'V_Hisse'!$AC$2:$AC$42,0))</f>
        <v/>
      </c>
      <c r="S33" s="8">
        <f>INDEX('V_Hisse'!R$2:R$42,MATCH(LARGE('V_Hisse'!$AC$2:$AC$42,ROW()-3),'V_Hisse'!$AC$2:$AC$42,0))</f>
        <v/>
      </c>
      <c r="T33" s="8">
        <f>INDEX('V_Hisse'!S$2:S$42,MATCH(LARGE('V_Hisse'!$AC$2:$AC$42,ROW()-3),'V_Hisse'!$AC$2:$AC$42,0))</f>
        <v/>
      </c>
      <c r="U33" s="8">
        <f>INDEX('V_Hisse'!T$2:T$42,MATCH(LARGE('V_Hisse'!$AC$2:$AC$42,ROW()-3),'V_Hisse'!$AC$2:$AC$42,0))</f>
        <v/>
      </c>
      <c r="V33" s="8">
        <f>INDEX('V_Hisse'!U$2:U$42,MATCH(LARGE('V_Hisse'!$AC$2:$AC$42,ROW()-3),'V_Hisse'!$AC$2:$AC$42,0))</f>
        <v/>
      </c>
      <c r="W33" s="8">
        <f>INDEX('V_Hisse'!V$2:V$42,MATCH(LARGE('V_Hisse'!$AC$2:$AC$42,ROW()-3),'V_Hisse'!$AC$2:$AC$42,0))</f>
        <v/>
      </c>
      <c r="X33" s="8">
        <f>INDEX('V_Hisse'!W$2:W$42,MATCH(LARGE('V_Hisse'!$AC$2:$AC$42,ROW()-3),'V_Hisse'!$AC$2:$AC$42,0))</f>
        <v/>
      </c>
      <c r="Y33" s="8">
        <f>INDEX('V_Hisse'!X$2:X$42,MATCH(LARGE('V_Hisse'!$AC$2:$AC$42,ROW()-3),'V_Hisse'!$AC$2:$AC$42,0))</f>
        <v/>
      </c>
      <c r="Z33" s="8">
        <f>INDEX('V_Hisse'!Y$2:Y$42,MATCH(LARGE('V_Hisse'!$AC$2:$AC$42,ROW()-3),'V_Hisse'!$AC$2:$AC$42,0))</f>
        <v/>
      </c>
      <c r="AA33" s="8">
        <f>INDEX('V_Hisse'!Z$2:Z$42,MATCH(LARGE('V_Hisse'!$AC$2:$AC$42,ROW()-3),'V_Hisse'!$AC$2:$AC$42,0))</f>
        <v/>
      </c>
      <c r="AB33" s="8">
        <f>INDEX('V_Hisse'!AA$2:AA$42,MATCH(LARGE('V_Hisse'!$AC$2:$AC$42,ROW()-3),'V_Hisse'!$AC$2:$AC$42,0))</f>
        <v/>
      </c>
    </row>
    <row r="34">
      <c r="A34" t="n">
        <v>31</v>
      </c>
      <c r="B34" s="5">
        <f>INDEX('V_Hisse'!A$2:A$42,MATCH(LARGE('V_Hisse'!$AC$2:$AC$42,ROW()-3),'V_Hisse'!$AC$2:$AC$42,0))</f>
        <v/>
      </c>
      <c r="C34" s="5">
        <f>INDEX('V_Hisse'!B$2:B$42,MATCH(LARGE('V_Hisse'!$AC$2:$AC$42,ROW()-3),'V_Hisse'!$AC$2:$AC$42,0))</f>
        <v/>
      </c>
      <c r="D34" s="5">
        <f>INDEX('V_Hisse'!C$2:C$42,MATCH(LARGE('V_Hisse'!$AC$2:$AC$42,ROW()-3),'V_Hisse'!$AC$2:$AC$42,0))</f>
        <v/>
      </c>
      <c r="E34" s="8">
        <f>INDEX('V_Hisse'!D$2:D$42,MATCH(LARGE('V_Hisse'!$AC$2:$AC$42,ROW()-3),'V_Hisse'!$AC$2:$AC$42,0))</f>
        <v/>
      </c>
      <c r="F34" s="9">
        <f>INDEX('V_Hisse'!E$2:E$42,MATCH(LARGE('V_Hisse'!$AC$2:$AC$42,ROW()-3),'V_Hisse'!$AC$2:$AC$42,0))</f>
        <v/>
      </c>
      <c r="G34" s="9">
        <f>INDEX('V_Hisse'!F$2:F$42,MATCH(LARGE('V_Hisse'!$AC$2:$AC$42,ROW()-3),'V_Hisse'!$AC$2:$AC$42,0))</f>
        <v/>
      </c>
      <c r="H34" s="9">
        <f>INDEX('V_Hisse'!G$2:G$42,MATCH(LARGE('V_Hisse'!$AC$2:$AC$42,ROW()-3),'V_Hisse'!$AC$2:$AC$42,0))</f>
        <v/>
      </c>
      <c r="I34" s="9">
        <f>INDEX('V_Hisse'!H$2:H$42,MATCH(LARGE('V_Hisse'!$AC$2:$AC$42,ROW()-3),'V_Hisse'!$AC$2:$AC$42,0))</f>
        <v/>
      </c>
      <c r="J34" s="9">
        <f>INDEX('V_Hisse'!I$2:I$42,MATCH(LARGE('V_Hisse'!$AC$2:$AC$42,ROW()-3),'V_Hisse'!$AC$2:$AC$42,0))</f>
        <v/>
      </c>
      <c r="K34" s="10">
        <f>INDEX('V_Hisse'!J$2:J$42,MATCH(LARGE('V_Hisse'!$AC$2:$AC$42,ROW()-3),'V_Hisse'!$AC$2:$AC$42,0))</f>
        <v/>
      </c>
      <c r="L34" s="10">
        <f>INDEX('V_Hisse'!K$2:K$42,MATCH(LARGE('V_Hisse'!$AC$2:$AC$42,ROW()-3),'V_Hisse'!$AC$2:$AC$42,0))</f>
        <v/>
      </c>
      <c r="M34" s="8">
        <f>INDEX('V_Hisse'!L$2:L$42,MATCH(LARGE('V_Hisse'!$AC$2:$AC$42,ROW()-3),'V_Hisse'!$AC$2:$AC$42,0))</f>
        <v/>
      </c>
      <c r="N34" s="11">
        <f>INDEX('V_Hisse'!M$2:M$42,MATCH(LARGE('V_Hisse'!$AC$2:$AC$42,ROW()-3),'V_Hisse'!$AC$2:$AC$42,0))</f>
        <v/>
      </c>
      <c r="O34" s="11">
        <f>INDEX('V_Hisse'!N$2:N$42,MATCH(LARGE('V_Hisse'!$AC$2:$AC$42,ROW()-3),'V_Hisse'!$AC$2:$AC$42,0))</f>
        <v/>
      </c>
      <c r="P34" s="8">
        <f>INDEX('V_Hisse'!O$2:O$42,MATCH(LARGE('V_Hisse'!$AC$2:$AC$42,ROW()-3),'V_Hisse'!$AC$2:$AC$42,0))</f>
        <v/>
      </c>
      <c r="Q34" s="9">
        <f>INDEX('V_Hisse'!P$2:P$42,MATCH(LARGE('V_Hisse'!$AC$2:$AC$42,ROW()-3),'V_Hisse'!$AC$2:$AC$42,0))</f>
        <v/>
      </c>
      <c r="R34" s="5">
        <f>INDEX('V_Hisse'!Q$2:Q$42,MATCH(LARGE('V_Hisse'!$AC$2:$AC$42,ROW()-3),'V_Hisse'!$AC$2:$AC$42,0))</f>
        <v/>
      </c>
      <c r="S34" s="8">
        <f>INDEX('V_Hisse'!R$2:R$42,MATCH(LARGE('V_Hisse'!$AC$2:$AC$42,ROW()-3),'V_Hisse'!$AC$2:$AC$42,0))</f>
        <v/>
      </c>
      <c r="T34" s="8">
        <f>INDEX('V_Hisse'!S$2:S$42,MATCH(LARGE('V_Hisse'!$AC$2:$AC$42,ROW()-3),'V_Hisse'!$AC$2:$AC$42,0))</f>
        <v/>
      </c>
      <c r="U34" s="8">
        <f>INDEX('V_Hisse'!T$2:T$42,MATCH(LARGE('V_Hisse'!$AC$2:$AC$42,ROW()-3),'V_Hisse'!$AC$2:$AC$42,0))</f>
        <v/>
      </c>
      <c r="V34" s="8">
        <f>INDEX('V_Hisse'!U$2:U$42,MATCH(LARGE('V_Hisse'!$AC$2:$AC$42,ROW()-3),'V_Hisse'!$AC$2:$AC$42,0))</f>
        <v/>
      </c>
      <c r="W34" s="8">
        <f>INDEX('V_Hisse'!V$2:V$42,MATCH(LARGE('V_Hisse'!$AC$2:$AC$42,ROW()-3),'V_Hisse'!$AC$2:$AC$42,0))</f>
        <v/>
      </c>
      <c r="X34" s="8">
        <f>INDEX('V_Hisse'!W$2:W$42,MATCH(LARGE('V_Hisse'!$AC$2:$AC$42,ROW()-3),'V_Hisse'!$AC$2:$AC$42,0))</f>
        <v/>
      </c>
      <c r="Y34" s="8">
        <f>INDEX('V_Hisse'!X$2:X$42,MATCH(LARGE('V_Hisse'!$AC$2:$AC$42,ROW()-3),'V_Hisse'!$AC$2:$AC$42,0))</f>
        <v/>
      </c>
      <c r="Z34" s="8">
        <f>INDEX('V_Hisse'!Y$2:Y$42,MATCH(LARGE('V_Hisse'!$AC$2:$AC$42,ROW()-3),'V_Hisse'!$AC$2:$AC$42,0))</f>
        <v/>
      </c>
      <c r="AA34" s="8">
        <f>INDEX('V_Hisse'!Z$2:Z$42,MATCH(LARGE('V_Hisse'!$AC$2:$AC$42,ROW()-3),'V_Hisse'!$AC$2:$AC$42,0))</f>
        <v/>
      </c>
      <c r="AB34" s="8">
        <f>INDEX('V_Hisse'!AA$2:AA$42,MATCH(LARGE('V_Hisse'!$AC$2:$AC$42,ROW()-3),'V_Hisse'!$AC$2:$AC$42,0))</f>
        <v/>
      </c>
    </row>
    <row r="35">
      <c r="A35" t="n">
        <v>32</v>
      </c>
      <c r="B35" s="5">
        <f>INDEX('V_Hisse'!A$2:A$42,MATCH(LARGE('V_Hisse'!$AC$2:$AC$42,ROW()-3),'V_Hisse'!$AC$2:$AC$42,0))</f>
        <v/>
      </c>
      <c r="C35" s="5">
        <f>INDEX('V_Hisse'!B$2:B$42,MATCH(LARGE('V_Hisse'!$AC$2:$AC$42,ROW()-3),'V_Hisse'!$AC$2:$AC$42,0))</f>
        <v/>
      </c>
      <c r="D35" s="5">
        <f>INDEX('V_Hisse'!C$2:C$42,MATCH(LARGE('V_Hisse'!$AC$2:$AC$42,ROW()-3),'V_Hisse'!$AC$2:$AC$42,0))</f>
        <v/>
      </c>
      <c r="E35" s="8">
        <f>INDEX('V_Hisse'!D$2:D$42,MATCH(LARGE('V_Hisse'!$AC$2:$AC$42,ROW()-3),'V_Hisse'!$AC$2:$AC$42,0))</f>
        <v/>
      </c>
      <c r="F35" s="9">
        <f>INDEX('V_Hisse'!E$2:E$42,MATCH(LARGE('V_Hisse'!$AC$2:$AC$42,ROW()-3),'V_Hisse'!$AC$2:$AC$42,0))</f>
        <v/>
      </c>
      <c r="G35" s="9">
        <f>INDEX('V_Hisse'!F$2:F$42,MATCH(LARGE('V_Hisse'!$AC$2:$AC$42,ROW()-3),'V_Hisse'!$AC$2:$AC$42,0))</f>
        <v/>
      </c>
      <c r="H35" s="9">
        <f>INDEX('V_Hisse'!G$2:G$42,MATCH(LARGE('V_Hisse'!$AC$2:$AC$42,ROW()-3),'V_Hisse'!$AC$2:$AC$42,0))</f>
        <v/>
      </c>
      <c r="I35" s="9">
        <f>INDEX('V_Hisse'!H$2:H$42,MATCH(LARGE('V_Hisse'!$AC$2:$AC$42,ROW()-3),'V_Hisse'!$AC$2:$AC$42,0))</f>
        <v/>
      </c>
      <c r="J35" s="9">
        <f>INDEX('V_Hisse'!I$2:I$42,MATCH(LARGE('V_Hisse'!$AC$2:$AC$42,ROW()-3),'V_Hisse'!$AC$2:$AC$42,0))</f>
        <v/>
      </c>
      <c r="K35" s="10">
        <f>INDEX('V_Hisse'!J$2:J$42,MATCH(LARGE('V_Hisse'!$AC$2:$AC$42,ROW()-3),'V_Hisse'!$AC$2:$AC$42,0))</f>
        <v/>
      </c>
      <c r="L35" s="10">
        <f>INDEX('V_Hisse'!K$2:K$42,MATCH(LARGE('V_Hisse'!$AC$2:$AC$42,ROW()-3),'V_Hisse'!$AC$2:$AC$42,0))</f>
        <v/>
      </c>
      <c r="M35" s="8">
        <f>INDEX('V_Hisse'!L$2:L$42,MATCH(LARGE('V_Hisse'!$AC$2:$AC$42,ROW()-3),'V_Hisse'!$AC$2:$AC$42,0))</f>
        <v/>
      </c>
      <c r="N35" s="11">
        <f>INDEX('V_Hisse'!M$2:M$42,MATCH(LARGE('V_Hisse'!$AC$2:$AC$42,ROW()-3),'V_Hisse'!$AC$2:$AC$42,0))</f>
        <v/>
      </c>
      <c r="O35" s="11">
        <f>INDEX('V_Hisse'!N$2:N$42,MATCH(LARGE('V_Hisse'!$AC$2:$AC$42,ROW()-3),'V_Hisse'!$AC$2:$AC$42,0))</f>
        <v/>
      </c>
      <c r="P35" s="8">
        <f>INDEX('V_Hisse'!O$2:O$42,MATCH(LARGE('V_Hisse'!$AC$2:$AC$42,ROW()-3),'V_Hisse'!$AC$2:$AC$42,0))</f>
        <v/>
      </c>
      <c r="Q35" s="9">
        <f>INDEX('V_Hisse'!P$2:P$42,MATCH(LARGE('V_Hisse'!$AC$2:$AC$42,ROW()-3),'V_Hisse'!$AC$2:$AC$42,0))</f>
        <v/>
      </c>
      <c r="R35" s="5">
        <f>INDEX('V_Hisse'!Q$2:Q$42,MATCH(LARGE('V_Hisse'!$AC$2:$AC$42,ROW()-3),'V_Hisse'!$AC$2:$AC$42,0))</f>
        <v/>
      </c>
      <c r="S35" s="8">
        <f>INDEX('V_Hisse'!R$2:R$42,MATCH(LARGE('V_Hisse'!$AC$2:$AC$42,ROW()-3),'V_Hisse'!$AC$2:$AC$42,0))</f>
        <v/>
      </c>
      <c r="T35" s="8">
        <f>INDEX('V_Hisse'!S$2:S$42,MATCH(LARGE('V_Hisse'!$AC$2:$AC$42,ROW()-3),'V_Hisse'!$AC$2:$AC$42,0))</f>
        <v/>
      </c>
      <c r="U35" s="8">
        <f>INDEX('V_Hisse'!T$2:T$42,MATCH(LARGE('V_Hisse'!$AC$2:$AC$42,ROW()-3),'V_Hisse'!$AC$2:$AC$42,0))</f>
        <v/>
      </c>
      <c r="V35" s="8">
        <f>INDEX('V_Hisse'!U$2:U$42,MATCH(LARGE('V_Hisse'!$AC$2:$AC$42,ROW()-3),'V_Hisse'!$AC$2:$AC$42,0))</f>
        <v/>
      </c>
      <c r="W35" s="8">
        <f>INDEX('V_Hisse'!V$2:V$42,MATCH(LARGE('V_Hisse'!$AC$2:$AC$42,ROW()-3),'V_Hisse'!$AC$2:$AC$42,0))</f>
        <v/>
      </c>
      <c r="X35" s="8">
        <f>INDEX('V_Hisse'!W$2:W$42,MATCH(LARGE('V_Hisse'!$AC$2:$AC$42,ROW()-3),'V_Hisse'!$AC$2:$AC$42,0))</f>
        <v/>
      </c>
      <c r="Y35" s="8">
        <f>INDEX('V_Hisse'!X$2:X$42,MATCH(LARGE('V_Hisse'!$AC$2:$AC$42,ROW()-3),'V_Hisse'!$AC$2:$AC$42,0))</f>
        <v/>
      </c>
      <c r="Z35" s="8">
        <f>INDEX('V_Hisse'!Y$2:Y$42,MATCH(LARGE('V_Hisse'!$AC$2:$AC$42,ROW()-3),'V_Hisse'!$AC$2:$AC$42,0))</f>
        <v/>
      </c>
      <c r="AA35" s="8">
        <f>INDEX('V_Hisse'!Z$2:Z$42,MATCH(LARGE('V_Hisse'!$AC$2:$AC$42,ROW()-3),'V_Hisse'!$AC$2:$AC$42,0))</f>
        <v/>
      </c>
      <c r="AB35" s="8">
        <f>INDEX('V_Hisse'!AA$2:AA$42,MATCH(LARGE('V_Hisse'!$AC$2:$AC$42,ROW()-3),'V_Hisse'!$AC$2:$AC$42,0))</f>
        <v/>
      </c>
    </row>
    <row r="36">
      <c r="A36" t="n">
        <v>33</v>
      </c>
      <c r="B36" s="5">
        <f>INDEX('V_Hisse'!A$2:A$42,MATCH(LARGE('V_Hisse'!$AC$2:$AC$42,ROW()-3),'V_Hisse'!$AC$2:$AC$42,0))</f>
        <v/>
      </c>
      <c r="C36" s="5">
        <f>INDEX('V_Hisse'!B$2:B$42,MATCH(LARGE('V_Hisse'!$AC$2:$AC$42,ROW()-3),'V_Hisse'!$AC$2:$AC$42,0))</f>
        <v/>
      </c>
      <c r="D36" s="5">
        <f>INDEX('V_Hisse'!C$2:C$42,MATCH(LARGE('V_Hisse'!$AC$2:$AC$42,ROW()-3),'V_Hisse'!$AC$2:$AC$42,0))</f>
        <v/>
      </c>
      <c r="E36" s="8">
        <f>INDEX('V_Hisse'!D$2:D$42,MATCH(LARGE('V_Hisse'!$AC$2:$AC$42,ROW()-3),'V_Hisse'!$AC$2:$AC$42,0))</f>
        <v/>
      </c>
      <c r="F36" s="9">
        <f>INDEX('V_Hisse'!E$2:E$42,MATCH(LARGE('V_Hisse'!$AC$2:$AC$42,ROW()-3),'V_Hisse'!$AC$2:$AC$42,0))</f>
        <v/>
      </c>
      <c r="G36" s="9">
        <f>INDEX('V_Hisse'!F$2:F$42,MATCH(LARGE('V_Hisse'!$AC$2:$AC$42,ROW()-3),'V_Hisse'!$AC$2:$AC$42,0))</f>
        <v/>
      </c>
      <c r="H36" s="9">
        <f>INDEX('V_Hisse'!G$2:G$42,MATCH(LARGE('V_Hisse'!$AC$2:$AC$42,ROW()-3),'V_Hisse'!$AC$2:$AC$42,0))</f>
        <v/>
      </c>
      <c r="I36" s="9">
        <f>INDEX('V_Hisse'!H$2:H$42,MATCH(LARGE('V_Hisse'!$AC$2:$AC$42,ROW()-3),'V_Hisse'!$AC$2:$AC$42,0))</f>
        <v/>
      </c>
      <c r="J36" s="9">
        <f>INDEX('V_Hisse'!I$2:I$42,MATCH(LARGE('V_Hisse'!$AC$2:$AC$42,ROW()-3),'V_Hisse'!$AC$2:$AC$42,0))</f>
        <v/>
      </c>
      <c r="K36" s="10">
        <f>INDEX('V_Hisse'!J$2:J$42,MATCH(LARGE('V_Hisse'!$AC$2:$AC$42,ROW()-3),'V_Hisse'!$AC$2:$AC$42,0))</f>
        <v/>
      </c>
      <c r="L36" s="10">
        <f>INDEX('V_Hisse'!K$2:K$42,MATCH(LARGE('V_Hisse'!$AC$2:$AC$42,ROW()-3),'V_Hisse'!$AC$2:$AC$42,0))</f>
        <v/>
      </c>
      <c r="M36" s="8">
        <f>INDEX('V_Hisse'!L$2:L$42,MATCH(LARGE('V_Hisse'!$AC$2:$AC$42,ROW()-3),'V_Hisse'!$AC$2:$AC$42,0))</f>
        <v/>
      </c>
      <c r="N36" s="11">
        <f>INDEX('V_Hisse'!M$2:M$42,MATCH(LARGE('V_Hisse'!$AC$2:$AC$42,ROW()-3),'V_Hisse'!$AC$2:$AC$42,0))</f>
        <v/>
      </c>
      <c r="O36" s="11">
        <f>INDEX('V_Hisse'!N$2:N$42,MATCH(LARGE('V_Hisse'!$AC$2:$AC$42,ROW()-3),'V_Hisse'!$AC$2:$AC$42,0))</f>
        <v/>
      </c>
      <c r="P36" s="8">
        <f>INDEX('V_Hisse'!O$2:O$42,MATCH(LARGE('V_Hisse'!$AC$2:$AC$42,ROW()-3),'V_Hisse'!$AC$2:$AC$42,0))</f>
        <v/>
      </c>
      <c r="Q36" s="9">
        <f>INDEX('V_Hisse'!P$2:P$42,MATCH(LARGE('V_Hisse'!$AC$2:$AC$42,ROW()-3),'V_Hisse'!$AC$2:$AC$42,0))</f>
        <v/>
      </c>
      <c r="R36" s="5">
        <f>INDEX('V_Hisse'!Q$2:Q$42,MATCH(LARGE('V_Hisse'!$AC$2:$AC$42,ROW()-3),'V_Hisse'!$AC$2:$AC$42,0))</f>
        <v/>
      </c>
      <c r="S36" s="8">
        <f>INDEX('V_Hisse'!R$2:R$42,MATCH(LARGE('V_Hisse'!$AC$2:$AC$42,ROW()-3),'V_Hisse'!$AC$2:$AC$42,0))</f>
        <v/>
      </c>
      <c r="T36" s="8">
        <f>INDEX('V_Hisse'!S$2:S$42,MATCH(LARGE('V_Hisse'!$AC$2:$AC$42,ROW()-3),'V_Hisse'!$AC$2:$AC$42,0))</f>
        <v/>
      </c>
      <c r="U36" s="8">
        <f>INDEX('V_Hisse'!T$2:T$42,MATCH(LARGE('V_Hisse'!$AC$2:$AC$42,ROW()-3),'V_Hisse'!$AC$2:$AC$42,0))</f>
        <v/>
      </c>
      <c r="V36" s="8">
        <f>INDEX('V_Hisse'!U$2:U$42,MATCH(LARGE('V_Hisse'!$AC$2:$AC$42,ROW()-3),'V_Hisse'!$AC$2:$AC$42,0))</f>
        <v/>
      </c>
      <c r="W36" s="8">
        <f>INDEX('V_Hisse'!V$2:V$42,MATCH(LARGE('V_Hisse'!$AC$2:$AC$42,ROW()-3),'V_Hisse'!$AC$2:$AC$42,0))</f>
        <v/>
      </c>
      <c r="X36" s="8">
        <f>INDEX('V_Hisse'!W$2:W$42,MATCH(LARGE('V_Hisse'!$AC$2:$AC$42,ROW()-3),'V_Hisse'!$AC$2:$AC$42,0))</f>
        <v/>
      </c>
      <c r="Y36" s="8">
        <f>INDEX('V_Hisse'!X$2:X$42,MATCH(LARGE('V_Hisse'!$AC$2:$AC$42,ROW()-3),'V_Hisse'!$AC$2:$AC$42,0))</f>
        <v/>
      </c>
      <c r="Z36" s="8">
        <f>INDEX('V_Hisse'!Y$2:Y$42,MATCH(LARGE('V_Hisse'!$AC$2:$AC$42,ROW()-3),'V_Hisse'!$AC$2:$AC$42,0))</f>
        <v/>
      </c>
      <c r="AA36" s="8">
        <f>INDEX('V_Hisse'!Z$2:Z$42,MATCH(LARGE('V_Hisse'!$AC$2:$AC$42,ROW()-3),'V_Hisse'!$AC$2:$AC$42,0))</f>
        <v/>
      </c>
      <c r="AB36" s="8">
        <f>INDEX('V_Hisse'!AA$2:AA$42,MATCH(LARGE('V_Hisse'!$AC$2:$AC$42,ROW()-3),'V_Hisse'!$AC$2:$AC$42,0))</f>
        <v/>
      </c>
    </row>
    <row r="37">
      <c r="A37" t="n">
        <v>34</v>
      </c>
      <c r="B37" s="5">
        <f>INDEX('V_Hisse'!A$2:A$42,MATCH(LARGE('V_Hisse'!$AC$2:$AC$42,ROW()-3),'V_Hisse'!$AC$2:$AC$42,0))</f>
        <v/>
      </c>
      <c r="C37" s="5">
        <f>INDEX('V_Hisse'!B$2:B$42,MATCH(LARGE('V_Hisse'!$AC$2:$AC$42,ROW()-3),'V_Hisse'!$AC$2:$AC$42,0))</f>
        <v/>
      </c>
      <c r="D37" s="5">
        <f>INDEX('V_Hisse'!C$2:C$42,MATCH(LARGE('V_Hisse'!$AC$2:$AC$42,ROW()-3),'V_Hisse'!$AC$2:$AC$42,0))</f>
        <v/>
      </c>
      <c r="E37" s="8">
        <f>INDEX('V_Hisse'!D$2:D$42,MATCH(LARGE('V_Hisse'!$AC$2:$AC$42,ROW()-3),'V_Hisse'!$AC$2:$AC$42,0))</f>
        <v/>
      </c>
      <c r="F37" s="9">
        <f>INDEX('V_Hisse'!E$2:E$42,MATCH(LARGE('V_Hisse'!$AC$2:$AC$42,ROW()-3),'V_Hisse'!$AC$2:$AC$42,0))</f>
        <v/>
      </c>
      <c r="G37" s="9">
        <f>INDEX('V_Hisse'!F$2:F$42,MATCH(LARGE('V_Hisse'!$AC$2:$AC$42,ROW()-3),'V_Hisse'!$AC$2:$AC$42,0))</f>
        <v/>
      </c>
      <c r="H37" s="9">
        <f>INDEX('V_Hisse'!G$2:G$42,MATCH(LARGE('V_Hisse'!$AC$2:$AC$42,ROW()-3),'V_Hisse'!$AC$2:$AC$42,0))</f>
        <v/>
      </c>
      <c r="I37" s="9">
        <f>INDEX('V_Hisse'!H$2:H$42,MATCH(LARGE('V_Hisse'!$AC$2:$AC$42,ROW()-3),'V_Hisse'!$AC$2:$AC$42,0))</f>
        <v/>
      </c>
      <c r="J37" s="9">
        <f>INDEX('V_Hisse'!I$2:I$42,MATCH(LARGE('V_Hisse'!$AC$2:$AC$42,ROW()-3),'V_Hisse'!$AC$2:$AC$42,0))</f>
        <v/>
      </c>
      <c r="K37" s="10">
        <f>INDEX('V_Hisse'!J$2:J$42,MATCH(LARGE('V_Hisse'!$AC$2:$AC$42,ROW()-3),'V_Hisse'!$AC$2:$AC$42,0))</f>
        <v/>
      </c>
      <c r="L37" s="10">
        <f>INDEX('V_Hisse'!K$2:K$42,MATCH(LARGE('V_Hisse'!$AC$2:$AC$42,ROW()-3),'V_Hisse'!$AC$2:$AC$42,0))</f>
        <v/>
      </c>
      <c r="M37" s="8">
        <f>INDEX('V_Hisse'!L$2:L$42,MATCH(LARGE('V_Hisse'!$AC$2:$AC$42,ROW()-3),'V_Hisse'!$AC$2:$AC$42,0))</f>
        <v/>
      </c>
      <c r="N37" s="11">
        <f>INDEX('V_Hisse'!M$2:M$42,MATCH(LARGE('V_Hisse'!$AC$2:$AC$42,ROW()-3),'V_Hisse'!$AC$2:$AC$42,0))</f>
        <v/>
      </c>
      <c r="O37" s="11">
        <f>INDEX('V_Hisse'!N$2:N$42,MATCH(LARGE('V_Hisse'!$AC$2:$AC$42,ROW()-3),'V_Hisse'!$AC$2:$AC$42,0))</f>
        <v/>
      </c>
      <c r="P37" s="8">
        <f>INDEX('V_Hisse'!O$2:O$42,MATCH(LARGE('V_Hisse'!$AC$2:$AC$42,ROW()-3),'V_Hisse'!$AC$2:$AC$42,0))</f>
        <v/>
      </c>
      <c r="Q37" s="9">
        <f>INDEX('V_Hisse'!P$2:P$42,MATCH(LARGE('V_Hisse'!$AC$2:$AC$42,ROW()-3),'V_Hisse'!$AC$2:$AC$42,0))</f>
        <v/>
      </c>
      <c r="R37" s="5">
        <f>INDEX('V_Hisse'!Q$2:Q$42,MATCH(LARGE('V_Hisse'!$AC$2:$AC$42,ROW()-3),'V_Hisse'!$AC$2:$AC$42,0))</f>
        <v/>
      </c>
      <c r="S37" s="8">
        <f>INDEX('V_Hisse'!R$2:R$42,MATCH(LARGE('V_Hisse'!$AC$2:$AC$42,ROW()-3),'V_Hisse'!$AC$2:$AC$42,0))</f>
        <v/>
      </c>
      <c r="T37" s="8">
        <f>INDEX('V_Hisse'!S$2:S$42,MATCH(LARGE('V_Hisse'!$AC$2:$AC$42,ROW()-3),'V_Hisse'!$AC$2:$AC$42,0))</f>
        <v/>
      </c>
      <c r="U37" s="8">
        <f>INDEX('V_Hisse'!T$2:T$42,MATCH(LARGE('V_Hisse'!$AC$2:$AC$42,ROW()-3),'V_Hisse'!$AC$2:$AC$42,0))</f>
        <v/>
      </c>
      <c r="V37" s="8">
        <f>INDEX('V_Hisse'!U$2:U$42,MATCH(LARGE('V_Hisse'!$AC$2:$AC$42,ROW()-3),'V_Hisse'!$AC$2:$AC$42,0))</f>
        <v/>
      </c>
      <c r="W37" s="8">
        <f>INDEX('V_Hisse'!V$2:V$42,MATCH(LARGE('V_Hisse'!$AC$2:$AC$42,ROW()-3),'V_Hisse'!$AC$2:$AC$42,0))</f>
        <v/>
      </c>
      <c r="X37" s="8">
        <f>INDEX('V_Hisse'!W$2:W$42,MATCH(LARGE('V_Hisse'!$AC$2:$AC$42,ROW()-3),'V_Hisse'!$AC$2:$AC$42,0))</f>
        <v/>
      </c>
      <c r="Y37" s="8">
        <f>INDEX('V_Hisse'!X$2:X$42,MATCH(LARGE('V_Hisse'!$AC$2:$AC$42,ROW()-3),'V_Hisse'!$AC$2:$AC$42,0))</f>
        <v/>
      </c>
      <c r="Z37" s="8">
        <f>INDEX('V_Hisse'!Y$2:Y$42,MATCH(LARGE('V_Hisse'!$AC$2:$AC$42,ROW()-3),'V_Hisse'!$AC$2:$AC$42,0))</f>
        <v/>
      </c>
      <c r="AA37" s="8">
        <f>INDEX('V_Hisse'!Z$2:Z$42,MATCH(LARGE('V_Hisse'!$AC$2:$AC$42,ROW()-3),'V_Hisse'!$AC$2:$AC$42,0))</f>
        <v/>
      </c>
      <c r="AB37" s="8">
        <f>INDEX('V_Hisse'!AA$2:AA$42,MATCH(LARGE('V_Hisse'!$AC$2:$AC$42,ROW()-3),'V_Hisse'!$AC$2:$AC$42,0))</f>
        <v/>
      </c>
    </row>
    <row r="38">
      <c r="A38" t="n">
        <v>35</v>
      </c>
      <c r="B38" s="5">
        <f>INDEX('V_Hisse'!A$2:A$42,MATCH(LARGE('V_Hisse'!$AC$2:$AC$42,ROW()-3),'V_Hisse'!$AC$2:$AC$42,0))</f>
        <v/>
      </c>
      <c r="C38" s="5">
        <f>INDEX('V_Hisse'!B$2:B$42,MATCH(LARGE('V_Hisse'!$AC$2:$AC$42,ROW()-3),'V_Hisse'!$AC$2:$AC$42,0))</f>
        <v/>
      </c>
      <c r="D38" s="5">
        <f>INDEX('V_Hisse'!C$2:C$42,MATCH(LARGE('V_Hisse'!$AC$2:$AC$42,ROW()-3),'V_Hisse'!$AC$2:$AC$42,0))</f>
        <v/>
      </c>
      <c r="E38" s="8">
        <f>INDEX('V_Hisse'!D$2:D$42,MATCH(LARGE('V_Hisse'!$AC$2:$AC$42,ROW()-3),'V_Hisse'!$AC$2:$AC$42,0))</f>
        <v/>
      </c>
      <c r="F38" s="9">
        <f>INDEX('V_Hisse'!E$2:E$42,MATCH(LARGE('V_Hisse'!$AC$2:$AC$42,ROW()-3),'V_Hisse'!$AC$2:$AC$42,0))</f>
        <v/>
      </c>
      <c r="G38" s="9">
        <f>INDEX('V_Hisse'!F$2:F$42,MATCH(LARGE('V_Hisse'!$AC$2:$AC$42,ROW()-3),'V_Hisse'!$AC$2:$AC$42,0))</f>
        <v/>
      </c>
      <c r="H38" s="9">
        <f>INDEX('V_Hisse'!G$2:G$42,MATCH(LARGE('V_Hisse'!$AC$2:$AC$42,ROW()-3),'V_Hisse'!$AC$2:$AC$42,0))</f>
        <v/>
      </c>
      <c r="I38" s="9">
        <f>INDEX('V_Hisse'!H$2:H$42,MATCH(LARGE('V_Hisse'!$AC$2:$AC$42,ROW()-3),'V_Hisse'!$AC$2:$AC$42,0))</f>
        <v/>
      </c>
      <c r="J38" s="9">
        <f>INDEX('V_Hisse'!I$2:I$42,MATCH(LARGE('V_Hisse'!$AC$2:$AC$42,ROW()-3),'V_Hisse'!$AC$2:$AC$42,0))</f>
        <v/>
      </c>
      <c r="K38" s="10">
        <f>INDEX('V_Hisse'!J$2:J$42,MATCH(LARGE('V_Hisse'!$AC$2:$AC$42,ROW()-3),'V_Hisse'!$AC$2:$AC$42,0))</f>
        <v/>
      </c>
      <c r="L38" s="10">
        <f>INDEX('V_Hisse'!K$2:K$42,MATCH(LARGE('V_Hisse'!$AC$2:$AC$42,ROW()-3),'V_Hisse'!$AC$2:$AC$42,0))</f>
        <v/>
      </c>
      <c r="M38" s="8">
        <f>INDEX('V_Hisse'!L$2:L$42,MATCH(LARGE('V_Hisse'!$AC$2:$AC$42,ROW()-3),'V_Hisse'!$AC$2:$AC$42,0))</f>
        <v/>
      </c>
      <c r="N38" s="11">
        <f>INDEX('V_Hisse'!M$2:M$42,MATCH(LARGE('V_Hisse'!$AC$2:$AC$42,ROW()-3),'V_Hisse'!$AC$2:$AC$42,0))</f>
        <v/>
      </c>
      <c r="O38" s="11">
        <f>INDEX('V_Hisse'!N$2:N$42,MATCH(LARGE('V_Hisse'!$AC$2:$AC$42,ROW()-3),'V_Hisse'!$AC$2:$AC$42,0))</f>
        <v/>
      </c>
      <c r="P38" s="8">
        <f>INDEX('V_Hisse'!O$2:O$42,MATCH(LARGE('V_Hisse'!$AC$2:$AC$42,ROW()-3),'V_Hisse'!$AC$2:$AC$42,0))</f>
        <v/>
      </c>
      <c r="Q38" s="9">
        <f>INDEX('V_Hisse'!P$2:P$42,MATCH(LARGE('V_Hisse'!$AC$2:$AC$42,ROW()-3),'V_Hisse'!$AC$2:$AC$42,0))</f>
        <v/>
      </c>
      <c r="R38" s="5">
        <f>INDEX('V_Hisse'!Q$2:Q$42,MATCH(LARGE('V_Hisse'!$AC$2:$AC$42,ROW()-3),'V_Hisse'!$AC$2:$AC$42,0))</f>
        <v/>
      </c>
      <c r="S38" s="8">
        <f>INDEX('V_Hisse'!R$2:R$42,MATCH(LARGE('V_Hisse'!$AC$2:$AC$42,ROW()-3),'V_Hisse'!$AC$2:$AC$42,0))</f>
        <v/>
      </c>
      <c r="T38" s="8">
        <f>INDEX('V_Hisse'!S$2:S$42,MATCH(LARGE('V_Hisse'!$AC$2:$AC$42,ROW()-3),'V_Hisse'!$AC$2:$AC$42,0))</f>
        <v/>
      </c>
      <c r="U38" s="8">
        <f>INDEX('V_Hisse'!T$2:T$42,MATCH(LARGE('V_Hisse'!$AC$2:$AC$42,ROW()-3),'V_Hisse'!$AC$2:$AC$42,0))</f>
        <v/>
      </c>
      <c r="V38" s="8">
        <f>INDEX('V_Hisse'!U$2:U$42,MATCH(LARGE('V_Hisse'!$AC$2:$AC$42,ROW()-3),'V_Hisse'!$AC$2:$AC$42,0))</f>
        <v/>
      </c>
      <c r="W38" s="8">
        <f>INDEX('V_Hisse'!V$2:V$42,MATCH(LARGE('V_Hisse'!$AC$2:$AC$42,ROW()-3),'V_Hisse'!$AC$2:$AC$42,0))</f>
        <v/>
      </c>
      <c r="X38" s="8">
        <f>INDEX('V_Hisse'!W$2:W$42,MATCH(LARGE('V_Hisse'!$AC$2:$AC$42,ROW()-3),'V_Hisse'!$AC$2:$AC$42,0))</f>
        <v/>
      </c>
      <c r="Y38" s="8">
        <f>INDEX('V_Hisse'!X$2:X$42,MATCH(LARGE('V_Hisse'!$AC$2:$AC$42,ROW()-3),'V_Hisse'!$AC$2:$AC$42,0))</f>
        <v/>
      </c>
      <c r="Z38" s="8">
        <f>INDEX('V_Hisse'!Y$2:Y$42,MATCH(LARGE('V_Hisse'!$AC$2:$AC$42,ROW()-3),'V_Hisse'!$AC$2:$AC$42,0))</f>
        <v/>
      </c>
      <c r="AA38" s="8">
        <f>INDEX('V_Hisse'!Z$2:Z$42,MATCH(LARGE('V_Hisse'!$AC$2:$AC$42,ROW()-3),'V_Hisse'!$AC$2:$AC$42,0))</f>
        <v/>
      </c>
      <c r="AB38" s="8">
        <f>INDEX('V_Hisse'!AA$2:AA$42,MATCH(LARGE('V_Hisse'!$AC$2:$AC$42,ROW()-3),'V_Hisse'!$AC$2:$AC$42,0))</f>
        <v/>
      </c>
    </row>
    <row r="39">
      <c r="A39" t="n">
        <v>36</v>
      </c>
      <c r="B39" s="5">
        <f>INDEX('V_Hisse'!A$2:A$42,MATCH(LARGE('V_Hisse'!$AC$2:$AC$42,ROW()-3),'V_Hisse'!$AC$2:$AC$42,0))</f>
        <v/>
      </c>
      <c r="C39" s="5">
        <f>INDEX('V_Hisse'!B$2:B$42,MATCH(LARGE('V_Hisse'!$AC$2:$AC$42,ROW()-3),'V_Hisse'!$AC$2:$AC$42,0))</f>
        <v/>
      </c>
      <c r="D39" s="5">
        <f>INDEX('V_Hisse'!C$2:C$42,MATCH(LARGE('V_Hisse'!$AC$2:$AC$42,ROW()-3),'V_Hisse'!$AC$2:$AC$42,0))</f>
        <v/>
      </c>
      <c r="E39" s="8">
        <f>INDEX('V_Hisse'!D$2:D$42,MATCH(LARGE('V_Hisse'!$AC$2:$AC$42,ROW()-3),'V_Hisse'!$AC$2:$AC$42,0))</f>
        <v/>
      </c>
      <c r="F39" s="9">
        <f>INDEX('V_Hisse'!E$2:E$42,MATCH(LARGE('V_Hisse'!$AC$2:$AC$42,ROW()-3),'V_Hisse'!$AC$2:$AC$42,0))</f>
        <v/>
      </c>
      <c r="G39" s="9">
        <f>INDEX('V_Hisse'!F$2:F$42,MATCH(LARGE('V_Hisse'!$AC$2:$AC$42,ROW()-3),'V_Hisse'!$AC$2:$AC$42,0))</f>
        <v/>
      </c>
      <c r="H39" s="9">
        <f>INDEX('V_Hisse'!G$2:G$42,MATCH(LARGE('V_Hisse'!$AC$2:$AC$42,ROW()-3),'V_Hisse'!$AC$2:$AC$42,0))</f>
        <v/>
      </c>
      <c r="I39" s="9">
        <f>INDEX('V_Hisse'!H$2:H$42,MATCH(LARGE('V_Hisse'!$AC$2:$AC$42,ROW()-3),'V_Hisse'!$AC$2:$AC$42,0))</f>
        <v/>
      </c>
      <c r="J39" s="9">
        <f>INDEX('V_Hisse'!I$2:I$42,MATCH(LARGE('V_Hisse'!$AC$2:$AC$42,ROW()-3),'V_Hisse'!$AC$2:$AC$42,0))</f>
        <v/>
      </c>
      <c r="K39" s="10">
        <f>INDEX('V_Hisse'!J$2:J$42,MATCH(LARGE('V_Hisse'!$AC$2:$AC$42,ROW()-3),'V_Hisse'!$AC$2:$AC$42,0))</f>
        <v/>
      </c>
      <c r="L39" s="10">
        <f>INDEX('V_Hisse'!K$2:K$42,MATCH(LARGE('V_Hisse'!$AC$2:$AC$42,ROW()-3),'V_Hisse'!$AC$2:$AC$42,0))</f>
        <v/>
      </c>
      <c r="M39" s="8">
        <f>INDEX('V_Hisse'!L$2:L$42,MATCH(LARGE('V_Hisse'!$AC$2:$AC$42,ROW()-3),'V_Hisse'!$AC$2:$AC$42,0))</f>
        <v/>
      </c>
      <c r="N39" s="11">
        <f>INDEX('V_Hisse'!M$2:M$42,MATCH(LARGE('V_Hisse'!$AC$2:$AC$42,ROW()-3),'V_Hisse'!$AC$2:$AC$42,0))</f>
        <v/>
      </c>
      <c r="O39" s="11">
        <f>INDEX('V_Hisse'!N$2:N$42,MATCH(LARGE('V_Hisse'!$AC$2:$AC$42,ROW()-3),'V_Hisse'!$AC$2:$AC$42,0))</f>
        <v/>
      </c>
      <c r="P39" s="8">
        <f>INDEX('V_Hisse'!O$2:O$42,MATCH(LARGE('V_Hisse'!$AC$2:$AC$42,ROW()-3),'V_Hisse'!$AC$2:$AC$42,0))</f>
        <v/>
      </c>
      <c r="Q39" s="9">
        <f>INDEX('V_Hisse'!P$2:P$42,MATCH(LARGE('V_Hisse'!$AC$2:$AC$42,ROW()-3),'V_Hisse'!$AC$2:$AC$42,0))</f>
        <v/>
      </c>
      <c r="R39" s="5">
        <f>INDEX('V_Hisse'!Q$2:Q$42,MATCH(LARGE('V_Hisse'!$AC$2:$AC$42,ROW()-3),'V_Hisse'!$AC$2:$AC$42,0))</f>
        <v/>
      </c>
      <c r="S39" s="8">
        <f>INDEX('V_Hisse'!R$2:R$42,MATCH(LARGE('V_Hisse'!$AC$2:$AC$42,ROW()-3),'V_Hisse'!$AC$2:$AC$42,0))</f>
        <v/>
      </c>
      <c r="T39" s="8">
        <f>INDEX('V_Hisse'!S$2:S$42,MATCH(LARGE('V_Hisse'!$AC$2:$AC$42,ROW()-3),'V_Hisse'!$AC$2:$AC$42,0))</f>
        <v/>
      </c>
      <c r="U39" s="8">
        <f>INDEX('V_Hisse'!T$2:T$42,MATCH(LARGE('V_Hisse'!$AC$2:$AC$42,ROW()-3),'V_Hisse'!$AC$2:$AC$42,0))</f>
        <v/>
      </c>
      <c r="V39" s="8">
        <f>INDEX('V_Hisse'!U$2:U$42,MATCH(LARGE('V_Hisse'!$AC$2:$AC$42,ROW()-3),'V_Hisse'!$AC$2:$AC$42,0))</f>
        <v/>
      </c>
      <c r="W39" s="8">
        <f>INDEX('V_Hisse'!V$2:V$42,MATCH(LARGE('V_Hisse'!$AC$2:$AC$42,ROW()-3),'V_Hisse'!$AC$2:$AC$42,0))</f>
        <v/>
      </c>
      <c r="X39" s="8">
        <f>INDEX('V_Hisse'!W$2:W$42,MATCH(LARGE('V_Hisse'!$AC$2:$AC$42,ROW()-3),'V_Hisse'!$AC$2:$AC$42,0))</f>
        <v/>
      </c>
      <c r="Y39" s="8">
        <f>INDEX('V_Hisse'!X$2:X$42,MATCH(LARGE('V_Hisse'!$AC$2:$AC$42,ROW()-3),'V_Hisse'!$AC$2:$AC$42,0))</f>
        <v/>
      </c>
      <c r="Z39" s="8">
        <f>INDEX('V_Hisse'!Y$2:Y$42,MATCH(LARGE('V_Hisse'!$AC$2:$AC$42,ROW()-3),'V_Hisse'!$AC$2:$AC$42,0))</f>
        <v/>
      </c>
      <c r="AA39" s="8">
        <f>INDEX('V_Hisse'!Z$2:Z$42,MATCH(LARGE('V_Hisse'!$AC$2:$AC$42,ROW()-3),'V_Hisse'!$AC$2:$AC$42,0))</f>
        <v/>
      </c>
      <c r="AB39" s="8">
        <f>INDEX('V_Hisse'!AA$2:AA$42,MATCH(LARGE('V_Hisse'!$AC$2:$AC$42,ROW()-3),'V_Hisse'!$AC$2:$AC$42,0))</f>
        <v/>
      </c>
    </row>
    <row r="40">
      <c r="A40" t="n">
        <v>37</v>
      </c>
      <c r="B40" s="5">
        <f>INDEX('V_Hisse'!A$2:A$42,MATCH(LARGE('V_Hisse'!$AC$2:$AC$42,ROW()-3),'V_Hisse'!$AC$2:$AC$42,0))</f>
        <v/>
      </c>
      <c r="C40" s="5">
        <f>INDEX('V_Hisse'!B$2:B$42,MATCH(LARGE('V_Hisse'!$AC$2:$AC$42,ROW()-3),'V_Hisse'!$AC$2:$AC$42,0))</f>
        <v/>
      </c>
      <c r="D40" s="5">
        <f>INDEX('V_Hisse'!C$2:C$42,MATCH(LARGE('V_Hisse'!$AC$2:$AC$42,ROW()-3),'V_Hisse'!$AC$2:$AC$42,0))</f>
        <v/>
      </c>
      <c r="E40" s="8">
        <f>INDEX('V_Hisse'!D$2:D$42,MATCH(LARGE('V_Hisse'!$AC$2:$AC$42,ROW()-3),'V_Hisse'!$AC$2:$AC$42,0))</f>
        <v/>
      </c>
      <c r="F40" s="9">
        <f>INDEX('V_Hisse'!E$2:E$42,MATCH(LARGE('V_Hisse'!$AC$2:$AC$42,ROW()-3),'V_Hisse'!$AC$2:$AC$42,0))</f>
        <v/>
      </c>
      <c r="G40" s="9">
        <f>INDEX('V_Hisse'!F$2:F$42,MATCH(LARGE('V_Hisse'!$AC$2:$AC$42,ROW()-3),'V_Hisse'!$AC$2:$AC$42,0))</f>
        <v/>
      </c>
      <c r="H40" s="9">
        <f>INDEX('V_Hisse'!G$2:G$42,MATCH(LARGE('V_Hisse'!$AC$2:$AC$42,ROW()-3),'V_Hisse'!$AC$2:$AC$42,0))</f>
        <v/>
      </c>
      <c r="I40" s="9">
        <f>INDEX('V_Hisse'!H$2:H$42,MATCH(LARGE('V_Hisse'!$AC$2:$AC$42,ROW()-3),'V_Hisse'!$AC$2:$AC$42,0))</f>
        <v/>
      </c>
      <c r="J40" s="9">
        <f>INDEX('V_Hisse'!I$2:I$42,MATCH(LARGE('V_Hisse'!$AC$2:$AC$42,ROW()-3),'V_Hisse'!$AC$2:$AC$42,0))</f>
        <v/>
      </c>
      <c r="K40" s="10">
        <f>INDEX('V_Hisse'!J$2:J$42,MATCH(LARGE('V_Hisse'!$AC$2:$AC$42,ROW()-3),'V_Hisse'!$AC$2:$AC$42,0))</f>
        <v/>
      </c>
      <c r="L40" s="10">
        <f>INDEX('V_Hisse'!K$2:K$42,MATCH(LARGE('V_Hisse'!$AC$2:$AC$42,ROW()-3),'V_Hisse'!$AC$2:$AC$42,0))</f>
        <v/>
      </c>
      <c r="M40" s="8">
        <f>INDEX('V_Hisse'!L$2:L$42,MATCH(LARGE('V_Hisse'!$AC$2:$AC$42,ROW()-3),'V_Hisse'!$AC$2:$AC$42,0))</f>
        <v/>
      </c>
      <c r="N40" s="11">
        <f>INDEX('V_Hisse'!M$2:M$42,MATCH(LARGE('V_Hisse'!$AC$2:$AC$42,ROW()-3),'V_Hisse'!$AC$2:$AC$42,0))</f>
        <v/>
      </c>
      <c r="O40" s="11">
        <f>INDEX('V_Hisse'!N$2:N$42,MATCH(LARGE('V_Hisse'!$AC$2:$AC$42,ROW()-3),'V_Hisse'!$AC$2:$AC$42,0))</f>
        <v/>
      </c>
      <c r="P40" s="8">
        <f>INDEX('V_Hisse'!O$2:O$42,MATCH(LARGE('V_Hisse'!$AC$2:$AC$42,ROW()-3),'V_Hisse'!$AC$2:$AC$42,0))</f>
        <v/>
      </c>
      <c r="Q40" s="9">
        <f>INDEX('V_Hisse'!P$2:P$42,MATCH(LARGE('V_Hisse'!$AC$2:$AC$42,ROW()-3),'V_Hisse'!$AC$2:$AC$42,0))</f>
        <v/>
      </c>
      <c r="R40" s="5">
        <f>INDEX('V_Hisse'!Q$2:Q$42,MATCH(LARGE('V_Hisse'!$AC$2:$AC$42,ROW()-3),'V_Hisse'!$AC$2:$AC$42,0))</f>
        <v/>
      </c>
      <c r="S40" s="8">
        <f>INDEX('V_Hisse'!R$2:R$42,MATCH(LARGE('V_Hisse'!$AC$2:$AC$42,ROW()-3),'V_Hisse'!$AC$2:$AC$42,0))</f>
        <v/>
      </c>
      <c r="T40" s="8">
        <f>INDEX('V_Hisse'!S$2:S$42,MATCH(LARGE('V_Hisse'!$AC$2:$AC$42,ROW()-3),'V_Hisse'!$AC$2:$AC$42,0))</f>
        <v/>
      </c>
      <c r="U40" s="8">
        <f>INDEX('V_Hisse'!T$2:T$42,MATCH(LARGE('V_Hisse'!$AC$2:$AC$42,ROW()-3),'V_Hisse'!$AC$2:$AC$42,0))</f>
        <v/>
      </c>
      <c r="V40" s="8">
        <f>INDEX('V_Hisse'!U$2:U$42,MATCH(LARGE('V_Hisse'!$AC$2:$AC$42,ROW()-3),'V_Hisse'!$AC$2:$AC$42,0))</f>
        <v/>
      </c>
      <c r="W40" s="8">
        <f>INDEX('V_Hisse'!V$2:V$42,MATCH(LARGE('V_Hisse'!$AC$2:$AC$42,ROW()-3),'V_Hisse'!$AC$2:$AC$42,0))</f>
        <v/>
      </c>
      <c r="X40" s="8">
        <f>INDEX('V_Hisse'!W$2:W$42,MATCH(LARGE('V_Hisse'!$AC$2:$AC$42,ROW()-3),'V_Hisse'!$AC$2:$AC$42,0))</f>
        <v/>
      </c>
      <c r="Y40" s="8">
        <f>INDEX('V_Hisse'!X$2:X$42,MATCH(LARGE('V_Hisse'!$AC$2:$AC$42,ROW()-3),'V_Hisse'!$AC$2:$AC$42,0))</f>
        <v/>
      </c>
      <c r="Z40" s="8">
        <f>INDEX('V_Hisse'!Y$2:Y$42,MATCH(LARGE('V_Hisse'!$AC$2:$AC$42,ROW()-3),'V_Hisse'!$AC$2:$AC$42,0))</f>
        <v/>
      </c>
      <c r="AA40" s="8">
        <f>INDEX('V_Hisse'!Z$2:Z$42,MATCH(LARGE('V_Hisse'!$AC$2:$AC$42,ROW()-3),'V_Hisse'!$AC$2:$AC$42,0))</f>
        <v/>
      </c>
      <c r="AB40" s="8">
        <f>INDEX('V_Hisse'!AA$2:AA$42,MATCH(LARGE('V_Hisse'!$AC$2:$AC$42,ROW()-3),'V_Hisse'!$AC$2:$AC$42,0))</f>
        <v/>
      </c>
    </row>
    <row r="41">
      <c r="A41" t="n">
        <v>38</v>
      </c>
      <c r="B41" s="5">
        <f>INDEX('V_Hisse'!A$2:A$42,MATCH(LARGE('V_Hisse'!$AC$2:$AC$42,ROW()-3),'V_Hisse'!$AC$2:$AC$42,0))</f>
        <v/>
      </c>
      <c r="C41" s="5">
        <f>INDEX('V_Hisse'!B$2:B$42,MATCH(LARGE('V_Hisse'!$AC$2:$AC$42,ROW()-3),'V_Hisse'!$AC$2:$AC$42,0))</f>
        <v/>
      </c>
      <c r="D41" s="5">
        <f>INDEX('V_Hisse'!C$2:C$42,MATCH(LARGE('V_Hisse'!$AC$2:$AC$42,ROW()-3),'V_Hisse'!$AC$2:$AC$42,0))</f>
        <v/>
      </c>
      <c r="E41" s="8">
        <f>INDEX('V_Hisse'!D$2:D$42,MATCH(LARGE('V_Hisse'!$AC$2:$AC$42,ROW()-3),'V_Hisse'!$AC$2:$AC$42,0))</f>
        <v/>
      </c>
      <c r="F41" s="9">
        <f>INDEX('V_Hisse'!E$2:E$42,MATCH(LARGE('V_Hisse'!$AC$2:$AC$42,ROW()-3),'V_Hisse'!$AC$2:$AC$42,0))</f>
        <v/>
      </c>
      <c r="G41" s="9">
        <f>INDEX('V_Hisse'!F$2:F$42,MATCH(LARGE('V_Hisse'!$AC$2:$AC$42,ROW()-3),'V_Hisse'!$AC$2:$AC$42,0))</f>
        <v/>
      </c>
      <c r="H41" s="9">
        <f>INDEX('V_Hisse'!G$2:G$42,MATCH(LARGE('V_Hisse'!$AC$2:$AC$42,ROW()-3),'V_Hisse'!$AC$2:$AC$42,0))</f>
        <v/>
      </c>
      <c r="I41" s="9">
        <f>INDEX('V_Hisse'!H$2:H$42,MATCH(LARGE('V_Hisse'!$AC$2:$AC$42,ROW()-3),'V_Hisse'!$AC$2:$AC$42,0))</f>
        <v/>
      </c>
      <c r="J41" s="9">
        <f>INDEX('V_Hisse'!I$2:I$42,MATCH(LARGE('V_Hisse'!$AC$2:$AC$42,ROW()-3),'V_Hisse'!$AC$2:$AC$42,0))</f>
        <v/>
      </c>
      <c r="K41" s="10">
        <f>INDEX('V_Hisse'!J$2:J$42,MATCH(LARGE('V_Hisse'!$AC$2:$AC$42,ROW()-3),'V_Hisse'!$AC$2:$AC$42,0))</f>
        <v/>
      </c>
      <c r="L41" s="10">
        <f>INDEX('V_Hisse'!K$2:K$42,MATCH(LARGE('V_Hisse'!$AC$2:$AC$42,ROW()-3),'V_Hisse'!$AC$2:$AC$42,0))</f>
        <v/>
      </c>
      <c r="M41" s="8">
        <f>INDEX('V_Hisse'!L$2:L$42,MATCH(LARGE('V_Hisse'!$AC$2:$AC$42,ROW()-3),'V_Hisse'!$AC$2:$AC$42,0))</f>
        <v/>
      </c>
      <c r="N41" s="11">
        <f>INDEX('V_Hisse'!M$2:M$42,MATCH(LARGE('V_Hisse'!$AC$2:$AC$42,ROW()-3),'V_Hisse'!$AC$2:$AC$42,0))</f>
        <v/>
      </c>
      <c r="O41" s="11">
        <f>INDEX('V_Hisse'!N$2:N$42,MATCH(LARGE('V_Hisse'!$AC$2:$AC$42,ROW()-3),'V_Hisse'!$AC$2:$AC$42,0))</f>
        <v/>
      </c>
      <c r="P41" s="8">
        <f>INDEX('V_Hisse'!O$2:O$42,MATCH(LARGE('V_Hisse'!$AC$2:$AC$42,ROW()-3),'V_Hisse'!$AC$2:$AC$42,0))</f>
        <v/>
      </c>
      <c r="Q41" s="9">
        <f>INDEX('V_Hisse'!P$2:P$42,MATCH(LARGE('V_Hisse'!$AC$2:$AC$42,ROW()-3),'V_Hisse'!$AC$2:$AC$42,0))</f>
        <v/>
      </c>
      <c r="R41" s="5">
        <f>INDEX('V_Hisse'!Q$2:Q$42,MATCH(LARGE('V_Hisse'!$AC$2:$AC$42,ROW()-3),'V_Hisse'!$AC$2:$AC$42,0))</f>
        <v/>
      </c>
      <c r="S41" s="8">
        <f>INDEX('V_Hisse'!R$2:R$42,MATCH(LARGE('V_Hisse'!$AC$2:$AC$42,ROW()-3),'V_Hisse'!$AC$2:$AC$42,0))</f>
        <v/>
      </c>
      <c r="T41" s="8">
        <f>INDEX('V_Hisse'!S$2:S$42,MATCH(LARGE('V_Hisse'!$AC$2:$AC$42,ROW()-3),'V_Hisse'!$AC$2:$AC$42,0))</f>
        <v/>
      </c>
      <c r="U41" s="8">
        <f>INDEX('V_Hisse'!T$2:T$42,MATCH(LARGE('V_Hisse'!$AC$2:$AC$42,ROW()-3),'V_Hisse'!$AC$2:$AC$42,0))</f>
        <v/>
      </c>
      <c r="V41" s="8">
        <f>INDEX('V_Hisse'!U$2:U$42,MATCH(LARGE('V_Hisse'!$AC$2:$AC$42,ROW()-3),'V_Hisse'!$AC$2:$AC$42,0))</f>
        <v/>
      </c>
      <c r="W41" s="8">
        <f>INDEX('V_Hisse'!V$2:V$42,MATCH(LARGE('V_Hisse'!$AC$2:$AC$42,ROW()-3),'V_Hisse'!$AC$2:$AC$42,0))</f>
        <v/>
      </c>
      <c r="X41" s="8">
        <f>INDEX('V_Hisse'!W$2:W$42,MATCH(LARGE('V_Hisse'!$AC$2:$AC$42,ROW()-3),'V_Hisse'!$AC$2:$AC$42,0))</f>
        <v/>
      </c>
      <c r="Y41" s="8">
        <f>INDEX('V_Hisse'!X$2:X$42,MATCH(LARGE('V_Hisse'!$AC$2:$AC$42,ROW()-3),'V_Hisse'!$AC$2:$AC$42,0))</f>
        <v/>
      </c>
      <c r="Z41" s="8">
        <f>INDEX('V_Hisse'!Y$2:Y$42,MATCH(LARGE('V_Hisse'!$AC$2:$AC$42,ROW()-3),'V_Hisse'!$AC$2:$AC$42,0))</f>
        <v/>
      </c>
      <c r="AA41" s="8">
        <f>INDEX('V_Hisse'!Z$2:Z$42,MATCH(LARGE('V_Hisse'!$AC$2:$AC$42,ROW()-3),'V_Hisse'!$AC$2:$AC$42,0))</f>
        <v/>
      </c>
      <c r="AB41" s="8">
        <f>INDEX('V_Hisse'!AA$2:AA$42,MATCH(LARGE('V_Hisse'!$AC$2:$AC$42,ROW()-3),'V_Hisse'!$AC$2:$AC$42,0))</f>
        <v/>
      </c>
    </row>
    <row r="42">
      <c r="A42" t="n">
        <v>39</v>
      </c>
      <c r="B42" s="5">
        <f>INDEX('V_Hisse'!A$2:A$42,MATCH(LARGE('V_Hisse'!$AC$2:$AC$42,ROW()-3),'V_Hisse'!$AC$2:$AC$42,0))</f>
        <v/>
      </c>
      <c r="C42" s="5">
        <f>INDEX('V_Hisse'!B$2:B$42,MATCH(LARGE('V_Hisse'!$AC$2:$AC$42,ROW()-3),'V_Hisse'!$AC$2:$AC$42,0))</f>
        <v/>
      </c>
      <c r="D42" s="5">
        <f>INDEX('V_Hisse'!C$2:C$42,MATCH(LARGE('V_Hisse'!$AC$2:$AC$42,ROW()-3),'V_Hisse'!$AC$2:$AC$42,0))</f>
        <v/>
      </c>
      <c r="E42" s="8">
        <f>INDEX('V_Hisse'!D$2:D$42,MATCH(LARGE('V_Hisse'!$AC$2:$AC$42,ROW()-3),'V_Hisse'!$AC$2:$AC$42,0))</f>
        <v/>
      </c>
      <c r="F42" s="9">
        <f>INDEX('V_Hisse'!E$2:E$42,MATCH(LARGE('V_Hisse'!$AC$2:$AC$42,ROW()-3),'V_Hisse'!$AC$2:$AC$42,0))</f>
        <v/>
      </c>
      <c r="G42" s="9">
        <f>INDEX('V_Hisse'!F$2:F$42,MATCH(LARGE('V_Hisse'!$AC$2:$AC$42,ROW()-3),'V_Hisse'!$AC$2:$AC$42,0))</f>
        <v/>
      </c>
      <c r="H42" s="9">
        <f>INDEX('V_Hisse'!G$2:G$42,MATCH(LARGE('V_Hisse'!$AC$2:$AC$42,ROW()-3),'V_Hisse'!$AC$2:$AC$42,0))</f>
        <v/>
      </c>
      <c r="I42" s="9">
        <f>INDEX('V_Hisse'!H$2:H$42,MATCH(LARGE('V_Hisse'!$AC$2:$AC$42,ROW()-3),'V_Hisse'!$AC$2:$AC$42,0))</f>
        <v/>
      </c>
      <c r="J42" s="9">
        <f>INDEX('V_Hisse'!I$2:I$42,MATCH(LARGE('V_Hisse'!$AC$2:$AC$42,ROW()-3),'V_Hisse'!$AC$2:$AC$42,0))</f>
        <v/>
      </c>
      <c r="K42" s="10">
        <f>INDEX('V_Hisse'!J$2:J$42,MATCH(LARGE('V_Hisse'!$AC$2:$AC$42,ROW()-3),'V_Hisse'!$AC$2:$AC$42,0))</f>
        <v/>
      </c>
      <c r="L42" s="10">
        <f>INDEX('V_Hisse'!K$2:K$42,MATCH(LARGE('V_Hisse'!$AC$2:$AC$42,ROW()-3),'V_Hisse'!$AC$2:$AC$42,0))</f>
        <v/>
      </c>
      <c r="M42" s="8">
        <f>INDEX('V_Hisse'!L$2:L$42,MATCH(LARGE('V_Hisse'!$AC$2:$AC$42,ROW()-3),'V_Hisse'!$AC$2:$AC$42,0))</f>
        <v/>
      </c>
      <c r="N42" s="11">
        <f>INDEX('V_Hisse'!M$2:M$42,MATCH(LARGE('V_Hisse'!$AC$2:$AC$42,ROW()-3),'V_Hisse'!$AC$2:$AC$42,0))</f>
        <v/>
      </c>
      <c r="O42" s="11">
        <f>INDEX('V_Hisse'!N$2:N$42,MATCH(LARGE('V_Hisse'!$AC$2:$AC$42,ROW()-3),'V_Hisse'!$AC$2:$AC$42,0))</f>
        <v/>
      </c>
      <c r="P42" s="8">
        <f>INDEX('V_Hisse'!O$2:O$42,MATCH(LARGE('V_Hisse'!$AC$2:$AC$42,ROW()-3),'V_Hisse'!$AC$2:$AC$42,0))</f>
        <v/>
      </c>
      <c r="Q42" s="9">
        <f>INDEX('V_Hisse'!P$2:P$42,MATCH(LARGE('V_Hisse'!$AC$2:$AC$42,ROW()-3),'V_Hisse'!$AC$2:$AC$42,0))</f>
        <v/>
      </c>
      <c r="R42" s="5">
        <f>INDEX('V_Hisse'!Q$2:Q$42,MATCH(LARGE('V_Hisse'!$AC$2:$AC$42,ROW()-3),'V_Hisse'!$AC$2:$AC$42,0))</f>
        <v/>
      </c>
      <c r="S42" s="8">
        <f>INDEX('V_Hisse'!R$2:R$42,MATCH(LARGE('V_Hisse'!$AC$2:$AC$42,ROW()-3),'V_Hisse'!$AC$2:$AC$42,0))</f>
        <v/>
      </c>
      <c r="T42" s="8">
        <f>INDEX('V_Hisse'!S$2:S$42,MATCH(LARGE('V_Hisse'!$AC$2:$AC$42,ROW()-3),'V_Hisse'!$AC$2:$AC$42,0))</f>
        <v/>
      </c>
      <c r="U42" s="8">
        <f>INDEX('V_Hisse'!T$2:T$42,MATCH(LARGE('V_Hisse'!$AC$2:$AC$42,ROW()-3),'V_Hisse'!$AC$2:$AC$42,0))</f>
        <v/>
      </c>
      <c r="V42" s="8">
        <f>INDEX('V_Hisse'!U$2:U$42,MATCH(LARGE('V_Hisse'!$AC$2:$AC$42,ROW()-3),'V_Hisse'!$AC$2:$AC$42,0))</f>
        <v/>
      </c>
      <c r="W42" s="8">
        <f>INDEX('V_Hisse'!V$2:V$42,MATCH(LARGE('V_Hisse'!$AC$2:$AC$42,ROW()-3),'V_Hisse'!$AC$2:$AC$42,0))</f>
        <v/>
      </c>
      <c r="X42" s="8">
        <f>INDEX('V_Hisse'!W$2:W$42,MATCH(LARGE('V_Hisse'!$AC$2:$AC$42,ROW()-3),'V_Hisse'!$AC$2:$AC$42,0))</f>
        <v/>
      </c>
      <c r="Y42" s="8">
        <f>INDEX('V_Hisse'!X$2:X$42,MATCH(LARGE('V_Hisse'!$AC$2:$AC$42,ROW()-3),'V_Hisse'!$AC$2:$AC$42,0))</f>
        <v/>
      </c>
      <c r="Z42" s="8">
        <f>INDEX('V_Hisse'!Y$2:Y$42,MATCH(LARGE('V_Hisse'!$AC$2:$AC$42,ROW()-3),'V_Hisse'!$AC$2:$AC$42,0))</f>
        <v/>
      </c>
      <c r="AA42" s="8">
        <f>INDEX('V_Hisse'!Z$2:Z$42,MATCH(LARGE('V_Hisse'!$AC$2:$AC$42,ROW()-3),'V_Hisse'!$AC$2:$AC$42,0))</f>
        <v/>
      </c>
      <c r="AB42" s="8">
        <f>INDEX('V_Hisse'!AA$2:AA$42,MATCH(LARGE('V_Hisse'!$AC$2:$AC$42,ROW()-3),'V_Hisse'!$AC$2:$AC$42,0))</f>
        <v/>
      </c>
    </row>
    <row r="43">
      <c r="A43" t="n">
        <v>40</v>
      </c>
      <c r="B43" s="5">
        <f>INDEX('V_Hisse'!A$2:A$42,MATCH(LARGE('V_Hisse'!$AC$2:$AC$42,ROW()-3),'V_Hisse'!$AC$2:$AC$42,0))</f>
        <v/>
      </c>
      <c r="C43" s="5">
        <f>INDEX('V_Hisse'!B$2:B$42,MATCH(LARGE('V_Hisse'!$AC$2:$AC$42,ROW()-3),'V_Hisse'!$AC$2:$AC$42,0))</f>
        <v/>
      </c>
      <c r="D43" s="5">
        <f>INDEX('V_Hisse'!C$2:C$42,MATCH(LARGE('V_Hisse'!$AC$2:$AC$42,ROW()-3),'V_Hisse'!$AC$2:$AC$42,0))</f>
        <v/>
      </c>
      <c r="E43" s="8">
        <f>INDEX('V_Hisse'!D$2:D$42,MATCH(LARGE('V_Hisse'!$AC$2:$AC$42,ROW()-3),'V_Hisse'!$AC$2:$AC$42,0))</f>
        <v/>
      </c>
      <c r="F43" s="9">
        <f>INDEX('V_Hisse'!E$2:E$42,MATCH(LARGE('V_Hisse'!$AC$2:$AC$42,ROW()-3),'V_Hisse'!$AC$2:$AC$42,0))</f>
        <v/>
      </c>
      <c r="G43" s="9">
        <f>INDEX('V_Hisse'!F$2:F$42,MATCH(LARGE('V_Hisse'!$AC$2:$AC$42,ROW()-3),'V_Hisse'!$AC$2:$AC$42,0))</f>
        <v/>
      </c>
      <c r="H43" s="9">
        <f>INDEX('V_Hisse'!G$2:G$42,MATCH(LARGE('V_Hisse'!$AC$2:$AC$42,ROW()-3),'V_Hisse'!$AC$2:$AC$42,0))</f>
        <v/>
      </c>
      <c r="I43" s="9">
        <f>INDEX('V_Hisse'!H$2:H$42,MATCH(LARGE('V_Hisse'!$AC$2:$AC$42,ROW()-3),'V_Hisse'!$AC$2:$AC$42,0))</f>
        <v/>
      </c>
      <c r="J43" s="9">
        <f>INDEX('V_Hisse'!I$2:I$42,MATCH(LARGE('V_Hisse'!$AC$2:$AC$42,ROW()-3),'V_Hisse'!$AC$2:$AC$42,0))</f>
        <v/>
      </c>
      <c r="K43" s="10">
        <f>INDEX('V_Hisse'!J$2:J$42,MATCH(LARGE('V_Hisse'!$AC$2:$AC$42,ROW()-3),'V_Hisse'!$AC$2:$AC$42,0))</f>
        <v/>
      </c>
      <c r="L43" s="10">
        <f>INDEX('V_Hisse'!K$2:K$42,MATCH(LARGE('V_Hisse'!$AC$2:$AC$42,ROW()-3),'V_Hisse'!$AC$2:$AC$42,0))</f>
        <v/>
      </c>
      <c r="M43" s="8">
        <f>INDEX('V_Hisse'!L$2:L$42,MATCH(LARGE('V_Hisse'!$AC$2:$AC$42,ROW()-3),'V_Hisse'!$AC$2:$AC$42,0))</f>
        <v/>
      </c>
      <c r="N43" s="11">
        <f>INDEX('V_Hisse'!M$2:M$42,MATCH(LARGE('V_Hisse'!$AC$2:$AC$42,ROW()-3),'V_Hisse'!$AC$2:$AC$42,0))</f>
        <v/>
      </c>
      <c r="O43" s="11">
        <f>INDEX('V_Hisse'!N$2:N$42,MATCH(LARGE('V_Hisse'!$AC$2:$AC$42,ROW()-3),'V_Hisse'!$AC$2:$AC$42,0))</f>
        <v/>
      </c>
      <c r="P43" s="8">
        <f>INDEX('V_Hisse'!O$2:O$42,MATCH(LARGE('V_Hisse'!$AC$2:$AC$42,ROW()-3),'V_Hisse'!$AC$2:$AC$42,0))</f>
        <v/>
      </c>
      <c r="Q43" s="9">
        <f>INDEX('V_Hisse'!P$2:P$42,MATCH(LARGE('V_Hisse'!$AC$2:$AC$42,ROW()-3),'V_Hisse'!$AC$2:$AC$42,0))</f>
        <v/>
      </c>
      <c r="R43" s="5">
        <f>INDEX('V_Hisse'!Q$2:Q$42,MATCH(LARGE('V_Hisse'!$AC$2:$AC$42,ROW()-3),'V_Hisse'!$AC$2:$AC$42,0))</f>
        <v/>
      </c>
      <c r="S43" s="8">
        <f>INDEX('V_Hisse'!R$2:R$42,MATCH(LARGE('V_Hisse'!$AC$2:$AC$42,ROW()-3),'V_Hisse'!$AC$2:$AC$42,0))</f>
        <v/>
      </c>
      <c r="T43" s="8">
        <f>INDEX('V_Hisse'!S$2:S$42,MATCH(LARGE('V_Hisse'!$AC$2:$AC$42,ROW()-3),'V_Hisse'!$AC$2:$AC$42,0))</f>
        <v/>
      </c>
      <c r="U43" s="8">
        <f>INDEX('V_Hisse'!T$2:T$42,MATCH(LARGE('V_Hisse'!$AC$2:$AC$42,ROW()-3),'V_Hisse'!$AC$2:$AC$42,0))</f>
        <v/>
      </c>
      <c r="V43" s="8">
        <f>INDEX('V_Hisse'!U$2:U$42,MATCH(LARGE('V_Hisse'!$AC$2:$AC$42,ROW()-3),'V_Hisse'!$AC$2:$AC$42,0))</f>
        <v/>
      </c>
      <c r="W43" s="8">
        <f>INDEX('V_Hisse'!V$2:V$42,MATCH(LARGE('V_Hisse'!$AC$2:$AC$42,ROW()-3),'V_Hisse'!$AC$2:$AC$42,0))</f>
        <v/>
      </c>
      <c r="X43" s="8">
        <f>INDEX('V_Hisse'!W$2:W$42,MATCH(LARGE('V_Hisse'!$AC$2:$AC$42,ROW()-3),'V_Hisse'!$AC$2:$AC$42,0))</f>
        <v/>
      </c>
      <c r="Y43" s="8">
        <f>INDEX('V_Hisse'!X$2:X$42,MATCH(LARGE('V_Hisse'!$AC$2:$AC$42,ROW()-3),'V_Hisse'!$AC$2:$AC$42,0))</f>
        <v/>
      </c>
      <c r="Z43" s="8">
        <f>INDEX('V_Hisse'!Y$2:Y$42,MATCH(LARGE('V_Hisse'!$AC$2:$AC$42,ROW()-3),'V_Hisse'!$AC$2:$AC$42,0))</f>
        <v/>
      </c>
      <c r="AA43" s="8">
        <f>INDEX('V_Hisse'!Z$2:Z$42,MATCH(LARGE('V_Hisse'!$AC$2:$AC$42,ROW()-3),'V_Hisse'!$AC$2:$AC$42,0))</f>
        <v/>
      </c>
      <c r="AB43" s="8">
        <f>INDEX('V_Hisse'!AA$2:AA$42,MATCH(LARGE('V_Hisse'!$AC$2:$AC$42,ROW()-3),'V_Hisse'!$AC$2:$AC$42,0))</f>
        <v/>
      </c>
    </row>
    <row r="44">
      <c r="A44" t="n">
        <v>41</v>
      </c>
      <c r="B44" s="5">
        <f>INDEX('V_Hisse'!A$2:A$42,MATCH(LARGE('V_Hisse'!$AC$2:$AC$42,ROW()-3),'V_Hisse'!$AC$2:$AC$42,0))</f>
        <v/>
      </c>
      <c r="C44" s="5">
        <f>INDEX('V_Hisse'!B$2:B$42,MATCH(LARGE('V_Hisse'!$AC$2:$AC$42,ROW()-3),'V_Hisse'!$AC$2:$AC$42,0))</f>
        <v/>
      </c>
      <c r="D44" s="5">
        <f>INDEX('V_Hisse'!C$2:C$42,MATCH(LARGE('V_Hisse'!$AC$2:$AC$42,ROW()-3),'V_Hisse'!$AC$2:$AC$42,0))</f>
        <v/>
      </c>
      <c r="E44" s="8">
        <f>INDEX('V_Hisse'!D$2:D$42,MATCH(LARGE('V_Hisse'!$AC$2:$AC$42,ROW()-3),'V_Hisse'!$AC$2:$AC$42,0))</f>
        <v/>
      </c>
      <c r="F44" s="9">
        <f>INDEX('V_Hisse'!E$2:E$42,MATCH(LARGE('V_Hisse'!$AC$2:$AC$42,ROW()-3),'V_Hisse'!$AC$2:$AC$42,0))</f>
        <v/>
      </c>
      <c r="G44" s="9">
        <f>INDEX('V_Hisse'!F$2:F$42,MATCH(LARGE('V_Hisse'!$AC$2:$AC$42,ROW()-3),'V_Hisse'!$AC$2:$AC$42,0))</f>
        <v/>
      </c>
      <c r="H44" s="9">
        <f>INDEX('V_Hisse'!G$2:G$42,MATCH(LARGE('V_Hisse'!$AC$2:$AC$42,ROW()-3),'V_Hisse'!$AC$2:$AC$42,0))</f>
        <v/>
      </c>
      <c r="I44" s="9">
        <f>INDEX('V_Hisse'!H$2:H$42,MATCH(LARGE('V_Hisse'!$AC$2:$AC$42,ROW()-3),'V_Hisse'!$AC$2:$AC$42,0))</f>
        <v/>
      </c>
      <c r="J44" s="9">
        <f>INDEX('V_Hisse'!I$2:I$42,MATCH(LARGE('V_Hisse'!$AC$2:$AC$42,ROW()-3),'V_Hisse'!$AC$2:$AC$42,0))</f>
        <v/>
      </c>
      <c r="K44" s="10">
        <f>INDEX('V_Hisse'!J$2:J$42,MATCH(LARGE('V_Hisse'!$AC$2:$AC$42,ROW()-3),'V_Hisse'!$AC$2:$AC$42,0))</f>
        <v/>
      </c>
      <c r="L44" s="10">
        <f>INDEX('V_Hisse'!K$2:K$42,MATCH(LARGE('V_Hisse'!$AC$2:$AC$42,ROW()-3),'V_Hisse'!$AC$2:$AC$42,0))</f>
        <v/>
      </c>
      <c r="M44" s="8">
        <f>INDEX('V_Hisse'!L$2:L$42,MATCH(LARGE('V_Hisse'!$AC$2:$AC$42,ROW()-3),'V_Hisse'!$AC$2:$AC$42,0))</f>
        <v/>
      </c>
      <c r="N44" s="11">
        <f>INDEX('V_Hisse'!M$2:M$42,MATCH(LARGE('V_Hisse'!$AC$2:$AC$42,ROW()-3),'V_Hisse'!$AC$2:$AC$42,0))</f>
        <v/>
      </c>
      <c r="O44" s="11">
        <f>INDEX('V_Hisse'!N$2:N$42,MATCH(LARGE('V_Hisse'!$AC$2:$AC$42,ROW()-3),'V_Hisse'!$AC$2:$AC$42,0))</f>
        <v/>
      </c>
      <c r="P44" s="8">
        <f>INDEX('V_Hisse'!O$2:O$42,MATCH(LARGE('V_Hisse'!$AC$2:$AC$42,ROW()-3),'V_Hisse'!$AC$2:$AC$42,0))</f>
        <v/>
      </c>
      <c r="Q44" s="9">
        <f>INDEX('V_Hisse'!P$2:P$42,MATCH(LARGE('V_Hisse'!$AC$2:$AC$42,ROW()-3),'V_Hisse'!$AC$2:$AC$42,0))</f>
        <v/>
      </c>
      <c r="R44" s="5">
        <f>INDEX('V_Hisse'!Q$2:Q$42,MATCH(LARGE('V_Hisse'!$AC$2:$AC$42,ROW()-3),'V_Hisse'!$AC$2:$AC$42,0))</f>
        <v/>
      </c>
      <c r="S44" s="8">
        <f>INDEX('V_Hisse'!R$2:R$42,MATCH(LARGE('V_Hisse'!$AC$2:$AC$42,ROW()-3),'V_Hisse'!$AC$2:$AC$42,0))</f>
        <v/>
      </c>
      <c r="T44" s="8">
        <f>INDEX('V_Hisse'!S$2:S$42,MATCH(LARGE('V_Hisse'!$AC$2:$AC$42,ROW()-3),'V_Hisse'!$AC$2:$AC$42,0))</f>
        <v/>
      </c>
      <c r="U44" s="8">
        <f>INDEX('V_Hisse'!T$2:T$42,MATCH(LARGE('V_Hisse'!$AC$2:$AC$42,ROW()-3),'V_Hisse'!$AC$2:$AC$42,0))</f>
        <v/>
      </c>
      <c r="V44" s="8">
        <f>INDEX('V_Hisse'!U$2:U$42,MATCH(LARGE('V_Hisse'!$AC$2:$AC$42,ROW()-3),'V_Hisse'!$AC$2:$AC$42,0))</f>
        <v/>
      </c>
      <c r="W44" s="8">
        <f>INDEX('V_Hisse'!V$2:V$42,MATCH(LARGE('V_Hisse'!$AC$2:$AC$42,ROW()-3),'V_Hisse'!$AC$2:$AC$42,0))</f>
        <v/>
      </c>
      <c r="X44" s="8">
        <f>INDEX('V_Hisse'!W$2:W$42,MATCH(LARGE('V_Hisse'!$AC$2:$AC$42,ROW()-3),'V_Hisse'!$AC$2:$AC$42,0))</f>
        <v/>
      </c>
      <c r="Y44" s="8">
        <f>INDEX('V_Hisse'!X$2:X$42,MATCH(LARGE('V_Hisse'!$AC$2:$AC$42,ROW()-3),'V_Hisse'!$AC$2:$AC$42,0))</f>
        <v/>
      </c>
      <c r="Z44" s="8">
        <f>INDEX('V_Hisse'!Y$2:Y$42,MATCH(LARGE('V_Hisse'!$AC$2:$AC$42,ROW()-3),'V_Hisse'!$AC$2:$AC$42,0))</f>
        <v/>
      </c>
      <c r="AA44" s="8">
        <f>INDEX('V_Hisse'!Z$2:Z$42,MATCH(LARGE('V_Hisse'!$AC$2:$AC$42,ROW()-3),'V_Hisse'!$AC$2:$AC$42,0))</f>
        <v/>
      </c>
      <c r="AB44" s="8">
        <f>INDEX('V_Hisse'!AA$2:AA$42,MATCH(LARGE('V_Hisse'!$AC$2:$AC$42,ROW()-3),'V_Hisse'!$AC$2:$AC$42,0))</f>
        <v/>
      </c>
    </row>
  </sheetData>
  <conditionalFormatting sqref="B4:AB44">
    <cfRule type="expression" priority="1" dxfId="0">
      <formula>OR($B4="BAI",$B4="BHI",$B4="BIS",$B4="BSD",$B4="BTE",$B4="BTK",$B4="BV1",$B4="BVD",$B4="BVF",$B4="BVV",$B4="BVZ",$B4="MTD",$B4="RUT",$B4="SPR")</formula>
    </cfRule>
  </conditionalFormatting>
  <dataValidations count="1">
    <dataValidation sqref="E2" showDropDown="0" showInputMessage="0" showErrorMessage="0" allowBlank="0" type="list">
      <formula1>"Günlük%,Haftalık,Aylık,Yılbaşına Göre,Yıllık"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 Kodu</t>
        </is>
      </c>
      <c r="B1" t="inlineStr">
        <is>
          <t>Dengeli Değişken Fonları</t>
        </is>
      </c>
      <c r="C1" t="inlineStr">
        <is>
          <t>Yönetici</t>
        </is>
      </c>
      <c r="D1" t="inlineStr">
        <is>
          <t>FYÜ%</t>
        </is>
      </c>
      <c r="E1" t="inlineStr">
        <is>
          <t>Günlük%</t>
        </is>
      </c>
      <c r="F1" t="inlineStr">
        <is>
          <t>Haftalık</t>
        </is>
      </c>
      <c r="G1" t="inlineStr">
        <is>
          <t>Aylık</t>
        </is>
      </c>
      <c r="H1" t="inlineStr">
        <is>
          <t>Ay Başından Bu güne</t>
        </is>
      </c>
      <c r="I1" t="inlineStr">
        <is>
          <t>Yılbaşına Göre</t>
        </is>
      </c>
      <c r="J1" t="inlineStr">
        <is>
          <t>Yıllık</t>
        </is>
      </c>
      <c r="K1" t="inlineStr">
        <is>
          <t>Yatırımcı Sayısı T-30</t>
        </is>
      </c>
      <c r="L1" t="inlineStr">
        <is>
          <t>Yatırımcı Sayısı T-1</t>
        </is>
      </c>
      <c r="M1" t="inlineStr">
        <is>
          <t>YS Değişim</t>
        </is>
      </c>
      <c r="N1" t="inlineStr">
        <is>
          <t>Önceki Ay FTD</t>
        </is>
      </c>
      <c r="O1" t="inlineStr">
        <is>
          <t>T-1 FTD</t>
        </is>
      </c>
      <c r="P1" t="inlineStr">
        <is>
          <t>FTD Değişim</t>
        </is>
      </c>
      <c r="Q1" t="inlineStr">
        <is>
          <t>Standart Sapma (Aylık)</t>
        </is>
      </c>
      <c r="R1" t="inlineStr">
        <is>
          <t>TEFAS Durumu</t>
        </is>
      </c>
      <c r="S1" t="inlineStr">
        <is>
          <t>Mevduat (TL)</t>
        </is>
      </c>
      <c r="T1" t="inlineStr">
        <is>
          <t>Vadeli İşlemler Nakit Teminatları</t>
        </is>
      </c>
      <c r="U1" t="inlineStr">
        <is>
          <t>Ters Repo Oranı</t>
        </is>
      </c>
      <c r="V1" t="inlineStr">
        <is>
          <t>Hisse Oranı</t>
        </is>
      </c>
      <c r="W1" t="inlineStr">
        <is>
          <t>Para Piyasaları Oranı</t>
        </is>
      </c>
      <c r="X1" t="inlineStr">
        <is>
          <t>Yatırım Fonları Katılma Payları</t>
        </is>
      </c>
      <c r="Y1" t="inlineStr">
        <is>
          <t>Özel Tahvil/Bono Oranı</t>
        </is>
      </c>
      <c r="Z1" t="inlineStr">
        <is>
          <t>Finansman Bonosu Oranı</t>
        </is>
      </c>
      <c r="AA1" t="inlineStr">
        <is>
          <t>Diğer Oran</t>
        </is>
      </c>
      <c r="AB1" t="inlineStr">
        <is>
          <t>Toplam</t>
        </is>
      </c>
    </row>
    <row r="2">
      <c r="A2" t="inlineStr">
        <is>
          <t>HVU</t>
        </is>
      </c>
      <c r="B2" t="inlineStr">
        <is>
          <t>Allbatross Portföy Birinci Değişken Fon</t>
        </is>
      </c>
      <c r="C2" t="inlineStr">
        <is>
          <t>Allbatross Portföy</t>
        </is>
      </c>
      <c r="D2" t="n">
        <v>0.021</v>
      </c>
      <c r="E2" t="n">
        <v>0.894543063516906</v>
      </c>
      <c r="F2" t="n">
        <v>1.343847186957192</v>
      </c>
      <c r="G2" t="n">
        <v>3.086983222258421</v>
      </c>
      <c r="H2" t="n">
        <v>3.066165727026826</v>
      </c>
      <c r="I2" t="n">
        <v>19.35325068149318</v>
      </c>
      <c r="J2" t="n">
        <v>35.08024081160845</v>
      </c>
      <c r="K2" t="n">
        <v>859</v>
      </c>
      <c r="L2" t="n">
        <v>829</v>
      </c>
      <c r="M2" t="n">
        <v>-0.03492433061699651</v>
      </c>
      <c r="N2" t="n">
        <v>19907836.73</v>
      </c>
      <c r="O2" t="n">
        <v>18702178.62</v>
      </c>
      <c r="P2" t="n">
        <v>-0.06056198502889765</v>
      </c>
      <c r="Q2" t="n">
        <v>0.6231866336700558</v>
      </c>
      <c r="R2" t="inlineStr">
        <is>
          <t>Görüyor</t>
        </is>
      </c>
      <c r="S2" t="n">
        <v>0.0238</v>
      </c>
      <c r="T2" t="n">
        <v>0.1628</v>
      </c>
      <c r="U2" t="n">
        <v>0</v>
      </c>
      <c r="V2" t="n">
        <v>0.3556</v>
      </c>
      <c r="W2" t="n">
        <v>0.1012</v>
      </c>
      <c r="X2" t="n">
        <v>0.1532</v>
      </c>
      <c r="Y2" t="n">
        <v>0</v>
      </c>
      <c r="Z2" t="n">
        <v>0.127</v>
      </c>
      <c r="AA2" t="n">
        <v>0</v>
      </c>
      <c r="AB2" t="n">
        <v>0.9236</v>
      </c>
      <c r="AD2">
        <f>IF(ISNUMBER(INDEX($A$2:$AB$29,1,MATCH('Dengeli Değişken'!$E$2,$A$1:$AB$1,0))),INDEX($A$2:$AB$29,1,MATCH('Dengeli Değişken'!$E$2,$A$1:$AB$1,0)),-1E+9)-ROW()/1E+7</f>
        <v/>
      </c>
    </row>
    <row r="3">
      <c r="A3" t="inlineStr">
        <is>
          <t>ADE</t>
        </is>
      </c>
      <c r="B3" t="inlineStr">
        <is>
          <t>AK Portföy Mutlak Getiri Hedefli Değişken Fon</t>
        </is>
      </c>
      <c r="C3" t="inlineStr">
        <is>
          <t>AK Portföy</t>
        </is>
      </c>
      <c r="D3" t="n">
        <v>0.02</v>
      </c>
      <c r="E3" t="n">
        <v>0.869473616932126</v>
      </c>
      <c r="F3" t="n">
        <v>2.81272997068438</v>
      </c>
      <c r="G3" t="n">
        <v>-0.6152762504067044</v>
      </c>
      <c r="H3" t="n">
        <v>1.081715800523075</v>
      </c>
      <c r="I3" t="n">
        <v>6.846393695219644</v>
      </c>
      <c r="J3" t="n">
        <v>26.60724233983287</v>
      </c>
      <c r="K3" t="n">
        <v>26228</v>
      </c>
      <c r="L3" t="n">
        <v>25817</v>
      </c>
      <c r="M3" t="n">
        <v>-0.01567027604087234</v>
      </c>
      <c r="N3" t="n">
        <v>864459103.73</v>
      </c>
      <c r="O3" t="n">
        <v>729905130.46</v>
      </c>
      <c r="P3" t="n">
        <v>-0.1556510570476053</v>
      </c>
      <c r="Q3" t="n">
        <v>0.4683163443758331</v>
      </c>
      <c r="R3" t="inlineStr">
        <is>
          <t>Görüyor</t>
        </is>
      </c>
      <c r="S3" t="n">
        <v>0.028</v>
      </c>
      <c r="T3" t="n">
        <v>0.1646</v>
      </c>
      <c r="U3" t="n">
        <v>0.094</v>
      </c>
      <c r="V3" t="n">
        <v>0.6036</v>
      </c>
      <c r="W3" t="n">
        <v>0</v>
      </c>
      <c r="X3" t="n">
        <v>0.09420000000000001</v>
      </c>
      <c r="Y3" t="n">
        <v>0</v>
      </c>
      <c r="Z3" t="n">
        <v>0</v>
      </c>
      <c r="AA3" t="n">
        <v>0</v>
      </c>
      <c r="AB3" t="n">
        <v>0.9844000000000001</v>
      </c>
      <c r="AD3">
        <f>IF(ISNUMBER(INDEX($A$2:$AB$29,2,MATCH('Dengeli Değişken'!$E$2,$A$1:$AB$1,0))),INDEX($A$2:$AB$29,2,MATCH('Dengeli Değişken'!$E$2,$A$1:$AB$1,0)),-1E+9)-ROW()/1E+7</f>
        <v/>
      </c>
    </row>
    <row r="4">
      <c r="A4" t="inlineStr">
        <is>
          <t>RD1</t>
        </is>
      </c>
      <c r="B4" t="inlineStr">
        <is>
          <t>Rota Portföy Birinci Değişken Fon</t>
        </is>
      </c>
      <c r="C4" t="inlineStr">
        <is>
          <t>Rota Portföy</t>
        </is>
      </c>
      <c r="D4" t="n">
        <v>0.02</v>
      </c>
      <c r="E4" t="n">
        <v>0.7830410476906913</v>
      </c>
      <c r="F4" t="n">
        <v>1.546915846265073</v>
      </c>
      <c r="G4" t="n">
        <v>2.500888462451867</v>
      </c>
      <c r="H4" t="n">
        <v>3.96489919337617</v>
      </c>
      <c r="I4" t="n">
        <v>7.860782108118847</v>
      </c>
      <c r="J4" t="n">
        <v>31.61082896904206</v>
      </c>
      <c r="K4" t="n">
        <v>150</v>
      </c>
      <c r="L4" t="n">
        <v>142</v>
      </c>
      <c r="M4" t="n">
        <v>-0.05333333333333334</v>
      </c>
      <c r="N4" t="n">
        <v>62459132.95</v>
      </c>
      <c r="O4" t="n">
        <v>62714089.49</v>
      </c>
      <c r="P4" t="n">
        <v>0.004081973731593358</v>
      </c>
      <c r="Q4" t="n">
        <v>0.5710510250578816</v>
      </c>
      <c r="R4" t="inlineStr">
        <is>
          <t>Görüyor</t>
        </is>
      </c>
      <c r="S4" t="n">
        <v>0</v>
      </c>
      <c r="T4" t="n">
        <v>0.2315</v>
      </c>
      <c r="U4" t="n">
        <v>0.21</v>
      </c>
      <c r="V4" t="n">
        <v>0.5436</v>
      </c>
      <c r="W4" t="n">
        <v>0.0074</v>
      </c>
      <c r="X4" t="n">
        <v>0.0075</v>
      </c>
      <c r="Y4" t="n">
        <v>0</v>
      </c>
      <c r="Z4" t="n">
        <v>0</v>
      </c>
      <c r="AA4" t="n">
        <v>0</v>
      </c>
      <c r="AB4" t="n">
        <v>1</v>
      </c>
      <c r="AD4">
        <f>IF(ISNUMBER(INDEX($A$2:$AB$29,3,MATCH('Dengeli Değişken'!$E$2,$A$1:$AB$1,0))),INDEX($A$2:$AB$29,3,MATCH('Dengeli Değişken'!$E$2,$A$1:$AB$1,0)),-1E+9)-ROW()/1E+7</f>
        <v/>
      </c>
    </row>
    <row r="5">
      <c r="A5" t="inlineStr">
        <is>
          <t>PID</t>
        </is>
      </c>
      <c r="B5" t="inlineStr">
        <is>
          <t>Piramit Portföy Değişken Fon</t>
        </is>
      </c>
      <c r="C5" t="inlineStr">
        <is>
          <t>Piramit Portföy</t>
        </is>
      </c>
      <c r="D5" t="n">
        <v>0.01575</v>
      </c>
      <c r="E5" t="n">
        <v>0.7209533322389605</v>
      </c>
      <c r="F5" t="n">
        <v>1.465230623308811</v>
      </c>
      <c r="G5" t="n">
        <v>3.023974709899813</v>
      </c>
      <c r="H5" t="n">
        <v>2.665762159654195</v>
      </c>
      <c r="I5" t="n">
        <v>26.54816954741028</v>
      </c>
      <c r="J5" t="n">
        <v>41.31305631611286</v>
      </c>
      <c r="K5" t="n">
        <v>91</v>
      </c>
      <c r="L5" t="n">
        <v>94</v>
      </c>
      <c r="M5" t="n">
        <v>0.03296703296703307</v>
      </c>
      <c r="N5" t="n">
        <v>54308777.76</v>
      </c>
      <c r="O5" t="n">
        <v>50948244.51</v>
      </c>
      <c r="P5" t="n">
        <v>-0.06187827067018126</v>
      </c>
      <c r="Q5" t="n">
        <v>0.2240404351499732</v>
      </c>
      <c r="R5" t="inlineStr">
        <is>
          <t>Görüyor</t>
        </is>
      </c>
      <c r="S5" t="n">
        <v>0</v>
      </c>
      <c r="T5" t="n">
        <v>0.2167</v>
      </c>
      <c r="U5" t="n">
        <v>0</v>
      </c>
      <c r="V5" t="n">
        <v>0.5882999999999999</v>
      </c>
      <c r="W5" t="n">
        <v>0</v>
      </c>
      <c r="X5" t="n">
        <v>0.195</v>
      </c>
      <c r="Y5" t="n">
        <v>0</v>
      </c>
      <c r="Z5" t="n">
        <v>0</v>
      </c>
      <c r="AA5" t="n">
        <v>0</v>
      </c>
      <c r="AB5" t="n">
        <v>1</v>
      </c>
      <c r="AD5">
        <f>IF(ISNUMBER(INDEX($A$2:$AB$29,4,MATCH('Dengeli Değişken'!$E$2,$A$1:$AB$1,0))),INDEX($A$2:$AB$29,4,MATCH('Dengeli Değişken'!$E$2,$A$1:$AB$1,0)),-1E+9)-ROW()/1E+7</f>
        <v/>
      </c>
    </row>
    <row r="6">
      <c r="A6" t="inlineStr">
        <is>
          <t>FNO</t>
        </is>
      </c>
      <c r="B6" t="inlineStr">
        <is>
          <t>Qnb Portföy Birinci Değişken Fon</t>
        </is>
      </c>
      <c r="C6" t="inlineStr">
        <is>
          <t>Qnb Portföy</t>
        </is>
      </c>
      <c r="D6" t="n">
        <v>0.020075</v>
      </c>
      <c r="E6" t="n">
        <v>0.7082426633584937</v>
      </c>
      <c r="F6" t="n">
        <v>0.6790653702075433</v>
      </c>
      <c r="G6" t="n">
        <v>1.627980954726427</v>
      </c>
      <c r="H6" t="n">
        <v>0.5426175586778381</v>
      </c>
      <c r="I6" t="n">
        <v>13.14095424142205</v>
      </c>
      <c r="J6" t="n">
        <v>37.23801539516807</v>
      </c>
      <c r="K6" t="n">
        <v>7246</v>
      </c>
      <c r="L6" t="n">
        <v>6952</v>
      </c>
      <c r="M6" t="n">
        <v>-0.04057410985371235</v>
      </c>
      <c r="N6" t="n">
        <v>11807758910.14</v>
      </c>
      <c r="O6" t="n">
        <v>11473432315.31</v>
      </c>
      <c r="P6" t="n">
        <v>-0.02831414473943017</v>
      </c>
      <c r="Q6" t="n">
        <v>0.3577549938920315</v>
      </c>
      <c r="R6" t="inlineStr">
        <is>
          <t>Görüyor</t>
        </is>
      </c>
      <c r="S6" t="n">
        <v>0</v>
      </c>
      <c r="T6" t="n">
        <v>0.217</v>
      </c>
      <c r="U6" t="n">
        <v>0.008100000000000001</v>
      </c>
      <c r="V6" t="n">
        <v>0.2757</v>
      </c>
      <c r="W6" t="n">
        <v>0.0018</v>
      </c>
      <c r="X6" t="n">
        <v>0.0039</v>
      </c>
      <c r="Y6" t="n">
        <v>0</v>
      </c>
      <c r="Z6" t="n">
        <v>0.0027</v>
      </c>
      <c r="AA6" t="n">
        <v>0.0005999999999999999</v>
      </c>
      <c r="AB6" t="n">
        <v>0.5098</v>
      </c>
      <c r="AD6">
        <f>IF(ISNUMBER(INDEX($A$2:$AB$29,5,MATCH('Dengeli Değişken'!$E$2,$A$1:$AB$1,0))),INDEX($A$2:$AB$29,5,MATCH('Dengeli Değişken'!$E$2,$A$1:$AB$1,0)),-1E+9)-ROW()/1E+7</f>
        <v/>
      </c>
    </row>
    <row r="7">
      <c r="A7" t="inlineStr">
        <is>
          <t>OPL</t>
        </is>
      </c>
      <c r="B7" t="inlineStr">
        <is>
          <t>Osmanlı Portföy İkinci Değişken Fon</t>
        </is>
      </c>
      <c r="C7" t="inlineStr">
        <is>
          <t>Osmanlı Portföy</t>
        </is>
      </c>
      <c r="D7" t="n">
        <v>0.014</v>
      </c>
      <c r="E7" t="n">
        <v>0.6191814930333717</v>
      </c>
      <c r="F7" t="n">
        <v>0.1329145150727129</v>
      </c>
      <c r="G7" t="n">
        <v>-1.418885274083415</v>
      </c>
      <c r="H7" t="n">
        <v>2.209079341183218</v>
      </c>
      <c r="I7" t="n">
        <v>10.78367298870218</v>
      </c>
      <c r="J7" t="n">
        <v>41.06456507106304</v>
      </c>
      <c r="K7" t="n">
        <v>678</v>
      </c>
      <c r="L7" t="n">
        <v>574</v>
      </c>
      <c r="M7" t="n">
        <v>-0.1533923303834809</v>
      </c>
      <c r="N7" t="n">
        <v>54937012.21</v>
      </c>
      <c r="O7" t="n">
        <v>42399519.56</v>
      </c>
      <c r="P7" t="n">
        <v>-0.2282157719476022</v>
      </c>
      <c r="Q7" t="n">
        <v>0.6917085560916106</v>
      </c>
      <c r="R7" t="inlineStr">
        <is>
          <t>Görüyor</t>
        </is>
      </c>
      <c r="S7" t="n">
        <v>0.0012</v>
      </c>
      <c r="T7" t="n">
        <v>0</v>
      </c>
      <c r="U7" t="n">
        <v>0</v>
      </c>
      <c r="V7" t="n">
        <v>0.0001</v>
      </c>
      <c r="W7" t="n">
        <v>0.0387</v>
      </c>
      <c r="X7" t="n">
        <v>0.0398</v>
      </c>
      <c r="Y7" t="n">
        <v>0.0155</v>
      </c>
      <c r="Z7" t="n">
        <v>0.1317</v>
      </c>
      <c r="AA7" t="n">
        <v>0</v>
      </c>
      <c r="AB7" t="n">
        <v>0.227</v>
      </c>
      <c r="AD7">
        <f>IF(ISNUMBER(INDEX($A$2:$AB$29,6,MATCH('Dengeli Değişken'!$E$2,$A$1:$AB$1,0))),INDEX($A$2:$AB$29,6,MATCH('Dengeli Değişken'!$E$2,$A$1:$AB$1,0)),-1E+9)-ROW()/1E+7</f>
        <v/>
      </c>
    </row>
    <row r="8">
      <c r="A8" t="inlineStr">
        <is>
          <t>IYB</t>
        </is>
      </c>
      <c r="B8" t="inlineStr">
        <is>
          <t>Aura Portföy Değişken Fonu</t>
        </is>
      </c>
      <c r="C8" t="inlineStr">
        <is>
          <t>Aura Portföy</t>
        </is>
      </c>
      <c r="D8" t="n">
        <v>0.024</v>
      </c>
      <c r="E8" t="n">
        <v>0.5076505293153621</v>
      </c>
      <c r="F8" t="n">
        <v>0.9395126496850148</v>
      </c>
      <c r="G8" t="n">
        <v>1.402959279925065</v>
      </c>
      <c r="H8" t="n">
        <v>0.8395610772661266</v>
      </c>
      <c r="I8" t="n">
        <v>25.54678297277848</v>
      </c>
      <c r="J8" t="n">
        <v>58.3247174800041</v>
      </c>
      <c r="K8" t="n">
        <v>460</v>
      </c>
      <c r="L8" t="n">
        <v>407</v>
      </c>
      <c r="M8" t="n">
        <v>-0.1152173913043478</v>
      </c>
      <c r="N8" t="n">
        <v>149545959.2</v>
      </c>
      <c r="O8" t="n">
        <v>92203740.09999999</v>
      </c>
      <c r="P8" t="n">
        <v>-0.3834421164353333</v>
      </c>
      <c r="Q8" t="n">
        <v>0.3762960846028652</v>
      </c>
      <c r="R8" t="inlineStr">
        <is>
          <t>Görüyor</t>
        </is>
      </c>
      <c r="S8" t="n">
        <v>0</v>
      </c>
      <c r="T8" t="n">
        <v>0.0762</v>
      </c>
      <c r="U8" t="n">
        <v>0</v>
      </c>
      <c r="V8" t="n">
        <v>0.2226</v>
      </c>
      <c r="W8" t="n">
        <v>0</v>
      </c>
      <c r="X8" t="n">
        <v>0.06660000000000001</v>
      </c>
      <c r="Y8" t="n">
        <v>0.1154</v>
      </c>
      <c r="Z8" t="n">
        <v>0.4946</v>
      </c>
      <c r="AA8" t="n">
        <v>0</v>
      </c>
      <c r="AB8" t="n">
        <v>0.9754</v>
      </c>
      <c r="AD8">
        <f>IF(ISNUMBER(INDEX($A$2:$AB$29,7,MATCH('Dengeli Değişken'!$E$2,$A$1:$AB$1,0))),INDEX($A$2:$AB$29,7,MATCH('Dengeli Değişken'!$E$2,$A$1:$AB$1,0)),-1E+9)-ROW()/1E+7</f>
        <v/>
      </c>
    </row>
    <row r="9">
      <c r="A9" t="inlineStr">
        <is>
          <t>ZDD</t>
        </is>
      </c>
      <c r="B9" t="inlineStr">
        <is>
          <t>Ziraat Portföy Temkinli Değişken Fon</t>
        </is>
      </c>
      <c r="C9" t="inlineStr">
        <is>
          <t>Ziraat Portföy</t>
        </is>
      </c>
      <c r="D9" t="n">
        <v>0.02</v>
      </c>
      <c r="E9" t="n">
        <v>0.4523820403274481</v>
      </c>
      <c r="F9" t="n">
        <v>0.8674452941162647</v>
      </c>
      <c r="G9" t="n">
        <v>1.017877167849446</v>
      </c>
      <c r="H9" t="n">
        <v>0.6434479380611258</v>
      </c>
      <c r="I9" t="n">
        <v>18.55225462469254</v>
      </c>
      <c r="J9" t="n">
        <v>39.8414518940043</v>
      </c>
      <c r="K9" t="n">
        <v>1430</v>
      </c>
      <c r="L9" t="n">
        <v>1415</v>
      </c>
      <c r="M9" t="n">
        <v>-0.01048951048951052</v>
      </c>
      <c r="N9" t="n">
        <v>498901447.33</v>
      </c>
      <c r="O9" t="n">
        <v>495546290.55</v>
      </c>
      <c r="P9" t="n">
        <v>-0.006725089289590036</v>
      </c>
      <c r="Q9" t="n">
        <v>0.2902310179853481</v>
      </c>
      <c r="R9" t="inlineStr">
        <is>
          <t>Görüyor</t>
        </is>
      </c>
      <c r="S9" t="n">
        <v>0</v>
      </c>
      <c r="T9" t="n">
        <v>0.0329</v>
      </c>
      <c r="U9" t="n">
        <v>0.0238</v>
      </c>
      <c r="V9" t="n">
        <v>0.1271</v>
      </c>
      <c r="W9" t="n">
        <v>0</v>
      </c>
      <c r="X9" t="n">
        <v>0.1863</v>
      </c>
      <c r="Y9" t="n">
        <v>0.0333</v>
      </c>
      <c r="Z9" t="n">
        <v>0.0233</v>
      </c>
      <c r="AA9" t="n">
        <v>0</v>
      </c>
      <c r="AB9" t="n">
        <v>0.4267</v>
      </c>
      <c r="AD9">
        <f>IF(ISNUMBER(INDEX($A$2:$AB$29,8,MATCH('Dengeli Değişken'!$E$2,$A$1:$AB$1,0))),INDEX($A$2:$AB$29,8,MATCH('Dengeli Değişken'!$E$2,$A$1:$AB$1,0)),-1E+9)-ROW()/1E+7</f>
        <v/>
      </c>
    </row>
    <row r="10">
      <c r="A10" t="inlineStr">
        <is>
          <t>GPI</t>
        </is>
      </c>
      <c r="B10" t="inlineStr">
        <is>
          <t>Garanti Portföy İkinci Değişken Fon</t>
        </is>
      </c>
      <c r="C10" t="inlineStr">
        <is>
          <t>Garanti Portföy</t>
        </is>
      </c>
      <c r="D10" t="n">
        <v>0.025</v>
      </c>
      <c r="E10" t="n">
        <v>0.4313024898544793</v>
      </c>
      <c r="F10" t="n">
        <v>0.9607388054401422</v>
      </c>
      <c r="G10" t="n">
        <v>1.704408657164436</v>
      </c>
      <c r="H10" t="n">
        <v>1.3069964785549</v>
      </c>
      <c r="I10" t="n">
        <v>19.43788681681171</v>
      </c>
      <c r="J10" t="n">
        <v>41.48905655681094</v>
      </c>
      <c r="K10" t="n">
        <v>2927</v>
      </c>
      <c r="L10" t="n">
        <v>2876</v>
      </c>
      <c r="M10" t="n">
        <v>-0.01742398360095665</v>
      </c>
      <c r="N10" t="n">
        <v>751646053.21</v>
      </c>
      <c r="O10" t="n">
        <v>750929469.5599999</v>
      </c>
      <c r="P10" t="n">
        <v>-0.0009533525080586136</v>
      </c>
      <c r="Q10" t="n">
        <v>0.2504280135755397</v>
      </c>
      <c r="R10" t="inlineStr">
        <is>
          <t>Görüyor</t>
        </is>
      </c>
      <c r="S10" t="n">
        <v>0.0204</v>
      </c>
      <c r="T10" t="n">
        <v>0.0784</v>
      </c>
      <c r="U10" t="n">
        <v>0.3542</v>
      </c>
      <c r="V10" t="n">
        <v>0.1566</v>
      </c>
      <c r="W10" t="n">
        <v>0</v>
      </c>
      <c r="X10" t="n">
        <v>0.0116</v>
      </c>
      <c r="Y10" t="n">
        <v>0.1284</v>
      </c>
      <c r="Z10" t="n">
        <v>0.05690000000000001</v>
      </c>
      <c r="AA10" t="n">
        <v>0</v>
      </c>
      <c r="AB10" t="n">
        <v>0.8065</v>
      </c>
      <c r="AD10">
        <f>IF(ISNUMBER(INDEX($A$2:$AB$29,9,MATCH('Dengeli Değişken'!$E$2,$A$1:$AB$1,0))),INDEX($A$2:$AB$29,9,MATCH('Dengeli Değişken'!$E$2,$A$1:$AB$1,0)),-1E+9)-ROW()/1E+7</f>
        <v/>
      </c>
    </row>
    <row r="11">
      <c r="A11" t="inlineStr">
        <is>
          <t>GAH</t>
        </is>
      </c>
      <c r="B11" t="inlineStr">
        <is>
          <t>Garanti Portföy Mutlak Getiri Hedefli Değişken Fon</t>
        </is>
      </c>
      <c r="C11" t="inlineStr">
        <is>
          <t>Garanti Portföy</t>
        </is>
      </c>
      <c r="D11" t="n">
        <v>0.027</v>
      </c>
      <c r="E11" t="n">
        <v>0.430928891985638</v>
      </c>
      <c r="F11" t="n">
        <v>0.9620255789206222</v>
      </c>
      <c r="G11" t="n">
        <v>1.688582789957183</v>
      </c>
      <c r="H11" t="n">
        <v>1.309386871636131</v>
      </c>
      <c r="I11" t="n">
        <v>18.63711088166622</v>
      </c>
      <c r="J11" t="n">
        <v>41.07930394191468</v>
      </c>
      <c r="K11" t="n">
        <v>2927</v>
      </c>
      <c r="L11" t="n">
        <v>2810</v>
      </c>
      <c r="M11" t="n">
        <v>-0.03997266826101809</v>
      </c>
      <c r="N11" t="n">
        <v>398893638.58</v>
      </c>
      <c r="O11" t="n">
        <v>385135811.56</v>
      </c>
      <c r="P11" t="n">
        <v>-0.03448996346237987</v>
      </c>
      <c r="Q11" t="n">
        <v>0.2526022019645433</v>
      </c>
      <c r="R11" t="inlineStr">
        <is>
          <t>Görüyor</t>
        </is>
      </c>
      <c r="S11" t="n">
        <v>0.0237</v>
      </c>
      <c r="T11" t="n">
        <v>0.1202</v>
      </c>
      <c r="U11" t="n">
        <v>0.3205</v>
      </c>
      <c r="V11" t="n">
        <v>0.1602</v>
      </c>
      <c r="W11" t="n">
        <v>0</v>
      </c>
      <c r="X11" t="n">
        <v>0.0217</v>
      </c>
      <c r="Y11" t="n">
        <v>0.1008</v>
      </c>
      <c r="Z11" t="n">
        <v>0.0555</v>
      </c>
      <c r="AA11" t="n">
        <v>0</v>
      </c>
      <c r="AB11" t="n">
        <v>0.8026</v>
      </c>
      <c r="AD11">
        <f>IF(ISNUMBER(INDEX($A$2:$AB$29,10,MATCH('Dengeli Değişken'!$E$2,$A$1:$AB$1,0))),INDEX($A$2:$AB$29,10,MATCH('Dengeli Değişken'!$E$2,$A$1:$AB$1,0)),-1E+9)-ROW()/1E+7</f>
        <v/>
      </c>
    </row>
    <row r="12">
      <c r="A12" t="inlineStr">
        <is>
          <t>BVD</t>
        </is>
      </c>
      <c r="B12" t="inlineStr">
        <is>
          <t>BV Portföy Birinci Değişken Fon</t>
        </is>
      </c>
      <c r="C12" t="inlineStr">
        <is>
          <t>BV Portföy</t>
        </is>
      </c>
      <c r="D12" t="n">
        <v>0.025</v>
      </c>
      <c r="E12" t="n">
        <v>0.3679323488998021</v>
      </c>
      <c r="F12" t="n">
        <v>1.191857358755555</v>
      </c>
      <c r="G12" t="n">
        <v>2.661483600940073</v>
      </c>
      <c r="H12" t="n">
        <v>2.713819421147923</v>
      </c>
      <c r="I12" t="n">
        <v>32.73943320000201</v>
      </c>
      <c r="J12" t="inlineStr">
        <is>
          <t>-</t>
        </is>
      </c>
      <c r="K12" t="n">
        <v>309</v>
      </c>
      <c r="L12" t="n">
        <v>266</v>
      </c>
      <c r="M12" t="n">
        <v>-0.1391585760517799</v>
      </c>
      <c r="N12" t="n">
        <v>325550623.7</v>
      </c>
      <c r="O12" t="n">
        <v>281438709.05</v>
      </c>
      <c r="P12" t="n">
        <v>-0.1354994014407105</v>
      </c>
      <c r="Q12" t="n">
        <v>0.3570316718255643</v>
      </c>
      <c r="R12" t="inlineStr">
        <is>
          <t>Görüyor</t>
        </is>
      </c>
      <c r="S12" t="n">
        <v>0</v>
      </c>
      <c r="T12" t="n">
        <v>0.094</v>
      </c>
      <c r="U12" t="n">
        <v>0</v>
      </c>
      <c r="V12" t="n">
        <v>0.2673</v>
      </c>
      <c r="W12" t="n">
        <v>0</v>
      </c>
      <c r="X12" t="n">
        <v>0.1562</v>
      </c>
      <c r="Y12" t="n">
        <v>0</v>
      </c>
      <c r="Z12" t="n">
        <v>0.0227</v>
      </c>
      <c r="AA12" t="n">
        <v>0</v>
      </c>
      <c r="AB12" t="n">
        <v>0.5402</v>
      </c>
      <c r="AD12">
        <f>IF(ISNUMBER(INDEX($A$2:$AB$29,11,MATCH('Dengeli Değişken'!$E$2,$A$1:$AB$1,0))),INDEX($A$2:$AB$29,11,MATCH('Dengeli Değişken'!$E$2,$A$1:$AB$1,0)),-1E+9)-ROW()/1E+7</f>
        <v/>
      </c>
    </row>
    <row r="13">
      <c r="A13" t="inlineStr">
        <is>
          <t>TE3</t>
        </is>
      </c>
      <c r="B13" t="inlineStr">
        <is>
          <t>Teb Portföy Mutlak Getiri Hedefli Değişken Fon</t>
        </is>
      </c>
      <c r="C13" t="inlineStr">
        <is>
          <t>Teb Portföy</t>
        </is>
      </c>
      <c r="D13" t="n">
        <v>0.0165</v>
      </c>
      <c r="E13" t="n">
        <v>0.3612281850571275</v>
      </c>
      <c r="F13" t="n">
        <v>0.2120887489917012</v>
      </c>
      <c r="G13" t="n">
        <v>-1.036253779718666</v>
      </c>
      <c r="H13" t="n">
        <v>0.5138621452473124</v>
      </c>
      <c r="I13" t="n">
        <v>25.48366774158179</v>
      </c>
      <c r="J13" t="n">
        <v>53.05668078947461</v>
      </c>
      <c r="K13" t="n">
        <v>3198</v>
      </c>
      <c r="L13" t="n">
        <v>3050</v>
      </c>
      <c r="M13" t="n">
        <v>-0.04627892432770486</v>
      </c>
      <c r="N13" t="n">
        <v>1259225153.07</v>
      </c>
      <c r="O13" t="n">
        <v>1173075505.53</v>
      </c>
      <c r="P13" t="n">
        <v>-0.06841480836843716</v>
      </c>
      <c r="Q13" t="n">
        <v>0.5262383983665797</v>
      </c>
      <c r="R13" t="inlineStr">
        <is>
          <t>Görüyor</t>
        </is>
      </c>
      <c r="S13" t="n">
        <v>0.0152</v>
      </c>
      <c r="T13" t="n">
        <v>0.1103</v>
      </c>
      <c r="U13" t="n">
        <v>0.419</v>
      </c>
      <c r="V13" t="n">
        <v>0.009599999999999999</v>
      </c>
      <c r="W13" t="n">
        <v>0</v>
      </c>
      <c r="X13" t="n">
        <v>0.1726</v>
      </c>
      <c r="Y13" t="n">
        <v>0.032</v>
      </c>
      <c r="Z13" t="n">
        <v>0</v>
      </c>
      <c r="AA13" t="n">
        <v>0</v>
      </c>
      <c r="AB13" t="n">
        <v>0.7586999999999999</v>
      </c>
      <c r="AD13">
        <f>IF(ISNUMBER(INDEX($A$2:$AB$29,12,MATCH('Dengeli Değişken'!$E$2,$A$1:$AB$1,0))),INDEX($A$2:$AB$29,12,MATCH('Dengeli Değişken'!$E$2,$A$1:$AB$1,0)),-1E+9)-ROW()/1E+7</f>
        <v/>
      </c>
    </row>
    <row r="14">
      <c r="A14" t="inlineStr">
        <is>
          <t>EIB</t>
        </is>
      </c>
      <c r="B14" t="inlineStr">
        <is>
          <t>Astra Portföy Değişken Fon</t>
        </is>
      </c>
      <c r="C14" t="inlineStr">
        <is>
          <t>Astra Portföy</t>
        </is>
      </c>
      <c r="D14" t="n">
        <v>0.02089625</v>
      </c>
      <c r="E14" t="n">
        <v>0.319149255568596</v>
      </c>
      <c r="F14" t="n">
        <v>1.043591333141802</v>
      </c>
      <c r="G14" t="n">
        <v>4.172369393271458</v>
      </c>
      <c r="H14" t="n">
        <v>2.837498249550263</v>
      </c>
      <c r="I14" t="n">
        <v>27.5642285982618</v>
      </c>
      <c r="J14" t="n">
        <v>49.42635138912181</v>
      </c>
      <c r="K14" t="n">
        <v>526</v>
      </c>
      <c r="L14" t="n">
        <v>528</v>
      </c>
      <c r="M14" t="n">
        <v>0.003802281368821214</v>
      </c>
      <c r="N14" t="n">
        <v>305049052.66</v>
      </c>
      <c r="O14" t="n">
        <v>355691682.41</v>
      </c>
      <c r="P14" t="n">
        <v>0.1660147091374351</v>
      </c>
      <c r="Q14" t="n">
        <v>0.2094417219740903</v>
      </c>
      <c r="R14" t="inlineStr">
        <is>
          <t>Görüyor</t>
        </is>
      </c>
      <c r="S14" t="n">
        <v>0</v>
      </c>
      <c r="T14" t="n">
        <v>0</v>
      </c>
      <c r="U14" t="n">
        <v>0.6581</v>
      </c>
      <c r="V14" t="n">
        <v>0</v>
      </c>
      <c r="W14" t="n">
        <v>0</v>
      </c>
      <c r="X14" t="n">
        <v>0.1711</v>
      </c>
      <c r="Y14" t="n">
        <v>0.1251</v>
      </c>
      <c r="Z14" t="n">
        <v>0</v>
      </c>
      <c r="AA14" t="n">
        <v>0.0428</v>
      </c>
      <c r="AB14" t="n">
        <v>0.9971</v>
      </c>
      <c r="AD14">
        <f>IF(ISNUMBER(INDEX($A$2:$AB$29,13,MATCH('Dengeli Değişken'!$E$2,$A$1:$AB$1,0))),INDEX($A$2:$AB$29,13,MATCH('Dengeli Değişken'!$E$2,$A$1:$AB$1,0)),-1E+9)-ROW()/1E+7</f>
        <v/>
      </c>
    </row>
    <row r="15">
      <c r="A15" t="inlineStr">
        <is>
          <t>DGF</t>
        </is>
      </c>
      <c r="B15" t="inlineStr">
        <is>
          <t>A1 Capital Portföy Değişken Fon</t>
        </is>
      </c>
      <c r="C15" t="inlineStr">
        <is>
          <t>A1 Capital Portföy</t>
        </is>
      </c>
      <c r="D15" t="n">
        <v>0.019</v>
      </c>
      <c r="E15" t="n">
        <v>0.2898963187831782</v>
      </c>
      <c r="F15" t="n">
        <v>1.105495919045585</v>
      </c>
      <c r="G15" t="n">
        <v>-3.725307166328951</v>
      </c>
      <c r="H15" t="n">
        <v>-1.224915014318706</v>
      </c>
      <c r="I15" t="n">
        <v>13.36084991014965</v>
      </c>
      <c r="J15" t="inlineStr">
        <is>
          <t>-</t>
        </is>
      </c>
      <c r="K15" t="n">
        <v>182</v>
      </c>
      <c r="L15" t="n">
        <v>163</v>
      </c>
      <c r="M15" t="n">
        <v>-0.1043956043956044</v>
      </c>
      <c r="N15" t="n">
        <v>18056953.19</v>
      </c>
      <c r="O15" t="n">
        <v>14349911.92</v>
      </c>
      <c r="P15" t="n">
        <v>-0.2052971634247229</v>
      </c>
      <c r="Q15" t="n">
        <v>0.5908669854252934</v>
      </c>
      <c r="R15" t="inlineStr">
        <is>
          <t>Görüyor</t>
        </is>
      </c>
      <c r="S15" t="n">
        <v>0</v>
      </c>
      <c r="T15" t="n">
        <v>0.2804</v>
      </c>
      <c r="U15" t="n">
        <v>0.06950000000000001</v>
      </c>
      <c r="V15" t="n">
        <v>0.3842</v>
      </c>
      <c r="W15" t="n">
        <v>0.1412</v>
      </c>
      <c r="X15" t="n">
        <v>0.04769999999999999</v>
      </c>
      <c r="Y15" t="n">
        <v>0</v>
      </c>
      <c r="Z15" t="n">
        <v>0.077</v>
      </c>
      <c r="AA15" t="n">
        <v>0</v>
      </c>
      <c r="AB15" t="n">
        <v>1</v>
      </c>
      <c r="AD15">
        <f>IF(ISNUMBER(INDEX($A$2:$AB$29,14,MATCH('Dengeli Değişken'!$E$2,$A$1:$AB$1,0))),INDEX($A$2:$AB$29,14,MATCH('Dengeli Değişken'!$E$2,$A$1:$AB$1,0)),-1E+9)-ROW()/1E+7</f>
        <v/>
      </c>
    </row>
    <row r="16">
      <c r="A16" t="inlineStr">
        <is>
          <t>GPB</t>
        </is>
      </c>
      <c r="B16" t="inlineStr">
        <is>
          <t>Garanti Portföy Birinci Değişken Fon</t>
        </is>
      </c>
      <c r="C16" t="inlineStr">
        <is>
          <t>Garanti Portföy</t>
        </is>
      </c>
      <c r="D16" t="n">
        <v>0.025</v>
      </c>
      <c r="E16" t="n">
        <v>0.2423798142732414</v>
      </c>
      <c r="F16" t="n">
        <v>0.7665316146161505</v>
      </c>
      <c r="G16" t="n">
        <v>2.387704939936452</v>
      </c>
      <c r="H16" t="n">
        <v>1.340347823155685</v>
      </c>
      <c r="I16" t="n">
        <v>18.72202181710956</v>
      </c>
      <c r="J16" t="n">
        <v>39.79014169596633</v>
      </c>
      <c r="K16" t="n">
        <v>9672</v>
      </c>
      <c r="L16" t="n">
        <v>9612</v>
      </c>
      <c r="M16" t="n">
        <v>-0.006203473945409432</v>
      </c>
      <c r="N16" t="n">
        <v>1217367887.01</v>
      </c>
      <c r="O16" t="n">
        <v>1226604563.12</v>
      </c>
      <c r="P16" t="n">
        <v>0.00758741561081111</v>
      </c>
      <c r="Q16" t="n">
        <v>0.1462102207294528</v>
      </c>
      <c r="R16" t="inlineStr">
        <is>
          <t>Görüyor</t>
        </is>
      </c>
      <c r="S16" t="n">
        <v>0.0198</v>
      </c>
      <c r="T16" t="n">
        <v>0.0528</v>
      </c>
      <c r="U16" t="n">
        <v>0.2158</v>
      </c>
      <c r="V16" t="n">
        <v>0.0659</v>
      </c>
      <c r="W16" t="n">
        <v>0</v>
      </c>
      <c r="X16" t="n">
        <v>0.0431</v>
      </c>
      <c r="Y16" t="n">
        <v>0.2626</v>
      </c>
      <c r="Z16" t="n">
        <v>0.0897</v>
      </c>
      <c r="AA16" t="n">
        <v>0</v>
      </c>
      <c r="AB16" t="n">
        <v>0.7497</v>
      </c>
      <c r="AD16">
        <f>IF(ISNUMBER(INDEX($A$2:$AB$29,15,MATCH('Dengeli Değişken'!$E$2,$A$1:$AB$1,0))),INDEX($A$2:$AB$29,15,MATCH('Dengeli Değişken'!$E$2,$A$1:$AB$1,0)),-1E+9)-ROW()/1E+7</f>
        <v/>
      </c>
    </row>
    <row r="17">
      <c r="A17" t="inlineStr">
        <is>
          <t>SUA</t>
        </is>
      </c>
      <c r="B17" t="inlineStr">
        <is>
          <t>Ünlü Portföy Birinci Değişken Fon</t>
        </is>
      </c>
      <c r="C17" t="inlineStr">
        <is>
          <t>Ünlü Portföy</t>
        </is>
      </c>
      <c r="D17" t="n">
        <v>0.02</v>
      </c>
      <c r="E17" t="n">
        <v>0.2352941176470447</v>
      </c>
      <c r="F17" t="n">
        <v>0.7690860134682342</v>
      </c>
      <c r="G17" t="n">
        <v>2.149166986085227</v>
      </c>
      <c r="H17" t="n">
        <v>1.15852883433849</v>
      </c>
      <c r="I17" t="n">
        <v>19.52313404814552</v>
      </c>
      <c r="J17" t="n">
        <v>51.44674901078685</v>
      </c>
      <c r="K17" t="n">
        <v>1251</v>
      </c>
      <c r="L17" t="n">
        <v>1227</v>
      </c>
      <c r="M17" t="n">
        <v>-0.01918465227817745</v>
      </c>
      <c r="N17" t="n">
        <v>2387926901.4</v>
      </c>
      <c r="O17" t="n">
        <v>2389110208.96</v>
      </c>
      <c r="P17" t="n">
        <v>0.0004955375976150034</v>
      </c>
      <c r="Q17" t="n">
        <v>0.569880312360001</v>
      </c>
      <c r="R17" t="inlineStr">
        <is>
          <t>Görüyor</t>
        </is>
      </c>
      <c r="S17" t="n">
        <v>0.067</v>
      </c>
      <c r="T17" t="n">
        <v>0.0146</v>
      </c>
      <c r="U17" t="n">
        <v>0.5017</v>
      </c>
      <c r="V17" t="n">
        <v>0.1012</v>
      </c>
      <c r="W17" t="n">
        <v>0.0003</v>
      </c>
      <c r="X17" t="n">
        <v>0.2017</v>
      </c>
      <c r="Y17" t="n">
        <v>0.007800000000000001</v>
      </c>
      <c r="Z17" t="n">
        <v>0.04219999999999999</v>
      </c>
      <c r="AA17" t="n">
        <v>0</v>
      </c>
      <c r="AB17" t="n">
        <v>0.9365</v>
      </c>
      <c r="AD17">
        <f>IF(ISNUMBER(INDEX($A$2:$AB$29,16,MATCH('Dengeli Değişken'!$E$2,$A$1:$AB$1,0))),INDEX($A$2:$AB$29,16,MATCH('Dengeli Değişken'!$E$2,$A$1:$AB$1,0)),-1E+9)-ROW()/1E+7</f>
        <v/>
      </c>
    </row>
    <row r="18">
      <c r="A18" t="inlineStr">
        <is>
          <t>PGD</t>
        </is>
      </c>
      <c r="B18" t="inlineStr">
        <is>
          <t>Astra Portföy Agresif Değişken Fon</t>
        </is>
      </c>
      <c r="C18" t="inlineStr">
        <is>
          <t>Astra Portföy</t>
        </is>
      </c>
      <c r="D18" t="n">
        <v>0.021</v>
      </c>
      <c r="E18" t="n">
        <v>0.2311521944573736</v>
      </c>
      <c r="F18" t="n">
        <v>-2.000771612864927</v>
      </c>
      <c r="G18" t="n">
        <v>-0.3727788472807636</v>
      </c>
      <c r="H18" t="n">
        <v>-1.000592687572932</v>
      </c>
      <c r="I18" t="n">
        <v>20.69347983319147</v>
      </c>
      <c r="J18" t="n">
        <v>40.27725130872943</v>
      </c>
      <c r="K18" t="n">
        <v>133</v>
      </c>
      <c r="L18" t="n">
        <v>197</v>
      </c>
      <c r="M18" t="n">
        <v>0.481203007518797</v>
      </c>
      <c r="N18" t="n">
        <v>159863281.97</v>
      </c>
      <c r="O18" t="n">
        <v>171335619.04</v>
      </c>
      <c r="P18" t="n">
        <v>0.07176342765284205</v>
      </c>
      <c r="Q18" t="n">
        <v>0.6132985257331736</v>
      </c>
      <c r="R18" t="inlineStr">
        <is>
          <t>Görüyor</t>
        </is>
      </c>
      <c r="S18" t="n">
        <v>0</v>
      </c>
      <c r="T18" t="n">
        <v>0</v>
      </c>
      <c r="U18" t="n">
        <v>0</v>
      </c>
      <c r="V18" t="n">
        <v>0.5876</v>
      </c>
      <c r="W18" t="n">
        <v>0</v>
      </c>
      <c r="X18" t="n">
        <v>0.14</v>
      </c>
      <c r="Y18" t="n">
        <v>0.1552</v>
      </c>
      <c r="Z18" t="n">
        <v>0</v>
      </c>
      <c r="AA18" t="n">
        <v>0.1172</v>
      </c>
      <c r="AB18" t="n">
        <v>1</v>
      </c>
      <c r="AD18">
        <f>IF(ISNUMBER(INDEX($A$2:$AB$29,17,MATCH('Dengeli Değişken'!$E$2,$A$1:$AB$1,0))),INDEX($A$2:$AB$29,17,MATCH('Dengeli Değişken'!$E$2,$A$1:$AB$1,0)),-1E+9)-ROW()/1E+7</f>
        <v/>
      </c>
    </row>
    <row r="19">
      <c r="A19" t="inlineStr">
        <is>
          <t>TI4</t>
        </is>
      </c>
      <c r="B19" t="inlineStr">
        <is>
          <t>İŞ Portföy Temkinli Değişken Fon</t>
        </is>
      </c>
      <c r="C19" t="inlineStr">
        <is>
          <t>İŞ Portföy</t>
        </is>
      </c>
      <c r="D19" t="n">
        <v>0.02</v>
      </c>
      <c r="E19" t="n">
        <v>0.2286948511895481</v>
      </c>
      <c r="F19" t="n">
        <v>0.8018144646051661</v>
      </c>
      <c r="G19" t="n">
        <v>2.517868745938934</v>
      </c>
      <c r="H19" t="n">
        <v>1.46139129595988</v>
      </c>
      <c r="I19" t="n">
        <v>14.4022478020484</v>
      </c>
      <c r="J19" t="n">
        <v>40.48170243077198</v>
      </c>
      <c r="K19" t="n">
        <v>14502</v>
      </c>
      <c r="L19" t="n">
        <v>14534</v>
      </c>
      <c r="M19" t="n">
        <v>0.002206592194180068</v>
      </c>
      <c r="N19" t="n">
        <v>1988563168.19</v>
      </c>
      <c r="O19" t="n">
        <v>1847886632.07</v>
      </c>
      <c r="P19" t="n">
        <v>-0.07074280484036355</v>
      </c>
      <c r="Q19" t="n">
        <v>0.1362716882258228</v>
      </c>
      <c r="R19" t="inlineStr">
        <is>
          <t>Görüyor</t>
        </is>
      </c>
      <c r="S19" t="n">
        <v>0</v>
      </c>
      <c r="T19" t="n">
        <v>0.0347</v>
      </c>
      <c r="U19" t="n">
        <v>0.7998000000000001</v>
      </c>
      <c r="V19" t="n">
        <v>0.0926</v>
      </c>
      <c r="W19" t="n">
        <v>0</v>
      </c>
      <c r="X19" t="n">
        <v>0.0706</v>
      </c>
      <c r="Y19" t="n">
        <v>0.0023</v>
      </c>
      <c r="Z19" t="n">
        <v>0</v>
      </c>
      <c r="AA19" t="n">
        <v>0</v>
      </c>
      <c r="AB19" t="n">
        <v>1</v>
      </c>
      <c r="AD19">
        <f>IF(ISNUMBER(INDEX($A$2:$AB$29,18,MATCH('Dengeli Değişken'!$E$2,$A$1:$AB$1,0))),INDEX($A$2:$AB$29,18,MATCH('Dengeli Değişken'!$E$2,$A$1:$AB$1,0)),-1E+9)-ROW()/1E+7</f>
        <v/>
      </c>
    </row>
    <row r="20">
      <c r="A20" t="inlineStr">
        <is>
          <t>TE4</t>
        </is>
      </c>
      <c r="B20" t="inlineStr">
        <is>
          <t>Teb Portföy Birinci Değişken Fon</t>
        </is>
      </c>
      <c r="C20" t="inlineStr">
        <is>
          <t>Teb Portföy</t>
        </is>
      </c>
      <c r="D20" t="n">
        <v>0.025</v>
      </c>
      <c r="E20" t="n">
        <v>0.2274355343574452</v>
      </c>
      <c r="F20" t="n">
        <v>0.9249923423014561</v>
      </c>
      <c r="G20" t="n">
        <v>2.640145631313029</v>
      </c>
      <c r="H20" t="n">
        <v>1.804734970232813</v>
      </c>
      <c r="I20" t="n">
        <v>22.88664947234595</v>
      </c>
      <c r="J20" t="n">
        <v>50.09764618053529</v>
      </c>
      <c r="K20" t="n">
        <v>1583</v>
      </c>
      <c r="L20" t="n">
        <v>1498</v>
      </c>
      <c r="M20" t="n">
        <v>-0.05369551484523061</v>
      </c>
      <c r="N20" t="n">
        <v>2005426371.56</v>
      </c>
      <c r="O20" t="n">
        <v>2261930637.4</v>
      </c>
      <c r="P20" t="n">
        <v>0.1279051026143974</v>
      </c>
      <c r="Q20" t="n">
        <v>0.1072508301250169</v>
      </c>
      <c r="R20" t="inlineStr">
        <is>
          <t>Görüyor</t>
        </is>
      </c>
      <c r="S20" t="n">
        <v>0.0272</v>
      </c>
      <c r="T20" t="n">
        <v>0.0298</v>
      </c>
      <c r="U20" t="n">
        <v>0.5309</v>
      </c>
      <c r="V20" t="n">
        <v>0</v>
      </c>
      <c r="W20" t="n">
        <v>0</v>
      </c>
      <c r="X20" t="n">
        <v>0.0284</v>
      </c>
      <c r="Y20" t="n">
        <v>0.0009</v>
      </c>
      <c r="Z20" t="n">
        <v>0</v>
      </c>
      <c r="AA20" t="n">
        <v>0</v>
      </c>
      <c r="AB20" t="n">
        <v>0.6172000000000001</v>
      </c>
      <c r="AD20">
        <f>IF(ISNUMBER(INDEX($A$2:$AB$29,19,MATCH('Dengeli Değişken'!$E$2,$A$1:$AB$1,0))),INDEX($A$2:$AB$29,19,MATCH('Dengeli Değişken'!$E$2,$A$1:$AB$1,0)),-1E+9)-ROW()/1E+7</f>
        <v/>
      </c>
    </row>
    <row r="21">
      <c r="A21" t="inlineStr">
        <is>
          <t>RKC</t>
        </is>
      </c>
      <c r="B21" t="inlineStr">
        <is>
          <t>Rota Portföy İkinci Değişken Fon</t>
        </is>
      </c>
      <c r="C21" t="inlineStr">
        <is>
          <t>Rota Portföy</t>
        </is>
      </c>
      <c r="D21" t="n">
        <v>0.02</v>
      </c>
      <c r="E21" t="n">
        <v>0.157045152410995</v>
      </c>
      <c r="F21" t="n">
        <v>0.7626757206532941</v>
      </c>
      <c r="G21" t="n">
        <v>0.9940907757428397</v>
      </c>
      <c r="H21" t="n">
        <v>1.743643563042641</v>
      </c>
      <c r="I21" t="n">
        <v>24.04853476486377</v>
      </c>
      <c r="J21" t="n">
        <v>61.2884534848366</v>
      </c>
      <c r="K21" t="n">
        <v>336</v>
      </c>
      <c r="L21" t="n">
        <v>294</v>
      </c>
      <c r="M21" t="n">
        <v>-0.125</v>
      </c>
      <c r="N21" t="n">
        <v>48810598.7</v>
      </c>
      <c r="O21" t="n">
        <v>43265757.1</v>
      </c>
      <c r="P21" t="n">
        <v>-0.1135991310837988</v>
      </c>
      <c r="Q21" t="n">
        <v>0.3282852925343295</v>
      </c>
      <c r="R21" t="inlineStr">
        <is>
          <t>Görüyor</t>
        </is>
      </c>
      <c r="S21" t="n">
        <v>0</v>
      </c>
      <c r="T21" t="n">
        <v>0.1649</v>
      </c>
      <c r="U21" t="n">
        <v>0.5703</v>
      </c>
      <c r="V21" t="n">
        <v>0.0786</v>
      </c>
      <c r="W21" t="n">
        <v>0.004099999999999999</v>
      </c>
      <c r="X21" t="n">
        <v>0.1821</v>
      </c>
      <c r="Y21" t="n">
        <v>0</v>
      </c>
      <c r="Z21" t="n">
        <v>0</v>
      </c>
      <c r="AA21" t="n">
        <v>0</v>
      </c>
      <c r="AB21" t="n">
        <v>1</v>
      </c>
      <c r="AD21">
        <f>IF(ISNUMBER(INDEX($A$2:$AB$29,20,MATCH('Dengeli Değişken'!$E$2,$A$1:$AB$1,0))),INDEX($A$2:$AB$29,20,MATCH('Dengeli Değişken'!$E$2,$A$1:$AB$1,0)),-1E+9)-ROW()/1E+7</f>
        <v/>
      </c>
    </row>
    <row r="22">
      <c r="A22" t="inlineStr">
        <is>
          <t>MBL</t>
        </is>
      </c>
      <c r="B22" t="inlineStr">
        <is>
          <t>Meksa Portföy İkinci Değişken Fon</t>
        </is>
      </c>
      <c r="C22" t="inlineStr">
        <is>
          <t>Meksa Portföy</t>
        </is>
      </c>
      <c r="D22" t="n">
        <v>0.02</v>
      </c>
      <c r="E22" t="n">
        <v>0.101371582767551</v>
      </c>
      <c r="F22" t="n">
        <v>0.7040745593182907</v>
      </c>
      <c r="G22" t="n">
        <v>3.105283105803314</v>
      </c>
      <c r="H22" t="n">
        <v>1.747251699582697</v>
      </c>
      <c r="I22" t="n">
        <v>21.77234966010875</v>
      </c>
      <c r="J22" t="n">
        <v>45.33631535391414</v>
      </c>
      <c r="K22" t="n">
        <v>211</v>
      </c>
      <c r="L22" t="n">
        <v>212</v>
      </c>
      <c r="M22" t="n">
        <v>0.004739336492890933</v>
      </c>
      <c r="N22" t="n">
        <v>22500769.76</v>
      </c>
      <c r="O22" t="n">
        <v>20230342.31</v>
      </c>
      <c r="P22" t="n">
        <v>-0.1009044345689978</v>
      </c>
      <c r="Q22" t="n">
        <v>0.08256759418770641</v>
      </c>
      <c r="R22" t="inlineStr">
        <is>
          <t>Görüyor</t>
        </is>
      </c>
      <c r="S22" t="n">
        <v>0</v>
      </c>
      <c r="T22" t="n">
        <v>0.0031</v>
      </c>
      <c r="U22" t="n">
        <v>0.7395999999999999</v>
      </c>
      <c r="V22" t="n">
        <v>0</v>
      </c>
      <c r="W22" t="n">
        <v>0.0247</v>
      </c>
      <c r="X22" t="n">
        <v>0</v>
      </c>
      <c r="Y22" t="n">
        <v>0.07870000000000001</v>
      </c>
      <c r="Z22" t="n">
        <v>0.1539</v>
      </c>
      <c r="AA22" t="n">
        <v>0</v>
      </c>
      <c r="AB22" t="n">
        <v>0.9999999999999999</v>
      </c>
      <c r="AD22">
        <f>IF(ISNUMBER(INDEX($A$2:$AB$29,21,MATCH('Dengeli Değişken'!$E$2,$A$1:$AB$1,0))),INDEX($A$2:$AB$29,21,MATCH('Dengeli Değişken'!$E$2,$A$1:$AB$1,0)),-1E+9)-ROW()/1E+7</f>
        <v/>
      </c>
    </row>
    <row r="23">
      <c r="A23" t="inlineStr">
        <is>
          <t>AGC</t>
        </is>
      </c>
      <c r="B23" t="inlineStr">
        <is>
          <t>AK Portföy İkinci Değişken Fon</t>
        </is>
      </c>
      <c r="C23" t="inlineStr">
        <is>
          <t>AK Portföy</t>
        </is>
      </c>
      <c r="D23" t="n">
        <v>0.015</v>
      </c>
      <c r="E23" t="n">
        <v>0.09965987128071063</v>
      </c>
      <c r="F23" t="n">
        <v>0.437560644167645</v>
      </c>
      <c r="G23" t="n">
        <v>1.989743445605807</v>
      </c>
      <c r="H23" t="n">
        <v>1.080760810509807</v>
      </c>
      <c r="I23" t="n">
        <v>13.63061635352365</v>
      </c>
      <c r="J23" t="n">
        <v>28.41119048966503</v>
      </c>
      <c r="K23" t="n">
        <v>2446</v>
      </c>
      <c r="L23" t="n">
        <v>2451</v>
      </c>
      <c r="M23" t="n">
        <v>0.002044153720359709</v>
      </c>
      <c r="N23" t="n">
        <v>101591653.78</v>
      </c>
      <c r="O23" t="n">
        <v>107921103.82</v>
      </c>
      <c r="P23" t="n">
        <v>0.06230285465877561</v>
      </c>
      <c r="Q23" t="n">
        <v>0.06718429937900253</v>
      </c>
      <c r="R23" t="inlineStr">
        <is>
          <t>Görüyor</t>
        </is>
      </c>
      <c r="S23" t="n">
        <v>0</v>
      </c>
      <c r="T23" t="n">
        <v>0.019</v>
      </c>
      <c r="U23" t="n">
        <v>0.2669</v>
      </c>
      <c r="V23" t="n">
        <v>0</v>
      </c>
      <c r="W23" t="n">
        <v>0.0668</v>
      </c>
      <c r="X23" t="n">
        <v>0</v>
      </c>
      <c r="Y23" t="n">
        <v>0</v>
      </c>
      <c r="Z23" t="n">
        <v>0</v>
      </c>
      <c r="AA23" t="n">
        <v>0</v>
      </c>
      <c r="AB23" t="n">
        <v>0.3527</v>
      </c>
      <c r="AD23">
        <f>IF(ISNUMBER(INDEX($A$2:$AB$29,22,MATCH('Dengeli Değişken'!$E$2,$A$1:$AB$1,0))),INDEX($A$2:$AB$29,22,MATCH('Dengeli Değişken'!$E$2,$A$1:$AB$1,0)),-1E+9)-ROW()/1E+7</f>
        <v/>
      </c>
    </row>
    <row r="24">
      <c r="A24" t="inlineStr">
        <is>
          <t>ICD</t>
        </is>
      </c>
      <c r="B24" t="inlineStr">
        <is>
          <t>Icbc Turkey Portföy Birinci Değişken Fon</t>
        </is>
      </c>
      <c r="C24" t="inlineStr">
        <is>
          <t>Icbc Turkey Portföy</t>
        </is>
      </c>
      <c r="D24" t="n">
        <v>0.0195</v>
      </c>
      <c r="E24" t="n">
        <v>0.09855180950204545</v>
      </c>
      <c r="F24" t="n">
        <v>0.6078936244611866</v>
      </c>
      <c r="G24" t="n">
        <v>1.742511163647986</v>
      </c>
      <c r="H24" t="n">
        <v>1.242137065615334</v>
      </c>
      <c r="I24" t="n">
        <v>16.03462788193162</v>
      </c>
      <c r="J24" t="n">
        <v>38.24987498732202</v>
      </c>
      <c r="K24" t="n">
        <v>212</v>
      </c>
      <c r="L24" t="n">
        <v>198</v>
      </c>
      <c r="M24" t="n">
        <v>-0.06603773584905659</v>
      </c>
      <c r="N24" t="n">
        <v>44050727.63</v>
      </c>
      <c r="O24" t="n">
        <v>43416069.85</v>
      </c>
      <c r="P24" t="n">
        <v>-0.01440743011853862</v>
      </c>
      <c r="Q24" t="n">
        <v>0.1396869009329826</v>
      </c>
      <c r="R24" t="inlineStr">
        <is>
          <t>Görüyor</t>
        </is>
      </c>
      <c r="S24" t="n">
        <v>0</v>
      </c>
      <c r="T24" t="n">
        <v>0.0255</v>
      </c>
      <c r="U24" t="n">
        <v>0.213</v>
      </c>
      <c r="V24" t="n">
        <v>0</v>
      </c>
      <c r="W24" t="n">
        <v>0.0175</v>
      </c>
      <c r="X24" t="n">
        <v>0</v>
      </c>
      <c r="Y24" t="n">
        <v>0</v>
      </c>
      <c r="Z24" t="n">
        <v>0.1578</v>
      </c>
      <c r="AA24" t="n">
        <v>0.0737</v>
      </c>
      <c r="AB24" t="n">
        <v>0.4875</v>
      </c>
      <c r="AD24">
        <f>IF(ISNUMBER(INDEX($A$2:$AB$29,23,MATCH('Dengeli Değişken'!$E$2,$A$1:$AB$1,0))),INDEX($A$2:$AB$29,23,MATCH('Dengeli Değişken'!$E$2,$A$1:$AB$1,0)),-1E+9)-ROW()/1E+7</f>
        <v/>
      </c>
    </row>
    <row r="25">
      <c r="A25" t="inlineStr">
        <is>
          <t>HPO</t>
        </is>
      </c>
      <c r="B25" t="inlineStr">
        <is>
          <t>Hsbc Portföy Çoklu Varlık Birinci Değişken Fon</t>
        </is>
      </c>
      <c r="C25" t="inlineStr">
        <is>
          <t>Hsbc Portföy</t>
        </is>
      </c>
      <c r="D25" t="n">
        <v>0.01533</v>
      </c>
      <c r="E25" t="n">
        <v>0.05564626099929804</v>
      </c>
      <c r="F25" t="n">
        <v>0.495031261899781</v>
      </c>
      <c r="G25" t="n">
        <v>1.42947470214112</v>
      </c>
      <c r="H25" t="n">
        <v>1.142320245277406</v>
      </c>
      <c r="I25" t="n">
        <v>19.89126372941961</v>
      </c>
      <c r="J25" t="n">
        <v>40.65382400220061</v>
      </c>
      <c r="K25" t="n">
        <v>2977</v>
      </c>
      <c r="L25" t="n">
        <v>2900</v>
      </c>
      <c r="M25" t="n">
        <v>-0.02586496472959354</v>
      </c>
      <c r="N25" t="n">
        <v>1250931358.99</v>
      </c>
      <c r="O25" t="n">
        <v>1147976607.31</v>
      </c>
      <c r="P25" t="n">
        <v>-0.0823024788211606</v>
      </c>
      <c r="Q25" t="n">
        <v>0.1940023314649409</v>
      </c>
      <c r="R25" t="inlineStr">
        <is>
          <t>Görüyor</t>
        </is>
      </c>
      <c r="S25" t="n">
        <v>0.0289</v>
      </c>
      <c r="T25" t="n">
        <v>0.0153</v>
      </c>
      <c r="U25" t="n">
        <v>0.348</v>
      </c>
      <c r="V25" t="n">
        <v>0</v>
      </c>
      <c r="W25" t="n">
        <v>0.0155</v>
      </c>
      <c r="X25" t="n">
        <v>0.1328</v>
      </c>
      <c r="Y25" t="n">
        <v>0.1601</v>
      </c>
      <c r="Z25" t="n">
        <v>0.1341</v>
      </c>
      <c r="AA25" t="n">
        <v>0.0142</v>
      </c>
      <c r="AB25" t="n">
        <v>0.8489</v>
      </c>
      <c r="AD25">
        <f>IF(ISNUMBER(INDEX($A$2:$AB$29,24,MATCH('Dengeli Değişken'!$E$2,$A$1:$AB$1,0))),INDEX($A$2:$AB$29,24,MATCH('Dengeli Değişken'!$E$2,$A$1:$AB$1,0)),-1E+9)-ROW()/1E+7</f>
        <v/>
      </c>
    </row>
    <row r="26">
      <c r="A26" t="inlineStr">
        <is>
          <t>RIK</t>
        </is>
      </c>
      <c r="B26" t="inlineStr">
        <is>
          <t>Re-pıe Portföy İkinci Değişken Fon</t>
        </is>
      </c>
      <c r="C26" t="inlineStr">
        <is>
          <t>Re-pıe Portföy</t>
        </is>
      </c>
      <c r="D26" t="n">
        <v>0.015</v>
      </c>
      <c r="E26" t="n">
        <v>-0.2987803464045591</v>
      </c>
      <c r="F26" t="n">
        <v>-0.3792888860394528</v>
      </c>
      <c r="G26" t="n">
        <v>-1.144734706141359</v>
      </c>
      <c r="H26" t="n">
        <v>-0.3071238399824705</v>
      </c>
      <c r="I26" t="n">
        <v>19.95634465694054</v>
      </c>
      <c r="J26" t="n">
        <v>49.25405352355532</v>
      </c>
      <c r="K26" t="n">
        <v>5905</v>
      </c>
      <c r="L26" t="n">
        <v>5101</v>
      </c>
      <c r="M26" t="n">
        <v>-0.136155800169348</v>
      </c>
      <c r="N26" t="n">
        <v>1204236450.68</v>
      </c>
      <c r="O26" t="n">
        <v>957137182.17</v>
      </c>
      <c r="P26" t="n">
        <v>-0.2051916534916958</v>
      </c>
      <c r="Q26" t="n">
        <v>0.662797915926099</v>
      </c>
      <c r="R26" t="inlineStr">
        <is>
          <t>Görüyor</t>
        </is>
      </c>
      <c r="S26" t="n">
        <v>0</v>
      </c>
      <c r="T26" t="n">
        <v>0.0135</v>
      </c>
      <c r="U26" t="n">
        <v>0</v>
      </c>
      <c r="V26" t="n">
        <v>0.2022</v>
      </c>
      <c r="W26" t="n">
        <v>0.04389999999999999</v>
      </c>
      <c r="X26" t="n">
        <v>0.1388</v>
      </c>
      <c r="Y26" t="n">
        <v>0.1005</v>
      </c>
      <c r="Z26" t="n">
        <v>0.1937</v>
      </c>
      <c r="AA26" t="n">
        <v>0.0083</v>
      </c>
      <c r="AB26" t="n">
        <v>0.7009</v>
      </c>
      <c r="AD26">
        <f>IF(ISNUMBER(INDEX($A$2:$AB$29,25,MATCH('Dengeli Değişken'!$E$2,$A$1:$AB$1,0))),INDEX($A$2:$AB$29,25,MATCH('Dengeli Değişken'!$E$2,$A$1:$AB$1,0)),-1E+9)-ROW()/1E+7</f>
        <v/>
      </c>
    </row>
    <row r="27">
      <c r="A27" t="inlineStr">
        <is>
          <t>RPD</t>
        </is>
      </c>
      <c r="B27" t="inlineStr">
        <is>
          <t>Re-pıe Portföy Birinci Değişken Fon</t>
        </is>
      </c>
      <c r="C27" t="inlineStr">
        <is>
          <t>Re-pıe Portföy</t>
        </is>
      </c>
      <c r="D27" t="n">
        <v>0.0119</v>
      </c>
      <c r="E27" t="n">
        <v>-0.424643270765257</v>
      </c>
      <c r="F27" t="n">
        <v>0.6592101255378902</v>
      </c>
      <c r="G27" t="n">
        <v>1.933893944420584</v>
      </c>
      <c r="H27" t="n">
        <v>1.527246266329385</v>
      </c>
      <c r="I27" t="n">
        <v>24.62949204920808</v>
      </c>
      <c r="J27" t="n">
        <v>49.39363000478063</v>
      </c>
      <c r="K27" t="n">
        <v>2057</v>
      </c>
      <c r="L27" t="n">
        <v>2015</v>
      </c>
      <c r="M27" t="n">
        <v>-0.02041808458920757</v>
      </c>
      <c r="N27" t="n">
        <v>298627619.77</v>
      </c>
      <c r="O27" t="n">
        <v>302429453.1</v>
      </c>
      <c r="P27" t="n">
        <v>0.01273101708719437</v>
      </c>
      <c r="Q27" t="n">
        <v>0.6169046636979955</v>
      </c>
      <c r="R27" t="inlineStr">
        <is>
          <t>Görüyor</t>
        </is>
      </c>
      <c r="S27" t="n">
        <v>0.0312</v>
      </c>
      <c r="T27" t="n">
        <v>0.0433</v>
      </c>
      <c r="U27" t="n">
        <v>0.0195</v>
      </c>
      <c r="V27" t="n">
        <v>0.1768</v>
      </c>
      <c r="W27" t="n">
        <v>0.1974</v>
      </c>
      <c r="X27" t="n">
        <v>0</v>
      </c>
      <c r="Y27" t="n">
        <v>0.0071</v>
      </c>
      <c r="Z27" t="n">
        <v>0.1221</v>
      </c>
      <c r="AA27" t="n">
        <v>0</v>
      </c>
      <c r="AB27" t="n">
        <v>0.5974</v>
      </c>
      <c r="AD27">
        <f>IF(ISNUMBER(INDEX($A$2:$AB$29,26,MATCH('Dengeli Değişken'!$E$2,$A$1:$AB$1,0))),INDEX($A$2:$AB$29,26,MATCH('Dengeli Değişken'!$E$2,$A$1:$AB$1,0)),-1E+9)-ROW()/1E+7</f>
        <v/>
      </c>
    </row>
    <row r="28">
      <c r="A28" t="inlineStr">
        <is>
          <t>DID</t>
        </is>
      </c>
      <c r="B28" t="inlineStr">
        <is>
          <t>Deniz Portföy İkinci Değişken Fon</t>
        </is>
      </c>
      <c r="C28" t="inlineStr">
        <is>
          <t>Deniz Portföy</t>
        </is>
      </c>
      <c r="D28" t="n">
        <v>0.0195</v>
      </c>
      <c r="E28" t="n">
        <v>-0.5395249776022903</v>
      </c>
      <c r="F28" t="n">
        <v>1.552993465298069</v>
      </c>
      <c r="G28" t="n">
        <v>-0.6038348637078639</v>
      </c>
      <c r="H28" t="n">
        <v>1.248312920420225</v>
      </c>
      <c r="I28" t="n">
        <v>15.11900845114686</v>
      </c>
      <c r="J28" t="n">
        <v>32.64351166850084</v>
      </c>
      <c r="K28" t="n">
        <v>158</v>
      </c>
      <c r="L28" t="n">
        <v>151</v>
      </c>
      <c r="M28" t="n">
        <v>-0.04430379746835444</v>
      </c>
      <c r="N28" t="n">
        <v>31950379.25</v>
      </c>
      <c r="O28" t="n">
        <v>26633868.43</v>
      </c>
      <c r="P28" t="n">
        <v>-0.1663989894580047</v>
      </c>
      <c r="Q28" t="n">
        <v>0.6418887815240162</v>
      </c>
      <c r="R28" t="inlineStr">
        <is>
          <t>Görüyor</t>
        </is>
      </c>
      <c r="S28" t="n">
        <v>0.004099999999999999</v>
      </c>
      <c r="T28" t="n">
        <v>0.0134</v>
      </c>
      <c r="U28" t="n">
        <v>0.3633</v>
      </c>
      <c r="V28" t="n">
        <v>0.2464</v>
      </c>
      <c r="W28" t="n">
        <v>0</v>
      </c>
      <c r="X28" t="n">
        <v>0.065</v>
      </c>
      <c r="Y28" t="n">
        <v>0</v>
      </c>
      <c r="Z28" t="n">
        <v>0</v>
      </c>
      <c r="AA28" t="n">
        <v>0</v>
      </c>
      <c r="AB28" t="n">
        <v>0.6921999999999999</v>
      </c>
      <c r="AD28">
        <f>IF(ISNUMBER(INDEX($A$2:$AB$29,27,MATCH('Dengeli Değişken'!$E$2,$A$1:$AB$1,0))),INDEX($A$2:$AB$29,27,MATCH('Dengeli Değişken'!$E$2,$A$1:$AB$1,0)),-1E+9)-ROW()/1E+7</f>
        <v/>
      </c>
    </row>
    <row r="29">
      <c r="A29" t="inlineStr">
        <is>
          <t>NKP</t>
        </is>
      </c>
      <c r="B29" t="inlineStr">
        <is>
          <t>Neo Portföy Kar Payı Ödeyen Değişken Fon</t>
        </is>
      </c>
      <c r="C29" t="inlineStr">
        <is>
          <t>Neo Portföy</t>
        </is>
      </c>
      <c r="D29" t="n">
        <v>0.0225</v>
      </c>
      <c r="E29" t="n">
        <v>-1.249877831815271</v>
      </c>
      <c r="F29" t="n">
        <v>-2.510453462984452</v>
      </c>
      <c r="G29" t="n">
        <v>-6.438900711864215</v>
      </c>
      <c r="H29" t="n">
        <v>-3.428961956622867</v>
      </c>
      <c r="I29" t="n">
        <v>6.619165904039748</v>
      </c>
      <c r="J29" t="n">
        <v>14.86811830266641</v>
      </c>
      <c r="K29" t="n">
        <v>3579</v>
      </c>
      <c r="L29" t="n">
        <v>3546</v>
      </c>
      <c r="M29" t="n">
        <v>-0.009220452640402388</v>
      </c>
      <c r="N29" t="n">
        <v>198124754.91</v>
      </c>
      <c r="O29" t="n">
        <v>187151319.26</v>
      </c>
      <c r="P29" t="n">
        <v>-0.05538649450940536</v>
      </c>
      <c r="Q29" t="n">
        <v>0.9109732267414247</v>
      </c>
      <c r="R29" t="inlineStr">
        <is>
          <t>Görüyor</t>
        </is>
      </c>
      <c r="S29" t="n">
        <v>0</v>
      </c>
      <c r="T29" t="n">
        <v>0.028</v>
      </c>
      <c r="U29" t="n">
        <v>0</v>
      </c>
      <c r="V29" t="n">
        <v>0.1838</v>
      </c>
      <c r="W29" t="n">
        <v>0</v>
      </c>
      <c r="X29" t="n">
        <v>0.0417</v>
      </c>
      <c r="Y29" t="n">
        <v>0</v>
      </c>
      <c r="Z29" t="n">
        <v>0.0911</v>
      </c>
      <c r="AA29" t="n">
        <v>0</v>
      </c>
      <c r="AB29" t="n">
        <v>0.3446</v>
      </c>
      <c r="AD29">
        <f>IF(ISNUMBER(INDEX($A$2:$AB$29,28,MATCH('Dengeli Değişken'!$E$2,$A$1:$AB$1,0))),INDEX($A$2:$AB$29,28,MATCH('Dengeli Değişken'!$E$2,$A$1:$AB$1,0)),-1E+9)-ROW()/1E+7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31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2" max="2"/>
    <col width="68" customWidth="1" min="3" max="3"/>
    <col width="2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>
      <c r="F1" s="6" t="n">
        <v>46219</v>
      </c>
      <c r="G1" s="6" t="n">
        <v>46213</v>
      </c>
      <c r="H1" s="6" t="n">
        <v>46190</v>
      </c>
      <c r="I1" s="6" t="n">
        <v>46203</v>
      </c>
      <c r="J1" s="6" t="n">
        <v>46022</v>
      </c>
      <c r="K1" s="6" t="n">
        <v>45855</v>
      </c>
    </row>
    <row r="2">
      <c r="B2" s="3" t="inlineStr">
        <is>
          <t>T-1: 17.07.2026</t>
        </is>
      </c>
      <c r="D2" s="7" t="inlineStr">
        <is>
          <t>Sırala:</t>
        </is>
      </c>
      <c r="E2" s="2" t="inlineStr">
        <is>
          <t>Günlük%</t>
        </is>
      </c>
    </row>
    <row r="3">
      <c r="B3" s="4" t="inlineStr">
        <is>
          <t>Fon Kodu</t>
        </is>
      </c>
      <c r="C3" s="4" t="inlineStr">
        <is>
          <t>Dengeli Değişken Fonları</t>
        </is>
      </c>
      <c r="D3" s="4" t="inlineStr">
        <is>
          <t>Yönetici</t>
        </is>
      </c>
      <c r="E3" s="4" t="inlineStr">
        <is>
          <t>FYÜ%</t>
        </is>
      </c>
      <c r="F3" s="4" t="inlineStr">
        <is>
          <t>Günlük%</t>
        </is>
      </c>
      <c r="G3" s="4" t="inlineStr">
        <is>
          <t>Haftalık</t>
        </is>
      </c>
      <c r="H3" s="4" t="inlineStr">
        <is>
          <t>Aylık</t>
        </is>
      </c>
      <c r="I3" s="4" t="inlineStr">
        <is>
          <t>Ay Başından Bu güne</t>
        </is>
      </c>
      <c r="J3" s="4" t="inlineStr">
        <is>
          <t>Yılbaşına Göre</t>
        </is>
      </c>
      <c r="K3" s="4" t="inlineStr">
        <is>
          <t>Yıllık</t>
        </is>
      </c>
      <c r="L3" s="4" t="inlineStr">
        <is>
          <t>Yatırımcı Sayısı T-30</t>
        </is>
      </c>
      <c r="M3" s="4" t="inlineStr">
        <is>
          <t>Yatırımcı Sayısı T-1</t>
        </is>
      </c>
      <c r="N3" s="4" t="inlineStr">
        <is>
          <t>YS Değişim</t>
        </is>
      </c>
      <c r="O3" s="4" t="inlineStr">
        <is>
          <t>Önceki Ay FTD</t>
        </is>
      </c>
      <c r="P3" s="4" t="inlineStr">
        <is>
          <t>T-1 FTD</t>
        </is>
      </c>
      <c r="Q3" s="4" t="inlineStr">
        <is>
          <t>FTD Değişim</t>
        </is>
      </c>
      <c r="R3" s="4" t="inlineStr">
        <is>
          <t>Standart Sapma (Aylık)</t>
        </is>
      </c>
      <c r="S3" s="4" t="inlineStr">
        <is>
          <t>TEFAS Durumu</t>
        </is>
      </c>
      <c r="T3" s="4" t="inlineStr">
        <is>
          <t>Mevduat (TL)</t>
        </is>
      </c>
      <c r="U3" s="4" t="inlineStr">
        <is>
          <t>Vadeli İşlemler Nakit Teminatları</t>
        </is>
      </c>
      <c r="V3" s="4" t="inlineStr">
        <is>
          <t>Ters Repo Oranı</t>
        </is>
      </c>
      <c r="W3" s="4" t="inlineStr">
        <is>
          <t>Hisse Oranı</t>
        </is>
      </c>
      <c r="X3" s="4" t="inlineStr">
        <is>
          <t>Para Piyasaları Oranı</t>
        </is>
      </c>
      <c r="Y3" s="4" t="inlineStr">
        <is>
          <t>Yatırım Fonları Katılma Payları</t>
        </is>
      </c>
      <c r="Z3" s="4" t="inlineStr">
        <is>
          <t>Özel Tahvil/Bono Oranı</t>
        </is>
      </c>
      <c r="AA3" s="4" t="inlineStr">
        <is>
          <t>Finansman Bonosu Oranı</t>
        </is>
      </c>
      <c r="AB3" s="4" t="inlineStr">
        <is>
          <t>Diğer Oran</t>
        </is>
      </c>
      <c r="AC3" s="4" t="inlineStr">
        <is>
          <t>Toplam</t>
        </is>
      </c>
    </row>
    <row r="4">
      <c r="A4" t="n">
        <v>1</v>
      </c>
      <c r="B4" s="5">
        <f>INDEX('V_Dengeli Değişken'!A$2:A$29,MATCH(LARGE('V_Dengeli Değişken'!$AD$2:$AD$29,ROW()-3),'V_Dengeli Değişken'!$AD$2:$AD$29,0))</f>
        <v/>
      </c>
      <c r="C4" s="5">
        <f>INDEX('V_Dengeli Değişken'!B$2:B$29,MATCH(LARGE('V_Dengeli Değişken'!$AD$2:$AD$29,ROW()-3),'V_Dengeli Değişken'!$AD$2:$AD$29,0))</f>
        <v/>
      </c>
      <c r="D4" s="5">
        <f>INDEX('V_Dengeli Değişken'!C$2:C$29,MATCH(LARGE('V_Dengeli Değişken'!$AD$2:$AD$29,ROW()-3),'V_Dengeli Değişken'!$AD$2:$AD$29,0))</f>
        <v/>
      </c>
      <c r="E4" s="8">
        <f>INDEX('V_Dengeli Değişken'!D$2:D$29,MATCH(LARGE('V_Dengeli Değişken'!$AD$2:$AD$29,ROW()-3),'V_Dengeli Değişken'!$AD$2:$AD$29,0))</f>
        <v/>
      </c>
      <c r="F4" s="9">
        <f>INDEX('V_Dengeli Değişken'!E$2:E$29,MATCH(LARGE('V_Dengeli Değişken'!$AD$2:$AD$29,ROW()-3),'V_Dengeli Değişken'!$AD$2:$AD$29,0))</f>
        <v/>
      </c>
      <c r="G4" s="9">
        <f>INDEX('V_Dengeli Değişken'!F$2:F$29,MATCH(LARGE('V_Dengeli Değişken'!$AD$2:$AD$29,ROW()-3),'V_Dengeli Değişken'!$AD$2:$AD$29,0))</f>
        <v/>
      </c>
      <c r="H4" s="9">
        <f>INDEX('V_Dengeli Değişken'!G$2:G$29,MATCH(LARGE('V_Dengeli Değişken'!$AD$2:$AD$29,ROW()-3),'V_Dengeli Değişken'!$AD$2:$AD$29,0))</f>
        <v/>
      </c>
      <c r="I4" s="9">
        <f>INDEX('V_Dengeli Değişken'!H$2:H$29,MATCH(LARGE('V_Dengeli Değişken'!$AD$2:$AD$29,ROW()-3),'V_Dengeli Değişken'!$AD$2:$AD$29,0))</f>
        <v/>
      </c>
      <c r="J4" s="9">
        <f>INDEX('V_Dengeli Değişken'!I$2:I$29,MATCH(LARGE('V_Dengeli Değişken'!$AD$2:$AD$29,ROW()-3),'V_Dengeli Değişken'!$AD$2:$AD$29,0))</f>
        <v/>
      </c>
      <c r="K4" s="9">
        <f>INDEX('V_Dengeli Değişken'!J$2:J$29,MATCH(LARGE('V_Dengeli Değişken'!$AD$2:$AD$29,ROW()-3),'V_Dengeli Değişken'!$AD$2:$AD$29,0))</f>
        <v/>
      </c>
      <c r="L4" s="10">
        <f>INDEX('V_Dengeli Değişken'!K$2:K$29,MATCH(LARGE('V_Dengeli Değişken'!$AD$2:$AD$29,ROW()-3),'V_Dengeli Değişken'!$AD$2:$AD$29,0))</f>
        <v/>
      </c>
      <c r="M4" s="10">
        <f>INDEX('V_Dengeli Değişken'!L$2:L$29,MATCH(LARGE('V_Dengeli Değişken'!$AD$2:$AD$29,ROW()-3),'V_Dengeli Değişken'!$AD$2:$AD$29,0))</f>
        <v/>
      </c>
      <c r="N4" s="8">
        <f>INDEX('V_Dengeli Değişken'!M$2:M$29,MATCH(LARGE('V_Dengeli Değişken'!$AD$2:$AD$29,ROW()-3),'V_Dengeli Değişken'!$AD$2:$AD$29,0))</f>
        <v/>
      </c>
      <c r="O4" s="11">
        <f>INDEX('V_Dengeli Değişken'!N$2:N$29,MATCH(LARGE('V_Dengeli Değişken'!$AD$2:$AD$29,ROW()-3),'V_Dengeli Değişken'!$AD$2:$AD$29,0))</f>
        <v/>
      </c>
      <c r="P4" s="11">
        <f>INDEX('V_Dengeli Değişken'!O$2:O$29,MATCH(LARGE('V_Dengeli Değişken'!$AD$2:$AD$29,ROW()-3),'V_Dengeli Değişken'!$AD$2:$AD$29,0))</f>
        <v/>
      </c>
      <c r="Q4" s="8">
        <f>INDEX('V_Dengeli Değişken'!P$2:P$29,MATCH(LARGE('V_Dengeli Değişken'!$AD$2:$AD$29,ROW()-3),'V_Dengeli Değişken'!$AD$2:$AD$29,0))</f>
        <v/>
      </c>
      <c r="R4" s="9">
        <f>INDEX('V_Dengeli Değişken'!Q$2:Q$29,MATCH(LARGE('V_Dengeli Değişken'!$AD$2:$AD$29,ROW()-3),'V_Dengeli Değişken'!$AD$2:$AD$29,0))</f>
        <v/>
      </c>
      <c r="S4" s="5">
        <f>INDEX('V_Dengeli Değişken'!R$2:R$29,MATCH(LARGE('V_Dengeli Değişken'!$AD$2:$AD$29,ROW()-3),'V_Dengeli Değişken'!$AD$2:$AD$29,0))</f>
        <v/>
      </c>
      <c r="T4" s="8">
        <f>INDEX('V_Dengeli Değişken'!S$2:S$29,MATCH(LARGE('V_Dengeli Değişken'!$AD$2:$AD$29,ROW()-3),'V_Dengeli Değişken'!$AD$2:$AD$29,0))</f>
        <v/>
      </c>
      <c r="U4" s="8">
        <f>INDEX('V_Dengeli Değişken'!T$2:T$29,MATCH(LARGE('V_Dengeli Değişken'!$AD$2:$AD$29,ROW()-3),'V_Dengeli Değişken'!$AD$2:$AD$29,0))</f>
        <v/>
      </c>
      <c r="V4" s="8">
        <f>INDEX('V_Dengeli Değişken'!U$2:U$29,MATCH(LARGE('V_Dengeli Değişken'!$AD$2:$AD$29,ROW()-3),'V_Dengeli Değişken'!$AD$2:$AD$29,0))</f>
        <v/>
      </c>
      <c r="W4" s="8">
        <f>INDEX('V_Dengeli Değişken'!V$2:V$29,MATCH(LARGE('V_Dengeli Değişken'!$AD$2:$AD$29,ROW()-3),'V_Dengeli Değişken'!$AD$2:$AD$29,0))</f>
        <v/>
      </c>
      <c r="X4" s="8">
        <f>INDEX('V_Dengeli Değişken'!W$2:W$29,MATCH(LARGE('V_Dengeli Değişken'!$AD$2:$AD$29,ROW()-3),'V_Dengeli Değişken'!$AD$2:$AD$29,0))</f>
        <v/>
      </c>
      <c r="Y4" s="8">
        <f>INDEX('V_Dengeli Değişken'!X$2:X$29,MATCH(LARGE('V_Dengeli Değişken'!$AD$2:$AD$29,ROW()-3),'V_Dengeli Değişken'!$AD$2:$AD$29,0))</f>
        <v/>
      </c>
      <c r="Z4" s="8">
        <f>INDEX('V_Dengeli Değişken'!Y$2:Y$29,MATCH(LARGE('V_Dengeli Değişken'!$AD$2:$AD$29,ROW()-3),'V_Dengeli Değişken'!$AD$2:$AD$29,0))</f>
        <v/>
      </c>
      <c r="AA4" s="8">
        <f>INDEX('V_Dengeli Değişken'!Z$2:Z$29,MATCH(LARGE('V_Dengeli Değişken'!$AD$2:$AD$29,ROW()-3),'V_Dengeli Değişken'!$AD$2:$AD$29,0))</f>
        <v/>
      </c>
      <c r="AB4" s="8">
        <f>INDEX('V_Dengeli Değişken'!AA$2:AA$29,MATCH(LARGE('V_Dengeli Değişken'!$AD$2:$AD$29,ROW()-3),'V_Dengeli Değişken'!$AD$2:$AD$29,0))</f>
        <v/>
      </c>
      <c r="AC4" s="8">
        <f>INDEX('V_Dengeli Değişken'!AB$2:AB$29,MATCH(LARGE('V_Dengeli Değişken'!$AD$2:$AD$29,ROW()-3),'V_Dengeli Değişken'!$AD$2:$AD$29,0))</f>
        <v/>
      </c>
    </row>
    <row r="5">
      <c r="A5" t="n">
        <v>2</v>
      </c>
      <c r="B5" s="5">
        <f>INDEX('V_Dengeli Değişken'!A$2:A$29,MATCH(LARGE('V_Dengeli Değişken'!$AD$2:$AD$29,ROW()-3),'V_Dengeli Değişken'!$AD$2:$AD$29,0))</f>
        <v/>
      </c>
      <c r="C5" s="5">
        <f>INDEX('V_Dengeli Değişken'!B$2:B$29,MATCH(LARGE('V_Dengeli Değişken'!$AD$2:$AD$29,ROW()-3),'V_Dengeli Değişken'!$AD$2:$AD$29,0))</f>
        <v/>
      </c>
      <c r="D5" s="5">
        <f>INDEX('V_Dengeli Değişken'!C$2:C$29,MATCH(LARGE('V_Dengeli Değişken'!$AD$2:$AD$29,ROW()-3),'V_Dengeli Değişken'!$AD$2:$AD$29,0))</f>
        <v/>
      </c>
      <c r="E5" s="8">
        <f>INDEX('V_Dengeli Değişken'!D$2:D$29,MATCH(LARGE('V_Dengeli Değişken'!$AD$2:$AD$29,ROW()-3),'V_Dengeli Değişken'!$AD$2:$AD$29,0))</f>
        <v/>
      </c>
      <c r="F5" s="9">
        <f>INDEX('V_Dengeli Değişken'!E$2:E$29,MATCH(LARGE('V_Dengeli Değişken'!$AD$2:$AD$29,ROW()-3),'V_Dengeli Değişken'!$AD$2:$AD$29,0))</f>
        <v/>
      </c>
      <c r="G5" s="9">
        <f>INDEX('V_Dengeli Değişken'!F$2:F$29,MATCH(LARGE('V_Dengeli Değişken'!$AD$2:$AD$29,ROW()-3),'V_Dengeli Değişken'!$AD$2:$AD$29,0))</f>
        <v/>
      </c>
      <c r="H5" s="9">
        <f>INDEX('V_Dengeli Değişken'!G$2:G$29,MATCH(LARGE('V_Dengeli Değişken'!$AD$2:$AD$29,ROW()-3),'V_Dengeli Değişken'!$AD$2:$AD$29,0))</f>
        <v/>
      </c>
      <c r="I5" s="9">
        <f>INDEX('V_Dengeli Değişken'!H$2:H$29,MATCH(LARGE('V_Dengeli Değişken'!$AD$2:$AD$29,ROW()-3),'V_Dengeli Değişken'!$AD$2:$AD$29,0))</f>
        <v/>
      </c>
      <c r="J5" s="9">
        <f>INDEX('V_Dengeli Değişken'!I$2:I$29,MATCH(LARGE('V_Dengeli Değişken'!$AD$2:$AD$29,ROW()-3),'V_Dengeli Değişken'!$AD$2:$AD$29,0))</f>
        <v/>
      </c>
      <c r="K5" s="9">
        <f>INDEX('V_Dengeli Değişken'!J$2:J$29,MATCH(LARGE('V_Dengeli Değişken'!$AD$2:$AD$29,ROW()-3),'V_Dengeli Değişken'!$AD$2:$AD$29,0))</f>
        <v/>
      </c>
      <c r="L5" s="10">
        <f>INDEX('V_Dengeli Değişken'!K$2:K$29,MATCH(LARGE('V_Dengeli Değişken'!$AD$2:$AD$29,ROW()-3),'V_Dengeli Değişken'!$AD$2:$AD$29,0))</f>
        <v/>
      </c>
      <c r="M5" s="10">
        <f>INDEX('V_Dengeli Değişken'!L$2:L$29,MATCH(LARGE('V_Dengeli Değişken'!$AD$2:$AD$29,ROW()-3),'V_Dengeli Değişken'!$AD$2:$AD$29,0))</f>
        <v/>
      </c>
      <c r="N5" s="8">
        <f>INDEX('V_Dengeli Değişken'!M$2:M$29,MATCH(LARGE('V_Dengeli Değişken'!$AD$2:$AD$29,ROW()-3),'V_Dengeli Değişken'!$AD$2:$AD$29,0))</f>
        <v/>
      </c>
      <c r="O5" s="11">
        <f>INDEX('V_Dengeli Değişken'!N$2:N$29,MATCH(LARGE('V_Dengeli Değişken'!$AD$2:$AD$29,ROW()-3),'V_Dengeli Değişken'!$AD$2:$AD$29,0))</f>
        <v/>
      </c>
      <c r="P5" s="11">
        <f>INDEX('V_Dengeli Değişken'!O$2:O$29,MATCH(LARGE('V_Dengeli Değişken'!$AD$2:$AD$29,ROW()-3),'V_Dengeli Değişken'!$AD$2:$AD$29,0))</f>
        <v/>
      </c>
      <c r="Q5" s="8">
        <f>INDEX('V_Dengeli Değişken'!P$2:P$29,MATCH(LARGE('V_Dengeli Değişken'!$AD$2:$AD$29,ROW()-3),'V_Dengeli Değişken'!$AD$2:$AD$29,0))</f>
        <v/>
      </c>
      <c r="R5" s="9">
        <f>INDEX('V_Dengeli Değişken'!Q$2:Q$29,MATCH(LARGE('V_Dengeli Değişken'!$AD$2:$AD$29,ROW()-3),'V_Dengeli Değişken'!$AD$2:$AD$29,0))</f>
        <v/>
      </c>
      <c r="S5" s="5">
        <f>INDEX('V_Dengeli Değişken'!R$2:R$29,MATCH(LARGE('V_Dengeli Değişken'!$AD$2:$AD$29,ROW()-3),'V_Dengeli Değişken'!$AD$2:$AD$29,0))</f>
        <v/>
      </c>
      <c r="T5" s="8">
        <f>INDEX('V_Dengeli Değişken'!S$2:S$29,MATCH(LARGE('V_Dengeli Değişken'!$AD$2:$AD$29,ROW()-3),'V_Dengeli Değişken'!$AD$2:$AD$29,0))</f>
        <v/>
      </c>
      <c r="U5" s="8">
        <f>INDEX('V_Dengeli Değişken'!T$2:T$29,MATCH(LARGE('V_Dengeli Değişken'!$AD$2:$AD$29,ROW()-3),'V_Dengeli Değişken'!$AD$2:$AD$29,0))</f>
        <v/>
      </c>
      <c r="V5" s="8">
        <f>INDEX('V_Dengeli Değişken'!U$2:U$29,MATCH(LARGE('V_Dengeli Değişken'!$AD$2:$AD$29,ROW()-3),'V_Dengeli Değişken'!$AD$2:$AD$29,0))</f>
        <v/>
      </c>
      <c r="W5" s="8">
        <f>INDEX('V_Dengeli Değişken'!V$2:V$29,MATCH(LARGE('V_Dengeli Değişken'!$AD$2:$AD$29,ROW()-3),'V_Dengeli Değişken'!$AD$2:$AD$29,0))</f>
        <v/>
      </c>
      <c r="X5" s="8">
        <f>INDEX('V_Dengeli Değişken'!W$2:W$29,MATCH(LARGE('V_Dengeli Değişken'!$AD$2:$AD$29,ROW()-3),'V_Dengeli Değişken'!$AD$2:$AD$29,0))</f>
        <v/>
      </c>
      <c r="Y5" s="8">
        <f>INDEX('V_Dengeli Değişken'!X$2:X$29,MATCH(LARGE('V_Dengeli Değişken'!$AD$2:$AD$29,ROW()-3),'V_Dengeli Değişken'!$AD$2:$AD$29,0))</f>
        <v/>
      </c>
      <c r="Z5" s="8">
        <f>INDEX('V_Dengeli Değişken'!Y$2:Y$29,MATCH(LARGE('V_Dengeli Değişken'!$AD$2:$AD$29,ROW()-3),'V_Dengeli Değişken'!$AD$2:$AD$29,0))</f>
        <v/>
      </c>
      <c r="AA5" s="8">
        <f>INDEX('V_Dengeli Değişken'!Z$2:Z$29,MATCH(LARGE('V_Dengeli Değişken'!$AD$2:$AD$29,ROW()-3),'V_Dengeli Değişken'!$AD$2:$AD$29,0))</f>
        <v/>
      </c>
      <c r="AB5" s="8">
        <f>INDEX('V_Dengeli Değişken'!AA$2:AA$29,MATCH(LARGE('V_Dengeli Değişken'!$AD$2:$AD$29,ROW()-3),'V_Dengeli Değişken'!$AD$2:$AD$29,0))</f>
        <v/>
      </c>
      <c r="AC5" s="8">
        <f>INDEX('V_Dengeli Değişken'!AB$2:AB$29,MATCH(LARGE('V_Dengeli Değişken'!$AD$2:$AD$29,ROW()-3),'V_Dengeli Değişken'!$AD$2:$AD$29,0))</f>
        <v/>
      </c>
    </row>
    <row r="6">
      <c r="A6" t="n">
        <v>3</v>
      </c>
      <c r="B6" s="5">
        <f>INDEX('V_Dengeli Değişken'!A$2:A$29,MATCH(LARGE('V_Dengeli Değişken'!$AD$2:$AD$29,ROW()-3),'V_Dengeli Değişken'!$AD$2:$AD$29,0))</f>
        <v/>
      </c>
      <c r="C6" s="5">
        <f>INDEX('V_Dengeli Değişken'!B$2:B$29,MATCH(LARGE('V_Dengeli Değişken'!$AD$2:$AD$29,ROW()-3),'V_Dengeli Değişken'!$AD$2:$AD$29,0))</f>
        <v/>
      </c>
      <c r="D6" s="5">
        <f>INDEX('V_Dengeli Değişken'!C$2:C$29,MATCH(LARGE('V_Dengeli Değişken'!$AD$2:$AD$29,ROW()-3),'V_Dengeli Değişken'!$AD$2:$AD$29,0))</f>
        <v/>
      </c>
      <c r="E6" s="8">
        <f>INDEX('V_Dengeli Değişken'!D$2:D$29,MATCH(LARGE('V_Dengeli Değişken'!$AD$2:$AD$29,ROW()-3),'V_Dengeli Değişken'!$AD$2:$AD$29,0))</f>
        <v/>
      </c>
      <c r="F6" s="9">
        <f>INDEX('V_Dengeli Değişken'!E$2:E$29,MATCH(LARGE('V_Dengeli Değişken'!$AD$2:$AD$29,ROW()-3),'V_Dengeli Değişken'!$AD$2:$AD$29,0))</f>
        <v/>
      </c>
      <c r="G6" s="9">
        <f>INDEX('V_Dengeli Değişken'!F$2:F$29,MATCH(LARGE('V_Dengeli Değişken'!$AD$2:$AD$29,ROW()-3),'V_Dengeli Değişken'!$AD$2:$AD$29,0))</f>
        <v/>
      </c>
      <c r="H6" s="9">
        <f>INDEX('V_Dengeli Değişken'!G$2:G$29,MATCH(LARGE('V_Dengeli Değişken'!$AD$2:$AD$29,ROW()-3),'V_Dengeli Değişken'!$AD$2:$AD$29,0))</f>
        <v/>
      </c>
      <c r="I6" s="9">
        <f>INDEX('V_Dengeli Değişken'!H$2:H$29,MATCH(LARGE('V_Dengeli Değişken'!$AD$2:$AD$29,ROW()-3),'V_Dengeli Değişken'!$AD$2:$AD$29,0))</f>
        <v/>
      </c>
      <c r="J6" s="9">
        <f>INDEX('V_Dengeli Değişken'!I$2:I$29,MATCH(LARGE('V_Dengeli Değişken'!$AD$2:$AD$29,ROW()-3),'V_Dengeli Değişken'!$AD$2:$AD$29,0))</f>
        <v/>
      </c>
      <c r="K6" s="9">
        <f>INDEX('V_Dengeli Değişken'!J$2:J$29,MATCH(LARGE('V_Dengeli Değişken'!$AD$2:$AD$29,ROW()-3),'V_Dengeli Değişken'!$AD$2:$AD$29,0))</f>
        <v/>
      </c>
      <c r="L6" s="10">
        <f>INDEX('V_Dengeli Değişken'!K$2:K$29,MATCH(LARGE('V_Dengeli Değişken'!$AD$2:$AD$29,ROW()-3),'V_Dengeli Değişken'!$AD$2:$AD$29,0))</f>
        <v/>
      </c>
      <c r="M6" s="10">
        <f>INDEX('V_Dengeli Değişken'!L$2:L$29,MATCH(LARGE('V_Dengeli Değişken'!$AD$2:$AD$29,ROW()-3),'V_Dengeli Değişken'!$AD$2:$AD$29,0))</f>
        <v/>
      </c>
      <c r="N6" s="8">
        <f>INDEX('V_Dengeli Değişken'!M$2:M$29,MATCH(LARGE('V_Dengeli Değişken'!$AD$2:$AD$29,ROW()-3),'V_Dengeli Değişken'!$AD$2:$AD$29,0))</f>
        <v/>
      </c>
      <c r="O6" s="11">
        <f>INDEX('V_Dengeli Değişken'!N$2:N$29,MATCH(LARGE('V_Dengeli Değişken'!$AD$2:$AD$29,ROW()-3),'V_Dengeli Değişken'!$AD$2:$AD$29,0))</f>
        <v/>
      </c>
      <c r="P6" s="11">
        <f>INDEX('V_Dengeli Değişken'!O$2:O$29,MATCH(LARGE('V_Dengeli Değişken'!$AD$2:$AD$29,ROW()-3),'V_Dengeli Değişken'!$AD$2:$AD$29,0))</f>
        <v/>
      </c>
      <c r="Q6" s="8">
        <f>INDEX('V_Dengeli Değişken'!P$2:P$29,MATCH(LARGE('V_Dengeli Değişken'!$AD$2:$AD$29,ROW()-3),'V_Dengeli Değişken'!$AD$2:$AD$29,0))</f>
        <v/>
      </c>
      <c r="R6" s="9">
        <f>INDEX('V_Dengeli Değişken'!Q$2:Q$29,MATCH(LARGE('V_Dengeli Değişken'!$AD$2:$AD$29,ROW()-3),'V_Dengeli Değişken'!$AD$2:$AD$29,0))</f>
        <v/>
      </c>
      <c r="S6" s="5">
        <f>INDEX('V_Dengeli Değişken'!R$2:R$29,MATCH(LARGE('V_Dengeli Değişken'!$AD$2:$AD$29,ROW()-3),'V_Dengeli Değişken'!$AD$2:$AD$29,0))</f>
        <v/>
      </c>
      <c r="T6" s="8">
        <f>INDEX('V_Dengeli Değişken'!S$2:S$29,MATCH(LARGE('V_Dengeli Değişken'!$AD$2:$AD$29,ROW()-3),'V_Dengeli Değişken'!$AD$2:$AD$29,0))</f>
        <v/>
      </c>
      <c r="U6" s="8">
        <f>INDEX('V_Dengeli Değişken'!T$2:T$29,MATCH(LARGE('V_Dengeli Değişken'!$AD$2:$AD$29,ROW()-3),'V_Dengeli Değişken'!$AD$2:$AD$29,0))</f>
        <v/>
      </c>
      <c r="V6" s="8">
        <f>INDEX('V_Dengeli Değişken'!U$2:U$29,MATCH(LARGE('V_Dengeli Değişken'!$AD$2:$AD$29,ROW()-3),'V_Dengeli Değişken'!$AD$2:$AD$29,0))</f>
        <v/>
      </c>
      <c r="W6" s="8">
        <f>INDEX('V_Dengeli Değişken'!V$2:V$29,MATCH(LARGE('V_Dengeli Değişken'!$AD$2:$AD$29,ROW()-3),'V_Dengeli Değişken'!$AD$2:$AD$29,0))</f>
        <v/>
      </c>
      <c r="X6" s="8">
        <f>INDEX('V_Dengeli Değişken'!W$2:W$29,MATCH(LARGE('V_Dengeli Değişken'!$AD$2:$AD$29,ROW()-3),'V_Dengeli Değişken'!$AD$2:$AD$29,0))</f>
        <v/>
      </c>
      <c r="Y6" s="8">
        <f>INDEX('V_Dengeli Değişken'!X$2:X$29,MATCH(LARGE('V_Dengeli Değişken'!$AD$2:$AD$29,ROW()-3),'V_Dengeli Değişken'!$AD$2:$AD$29,0))</f>
        <v/>
      </c>
      <c r="Z6" s="8">
        <f>INDEX('V_Dengeli Değişken'!Y$2:Y$29,MATCH(LARGE('V_Dengeli Değişken'!$AD$2:$AD$29,ROW()-3),'V_Dengeli Değişken'!$AD$2:$AD$29,0))</f>
        <v/>
      </c>
      <c r="AA6" s="8">
        <f>INDEX('V_Dengeli Değişken'!Z$2:Z$29,MATCH(LARGE('V_Dengeli Değişken'!$AD$2:$AD$29,ROW()-3),'V_Dengeli Değişken'!$AD$2:$AD$29,0))</f>
        <v/>
      </c>
      <c r="AB6" s="8">
        <f>INDEX('V_Dengeli Değişken'!AA$2:AA$29,MATCH(LARGE('V_Dengeli Değişken'!$AD$2:$AD$29,ROW()-3),'V_Dengeli Değişken'!$AD$2:$AD$29,0))</f>
        <v/>
      </c>
      <c r="AC6" s="8">
        <f>INDEX('V_Dengeli Değişken'!AB$2:AB$29,MATCH(LARGE('V_Dengeli Değişken'!$AD$2:$AD$29,ROW()-3),'V_Dengeli Değişken'!$AD$2:$AD$29,0))</f>
        <v/>
      </c>
    </row>
    <row r="7">
      <c r="A7" t="n">
        <v>4</v>
      </c>
      <c r="B7" s="5">
        <f>INDEX('V_Dengeli Değişken'!A$2:A$29,MATCH(LARGE('V_Dengeli Değişken'!$AD$2:$AD$29,ROW()-3),'V_Dengeli Değişken'!$AD$2:$AD$29,0))</f>
        <v/>
      </c>
      <c r="C7" s="5">
        <f>INDEX('V_Dengeli Değişken'!B$2:B$29,MATCH(LARGE('V_Dengeli Değişken'!$AD$2:$AD$29,ROW()-3),'V_Dengeli Değişken'!$AD$2:$AD$29,0))</f>
        <v/>
      </c>
      <c r="D7" s="5">
        <f>INDEX('V_Dengeli Değişken'!C$2:C$29,MATCH(LARGE('V_Dengeli Değişken'!$AD$2:$AD$29,ROW()-3),'V_Dengeli Değişken'!$AD$2:$AD$29,0))</f>
        <v/>
      </c>
      <c r="E7" s="8">
        <f>INDEX('V_Dengeli Değişken'!D$2:D$29,MATCH(LARGE('V_Dengeli Değişken'!$AD$2:$AD$29,ROW()-3),'V_Dengeli Değişken'!$AD$2:$AD$29,0))</f>
        <v/>
      </c>
      <c r="F7" s="9">
        <f>INDEX('V_Dengeli Değişken'!E$2:E$29,MATCH(LARGE('V_Dengeli Değişken'!$AD$2:$AD$29,ROW()-3),'V_Dengeli Değişken'!$AD$2:$AD$29,0))</f>
        <v/>
      </c>
      <c r="G7" s="9">
        <f>INDEX('V_Dengeli Değişken'!F$2:F$29,MATCH(LARGE('V_Dengeli Değişken'!$AD$2:$AD$29,ROW()-3),'V_Dengeli Değişken'!$AD$2:$AD$29,0))</f>
        <v/>
      </c>
      <c r="H7" s="9">
        <f>INDEX('V_Dengeli Değişken'!G$2:G$29,MATCH(LARGE('V_Dengeli Değişken'!$AD$2:$AD$29,ROW()-3),'V_Dengeli Değişken'!$AD$2:$AD$29,0))</f>
        <v/>
      </c>
      <c r="I7" s="9">
        <f>INDEX('V_Dengeli Değişken'!H$2:H$29,MATCH(LARGE('V_Dengeli Değişken'!$AD$2:$AD$29,ROW()-3),'V_Dengeli Değişken'!$AD$2:$AD$29,0))</f>
        <v/>
      </c>
      <c r="J7" s="9">
        <f>INDEX('V_Dengeli Değişken'!I$2:I$29,MATCH(LARGE('V_Dengeli Değişken'!$AD$2:$AD$29,ROW()-3),'V_Dengeli Değişken'!$AD$2:$AD$29,0))</f>
        <v/>
      </c>
      <c r="K7" s="9">
        <f>INDEX('V_Dengeli Değişken'!J$2:J$29,MATCH(LARGE('V_Dengeli Değişken'!$AD$2:$AD$29,ROW()-3),'V_Dengeli Değişken'!$AD$2:$AD$29,0))</f>
        <v/>
      </c>
      <c r="L7" s="10">
        <f>INDEX('V_Dengeli Değişken'!K$2:K$29,MATCH(LARGE('V_Dengeli Değişken'!$AD$2:$AD$29,ROW()-3),'V_Dengeli Değişken'!$AD$2:$AD$29,0))</f>
        <v/>
      </c>
      <c r="M7" s="10">
        <f>INDEX('V_Dengeli Değişken'!L$2:L$29,MATCH(LARGE('V_Dengeli Değişken'!$AD$2:$AD$29,ROW()-3),'V_Dengeli Değişken'!$AD$2:$AD$29,0))</f>
        <v/>
      </c>
      <c r="N7" s="8">
        <f>INDEX('V_Dengeli Değişken'!M$2:M$29,MATCH(LARGE('V_Dengeli Değişken'!$AD$2:$AD$29,ROW()-3),'V_Dengeli Değişken'!$AD$2:$AD$29,0))</f>
        <v/>
      </c>
      <c r="O7" s="11">
        <f>INDEX('V_Dengeli Değişken'!N$2:N$29,MATCH(LARGE('V_Dengeli Değişken'!$AD$2:$AD$29,ROW()-3),'V_Dengeli Değişken'!$AD$2:$AD$29,0))</f>
        <v/>
      </c>
      <c r="P7" s="11">
        <f>INDEX('V_Dengeli Değişken'!O$2:O$29,MATCH(LARGE('V_Dengeli Değişken'!$AD$2:$AD$29,ROW()-3),'V_Dengeli Değişken'!$AD$2:$AD$29,0))</f>
        <v/>
      </c>
      <c r="Q7" s="8">
        <f>INDEX('V_Dengeli Değişken'!P$2:P$29,MATCH(LARGE('V_Dengeli Değişken'!$AD$2:$AD$29,ROW()-3),'V_Dengeli Değişken'!$AD$2:$AD$29,0))</f>
        <v/>
      </c>
      <c r="R7" s="9">
        <f>INDEX('V_Dengeli Değişken'!Q$2:Q$29,MATCH(LARGE('V_Dengeli Değişken'!$AD$2:$AD$29,ROW()-3),'V_Dengeli Değişken'!$AD$2:$AD$29,0))</f>
        <v/>
      </c>
      <c r="S7" s="5">
        <f>INDEX('V_Dengeli Değişken'!R$2:R$29,MATCH(LARGE('V_Dengeli Değişken'!$AD$2:$AD$29,ROW()-3),'V_Dengeli Değişken'!$AD$2:$AD$29,0))</f>
        <v/>
      </c>
      <c r="T7" s="8">
        <f>INDEX('V_Dengeli Değişken'!S$2:S$29,MATCH(LARGE('V_Dengeli Değişken'!$AD$2:$AD$29,ROW()-3),'V_Dengeli Değişken'!$AD$2:$AD$29,0))</f>
        <v/>
      </c>
      <c r="U7" s="8">
        <f>INDEX('V_Dengeli Değişken'!T$2:T$29,MATCH(LARGE('V_Dengeli Değişken'!$AD$2:$AD$29,ROW()-3),'V_Dengeli Değişken'!$AD$2:$AD$29,0))</f>
        <v/>
      </c>
      <c r="V7" s="8">
        <f>INDEX('V_Dengeli Değişken'!U$2:U$29,MATCH(LARGE('V_Dengeli Değişken'!$AD$2:$AD$29,ROW()-3),'V_Dengeli Değişken'!$AD$2:$AD$29,0))</f>
        <v/>
      </c>
      <c r="W7" s="8">
        <f>INDEX('V_Dengeli Değişken'!V$2:V$29,MATCH(LARGE('V_Dengeli Değişken'!$AD$2:$AD$29,ROW()-3),'V_Dengeli Değişken'!$AD$2:$AD$29,0))</f>
        <v/>
      </c>
      <c r="X7" s="8">
        <f>INDEX('V_Dengeli Değişken'!W$2:W$29,MATCH(LARGE('V_Dengeli Değişken'!$AD$2:$AD$29,ROW()-3),'V_Dengeli Değişken'!$AD$2:$AD$29,0))</f>
        <v/>
      </c>
      <c r="Y7" s="8">
        <f>INDEX('V_Dengeli Değişken'!X$2:X$29,MATCH(LARGE('V_Dengeli Değişken'!$AD$2:$AD$29,ROW()-3),'V_Dengeli Değişken'!$AD$2:$AD$29,0))</f>
        <v/>
      </c>
      <c r="Z7" s="8">
        <f>INDEX('V_Dengeli Değişken'!Y$2:Y$29,MATCH(LARGE('V_Dengeli Değişken'!$AD$2:$AD$29,ROW()-3),'V_Dengeli Değişken'!$AD$2:$AD$29,0))</f>
        <v/>
      </c>
      <c r="AA7" s="8">
        <f>INDEX('V_Dengeli Değişken'!Z$2:Z$29,MATCH(LARGE('V_Dengeli Değişken'!$AD$2:$AD$29,ROW()-3),'V_Dengeli Değişken'!$AD$2:$AD$29,0))</f>
        <v/>
      </c>
      <c r="AB7" s="8">
        <f>INDEX('V_Dengeli Değişken'!AA$2:AA$29,MATCH(LARGE('V_Dengeli Değişken'!$AD$2:$AD$29,ROW()-3),'V_Dengeli Değişken'!$AD$2:$AD$29,0))</f>
        <v/>
      </c>
      <c r="AC7" s="8">
        <f>INDEX('V_Dengeli Değişken'!AB$2:AB$29,MATCH(LARGE('V_Dengeli Değişken'!$AD$2:$AD$29,ROW()-3),'V_Dengeli Değişken'!$AD$2:$AD$29,0))</f>
        <v/>
      </c>
    </row>
    <row r="8">
      <c r="A8" t="n">
        <v>5</v>
      </c>
      <c r="B8" s="5">
        <f>INDEX('V_Dengeli Değişken'!A$2:A$29,MATCH(LARGE('V_Dengeli Değişken'!$AD$2:$AD$29,ROW()-3),'V_Dengeli Değişken'!$AD$2:$AD$29,0))</f>
        <v/>
      </c>
      <c r="C8" s="5">
        <f>INDEX('V_Dengeli Değişken'!B$2:B$29,MATCH(LARGE('V_Dengeli Değişken'!$AD$2:$AD$29,ROW()-3),'V_Dengeli Değişken'!$AD$2:$AD$29,0))</f>
        <v/>
      </c>
      <c r="D8" s="5">
        <f>INDEX('V_Dengeli Değişken'!C$2:C$29,MATCH(LARGE('V_Dengeli Değişken'!$AD$2:$AD$29,ROW()-3),'V_Dengeli Değişken'!$AD$2:$AD$29,0))</f>
        <v/>
      </c>
      <c r="E8" s="8">
        <f>INDEX('V_Dengeli Değişken'!D$2:D$29,MATCH(LARGE('V_Dengeli Değişken'!$AD$2:$AD$29,ROW()-3),'V_Dengeli Değişken'!$AD$2:$AD$29,0))</f>
        <v/>
      </c>
      <c r="F8" s="9">
        <f>INDEX('V_Dengeli Değişken'!E$2:E$29,MATCH(LARGE('V_Dengeli Değişken'!$AD$2:$AD$29,ROW()-3),'V_Dengeli Değişken'!$AD$2:$AD$29,0))</f>
        <v/>
      </c>
      <c r="G8" s="9">
        <f>INDEX('V_Dengeli Değişken'!F$2:F$29,MATCH(LARGE('V_Dengeli Değişken'!$AD$2:$AD$29,ROW()-3),'V_Dengeli Değişken'!$AD$2:$AD$29,0))</f>
        <v/>
      </c>
      <c r="H8" s="9">
        <f>INDEX('V_Dengeli Değişken'!G$2:G$29,MATCH(LARGE('V_Dengeli Değişken'!$AD$2:$AD$29,ROW()-3),'V_Dengeli Değişken'!$AD$2:$AD$29,0))</f>
        <v/>
      </c>
      <c r="I8" s="9">
        <f>INDEX('V_Dengeli Değişken'!H$2:H$29,MATCH(LARGE('V_Dengeli Değişken'!$AD$2:$AD$29,ROW()-3),'V_Dengeli Değişken'!$AD$2:$AD$29,0))</f>
        <v/>
      </c>
      <c r="J8" s="9">
        <f>INDEX('V_Dengeli Değişken'!I$2:I$29,MATCH(LARGE('V_Dengeli Değişken'!$AD$2:$AD$29,ROW()-3),'V_Dengeli Değişken'!$AD$2:$AD$29,0))</f>
        <v/>
      </c>
      <c r="K8" s="9">
        <f>INDEX('V_Dengeli Değişken'!J$2:J$29,MATCH(LARGE('V_Dengeli Değişken'!$AD$2:$AD$29,ROW()-3),'V_Dengeli Değişken'!$AD$2:$AD$29,0))</f>
        <v/>
      </c>
      <c r="L8" s="10">
        <f>INDEX('V_Dengeli Değişken'!K$2:K$29,MATCH(LARGE('V_Dengeli Değişken'!$AD$2:$AD$29,ROW()-3),'V_Dengeli Değişken'!$AD$2:$AD$29,0))</f>
        <v/>
      </c>
      <c r="M8" s="10">
        <f>INDEX('V_Dengeli Değişken'!L$2:L$29,MATCH(LARGE('V_Dengeli Değişken'!$AD$2:$AD$29,ROW()-3),'V_Dengeli Değişken'!$AD$2:$AD$29,0))</f>
        <v/>
      </c>
      <c r="N8" s="8">
        <f>INDEX('V_Dengeli Değişken'!M$2:M$29,MATCH(LARGE('V_Dengeli Değişken'!$AD$2:$AD$29,ROW()-3),'V_Dengeli Değişken'!$AD$2:$AD$29,0))</f>
        <v/>
      </c>
      <c r="O8" s="11">
        <f>INDEX('V_Dengeli Değişken'!N$2:N$29,MATCH(LARGE('V_Dengeli Değişken'!$AD$2:$AD$29,ROW()-3),'V_Dengeli Değişken'!$AD$2:$AD$29,0))</f>
        <v/>
      </c>
      <c r="P8" s="11">
        <f>INDEX('V_Dengeli Değişken'!O$2:O$29,MATCH(LARGE('V_Dengeli Değişken'!$AD$2:$AD$29,ROW()-3),'V_Dengeli Değişken'!$AD$2:$AD$29,0))</f>
        <v/>
      </c>
      <c r="Q8" s="8">
        <f>INDEX('V_Dengeli Değişken'!P$2:P$29,MATCH(LARGE('V_Dengeli Değişken'!$AD$2:$AD$29,ROW()-3),'V_Dengeli Değişken'!$AD$2:$AD$29,0))</f>
        <v/>
      </c>
      <c r="R8" s="9">
        <f>INDEX('V_Dengeli Değişken'!Q$2:Q$29,MATCH(LARGE('V_Dengeli Değişken'!$AD$2:$AD$29,ROW()-3),'V_Dengeli Değişken'!$AD$2:$AD$29,0))</f>
        <v/>
      </c>
      <c r="S8" s="5">
        <f>INDEX('V_Dengeli Değişken'!R$2:R$29,MATCH(LARGE('V_Dengeli Değişken'!$AD$2:$AD$29,ROW()-3),'V_Dengeli Değişken'!$AD$2:$AD$29,0))</f>
        <v/>
      </c>
      <c r="T8" s="8">
        <f>INDEX('V_Dengeli Değişken'!S$2:S$29,MATCH(LARGE('V_Dengeli Değişken'!$AD$2:$AD$29,ROW()-3),'V_Dengeli Değişken'!$AD$2:$AD$29,0))</f>
        <v/>
      </c>
      <c r="U8" s="8">
        <f>INDEX('V_Dengeli Değişken'!T$2:T$29,MATCH(LARGE('V_Dengeli Değişken'!$AD$2:$AD$29,ROW()-3),'V_Dengeli Değişken'!$AD$2:$AD$29,0))</f>
        <v/>
      </c>
      <c r="V8" s="8">
        <f>INDEX('V_Dengeli Değişken'!U$2:U$29,MATCH(LARGE('V_Dengeli Değişken'!$AD$2:$AD$29,ROW()-3),'V_Dengeli Değişken'!$AD$2:$AD$29,0))</f>
        <v/>
      </c>
      <c r="W8" s="8">
        <f>INDEX('V_Dengeli Değişken'!V$2:V$29,MATCH(LARGE('V_Dengeli Değişken'!$AD$2:$AD$29,ROW()-3),'V_Dengeli Değişken'!$AD$2:$AD$29,0))</f>
        <v/>
      </c>
      <c r="X8" s="8">
        <f>INDEX('V_Dengeli Değişken'!W$2:W$29,MATCH(LARGE('V_Dengeli Değişken'!$AD$2:$AD$29,ROW()-3),'V_Dengeli Değişken'!$AD$2:$AD$29,0))</f>
        <v/>
      </c>
      <c r="Y8" s="8">
        <f>INDEX('V_Dengeli Değişken'!X$2:X$29,MATCH(LARGE('V_Dengeli Değişken'!$AD$2:$AD$29,ROW()-3),'V_Dengeli Değişken'!$AD$2:$AD$29,0))</f>
        <v/>
      </c>
      <c r="Z8" s="8">
        <f>INDEX('V_Dengeli Değişken'!Y$2:Y$29,MATCH(LARGE('V_Dengeli Değişken'!$AD$2:$AD$29,ROW()-3),'V_Dengeli Değişken'!$AD$2:$AD$29,0))</f>
        <v/>
      </c>
      <c r="AA8" s="8">
        <f>INDEX('V_Dengeli Değişken'!Z$2:Z$29,MATCH(LARGE('V_Dengeli Değişken'!$AD$2:$AD$29,ROW()-3),'V_Dengeli Değişken'!$AD$2:$AD$29,0))</f>
        <v/>
      </c>
      <c r="AB8" s="8">
        <f>INDEX('V_Dengeli Değişken'!AA$2:AA$29,MATCH(LARGE('V_Dengeli Değişken'!$AD$2:$AD$29,ROW()-3),'V_Dengeli Değişken'!$AD$2:$AD$29,0))</f>
        <v/>
      </c>
      <c r="AC8" s="8">
        <f>INDEX('V_Dengeli Değişken'!AB$2:AB$29,MATCH(LARGE('V_Dengeli Değişken'!$AD$2:$AD$29,ROW()-3),'V_Dengeli Değişken'!$AD$2:$AD$29,0))</f>
        <v/>
      </c>
    </row>
    <row r="9">
      <c r="A9" t="n">
        <v>6</v>
      </c>
      <c r="B9" s="5">
        <f>INDEX('V_Dengeli Değişken'!A$2:A$29,MATCH(LARGE('V_Dengeli Değişken'!$AD$2:$AD$29,ROW()-3),'V_Dengeli Değişken'!$AD$2:$AD$29,0))</f>
        <v/>
      </c>
      <c r="C9" s="5">
        <f>INDEX('V_Dengeli Değişken'!B$2:B$29,MATCH(LARGE('V_Dengeli Değişken'!$AD$2:$AD$29,ROW()-3),'V_Dengeli Değişken'!$AD$2:$AD$29,0))</f>
        <v/>
      </c>
      <c r="D9" s="5">
        <f>INDEX('V_Dengeli Değişken'!C$2:C$29,MATCH(LARGE('V_Dengeli Değişken'!$AD$2:$AD$29,ROW()-3),'V_Dengeli Değişken'!$AD$2:$AD$29,0))</f>
        <v/>
      </c>
      <c r="E9" s="8">
        <f>INDEX('V_Dengeli Değişken'!D$2:D$29,MATCH(LARGE('V_Dengeli Değişken'!$AD$2:$AD$29,ROW()-3),'V_Dengeli Değişken'!$AD$2:$AD$29,0))</f>
        <v/>
      </c>
      <c r="F9" s="9">
        <f>INDEX('V_Dengeli Değişken'!E$2:E$29,MATCH(LARGE('V_Dengeli Değişken'!$AD$2:$AD$29,ROW()-3),'V_Dengeli Değişken'!$AD$2:$AD$29,0))</f>
        <v/>
      </c>
      <c r="G9" s="9">
        <f>INDEX('V_Dengeli Değişken'!F$2:F$29,MATCH(LARGE('V_Dengeli Değişken'!$AD$2:$AD$29,ROW()-3),'V_Dengeli Değişken'!$AD$2:$AD$29,0))</f>
        <v/>
      </c>
      <c r="H9" s="9">
        <f>INDEX('V_Dengeli Değişken'!G$2:G$29,MATCH(LARGE('V_Dengeli Değişken'!$AD$2:$AD$29,ROW()-3),'V_Dengeli Değişken'!$AD$2:$AD$29,0))</f>
        <v/>
      </c>
      <c r="I9" s="9">
        <f>INDEX('V_Dengeli Değişken'!H$2:H$29,MATCH(LARGE('V_Dengeli Değişken'!$AD$2:$AD$29,ROW()-3),'V_Dengeli Değişken'!$AD$2:$AD$29,0))</f>
        <v/>
      </c>
      <c r="J9" s="9">
        <f>INDEX('V_Dengeli Değişken'!I$2:I$29,MATCH(LARGE('V_Dengeli Değişken'!$AD$2:$AD$29,ROW()-3),'V_Dengeli Değişken'!$AD$2:$AD$29,0))</f>
        <v/>
      </c>
      <c r="K9" s="9">
        <f>INDEX('V_Dengeli Değişken'!J$2:J$29,MATCH(LARGE('V_Dengeli Değişken'!$AD$2:$AD$29,ROW()-3),'V_Dengeli Değişken'!$AD$2:$AD$29,0))</f>
        <v/>
      </c>
      <c r="L9" s="10">
        <f>INDEX('V_Dengeli Değişken'!K$2:K$29,MATCH(LARGE('V_Dengeli Değişken'!$AD$2:$AD$29,ROW()-3),'V_Dengeli Değişken'!$AD$2:$AD$29,0))</f>
        <v/>
      </c>
      <c r="M9" s="10">
        <f>INDEX('V_Dengeli Değişken'!L$2:L$29,MATCH(LARGE('V_Dengeli Değişken'!$AD$2:$AD$29,ROW()-3),'V_Dengeli Değişken'!$AD$2:$AD$29,0))</f>
        <v/>
      </c>
      <c r="N9" s="8">
        <f>INDEX('V_Dengeli Değişken'!M$2:M$29,MATCH(LARGE('V_Dengeli Değişken'!$AD$2:$AD$29,ROW()-3),'V_Dengeli Değişken'!$AD$2:$AD$29,0))</f>
        <v/>
      </c>
      <c r="O9" s="11">
        <f>INDEX('V_Dengeli Değişken'!N$2:N$29,MATCH(LARGE('V_Dengeli Değişken'!$AD$2:$AD$29,ROW()-3),'V_Dengeli Değişken'!$AD$2:$AD$29,0))</f>
        <v/>
      </c>
      <c r="P9" s="11">
        <f>INDEX('V_Dengeli Değişken'!O$2:O$29,MATCH(LARGE('V_Dengeli Değişken'!$AD$2:$AD$29,ROW()-3),'V_Dengeli Değişken'!$AD$2:$AD$29,0))</f>
        <v/>
      </c>
      <c r="Q9" s="8">
        <f>INDEX('V_Dengeli Değişken'!P$2:P$29,MATCH(LARGE('V_Dengeli Değişken'!$AD$2:$AD$29,ROW()-3),'V_Dengeli Değişken'!$AD$2:$AD$29,0))</f>
        <v/>
      </c>
      <c r="R9" s="9">
        <f>INDEX('V_Dengeli Değişken'!Q$2:Q$29,MATCH(LARGE('V_Dengeli Değişken'!$AD$2:$AD$29,ROW()-3),'V_Dengeli Değişken'!$AD$2:$AD$29,0))</f>
        <v/>
      </c>
      <c r="S9" s="5">
        <f>INDEX('V_Dengeli Değişken'!R$2:R$29,MATCH(LARGE('V_Dengeli Değişken'!$AD$2:$AD$29,ROW()-3),'V_Dengeli Değişken'!$AD$2:$AD$29,0))</f>
        <v/>
      </c>
      <c r="T9" s="8">
        <f>INDEX('V_Dengeli Değişken'!S$2:S$29,MATCH(LARGE('V_Dengeli Değişken'!$AD$2:$AD$29,ROW()-3),'V_Dengeli Değişken'!$AD$2:$AD$29,0))</f>
        <v/>
      </c>
      <c r="U9" s="8">
        <f>INDEX('V_Dengeli Değişken'!T$2:T$29,MATCH(LARGE('V_Dengeli Değişken'!$AD$2:$AD$29,ROW()-3),'V_Dengeli Değişken'!$AD$2:$AD$29,0))</f>
        <v/>
      </c>
      <c r="V9" s="8">
        <f>INDEX('V_Dengeli Değişken'!U$2:U$29,MATCH(LARGE('V_Dengeli Değişken'!$AD$2:$AD$29,ROW()-3),'V_Dengeli Değişken'!$AD$2:$AD$29,0))</f>
        <v/>
      </c>
      <c r="W9" s="8">
        <f>INDEX('V_Dengeli Değişken'!V$2:V$29,MATCH(LARGE('V_Dengeli Değişken'!$AD$2:$AD$29,ROW()-3),'V_Dengeli Değişken'!$AD$2:$AD$29,0))</f>
        <v/>
      </c>
      <c r="X9" s="8">
        <f>INDEX('V_Dengeli Değişken'!W$2:W$29,MATCH(LARGE('V_Dengeli Değişken'!$AD$2:$AD$29,ROW()-3),'V_Dengeli Değişken'!$AD$2:$AD$29,0))</f>
        <v/>
      </c>
      <c r="Y9" s="8">
        <f>INDEX('V_Dengeli Değişken'!X$2:X$29,MATCH(LARGE('V_Dengeli Değişken'!$AD$2:$AD$29,ROW()-3),'V_Dengeli Değişken'!$AD$2:$AD$29,0))</f>
        <v/>
      </c>
      <c r="Z9" s="8">
        <f>INDEX('V_Dengeli Değişken'!Y$2:Y$29,MATCH(LARGE('V_Dengeli Değişken'!$AD$2:$AD$29,ROW()-3),'V_Dengeli Değişken'!$AD$2:$AD$29,0))</f>
        <v/>
      </c>
      <c r="AA9" s="8">
        <f>INDEX('V_Dengeli Değişken'!Z$2:Z$29,MATCH(LARGE('V_Dengeli Değişken'!$AD$2:$AD$29,ROW()-3),'V_Dengeli Değişken'!$AD$2:$AD$29,0))</f>
        <v/>
      </c>
      <c r="AB9" s="8">
        <f>INDEX('V_Dengeli Değişken'!AA$2:AA$29,MATCH(LARGE('V_Dengeli Değişken'!$AD$2:$AD$29,ROW()-3),'V_Dengeli Değişken'!$AD$2:$AD$29,0))</f>
        <v/>
      </c>
      <c r="AC9" s="8">
        <f>INDEX('V_Dengeli Değişken'!AB$2:AB$29,MATCH(LARGE('V_Dengeli Değişken'!$AD$2:$AD$29,ROW()-3),'V_Dengeli Değişken'!$AD$2:$AD$29,0))</f>
        <v/>
      </c>
    </row>
    <row r="10">
      <c r="A10" t="n">
        <v>7</v>
      </c>
      <c r="B10" s="5">
        <f>INDEX('V_Dengeli Değişken'!A$2:A$29,MATCH(LARGE('V_Dengeli Değişken'!$AD$2:$AD$29,ROW()-3),'V_Dengeli Değişken'!$AD$2:$AD$29,0))</f>
        <v/>
      </c>
      <c r="C10" s="5">
        <f>INDEX('V_Dengeli Değişken'!B$2:B$29,MATCH(LARGE('V_Dengeli Değişken'!$AD$2:$AD$29,ROW()-3),'V_Dengeli Değişken'!$AD$2:$AD$29,0))</f>
        <v/>
      </c>
      <c r="D10" s="5">
        <f>INDEX('V_Dengeli Değişken'!C$2:C$29,MATCH(LARGE('V_Dengeli Değişken'!$AD$2:$AD$29,ROW()-3),'V_Dengeli Değişken'!$AD$2:$AD$29,0))</f>
        <v/>
      </c>
      <c r="E10" s="8">
        <f>INDEX('V_Dengeli Değişken'!D$2:D$29,MATCH(LARGE('V_Dengeli Değişken'!$AD$2:$AD$29,ROW()-3),'V_Dengeli Değişken'!$AD$2:$AD$29,0))</f>
        <v/>
      </c>
      <c r="F10" s="9">
        <f>INDEX('V_Dengeli Değişken'!E$2:E$29,MATCH(LARGE('V_Dengeli Değişken'!$AD$2:$AD$29,ROW()-3),'V_Dengeli Değişken'!$AD$2:$AD$29,0))</f>
        <v/>
      </c>
      <c r="G10" s="9">
        <f>INDEX('V_Dengeli Değişken'!F$2:F$29,MATCH(LARGE('V_Dengeli Değişken'!$AD$2:$AD$29,ROW()-3),'V_Dengeli Değişken'!$AD$2:$AD$29,0))</f>
        <v/>
      </c>
      <c r="H10" s="9">
        <f>INDEX('V_Dengeli Değişken'!G$2:G$29,MATCH(LARGE('V_Dengeli Değişken'!$AD$2:$AD$29,ROW()-3),'V_Dengeli Değişken'!$AD$2:$AD$29,0))</f>
        <v/>
      </c>
      <c r="I10" s="9">
        <f>INDEX('V_Dengeli Değişken'!H$2:H$29,MATCH(LARGE('V_Dengeli Değişken'!$AD$2:$AD$29,ROW()-3),'V_Dengeli Değişken'!$AD$2:$AD$29,0))</f>
        <v/>
      </c>
      <c r="J10" s="9">
        <f>INDEX('V_Dengeli Değişken'!I$2:I$29,MATCH(LARGE('V_Dengeli Değişken'!$AD$2:$AD$29,ROW()-3),'V_Dengeli Değişken'!$AD$2:$AD$29,0))</f>
        <v/>
      </c>
      <c r="K10" s="9">
        <f>INDEX('V_Dengeli Değişken'!J$2:J$29,MATCH(LARGE('V_Dengeli Değişken'!$AD$2:$AD$29,ROW()-3),'V_Dengeli Değişken'!$AD$2:$AD$29,0))</f>
        <v/>
      </c>
      <c r="L10" s="10">
        <f>INDEX('V_Dengeli Değişken'!K$2:K$29,MATCH(LARGE('V_Dengeli Değişken'!$AD$2:$AD$29,ROW()-3),'V_Dengeli Değişken'!$AD$2:$AD$29,0))</f>
        <v/>
      </c>
      <c r="M10" s="10">
        <f>INDEX('V_Dengeli Değişken'!L$2:L$29,MATCH(LARGE('V_Dengeli Değişken'!$AD$2:$AD$29,ROW()-3),'V_Dengeli Değişken'!$AD$2:$AD$29,0))</f>
        <v/>
      </c>
      <c r="N10" s="8">
        <f>INDEX('V_Dengeli Değişken'!M$2:M$29,MATCH(LARGE('V_Dengeli Değişken'!$AD$2:$AD$29,ROW()-3),'V_Dengeli Değişken'!$AD$2:$AD$29,0))</f>
        <v/>
      </c>
      <c r="O10" s="11">
        <f>INDEX('V_Dengeli Değişken'!N$2:N$29,MATCH(LARGE('V_Dengeli Değişken'!$AD$2:$AD$29,ROW()-3),'V_Dengeli Değişken'!$AD$2:$AD$29,0))</f>
        <v/>
      </c>
      <c r="P10" s="11">
        <f>INDEX('V_Dengeli Değişken'!O$2:O$29,MATCH(LARGE('V_Dengeli Değişken'!$AD$2:$AD$29,ROW()-3),'V_Dengeli Değişken'!$AD$2:$AD$29,0))</f>
        <v/>
      </c>
      <c r="Q10" s="8">
        <f>INDEX('V_Dengeli Değişken'!P$2:P$29,MATCH(LARGE('V_Dengeli Değişken'!$AD$2:$AD$29,ROW()-3),'V_Dengeli Değişken'!$AD$2:$AD$29,0))</f>
        <v/>
      </c>
      <c r="R10" s="9">
        <f>INDEX('V_Dengeli Değişken'!Q$2:Q$29,MATCH(LARGE('V_Dengeli Değişken'!$AD$2:$AD$29,ROW()-3),'V_Dengeli Değişken'!$AD$2:$AD$29,0))</f>
        <v/>
      </c>
      <c r="S10" s="5">
        <f>INDEX('V_Dengeli Değişken'!R$2:R$29,MATCH(LARGE('V_Dengeli Değişken'!$AD$2:$AD$29,ROW()-3),'V_Dengeli Değişken'!$AD$2:$AD$29,0))</f>
        <v/>
      </c>
      <c r="T10" s="8">
        <f>INDEX('V_Dengeli Değişken'!S$2:S$29,MATCH(LARGE('V_Dengeli Değişken'!$AD$2:$AD$29,ROW()-3),'V_Dengeli Değişken'!$AD$2:$AD$29,0))</f>
        <v/>
      </c>
      <c r="U10" s="8">
        <f>INDEX('V_Dengeli Değişken'!T$2:T$29,MATCH(LARGE('V_Dengeli Değişken'!$AD$2:$AD$29,ROW()-3),'V_Dengeli Değişken'!$AD$2:$AD$29,0))</f>
        <v/>
      </c>
      <c r="V10" s="8">
        <f>INDEX('V_Dengeli Değişken'!U$2:U$29,MATCH(LARGE('V_Dengeli Değişken'!$AD$2:$AD$29,ROW()-3),'V_Dengeli Değişken'!$AD$2:$AD$29,0))</f>
        <v/>
      </c>
      <c r="W10" s="8">
        <f>INDEX('V_Dengeli Değişken'!V$2:V$29,MATCH(LARGE('V_Dengeli Değişken'!$AD$2:$AD$29,ROW()-3),'V_Dengeli Değişken'!$AD$2:$AD$29,0))</f>
        <v/>
      </c>
      <c r="X10" s="8">
        <f>INDEX('V_Dengeli Değişken'!W$2:W$29,MATCH(LARGE('V_Dengeli Değişken'!$AD$2:$AD$29,ROW()-3),'V_Dengeli Değişken'!$AD$2:$AD$29,0))</f>
        <v/>
      </c>
      <c r="Y10" s="8">
        <f>INDEX('V_Dengeli Değişken'!X$2:X$29,MATCH(LARGE('V_Dengeli Değişken'!$AD$2:$AD$29,ROW()-3),'V_Dengeli Değişken'!$AD$2:$AD$29,0))</f>
        <v/>
      </c>
      <c r="Z10" s="8">
        <f>INDEX('V_Dengeli Değişken'!Y$2:Y$29,MATCH(LARGE('V_Dengeli Değişken'!$AD$2:$AD$29,ROW()-3),'V_Dengeli Değişken'!$AD$2:$AD$29,0))</f>
        <v/>
      </c>
      <c r="AA10" s="8">
        <f>INDEX('V_Dengeli Değişken'!Z$2:Z$29,MATCH(LARGE('V_Dengeli Değişken'!$AD$2:$AD$29,ROW()-3),'V_Dengeli Değişken'!$AD$2:$AD$29,0))</f>
        <v/>
      </c>
      <c r="AB10" s="8">
        <f>INDEX('V_Dengeli Değişken'!AA$2:AA$29,MATCH(LARGE('V_Dengeli Değişken'!$AD$2:$AD$29,ROW()-3),'V_Dengeli Değişken'!$AD$2:$AD$29,0))</f>
        <v/>
      </c>
      <c r="AC10" s="8">
        <f>INDEX('V_Dengeli Değişken'!AB$2:AB$29,MATCH(LARGE('V_Dengeli Değişken'!$AD$2:$AD$29,ROW()-3),'V_Dengeli Değişken'!$AD$2:$AD$29,0))</f>
        <v/>
      </c>
    </row>
    <row r="11">
      <c r="A11" t="n">
        <v>8</v>
      </c>
      <c r="B11" s="5">
        <f>INDEX('V_Dengeli Değişken'!A$2:A$29,MATCH(LARGE('V_Dengeli Değişken'!$AD$2:$AD$29,ROW()-3),'V_Dengeli Değişken'!$AD$2:$AD$29,0))</f>
        <v/>
      </c>
      <c r="C11" s="5">
        <f>INDEX('V_Dengeli Değişken'!B$2:B$29,MATCH(LARGE('V_Dengeli Değişken'!$AD$2:$AD$29,ROW()-3),'V_Dengeli Değişken'!$AD$2:$AD$29,0))</f>
        <v/>
      </c>
      <c r="D11" s="5">
        <f>INDEX('V_Dengeli Değişken'!C$2:C$29,MATCH(LARGE('V_Dengeli Değişken'!$AD$2:$AD$29,ROW()-3),'V_Dengeli Değişken'!$AD$2:$AD$29,0))</f>
        <v/>
      </c>
      <c r="E11" s="8">
        <f>INDEX('V_Dengeli Değişken'!D$2:D$29,MATCH(LARGE('V_Dengeli Değişken'!$AD$2:$AD$29,ROW()-3),'V_Dengeli Değişken'!$AD$2:$AD$29,0))</f>
        <v/>
      </c>
      <c r="F11" s="9">
        <f>INDEX('V_Dengeli Değişken'!E$2:E$29,MATCH(LARGE('V_Dengeli Değişken'!$AD$2:$AD$29,ROW()-3),'V_Dengeli Değişken'!$AD$2:$AD$29,0))</f>
        <v/>
      </c>
      <c r="G11" s="9">
        <f>INDEX('V_Dengeli Değişken'!F$2:F$29,MATCH(LARGE('V_Dengeli Değişken'!$AD$2:$AD$29,ROW()-3),'V_Dengeli Değişken'!$AD$2:$AD$29,0))</f>
        <v/>
      </c>
      <c r="H11" s="9">
        <f>INDEX('V_Dengeli Değişken'!G$2:G$29,MATCH(LARGE('V_Dengeli Değişken'!$AD$2:$AD$29,ROW()-3),'V_Dengeli Değişken'!$AD$2:$AD$29,0))</f>
        <v/>
      </c>
      <c r="I11" s="9">
        <f>INDEX('V_Dengeli Değişken'!H$2:H$29,MATCH(LARGE('V_Dengeli Değişken'!$AD$2:$AD$29,ROW()-3),'V_Dengeli Değişken'!$AD$2:$AD$29,0))</f>
        <v/>
      </c>
      <c r="J11" s="9">
        <f>INDEX('V_Dengeli Değişken'!I$2:I$29,MATCH(LARGE('V_Dengeli Değişken'!$AD$2:$AD$29,ROW()-3),'V_Dengeli Değişken'!$AD$2:$AD$29,0))</f>
        <v/>
      </c>
      <c r="K11" s="9">
        <f>INDEX('V_Dengeli Değişken'!J$2:J$29,MATCH(LARGE('V_Dengeli Değişken'!$AD$2:$AD$29,ROW()-3),'V_Dengeli Değişken'!$AD$2:$AD$29,0))</f>
        <v/>
      </c>
      <c r="L11" s="10">
        <f>INDEX('V_Dengeli Değişken'!K$2:K$29,MATCH(LARGE('V_Dengeli Değişken'!$AD$2:$AD$29,ROW()-3),'V_Dengeli Değişken'!$AD$2:$AD$29,0))</f>
        <v/>
      </c>
      <c r="M11" s="10">
        <f>INDEX('V_Dengeli Değişken'!L$2:L$29,MATCH(LARGE('V_Dengeli Değişken'!$AD$2:$AD$29,ROW()-3),'V_Dengeli Değişken'!$AD$2:$AD$29,0))</f>
        <v/>
      </c>
      <c r="N11" s="8">
        <f>INDEX('V_Dengeli Değişken'!M$2:M$29,MATCH(LARGE('V_Dengeli Değişken'!$AD$2:$AD$29,ROW()-3),'V_Dengeli Değişken'!$AD$2:$AD$29,0))</f>
        <v/>
      </c>
      <c r="O11" s="11">
        <f>INDEX('V_Dengeli Değişken'!N$2:N$29,MATCH(LARGE('V_Dengeli Değişken'!$AD$2:$AD$29,ROW()-3),'V_Dengeli Değişken'!$AD$2:$AD$29,0))</f>
        <v/>
      </c>
      <c r="P11" s="11">
        <f>INDEX('V_Dengeli Değişken'!O$2:O$29,MATCH(LARGE('V_Dengeli Değişken'!$AD$2:$AD$29,ROW()-3),'V_Dengeli Değişken'!$AD$2:$AD$29,0))</f>
        <v/>
      </c>
      <c r="Q11" s="8">
        <f>INDEX('V_Dengeli Değişken'!P$2:P$29,MATCH(LARGE('V_Dengeli Değişken'!$AD$2:$AD$29,ROW()-3),'V_Dengeli Değişken'!$AD$2:$AD$29,0))</f>
        <v/>
      </c>
      <c r="R11" s="9">
        <f>INDEX('V_Dengeli Değişken'!Q$2:Q$29,MATCH(LARGE('V_Dengeli Değişken'!$AD$2:$AD$29,ROW()-3),'V_Dengeli Değişken'!$AD$2:$AD$29,0))</f>
        <v/>
      </c>
      <c r="S11" s="5">
        <f>INDEX('V_Dengeli Değişken'!R$2:R$29,MATCH(LARGE('V_Dengeli Değişken'!$AD$2:$AD$29,ROW()-3),'V_Dengeli Değişken'!$AD$2:$AD$29,0))</f>
        <v/>
      </c>
      <c r="T11" s="8">
        <f>INDEX('V_Dengeli Değişken'!S$2:S$29,MATCH(LARGE('V_Dengeli Değişken'!$AD$2:$AD$29,ROW()-3),'V_Dengeli Değişken'!$AD$2:$AD$29,0))</f>
        <v/>
      </c>
      <c r="U11" s="8">
        <f>INDEX('V_Dengeli Değişken'!T$2:T$29,MATCH(LARGE('V_Dengeli Değişken'!$AD$2:$AD$29,ROW()-3),'V_Dengeli Değişken'!$AD$2:$AD$29,0))</f>
        <v/>
      </c>
      <c r="V11" s="8">
        <f>INDEX('V_Dengeli Değişken'!U$2:U$29,MATCH(LARGE('V_Dengeli Değişken'!$AD$2:$AD$29,ROW()-3),'V_Dengeli Değişken'!$AD$2:$AD$29,0))</f>
        <v/>
      </c>
      <c r="W11" s="8">
        <f>INDEX('V_Dengeli Değişken'!V$2:V$29,MATCH(LARGE('V_Dengeli Değişken'!$AD$2:$AD$29,ROW()-3),'V_Dengeli Değişken'!$AD$2:$AD$29,0))</f>
        <v/>
      </c>
      <c r="X11" s="8">
        <f>INDEX('V_Dengeli Değişken'!W$2:W$29,MATCH(LARGE('V_Dengeli Değişken'!$AD$2:$AD$29,ROW()-3),'V_Dengeli Değişken'!$AD$2:$AD$29,0))</f>
        <v/>
      </c>
      <c r="Y11" s="8">
        <f>INDEX('V_Dengeli Değişken'!X$2:X$29,MATCH(LARGE('V_Dengeli Değişken'!$AD$2:$AD$29,ROW()-3),'V_Dengeli Değişken'!$AD$2:$AD$29,0))</f>
        <v/>
      </c>
      <c r="Z11" s="8">
        <f>INDEX('V_Dengeli Değişken'!Y$2:Y$29,MATCH(LARGE('V_Dengeli Değişken'!$AD$2:$AD$29,ROW()-3),'V_Dengeli Değişken'!$AD$2:$AD$29,0))</f>
        <v/>
      </c>
      <c r="AA11" s="8">
        <f>INDEX('V_Dengeli Değişken'!Z$2:Z$29,MATCH(LARGE('V_Dengeli Değişken'!$AD$2:$AD$29,ROW()-3),'V_Dengeli Değişken'!$AD$2:$AD$29,0))</f>
        <v/>
      </c>
      <c r="AB11" s="8">
        <f>INDEX('V_Dengeli Değişken'!AA$2:AA$29,MATCH(LARGE('V_Dengeli Değişken'!$AD$2:$AD$29,ROW()-3),'V_Dengeli Değişken'!$AD$2:$AD$29,0))</f>
        <v/>
      </c>
      <c r="AC11" s="8">
        <f>INDEX('V_Dengeli Değişken'!AB$2:AB$29,MATCH(LARGE('V_Dengeli Değişken'!$AD$2:$AD$29,ROW()-3),'V_Dengeli Değişken'!$AD$2:$AD$29,0))</f>
        <v/>
      </c>
    </row>
    <row r="12">
      <c r="A12" t="n">
        <v>9</v>
      </c>
      <c r="B12" s="5">
        <f>INDEX('V_Dengeli Değişken'!A$2:A$29,MATCH(LARGE('V_Dengeli Değişken'!$AD$2:$AD$29,ROW()-3),'V_Dengeli Değişken'!$AD$2:$AD$29,0))</f>
        <v/>
      </c>
      <c r="C12" s="5">
        <f>INDEX('V_Dengeli Değişken'!B$2:B$29,MATCH(LARGE('V_Dengeli Değişken'!$AD$2:$AD$29,ROW()-3),'V_Dengeli Değişken'!$AD$2:$AD$29,0))</f>
        <v/>
      </c>
      <c r="D12" s="5">
        <f>INDEX('V_Dengeli Değişken'!C$2:C$29,MATCH(LARGE('V_Dengeli Değişken'!$AD$2:$AD$29,ROW()-3),'V_Dengeli Değişken'!$AD$2:$AD$29,0))</f>
        <v/>
      </c>
      <c r="E12" s="8">
        <f>INDEX('V_Dengeli Değişken'!D$2:D$29,MATCH(LARGE('V_Dengeli Değişken'!$AD$2:$AD$29,ROW()-3),'V_Dengeli Değişken'!$AD$2:$AD$29,0))</f>
        <v/>
      </c>
      <c r="F12" s="9">
        <f>INDEX('V_Dengeli Değişken'!E$2:E$29,MATCH(LARGE('V_Dengeli Değişken'!$AD$2:$AD$29,ROW()-3),'V_Dengeli Değişken'!$AD$2:$AD$29,0))</f>
        <v/>
      </c>
      <c r="G12" s="9">
        <f>INDEX('V_Dengeli Değişken'!F$2:F$29,MATCH(LARGE('V_Dengeli Değişken'!$AD$2:$AD$29,ROW()-3),'V_Dengeli Değişken'!$AD$2:$AD$29,0))</f>
        <v/>
      </c>
      <c r="H12" s="9">
        <f>INDEX('V_Dengeli Değişken'!G$2:G$29,MATCH(LARGE('V_Dengeli Değişken'!$AD$2:$AD$29,ROW()-3),'V_Dengeli Değişken'!$AD$2:$AD$29,0))</f>
        <v/>
      </c>
      <c r="I12" s="9">
        <f>INDEX('V_Dengeli Değişken'!H$2:H$29,MATCH(LARGE('V_Dengeli Değişken'!$AD$2:$AD$29,ROW()-3),'V_Dengeli Değişken'!$AD$2:$AD$29,0))</f>
        <v/>
      </c>
      <c r="J12" s="9">
        <f>INDEX('V_Dengeli Değişken'!I$2:I$29,MATCH(LARGE('V_Dengeli Değişken'!$AD$2:$AD$29,ROW()-3),'V_Dengeli Değişken'!$AD$2:$AD$29,0))</f>
        <v/>
      </c>
      <c r="K12" s="9">
        <f>INDEX('V_Dengeli Değişken'!J$2:J$29,MATCH(LARGE('V_Dengeli Değişken'!$AD$2:$AD$29,ROW()-3),'V_Dengeli Değişken'!$AD$2:$AD$29,0))</f>
        <v/>
      </c>
      <c r="L12" s="10">
        <f>INDEX('V_Dengeli Değişken'!K$2:K$29,MATCH(LARGE('V_Dengeli Değişken'!$AD$2:$AD$29,ROW()-3),'V_Dengeli Değişken'!$AD$2:$AD$29,0))</f>
        <v/>
      </c>
      <c r="M12" s="10">
        <f>INDEX('V_Dengeli Değişken'!L$2:L$29,MATCH(LARGE('V_Dengeli Değişken'!$AD$2:$AD$29,ROW()-3),'V_Dengeli Değişken'!$AD$2:$AD$29,0))</f>
        <v/>
      </c>
      <c r="N12" s="8">
        <f>INDEX('V_Dengeli Değişken'!M$2:M$29,MATCH(LARGE('V_Dengeli Değişken'!$AD$2:$AD$29,ROW()-3),'V_Dengeli Değişken'!$AD$2:$AD$29,0))</f>
        <v/>
      </c>
      <c r="O12" s="11">
        <f>INDEX('V_Dengeli Değişken'!N$2:N$29,MATCH(LARGE('V_Dengeli Değişken'!$AD$2:$AD$29,ROW()-3),'V_Dengeli Değişken'!$AD$2:$AD$29,0))</f>
        <v/>
      </c>
      <c r="P12" s="11">
        <f>INDEX('V_Dengeli Değişken'!O$2:O$29,MATCH(LARGE('V_Dengeli Değişken'!$AD$2:$AD$29,ROW()-3),'V_Dengeli Değişken'!$AD$2:$AD$29,0))</f>
        <v/>
      </c>
      <c r="Q12" s="8">
        <f>INDEX('V_Dengeli Değişken'!P$2:P$29,MATCH(LARGE('V_Dengeli Değişken'!$AD$2:$AD$29,ROW()-3),'V_Dengeli Değişken'!$AD$2:$AD$29,0))</f>
        <v/>
      </c>
      <c r="R12" s="9">
        <f>INDEX('V_Dengeli Değişken'!Q$2:Q$29,MATCH(LARGE('V_Dengeli Değişken'!$AD$2:$AD$29,ROW()-3),'V_Dengeli Değişken'!$AD$2:$AD$29,0))</f>
        <v/>
      </c>
      <c r="S12" s="5">
        <f>INDEX('V_Dengeli Değişken'!R$2:R$29,MATCH(LARGE('V_Dengeli Değişken'!$AD$2:$AD$29,ROW()-3),'V_Dengeli Değişken'!$AD$2:$AD$29,0))</f>
        <v/>
      </c>
      <c r="T12" s="8">
        <f>INDEX('V_Dengeli Değişken'!S$2:S$29,MATCH(LARGE('V_Dengeli Değişken'!$AD$2:$AD$29,ROW()-3),'V_Dengeli Değişken'!$AD$2:$AD$29,0))</f>
        <v/>
      </c>
      <c r="U12" s="8">
        <f>INDEX('V_Dengeli Değişken'!T$2:T$29,MATCH(LARGE('V_Dengeli Değişken'!$AD$2:$AD$29,ROW()-3),'V_Dengeli Değişken'!$AD$2:$AD$29,0))</f>
        <v/>
      </c>
      <c r="V12" s="8">
        <f>INDEX('V_Dengeli Değişken'!U$2:U$29,MATCH(LARGE('V_Dengeli Değişken'!$AD$2:$AD$29,ROW()-3),'V_Dengeli Değişken'!$AD$2:$AD$29,0))</f>
        <v/>
      </c>
      <c r="W12" s="8">
        <f>INDEX('V_Dengeli Değişken'!V$2:V$29,MATCH(LARGE('V_Dengeli Değişken'!$AD$2:$AD$29,ROW()-3),'V_Dengeli Değişken'!$AD$2:$AD$29,0))</f>
        <v/>
      </c>
      <c r="X12" s="8">
        <f>INDEX('V_Dengeli Değişken'!W$2:W$29,MATCH(LARGE('V_Dengeli Değişken'!$AD$2:$AD$29,ROW()-3),'V_Dengeli Değişken'!$AD$2:$AD$29,0))</f>
        <v/>
      </c>
      <c r="Y12" s="8">
        <f>INDEX('V_Dengeli Değişken'!X$2:X$29,MATCH(LARGE('V_Dengeli Değişken'!$AD$2:$AD$29,ROW()-3),'V_Dengeli Değişken'!$AD$2:$AD$29,0))</f>
        <v/>
      </c>
      <c r="Z12" s="8">
        <f>INDEX('V_Dengeli Değişken'!Y$2:Y$29,MATCH(LARGE('V_Dengeli Değişken'!$AD$2:$AD$29,ROW()-3),'V_Dengeli Değişken'!$AD$2:$AD$29,0))</f>
        <v/>
      </c>
      <c r="AA12" s="8">
        <f>INDEX('V_Dengeli Değişken'!Z$2:Z$29,MATCH(LARGE('V_Dengeli Değişken'!$AD$2:$AD$29,ROW()-3),'V_Dengeli Değişken'!$AD$2:$AD$29,0))</f>
        <v/>
      </c>
      <c r="AB12" s="8">
        <f>INDEX('V_Dengeli Değişken'!AA$2:AA$29,MATCH(LARGE('V_Dengeli Değişken'!$AD$2:$AD$29,ROW()-3),'V_Dengeli Değişken'!$AD$2:$AD$29,0))</f>
        <v/>
      </c>
      <c r="AC12" s="8">
        <f>INDEX('V_Dengeli Değişken'!AB$2:AB$29,MATCH(LARGE('V_Dengeli Değişken'!$AD$2:$AD$29,ROW()-3),'V_Dengeli Değişken'!$AD$2:$AD$29,0))</f>
        <v/>
      </c>
    </row>
    <row r="13">
      <c r="A13" t="n">
        <v>10</v>
      </c>
      <c r="B13" s="5">
        <f>INDEX('V_Dengeli Değişken'!A$2:A$29,MATCH(LARGE('V_Dengeli Değişken'!$AD$2:$AD$29,ROW()-3),'V_Dengeli Değişken'!$AD$2:$AD$29,0))</f>
        <v/>
      </c>
      <c r="C13" s="5">
        <f>INDEX('V_Dengeli Değişken'!B$2:B$29,MATCH(LARGE('V_Dengeli Değişken'!$AD$2:$AD$29,ROW()-3),'V_Dengeli Değişken'!$AD$2:$AD$29,0))</f>
        <v/>
      </c>
      <c r="D13" s="5">
        <f>INDEX('V_Dengeli Değişken'!C$2:C$29,MATCH(LARGE('V_Dengeli Değişken'!$AD$2:$AD$29,ROW()-3),'V_Dengeli Değişken'!$AD$2:$AD$29,0))</f>
        <v/>
      </c>
      <c r="E13" s="8">
        <f>INDEX('V_Dengeli Değişken'!D$2:D$29,MATCH(LARGE('V_Dengeli Değişken'!$AD$2:$AD$29,ROW()-3),'V_Dengeli Değişken'!$AD$2:$AD$29,0))</f>
        <v/>
      </c>
      <c r="F13" s="9">
        <f>INDEX('V_Dengeli Değişken'!E$2:E$29,MATCH(LARGE('V_Dengeli Değişken'!$AD$2:$AD$29,ROW()-3),'V_Dengeli Değişken'!$AD$2:$AD$29,0))</f>
        <v/>
      </c>
      <c r="G13" s="9">
        <f>INDEX('V_Dengeli Değişken'!F$2:F$29,MATCH(LARGE('V_Dengeli Değişken'!$AD$2:$AD$29,ROW()-3),'V_Dengeli Değişken'!$AD$2:$AD$29,0))</f>
        <v/>
      </c>
      <c r="H13" s="9">
        <f>INDEX('V_Dengeli Değişken'!G$2:G$29,MATCH(LARGE('V_Dengeli Değişken'!$AD$2:$AD$29,ROW()-3),'V_Dengeli Değişken'!$AD$2:$AD$29,0))</f>
        <v/>
      </c>
      <c r="I13" s="9">
        <f>INDEX('V_Dengeli Değişken'!H$2:H$29,MATCH(LARGE('V_Dengeli Değişken'!$AD$2:$AD$29,ROW()-3),'V_Dengeli Değişken'!$AD$2:$AD$29,0))</f>
        <v/>
      </c>
      <c r="J13" s="9">
        <f>INDEX('V_Dengeli Değişken'!I$2:I$29,MATCH(LARGE('V_Dengeli Değişken'!$AD$2:$AD$29,ROW()-3),'V_Dengeli Değişken'!$AD$2:$AD$29,0))</f>
        <v/>
      </c>
      <c r="K13" s="9">
        <f>INDEX('V_Dengeli Değişken'!J$2:J$29,MATCH(LARGE('V_Dengeli Değişken'!$AD$2:$AD$29,ROW()-3),'V_Dengeli Değişken'!$AD$2:$AD$29,0))</f>
        <v/>
      </c>
      <c r="L13" s="10">
        <f>INDEX('V_Dengeli Değişken'!K$2:K$29,MATCH(LARGE('V_Dengeli Değişken'!$AD$2:$AD$29,ROW()-3),'V_Dengeli Değişken'!$AD$2:$AD$29,0))</f>
        <v/>
      </c>
      <c r="M13" s="10">
        <f>INDEX('V_Dengeli Değişken'!L$2:L$29,MATCH(LARGE('V_Dengeli Değişken'!$AD$2:$AD$29,ROW()-3),'V_Dengeli Değişken'!$AD$2:$AD$29,0))</f>
        <v/>
      </c>
      <c r="N13" s="8">
        <f>INDEX('V_Dengeli Değişken'!M$2:M$29,MATCH(LARGE('V_Dengeli Değişken'!$AD$2:$AD$29,ROW()-3),'V_Dengeli Değişken'!$AD$2:$AD$29,0))</f>
        <v/>
      </c>
      <c r="O13" s="11">
        <f>INDEX('V_Dengeli Değişken'!N$2:N$29,MATCH(LARGE('V_Dengeli Değişken'!$AD$2:$AD$29,ROW()-3),'V_Dengeli Değişken'!$AD$2:$AD$29,0))</f>
        <v/>
      </c>
      <c r="P13" s="11">
        <f>INDEX('V_Dengeli Değişken'!O$2:O$29,MATCH(LARGE('V_Dengeli Değişken'!$AD$2:$AD$29,ROW()-3),'V_Dengeli Değişken'!$AD$2:$AD$29,0))</f>
        <v/>
      </c>
      <c r="Q13" s="8">
        <f>INDEX('V_Dengeli Değişken'!P$2:P$29,MATCH(LARGE('V_Dengeli Değişken'!$AD$2:$AD$29,ROW()-3),'V_Dengeli Değişken'!$AD$2:$AD$29,0))</f>
        <v/>
      </c>
      <c r="R13" s="9">
        <f>INDEX('V_Dengeli Değişken'!Q$2:Q$29,MATCH(LARGE('V_Dengeli Değişken'!$AD$2:$AD$29,ROW()-3),'V_Dengeli Değişken'!$AD$2:$AD$29,0))</f>
        <v/>
      </c>
      <c r="S13" s="5">
        <f>INDEX('V_Dengeli Değişken'!R$2:R$29,MATCH(LARGE('V_Dengeli Değişken'!$AD$2:$AD$29,ROW()-3),'V_Dengeli Değişken'!$AD$2:$AD$29,0))</f>
        <v/>
      </c>
      <c r="T13" s="8">
        <f>INDEX('V_Dengeli Değişken'!S$2:S$29,MATCH(LARGE('V_Dengeli Değişken'!$AD$2:$AD$29,ROW()-3),'V_Dengeli Değişken'!$AD$2:$AD$29,0))</f>
        <v/>
      </c>
      <c r="U13" s="8">
        <f>INDEX('V_Dengeli Değişken'!T$2:T$29,MATCH(LARGE('V_Dengeli Değişken'!$AD$2:$AD$29,ROW()-3),'V_Dengeli Değişken'!$AD$2:$AD$29,0))</f>
        <v/>
      </c>
      <c r="V13" s="8">
        <f>INDEX('V_Dengeli Değişken'!U$2:U$29,MATCH(LARGE('V_Dengeli Değişken'!$AD$2:$AD$29,ROW()-3),'V_Dengeli Değişken'!$AD$2:$AD$29,0))</f>
        <v/>
      </c>
      <c r="W13" s="8">
        <f>INDEX('V_Dengeli Değişken'!V$2:V$29,MATCH(LARGE('V_Dengeli Değişken'!$AD$2:$AD$29,ROW()-3),'V_Dengeli Değişken'!$AD$2:$AD$29,0))</f>
        <v/>
      </c>
      <c r="X13" s="8">
        <f>INDEX('V_Dengeli Değişken'!W$2:W$29,MATCH(LARGE('V_Dengeli Değişken'!$AD$2:$AD$29,ROW()-3),'V_Dengeli Değişken'!$AD$2:$AD$29,0))</f>
        <v/>
      </c>
      <c r="Y13" s="8">
        <f>INDEX('V_Dengeli Değişken'!X$2:X$29,MATCH(LARGE('V_Dengeli Değişken'!$AD$2:$AD$29,ROW()-3),'V_Dengeli Değişken'!$AD$2:$AD$29,0))</f>
        <v/>
      </c>
      <c r="Z13" s="8">
        <f>INDEX('V_Dengeli Değişken'!Y$2:Y$29,MATCH(LARGE('V_Dengeli Değişken'!$AD$2:$AD$29,ROW()-3),'V_Dengeli Değişken'!$AD$2:$AD$29,0))</f>
        <v/>
      </c>
      <c r="AA13" s="8">
        <f>INDEX('V_Dengeli Değişken'!Z$2:Z$29,MATCH(LARGE('V_Dengeli Değişken'!$AD$2:$AD$29,ROW()-3),'V_Dengeli Değişken'!$AD$2:$AD$29,0))</f>
        <v/>
      </c>
      <c r="AB13" s="8">
        <f>INDEX('V_Dengeli Değişken'!AA$2:AA$29,MATCH(LARGE('V_Dengeli Değişken'!$AD$2:$AD$29,ROW()-3),'V_Dengeli Değişken'!$AD$2:$AD$29,0))</f>
        <v/>
      </c>
      <c r="AC13" s="8">
        <f>INDEX('V_Dengeli Değişken'!AB$2:AB$29,MATCH(LARGE('V_Dengeli Değişken'!$AD$2:$AD$29,ROW()-3),'V_Dengeli Değişken'!$AD$2:$AD$29,0))</f>
        <v/>
      </c>
    </row>
    <row r="14">
      <c r="A14" t="n">
        <v>11</v>
      </c>
      <c r="B14" s="5">
        <f>INDEX('V_Dengeli Değişken'!A$2:A$29,MATCH(LARGE('V_Dengeli Değişken'!$AD$2:$AD$29,ROW()-3),'V_Dengeli Değişken'!$AD$2:$AD$29,0))</f>
        <v/>
      </c>
      <c r="C14" s="5">
        <f>INDEX('V_Dengeli Değişken'!B$2:B$29,MATCH(LARGE('V_Dengeli Değişken'!$AD$2:$AD$29,ROW()-3),'V_Dengeli Değişken'!$AD$2:$AD$29,0))</f>
        <v/>
      </c>
      <c r="D14" s="5">
        <f>INDEX('V_Dengeli Değişken'!C$2:C$29,MATCH(LARGE('V_Dengeli Değişken'!$AD$2:$AD$29,ROW()-3),'V_Dengeli Değişken'!$AD$2:$AD$29,0))</f>
        <v/>
      </c>
      <c r="E14" s="8">
        <f>INDEX('V_Dengeli Değişken'!D$2:D$29,MATCH(LARGE('V_Dengeli Değişken'!$AD$2:$AD$29,ROW()-3),'V_Dengeli Değişken'!$AD$2:$AD$29,0))</f>
        <v/>
      </c>
      <c r="F14" s="9">
        <f>INDEX('V_Dengeli Değişken'!E$2:E$29,MATCH(LARGE('V_Dengeli Değişken'!$AD$2:$AD$29,ROW()-3),'V_Dengeli Değişken'!$AD$2:$AD$29,0))</f>
        <v/>
      </c>
      <c r="G14" s="9">
        <f>INDEX('V_Dengeli Değişken'!F$2:F$29,MATCH(LARGE('V_Dengeli Değişken'!$AD$2:$AD$29,ROW()-3),'V_Dengeli Değişken'!$AD$2:$AD$29,0))</f>
        <v/>
      </c>
      <c r="H14" s="9">
        <f>INDEX('V_Dengeli Değişken'!G$2:G$29,MATCH(LARGE('V_Dengeli Değişken'!$AD$2:$AD$29,ROW()-3),'V_Dengeli Değişken'!$AD$2:$AD$29,0))</f>
        <v/>
      </c>
      <c r="I14" s="9">
        <f>INDEX('V_Dengeli Değişken'!H$2:H$29,MATCH(LARGE('V_Dengeli Değişken'!$AD$2:$AD$29,ROW()-3),'V_Dengeli Değişken'!$AD$2:$AD$29,0))</f>
        <v/>
      </c>
      <c r="J14" s="9">
        <f>INDEX('V_Dengeli Değişken'!I$2:I$29,MATCH(LARGE('V_Dengeli Değişken'!$AD$2:$AD$29,ROW()-3),'V_Dengeli Değişken'!$AD$2:$AD$29,0))</f>
        <v/>
      </c>
      <c r="K14" s="9">
        <f>INDEX('V_Dengeli Değişken'!J$2:J$29,MATCH(LARGE('V_Dengeli Değişken'!$AD$2:$AD$29,ROW()-3),'V_Dengeli Değişken'!$AD$2:$AD$29,0))</f>
        <v/>
      </c>
      <c r="L14" s="10">
        <f>INDEX('V_Dengeli Değişken'!K$2:K$29,MATCH(LARGE('V_Dengeli Değişken'!$AD$2:$AD$29,ROW()-3),'V_Dengeli Değişken'!$AD$2:$AD$29,0))</f>
        <v/>
      </c>
      <c r="M14" s="10">
        <f>INDEX('V_Dengeli Değişken'!L$2:L$29,MATCH(LARGE('V_Dengeli Değişken'!$AD$2:$AD$29,ROW()-3),'V_Dengeli Değişken'!$AD$2:$AD$29,0))</f>
        <v/>
      </c>
      <c r="N14" s="8">
        <f>INDEX('V_Dengeli Değişken'!M$2:M$29,MATCH(LARGE('V_Dengeli Değişken'!$AD$2:$AD$29,ROW()-3),'V_Dengeli Değişken'!$AD$2:$AD$29,0))</f>
        <v/>
      </c>
      <c r="O14" s="11">
        <f>INDEX('V_Dengeli Değişken'!N$2:N$29,MATCH(LARGE('V_Dengeli Değişken'!$AD$2:$AD$29,ROW()-3),'V_Dengeli Değişken'!$AD$2:$AD$29,0))</f>
        <v/>
      </c>
      <c r="P14" s="11">
        <f>INDEX('V_Dengeli Değişken'!O$2:O$29,MATCH(LARGE('V_Dengeli Değişken'!$AD$2:$AD$29,ROW()-3),'V_Dengeli Değişken'!$AD$2:$AD$29,0))</f>
        <v/>
      </c>
      <c r="Q14" s="8">
        <f>INDEX('V_Dengeli Değişken'!P$2:P$29,MATCH(LARGE('V_Dengeli Değişken'!$AD$2:$AD$29,ROW()-3),'V_Dengeli Değişken'!$AD$2:$AD$29,0))</f>
        <v/>
      </c>
      <c r="R14" s="9">
        <f>INDEX('V_Dengeli Değişken'!Q$2:Q$29,MATCH(LARGE('V_Dengeli Değişken'!$AD$2:$AD$29,ROW()-3),'V_Dengeli Değişken'!$AD$2:$AD$29,0))</f>
        <v/>
      </c>
      <c r="S14" s="5">
        <f>INDEX('V_Dengeli Değişken'!R$2:R$29,MATCH(LARGE('V_Dengeli Değişken'!$AD$2:$AD$29,ROW()-3),'V_Dengeli Değişken'!$AD$2:$AD$29,0))</f>
        <v/>
      </c>
      <c r="T14" s="8">
        <f>INDEX('V_Dengeli Değişken'!S$2:S$29,MATCH(LARGE('V_Dengeli Değişken'!$AD$2:$AD$29,ROW()-3),'V_Dengeli Değişken'!$AD$2:$AD$29,0))</f>
        <v/>
      </c>
      <c r="U14" s="8">
        <f>INDEX('V_Dengeli Değişken'!T$2:T$29,MATCH(LARGE('V_Dengeli Değişken'!$AD$2:$AD$29,ROW()-3),'V_Dengeli Değişken'!$AD$2:$AD$29,0))</f>
        <v/>
      </c>
      <c r="V14" s="8">
        <f>INDEX('V_Dengeli Değişken'!U$2:U$29,MATCH(LARGE('V_Dengeli Değişken'!$AD$2:$AD$29,ROW()-3),'V_Dengeli Değişken'!$AD$2:$AD$29,0))</f>
        <v/>
      </c>
      <c r="W14" s="8">
        <f>INDEX('V_Dengeli Değişken'!V$2:V$29,MATCH(LARGE('V_Dengeli Değişken'!$AD$2:$AD$29,ROW()-3),'V_Dengeli Değişken'!$AD$2:$AD$29,0))</f>
        <v/>
      </c>
      <c r="X14" s="8">
        <f>INDEX('V_Dengeli Değişken'!W$2:W$29,MATCH(LARGE('V_Dengeli Değişken'!$AD$2:$AD$29,ROW()-3),'V_Dengeli Değişken'!$AD$2:$AD$29,0))</f>
        <v/>
      </c>
      <c r="Y14" s="8">
        <f>INDEX('V_Dengeli Değişken'!X$2:X$29,MATCH(LARGE('V_Dengeli Değişken'!$AD$2:$AD$29,ROW()-3),'V_Dengeli Değişken'!$AD$2:$AD$29,0))</f>
        <v/>
      </c>
      <c r="Z14" s="8">
        <f>INDEX('V_Dengeli Değişken'!Y$2:Y$29,MATCH(LARGE('V_Dengeli Değişken'!$AD$2:$AD$29,ROW()-3),'V_Dengeli Değişken'!$AD$2:$AD$29,0))</f>
        <v/>
      </c>
      <c r="AA14" s="8">
        <f>INDEX('V_Dengeli Değişken'!Z$2:Z$29,MATCH(LARGE('V_Dengeli Değişken'!$AD$2:$AD$29,ROW()-3),'V_Dengeli Değişken'!$AD$2:$AD$29,0))</f>
        <v/>
      </c>
      <c r="AB14" s="8">
        <f>INDEX('V_Dengeli Değişken'!AA$2:AA$29,MATCH(LARGE('V_Dengeli Değişken'!$AD$2:$AD$29,ROW()-3),'V_Dengeli Değişken'!$AD$2:$AD$29,0))</f>
        <v/>
      </c>
      <c r="AC14" s="8">
        <f>INDEX('V_Dengeli Değişken'!AB$2:AB$29,MATCH(LARGE('V_Dengeli Değişken'!$AD$2:$AD$29,ROW()-3),'V_Dengeli Değişken'!$AD$2:$AD$29,0))</f>
        <v/>
      </c>
    </row>
    <row r="15">
      <c r="A15" t="n">
        <v>12</v>
      </c>
      <c r="B15" s="5">
        <f>INDEX('V_Dengeli Değişken'!A$2:A$29,MATCH(LARGE('V_Dengeli Değişken'!$AD$2:$AD$29,ROW()-3),'V_Dengeli Değişken'!$AD$2:$AD$29,0))</f>
        <v/>
      </c>
      <c r="C15" s="5">
        <f>INDEX('V_Dengeli Değişken'!B$2:B$29,MATCH(LARGE('V_Dengeli Değişken'!$AD$2:$AD$29,ROW()-3),'V_Dengeli Değişken'!$AD$2:$AD$29,0))</f>
        <v/>
      </c>
      <c r="D15" s="5">
        <f>INDEX('V_Dengeli Değişken'!C$2:C$29,MATCH(LARGE('V_Dengeli Değişken'!$AD$2:$AD$29,ROW()-3),'V_Dengeli Değişken'!$AD$2:$AD$29,0))</f>
        <v/>
      </c>
      <c r="E15" s="8">
        <f>INDEX('V_Dengeli Değişken'!D$2:D$29,MATCH(LARGE('V_Dengeli Değişken'!$AD$2:$AD$29,ROW()-3),'V_Dengeli Değişken'!$AD$2:$AD$29,0))</f>
        <v/>
      </c>
      <c r="F15" s="9">
        <f>INDEX('V_Dengeli Değişken'!E$2:E$29,MATCH(LARGE('V_Dengeli Değişken'!$AD$2:$AD$29,ROW()-3),'V_Dengeli Değişken'!$AD$2:$AD$29,0))</f>
        <v/>
      </c>
      <c r="G15" s="9">
        <f>INDEX('V_Dengeli Değişken'!F$2:F$29,MATCH(LARGE('V_Dengeli Değişken'!$AD$2:$AD$29,ROW()-3),'V_Dengeli Değişken'!$AD$2:$AD$29,0))</f>
        <v/>
      </c>
      <c r="H15" s="9">
        <f>INDEX('V_Dengeli Değişken'!G$2:G$29,MATCH(LARGE('V_Dengeli Değişken'!$AD$2:$AD$29,ROW()-3),'V_Dengeli Değişken'!$AD$2:$AD$29,0))</f>
        <v/>
      </c>
      <c r="I15" s="9">
        <f>INDEX('V_Dengeli Değişken'!H$2:H$29,MATCH(LARGE('V_Dengeli Değişken'!$AD$2:$AD$29,ROW()-3),'V_Dengeli Değişken'!$AD$2:$AD$29,0))</f>
        <v/>
      </c>
      <c r="J15" s="9">
        <f>INDEX('V_Dengeli Değişken'!I$2:I$29,MATCH(LARGE('V_Dengeli Değişken'!$AD$2:$AD$29,ROW()-3),'V_Dengeli Değişken'!$AD$2:$AD$29,0))</f>
        <v/>
      </c>
      <c r="K15" s="9">
        <f>INDEX('V_Dengeli Değişken'!J$2:J$29,MATCH(LARGE('V_Dengeli Değişken'!$AD$2:$AD$29,ROW()-3),'V_Dengeli Değişken'!$AD$2:$AD$29,0))</f>
        <v/>
      </c>
      <c r="L15" s="10">
        <f>INDEX('V_Dengeli Değişken'!K$2:K$29,MATCH(LARGE('V_Dengeli Değişken'!$AD$2:$AD$29,ROW()-3),'V_Dengeli Değişken'!$AD$2:$AD$29,0))</f>
        <v/>
      </c>
      <c r="M15" s="10">
        <f>INDEX('V_Dengeli Değişken'!L$2:L$29,MATCH(LARGE('V_Dengeli Değişken'!$AD$2:$AD$29,ROW()-3),'V_Dengeli Değişken'!$AD$2:$AD$29,0))</f>
        <v/>
      </c>
      <c r="N15" s="8">
        <f>INDEX('V_Dengeli Değişken'!M$2:M$29,MATCH(LARGE('V_Dengeli Değişken'!$AD$2:$AD$29,ROW()-3),'V_Dengeli Değişken'!$AD$2:$AD$29,0))</f>
        <v/>
      </c>
      <c r="O15" s="11">
        <f>INDEX('V_Dengeli Değişken'!N$2:N$29,MATCH(LARGE('V_Dengeli Değişken'!$AD$2:$AD$29,ROW()-3),'V_Dengeli Değişken'!$AD$2:$AD$29,0))</f>
        <v/>
      </c>
      <c r="P15" s="11">
        <f>INDEX('V_Dengeli Değişken'!O$2:O$29,MATCH(LARGE('V_Dengeli Değişken'!$AD$2:$AD$29,ROW()-3),'V_Dengeli Değişken'!$AD$2:$AD$29,0))</f>
        <v/>
      </c>
      <c r="Q15" s="8">
        <f>INDEX('V_Dengeli Değişken'!P$2:P$29,MATCH(LARGE('V_Dengeli Değişken'!$AD$2:$AD$29,ROW()-3),'V_Dengeli Değişken'!$AD$2:$AD$29,0))</f>
        <v/>
      </c>
      <c r="R15" s="9">
        <f>INDEX('V_Dengeli Değişken'!Q$2:Q$29,MATCH(LARGE('V_Dengeli Değişken'!$AD$2:$AD$29,ROW()-3),'V_Dengeli Değişken'!$AD$2:$AD$29,0))</f>
        <v/>
      </c>
      <c r="S15" s="5">
        <f>INDEX('V_Dengeli Değişken'!R$2:R$29,MATCH(LARGE('V_Dengeli Değişken'!$AD$2:$AD$29,ROW()-3),'V_Dengeli Değişken'!$AD$2:$AD$29,0))</f>
        <v/>
      </c>
      <c r="T15" s="8">
        <f>INDEX('V_Dengeli Değişken'!S$2:S$29,MATCH(LARGE('V_Dengeli Değişken'!$AD$2:$AD$29,ROW()-3),'V_Dengeli Değişken'!$AD$2:$AD$29,0))</f>
        <v/>
      </c>
      <c r="U15" s="8">
        <f>INDEX('V_Dengeli Değişken'!T$2:T$29,MATCH(LARGE('V_Dengeli Değişken'!$AD$2:$AD$29,ROW()-3),'V_Dengeli Değişken'!$AD$2:$AD$29,0))</f>
        <v/>
      </c>
      <c r="V15" s="8">
        <f>INDEX('V_Dengeli Değişken'!U$2:U$29,MATCH(LARGE('V_Dengeli Değişken'!$AD$2:$AD$29,ROW()-3),'V_Dengeli Değişken'!$AD$2:$AD$29,0))</f>
        <v/>
      </c>
      <c r="W15" s="8">
        <f>INDEX('V_Dengeli Değişken'!V$2:V$29,MATCH(LARGE('V_Dengeli Değişken'!$AD$2:$AD$29,ROW()-3),'V_Dengeli Değişken'!$AD$2:$AD$29,0))</f>
        <v/>
      </c>
      <c r="X15" s="8">
        <f>INDEX('V_Dengeli Değişken'!W$2:W$29,MATCH(LARGE('V_Dengeli Değişken'!$AD$2:$AD$29,ROW()-3),'V_Dengeli Değişken'!$AD$2:$AD$29,0))</f>
        <v/>
      </c>
      <c r="Y15" s="8">
        <f>INDEX('V_Dengeli Değişken'!X$2:X$29,MATCH(LARGE('V_Dengeli Değişken'!$AD$2:$AD$29,ROW()-3),'V_Dengeli Değişken'!$AD$2:$AD$29,0))</f>
        <v/>
      </c>
      <c r="Z15" s="8">
        <f>INDEX('V_Dengeli Değişken'!Y$2:Y$29,MATCH(LARGE('V_Dengeli Değişken'!$AD$2:$AD$29,ROW()-3),'V_Dengeli Değişken'!$AD$2:$AD$29,0))</f>
        <v/>
      </c>
      <c r="AA15" s="8">
        <f>INDEX('V_Dengeli Değişken'!Z$2:Z$29,MATCH(LARGE('V_Dengeli Değişken'!$AD$2:$AD$29,ROW()-3),'V_Dengeli Değişken'!$AD$2:$AD$29,0))</f>
        <v/>
      </c>
      <c r="AB15" s="8">
        <f>INDEX('V_Dengeli Değişken'!AA$2:AA$29,MATCH(LARGE('V_Dengeli Değişken'!$AD$2:$AD$29,ROW()-3),'V_Dengeli Değişken'!$AD$2:$AD$29,0))</f>
        <v/>
      </c>
      <c r="AC15" s="8">
        <f>INDEX('V_Dengeli Değişken'!AB$2:AB$29,MATCH(LARGE('V_Dengeli Değişken'!$AD$2:$AD$29,ROW()-3),'V_Dengeli Değişken'!$AD$2:$AD$29,0))</f>
        <v/>
      </c>
    </row>
    <row r="16">
      <c r="A16" t="n">
        <v>13</v>
      </c>
      <c r="B16" s="5">
        <f>INDEX('V_Dengeli Değişken'!A$2:A$29,MATCH(LARGE('V_Dengeli Değişken'!$AD$2:$AD$29,ROW()-3),'V_Dengeli Değişken'!$AD$2:$AD$29,0))</f>
        <v/>
      </c>
      <c r="C16" s="5">
        <f>INDEX('V_Dengeli Değişken'!B$2:B$29,MATCH(LARGE('V_Dengeli Değişken'!$AD$2:$AD$29,ROW()-3),'V_Dengeli Değişken'!$AD$2:$AD$29,0))</f>
        <v/>
      </c>
      <c r="D16" s="5">
        <f>INDEX('V_Dengeli Değişken'!C$2:C$29,MATCH(LARGE('V_Dengeli Değişken'!$AD$2:$AD$29,ROW()-3),'V_Dengeli Değişken'!$AD$2:$AD$29,0))</f>
        <v/>
      </c>
      <c r="E16" s="8">
        <f>INDEX('V_Dengeli Değişken'!D$2:D$29,MATCH(LARGE('V_Dengeli Değişken'!$AD$2:$AD$29,ROW()-3),'V_Dengeli Değişken'!$AD$2:$AD$29,0))</f>
        <v/>
      </c>
      <c r="F16" s="9">
        <f>INDEX('V_Dengeli Değişken'!E$2:E$29,MATCH(LARGE('V_Dengeli Değişken'!$AD$2:$AD$29,ROW()-3),'V_Dengeli Değişken'!$AD$2:$AD$29,0))</f>
        <v/>
      </c>
      <c r="G16" s="9">
        <f>INDEX('V_Dengeli Değişken'!F$2:F$29,MATCH(LARGE('V_Dengeli Değişken'!$AD$2:$AD$29,ROW()-3),'V_Dengeli Değişken'!$AD$2:$AD$29,0))</f>
        <v/>
      </c>
      <c r="H16" s="9">
        <f>INDEX('V_Dengeli Değişken'!G$2:G$29,MATCH(LARGE('V_Dengeli Değişken'!$AD$2:$AD$29,ROW()-3),'V_Dengeli Değişken'!$AD$2:$AD$29,0))</f>
        <v/>
      </c>
      <c r="I16" s="9">
        <f>INDEX('V_Dengeli Değişken'!H$2:H$29,MATCH(LARGE('V_Dengeli Değişken'!$AD$2:$AD$29,ROW()-3),'V_Dengeli Değişken'!$AD$2:$AD$29,0))</f>
        <v/>
      </c>
      <c r="J16" s="9">
        <f>INDEX('V_Dengeli Değişken'!I$2:I$29,MATCH(LARGE('V_Dengeli Değişken'!$AD$2:$AD$29,ROW()-3),'V_Dengeli Değişken'!$AD$2:$AD$29,0))</f>
        <v/>
      </c>
      <c r="K16" s="9">
        <f>INDEX('V_Dengeli Değişken'!J$2:J$29,MATCH(LARGE('V_Dengeli Değişken'!$AD$2:$AD$29,ROW()-3),'V_Dengeli Değişken'!$AD$2:$AD$29,0))</f>
        <v/>
      </c>
      <c r="L16" s="10">
        <f>INDEX('V_Dengeli Değişken'!K$2:K$29,MATCH(LARGE('V_Dengeli Değişken'!$AD$2:$AD$29,ROW()-3),'V_Dengeli Değişken'!$AD$2:$AD$29,0))</f>
        <v/>
      </c>
      <c r="M16" s="10">
        <f>INDEX('V_Dengeli Değişken'!L$2:L$29,MATCH(LARGE('V_Dengeli Değişken'!$AD$2:$AD$29,ROW()-3),'V_Dengeli Değişken'!$AD$2:$AD$29,0))</f>
        <v/>
      </c>
      <c r="N16" s="8">
        <f>INDEX('V_Dengeli Değişken'!M$2:M$29,MATCH(LARGE('V_Dengeli Değişken'!$AD$2:$AD$29,ROW()-3),'V_Dengeli Değişken'!$AD$2:$AD$29,0))</f>
        <v/>
      </c>
      <c r="O16" s="11">
        <f>INDEX('V_Dengeli Değişken'!N$2:N$29,MATCH(LARGE('V_Dengeli Değişken'!$AD$2:$AD$29,ROW()-3),'V_Dengeli Değişken'!$AD$2:$AD$29,0))</f>
        <v/>
      </c>
      <c r="P16" s="11">
        <f>INDEX('V_Dengeli Değişken'!O$2:O$29,MATCH(LARGE('V_Dengeli Değişken'!$AD$2:$AD$29,ROW()-3),'V_Dengeli Değişken'!$AD$2:$AD$29,0))</f>
        <v/>
      </c>
      <c r="Q16" s="8">
        <f>INDEX('V_Dengeli Değişken'!P$2:P$29,MATCH(LARGE('V_Dengeli Değişken'!$AD$2:$AD$29,ROW()-3),'V_Dengeli Değişken'!$AD$2:$AD$29,0))</f>
        <v/>
      </c>
      <c r="R16" s="9">
        <f>INDEX('V_Dengeli Değişken'!Q$2:Q$29,MATCH(LARGE('V_Dengeli Değişken'!$AD$2:$AD$29,ROW()-3),'V_Dengeli Değişken'!$AD$2:$AD$29,0))</f>
        <v/>
      </c>
      <c r="S16" s="5">
        <f>INDEX('V_Dengeli Değişken'!R$2:R$29,MATCH(LARGE('V_Dengeli Değişken'!$AD$2:$AD$29,ROW()-3),'V_Dengeli Değişken'!$AD$2:$AD$29,0))</f>
        <v/>
      </c>
      <c r="T16" s="8">
        <f>INDEX('V_Dengeli Değişken'!S$2:S$29,MATCH(LARGE('V_Dengeli Değişken'!$AD$2:$AD$29,ROW()-3),'V_Dengeli Değişken'!$AD$2:$AD$29,0))</f>
        <v/>
      </c>
      <c r="U16" s="8">
        <f>INDEX('V_Dengeli Değişken'!T$2:T$29,MATCH(LARGE('V_Dengeli Değişken'!$AD$2:$AD$29,ROW()-3),'V_Dengeli Değişken'!$AD$2:$AD$29,0))</f>
        <v/>
      </c>
      <c r="V16" s="8">
        <f>INDEX('V_Dengeli Değişken'!U$2:U$29,MATCH(LARGE('V_Dengeli Değişken'!$AD$2:$AD$29,ROW()-3),'V_Dengeli Değişken'!$AD$2:$AD$29,0))</f>
        <v/>
      </c>
      <c r="W16" s="8">
        <f>INDEX('V_Dengeli Değişken'!V$2:V$29,MATCH(LARGE('V_Dengeli Değişken'!$AD$2:$AD$29,ROW()-3),'V_Dengeli Değişken'!$AD$2:$AD$29,0))</f>
        <v/>
      </c>
      <c r="X16" s="8">
        <f>INDEX('V_Dengeli Değişken'!W$2:W$29,MATCH(LARGE('V_Dengeli Değişken'!$AD$2:$AD$29,ROW()-3),'V_Dengeli Değişken'!$AD$2:$AD$29,0))</f>
        <v/>
      </c>
      <c r="Y16" s="8">
        <f>INDEX('V_Dengeli Değişken'!X$2:X$29,MATCH(LARGE('V_Dengeli Değişken'!$AD$2:$AD$29,ROW()-3),'V_Dengeli Değişken'!$AD$2:$AD$29,0))</f>
        <v/>
      </c>
      <c r="Z16" s="8">
        <f>INDEX('V_Dengeli Değişken'!Y$2:Y$29,MATCH(LARGE('V_Dengeli Değişken'!$AD$2:$AD$29,ROW()-3),'V_Dengeli Değişken'!$AD$2:$AD$29,0))</f>
        <v/>
      </c>
      <c r="AA16" s="8">
        <f>INDEX('V_Dengeli Değişken'!Z$2:Z$29,MATCH(LARGE('V_Dengeli Değişken'!$AD$2:$AD$29,ROW()-3),'V_Dengeli Değişken'!$AD$2:$AD$29,0))</f>
        <v/>
      </c>
      <c r="AB16" s="8">
        <f>INDEX('V_Dengeli Değişken'!AA$2:AA$29,MATCH(LARGE('V_Dengeli Değişken'!$AD$2:$AD$29,ROW()-3),'V_Dengeli Değişken'!$AD$2:$AD$29,0))</f>
        <v/>
      </c>
      <c r="AC16" s="8">
        <f>INDEX('V_Dengeli Değişken'!AB$2:AB$29,MATCH(LARGE('V_Dengeli Değişken'!$AD$2:$AD$29,ROW()-3),'V_Dengeli Değişken'!$AD$2:$AD$29,0))</f>
        <v/>
      </c>
    </row>
    <row r="17">
      <c r="A17" t="n">
        <v>14</v>
      </c>
      <c r="B17" s="5">
        <f>INDEX('V_Dengeli Değişken'!A$2:A$29,MATCH(LARGE('V_Dengeli Değişken'!$AD$2:$AD$29,ROW()-3),'V_Dengeli Değişken'!$AD$2:$AD$29,0))</f>
        <v/>
      </c>
      <c r="C17" s="5">
        <f>INDEX('V_Dengeli Değişken'!B$2:B$29,MATCH(LARGE('V_Dengeli Değişken'!$AD$2:$AD$29,ROW()-3),'V_Dengeli Değişken'!$AD$2:$AD$29,0))</f>
        <v/>
      </c>
      <c r="D17" s="5">
        <f>INDEX('V_Dengeli Değişken'!C$2:C$29,MATCH(LARGE('V_Dengeli Değişken'!$AD$2:$AD$29,ROW()-3),'V_Dengeli Değişken'!$AD$2:$AD$29,0))</f>
        <v/>
      </c>
      <c r="E17" s="8">
        <f>INDEX('V_Dengeli Değişken'!D$2:D$29,MATCH(LARGE('V_Dengeli Değişken'!$AD$2:$AD$29,ROW()-3),'V_Dengeli Değişken'!$AD$2:$AD$29,0))</f>
        <v/>
      </c>
      <c r="F17" s="9">
        <f>INDEX('V_Dengeli Değişken'!E$2:E$29,MATCH(LARGE('V_Dengeli Değişken'!$AD$2:$AD$29,ROW()-3),'V_Dengeli Değişken'!$AD$2:$AD$29,0))</f>
        <v/>
      </c>
      <c r="G17" s="9">
        <f>INDEX('V_Dengeli Değişken'!F$2:F$29,MATCH(LARGE('V_Dengeli Değişken'!$AD$2:$AD$29,ROW()-3),'V_Dengeli Değişken'!$AD$2:$AD$29,0))</f>
        <v/>
      </c>
      <c r="H17" s="9">
        <f>INDEX('V_Dengeli Değişken'!G$2:G$29,MATCH(LARGE('V_Dengeli Değişken'!$AD$2:$AD$29,ROW()-3),'V_Dengeli Değişken'!$AD$2:$AD$29,0))</f>
        <v/>
      </c>
      <c r="I17" s="9">
        <f>INDEX('V_Dengeli Değişken'!H$2:H$29,MATCH(LARGE('V_Dengeli Değişken'!$AD$2:$AD$29,ROW()-3),'V_Dengeli Değişken'!$AD$2:$AD$29,0))</f>
        <v/>
      </c>
      <c r="J17" s="9">
        <f>INDEX('V_Dengeli Değişken'!I$2:I$29,MATCH(LARGE('V_Dengeli Değişken'!$AD$2:$AD$29,ROW()-3),'V_Dengeli Değişken'!$AD$2:$AD$29,0))</f>
        <v/>
      </c>
      <c r="K17" s="9">
        <f>INDEX('V_Dengeli Değişken'!J$2:J$29,MATCH(LARGE('V_Dengeli Değişken'!$AD$2:$AD$29,ROW()-3),'V_Dengeli Değişken'!$AD$2:$AD$29,0))</f>
        <v/>
      </c>
      <c r="L17" s="10">
        <f>INDEX('V_Dengeli Değişken'!K$2:K$29,MATCH(LARGE('V_Dengeli Değişken'!$AD$2:$AD$29,ROW()-3),'V_Dengeli Değişken'!$AD$2:$AD$29,0))</f>
        <v/>
      </c>
      <c r="M17" s="10">
        <f>INDEX('V_Dengeli Değişken'!L$2:L$29,MATCH(LARGE('V_Dengeli Değişken'!$AD$2:$AD$29,ROW()-3),'V_Dengeli Değişken'!$AD$2:$AD$29,0))</f>
        <v/>
      </c>
      <c r="N17" s="8">
        <f>INDEX('V_Dengeli Değişken'!M$2:M$29,MATCH(LARGE('V_Dengeli Değişken'!$AD$2:$AD$29,ROW()-3),'V_Dengeli Değişken'!$AD$2:$AD$29,0))</f>
        <v/>
      </c>
      <c r="O17" s="11">
        <f>INDEX('V_Dengeli Değişken'!N$2:N$29,MATCH(LARGE('V_Dengeli Değişken'!$AD$2:$AD$29,ROW()-3),'V_Dengeli Değişken'!$AD$2:$AD$29,0))</f>
        <v/>
      </c>
      <c r="P17" s="11">
        <f>INDEX('V_Dengeli Değişken'!O$2:O$29,MATCH(LARGE('V_Dengeli Değişken'!$AD$2:$AD$29,ROW()-3),'V_Dengeli Değişken'!$AD$2:$AD$29,0))</f>
        <v/>
      </c>
      <c r="Q17" s="8">
        <f>INDEX('V_Dengeli Değişken'!P$2:P$29,MATCH(LARGE('V_Dengeli Değişken'!$AD$2:$AD$29,ROW()-3),'V_Dengeli Değişken'!$AD$2:$AD$29,0))</f>
        <v/>
      </c>
      <c r="R17" s="9">
        <f>INDEX('V_Dengeli Değişken'!Q$2:Q$29,MATCH(LARGE('V_Dengeli Değişken'!$AD$2:$AD$29,ROW()-3),'V_Dengeli Değişken'!$AD$2:$AD$29,0))</f>
        <v/>
      </c>
      <c r="S17" s="5">
        <f>INDEX('V_Dengeli Değişken'!R$2:R$29,MATCH(LARGE('V_Dengeli Değişken'!$AD$2:$AD$29,ROW()-3),'V_Dengeli Değişken'!$AD$2:$AD$29,0))</f>
        <v/>
      </c>
      <c r="T17" s="8">
        <f>INDEX('V_Dengeli Değişken'!S$2:S$29,MATCH(LARGE('V_Dengeli Değişken'!$AD$2:$AD$29,ROW()-3),'V_Dengeli Değişken'!$AD$2:$AD$29,0))</f>
        <v/>
      </c>
      <c r="U17" s="8">
        <f>INDEX('V_Dengeli Değişken'!T$2:T$29,MATCH(LARGE('V_Dengeli Değişken'!$AD$2:$AD$29,ROW()-3),'V_Dengeli Değişken'!$AD$2:$AD$29,0))</f>
        <v/>
      </c>
      <c r="V17" s="8">
        <f>INDEX('V_Dengeli Değişken'!U$2:U$29,MATCH(LARGE('V_Dengeli Değişken'!$AD$2:$AD$29,ROW()-3),'V_Dengeli Değişken'!$AD$2:$AD$29,0))</f>
        <v/>
      </c>
      <c r="W17" s="8">
        <f>INDEX('V_Dengeli Değişken'!V$2:V$29,MATCH(LARGE('V_Dengeli Değişken'!$AD$2:$AD$29,ROW()-3),'V_Dengeli Değişken'!$AD$2:$AD$29,0))</f>
        <v/>
      </c>
      <c r="X17" s="8">
        <f>INDEX('V_Dengeli Değişken'!W$2:W$29,MATCH(LARGE('V_Dengeli Değişken'!$AD$2:$AD$29,ROW()-3),'V_Dengeli Değişken'!$AD$2:$AD$29,0))</f>
        <v/>
      </c>
      <c r="Y17" s="8">
        <f>INDEX('V_Dengeli Değişken'!X$2:X$29,MATCH(LARGE('V_Dengeli Değişken'!$AD$2:$AD$29,ROW()-3),'V_Dengeli Değişken'!$AD$2:$AD$29,0))</f>
        <v/>
      </c>
      <c r="Z17" s="8">
        <f>INDEX('V_Dengeli Değişken'!Y$2:Y$29,MATCH(LARGE('V_Dengeli Değişken'!$AD$2:$AD$29,ROW()-3),'V_Dengeli Değişken'!$AD$2:$AD$29,0))</f>
        <v/>
      </c>
      <c r="AA17" s="8">
        <f>INDEX('V_Dengeli Değişken'!Z$2:Z$29,MATCH(LARGE('V_Dengeli Değişken'!$AD$2:$AD$29,ROW()-3),'V_Dengeli Değişken'!$AD$2:$AD$29,0))</f>
        <v/>
      </c>
      <c r="AB17" s="8">
        <f>INDEX('V_Dengeli Değişken'!AA$2:AA$29,MATCH(LARGE('V_Dengeli Değişken'!$AD$2:$AD$29,ROW()-3),'V_Dengeli Değişken'!$AD$2:$AD$29,0))</f>
        <v/>
      </c>
      <c r="AC17" s="8">
        <f>INDEX('V_Dengeli Değişken'!AB$2:AB$29,MATCH(LARGE('V_Dengeli Değişken'!$AD$2:$AD$29,ROW()-3),'V_Dengeli Değişken'!$AD$2:$AD$29,0))</f>
        <v/>
      </c>
    </row>
    <row r="18">
      <c r="A18" t="n">
        <v>15</v>
      </c>
      <c r="B18" s="5">
        <f>INDEX('V_Dengeli Değişken'!A$2:A$29,MATCH(LARGE('V_Dengeli Değişken'!$AD$2:$AD$29,ROW()-3),'V_Dengeli Değişken'!$AD$2:$AD$29,0))</f>
        <v/>
      </c>
      <c r="C18" s="5">
        <f>INDEX('V_Dengeli Değişken'!B$2:B$29,MATCH(LARGE('V_Dengeli Değişken'!$AD$2:$AD$29,ROW()-3),'V_Dengeli Değişken'!$AD$2:$AD$29,0))</f>
        <v/>
      </c>
      <c r="D18" s="5">
        <f>INDEX('V_Dengeli Değişken'!C$2:C$29,MATCH(LARGE('V_Dengeli Değişken'!$AD$2:$AD$29,ROW()-3),'V_Dengeli Değişken'!$AD$2:$AD$29,0))</f>
        <v/>
      </c>
      <c r="E18" s="8">
        <f>INDEX('V_Dengeli Değişken'!D$2:D$29,MATCH(LARGE('V_Dengeli Değişken'!$AD$2:$AD$29,ROW()-3),'V_Dengeli Değişken'!$AD$2:$AD$29,0))</f>
        <v/>
      </c>
      <c r="F18" s="9">
        <f>INDEX('V_Dengeli Değişken'!E$2:E$29,MATCH(LARGE('V_Dengeli Değişken'!$AD$2:$AD$29,ROW()-3),'V_Dengeli Değişken'!$AD$2:$AD$29,0))</f>
        <v/>
      </c>
      <c r="G18" s="9">
        <f>INDEX('V_Dengeli Değişken'!F$2:F$29,MATCH(LARGE('V_Dengeli Değişken'!$AD$2:$AD$29,ROW()-3),'V_Dengeli Değişken'!$AD$2:$AD$29,0))</f>
        <v/>
      </c>
      <c r="H18" s="9">
        <f>INDEX('V_Dengeli Değişken'!G$2:G$29,MATCH(LARGE('V_Dengeli Değişken'!$AD$2:$AD$29,ROW()-3),'V_Dengeli Değişken'!$AD$2:$AD$29,0))</f>
        <v/>
      </c>
      <c r="I18" s="9">
        <f>INDEX('V_Dengeli Değişken'!H$2:H$29,MATCH(LARGE('V_Dengeli Değişken'!$AD$2:$AD$29,ROW()-3),'V_Dengeli Değişken'!$AD$2:$AD$29,0))</f>
        <v/>
      </c>
      <c r="J18" s="9">
        <f>INDEX('V_Dengeli Değişken'!I$2:I$29,MATCH(LARGE('V_Dengeli Değişken'!$AD$2:$AD$29,ROW()-3),'V_Dengeli Değişken'!$AD$2:$AD$29,0))</f>
        <v/>
      </c>
      <c r="K18" s="9">
        <f>INDEX('V_Dengeli Değişken'!J$2:J$29,MATCH(LARGE('V_Dengeli Değişken'!$AD$2:$AD$29,ROW()-3),'V_Dengeli Değişken'!$AD$2:$AD$29,0))</f>
        <v/>
      </c>
      <c r="L18" s="10">
        <f>INDEX('V_Dengeli Değişken'!K$2:K$29,MATCH(LARGE('V_Dengeli Değişken'!$AD$2:$AD$29,ROW()-3),'V_Dengeli Değişken'!$AD$2:$AD$29,0))</f>
        <v/>
      </c>
      <c r="M18" s="10">
        <f>INDEX('V_Dengeli Değişken'!L$2:L$29,MATCH(LARGE('V_Dengeli Değişken'!$AD$2:$AD$29,ROW()-3),'V_Dengeli Değişken'!$AD$2:$AD$29,0))</f>
        <v/>
      </c>
      <c r="N18" s="8">
        <f>INDEX('V_Dengeli Değişken'!M$2:M$29,MATCH(LARGE('V_Dengeli Değişken'!$AD$2:$AD$29,ROW()-3),'V_Dengeli Değişken'!$AD$2:$AD$29,0))</f>
        <v/>
      </c>
      <c r="O18" s="11">
        <f>INDEX('V_Dengeli Değişken'!N$2:N$29,MATCH(LARGE('V_Dengeli Değişken'!$AD$2:$AD$29,ROW()-3),'V_Dengeli Değişken'!$AD$2:$AD$29,0))</f>
        <v/>
      </c>
      <c r="P18" s="11">
        <f>INDEX('V_Dengeli Değişken'!O$2:O$29,MATCH(LARGE('V_Dengeli Değişken'!$AD$2:$AD$29,ROW()-3),'V_Dengeli Değişken'!$AD$2:$AD$29,0))</f>
        <v/>
      </c>
      <c r="Q18" s="8">
        <f>INDEX('V_Dengeli Değişken'!P$2:P$29,MATCH(LARGE('V_Dengeli Değişken'!$AD$2:$AD$29,ROW()-3),'V_Dengeli Değişken'!$AD$2:$AD$29,0))</f>
        <v/>
      </c>
      <c r="R18" s="9">
        <f>INDEX('V_Dengeli Değişken'!Q$2:Q$29,MATCH(LARGE('V_Dengeli Değişken'!$AD$2:$AD$29,ROW()-3),'V_Dengeli Değişken'!$AD$2:$AD$29,0))</f>
        <v/>
      </c>
      <c r="S18" s="5">
        <f>INDEX('V_Dengeli Değişken'!R$2:R$29,MATCH(LARGE('V_Dengeli Değişken'!$AD$2:$AD$29,ROW()-3),'V_Dengeli Değişken'!$AD$2:$AD$29,0))</f>
        <v/>
      </c>
      <c r="T18" s="8">
        <f>INDEX('V_Dengeli Değişken'!S$2:S$29,MATCH(LARGE('V_Dengeli Değişken'!$AD$2:$AD$29,ROW()-3),'V_Dengeli Değişken'!$AD$2:$AD$29,0))</f>
        <v/>
      </c>
      <c r="U18" s="8">
        <f>INDEX('V_Dengeli Değişken'!T$2:T$29,MATCH(LARGE('V_Dengeli Değişken'!$AD$2:$AD$29,ROW()-3),'V_Dengeli Değişken'!$AD$2:$AD$29,0))</f>
        <v/>
      </c>
      <c r="V18" s="8">
        <f>INDEX('V_Dengeli Değişken'!U$2:U$29,MATCH(LARGE('V_Dengeli Değişken'!$AD$2:$AD$29,ROW()-3),'V_Dengeli Değişken'!$AD$2:$AD$29,0))</f>
        <v/>
      </c>
      <c r="W18" s="8">
        <f>INDEX('V_Dengeli Değişken'!V$2:V$29,MATCH(LARGE('V_Dengeli Değişken'!$AD$2:$AD$29,ROW()-3),'V_Dengeli Değişken'!$AD$2:$AD$29,0))</f>
        <v/>
      </c>
      <c r="X18" s="8">
        <f>INDEX('V_Dengeli Değişken'!W$2:W$29,MATCH(LARGE('V_Dengeli Değişken'!$AD$2:$AD$29,ROW()-3),'V_Dengeli Değişken'!$AD$2:$AD$29,0))</f>
        <v/>
      </c>
      <c r="Y18" s="8">
        <f>INDEX('V_Dengeli Değişken'!X$2:X$29,MATCH(LARGE('V_Dengeli Değişken'!$AD$2:$AD$29,ROW()-3),'V_Dengeli Değişken'!$AD$2:$AD$29,0))</f>
        <v/>
      </c>
      <c r="Z18" s="8">
        <f>INDEX('V_Dengeli Değişken'!Y$2:Y$29,MATCH(LARGE('V_Dengeli Değişken'!$AD$2:$AD$29,ROW()-3),'V_Dengeli Değişken'!$AD$2:$AD$29,0))</f>
        <v/>
      </c>
      <c r="AA18" s="8">
        <f>INDEX('V_Dengeli Değişken'!Z$2:Z$29,MATCH(LARGE('V_Dengeli Değişken'!$AD$2:$AD$29,ROW()-3),'V_Dengeli Değişken'!$AD$2:$AD$29,0))</f>
        <v/>
      </c>
      <c r="AB18" s="8">
        <f>INDEX('V_Dengeli Değişken'!AA$2:AA$29,MATCH(LARGE('V_Dengeli Değişken'!$AD$2:$AD$29,ROW()-3),'V_Dengeli Değişken'!$AD$2:$AD$29,0))</f>
        <v/>
      </c>
      <c r="AC18" s="8">
        <f>INDEX('V_Dengeli Değişken'!AB$2:AB$29,MATCH(LARGE('V_Dengeli Değişken'!$AD$2:$AD$29,ROW()-3),'V_Dengeli Değişken'!$AD$2:$AD$29,0))</f>
        <v/>
      </c>
    </row>
    <row r="19">
      <c r="A19" t="n">
        <v>16</v>
      </c>
      <c r="B19" s="5">
        <f>INDEX('V_Dengeli Değişken'!A$2:A$29,MATCH(LARGE('V_Dengeli Değişken'!$AD$2:$AD$29,ROW()-3),'V_Dengeli Değişken'!$AD$2:$AD$29,0))</f>
        <v/>
      </c>
      <c r="C19" s="5">
        <f>INDEX('V_Dengeli Değişken'!B$2:B$29,MATCH(LARGE('V_Dengeli Değişken'!$AD$2:$AD$29,ROW()-3),'V_Dengeli Değişken'!$AD$2:$AD$29,0))</f>
        <v/>
      </c>
      <c r="D19" s="5">
        <f>INDEX('V_Dengeli Değişken'!C$2:C$29,MATCH(LARGE('V_Dengeli Değişken'!$AD$2:$AD$29,ROW()-3),'V_Dengeli Değişken'!$AD$2:$AD$29,0))</f>
        <v/>
      </c>
      <c r="E19" s="8">
        <f>INDEX('V_Dengeli Değişken'!D$2:D$29,MATCH(LARGE('V_Dengeli Değişken'!$AD$2:$AD$29,ROW()-3),'V_Dengeli Değişken'!$AD$2:$AD$29,0))</f>
        <v/>
      </c>
      <c r="F19" s="9">
        <f>INDEX('V_Dengeli Değişken'!E$2:E$29,MATCH(LARGE('V_Dengeli Değişken'!$AD$2:$AD$29,ROW()-3),'V_Dengeli Değişken'!$AD$2:$AD$29,0))</f>
        <v/>
      </c>
      <c r="G19" s="9">
        <f>INDEX('V_Dengeli Değişken'!F$2:F$29,MATCH(LARGE('V_Dengeli Değişken'!$AD$2:$AD$29,ROW()-3),'V_Dengeli Değişken'!$AD$2:$AD$29,0))</f>
        <v/>
      </c>
      <c r="H19" s="9">
        <f>INDEX('V_Dengeli Değişken'!G$2:G$29,MATCH(LARGE('V_Dengeli Değişken'!$AD$2:$AD$29,ROW()-3),'V_Dengeli Değişken'!$AD$2:$AD$29,0))</f>
        <v/>
      </c>
      <c r="I19" s="9">
        <f>INDEX('V_Dengeli Değişken'!H$2:H$29,MATCH(LARGE('V_Dengeli Değişken'!$AD$2:$AD$29,ROW()-3),'V_Dengeli Değişken'!$AD$2:$AD$29,0))</f>
        <v/>
      </c>
      <c r="J19" s="9">
        <f>INDEX('V_Dengeli Değişken'!I$2:I$29,MATCH(LARGE('V_Dengeli Değişken'!$AD$2:$AD$29,ROW()-3),'V_Dengeli Değişken'!$AD$2:$AD$29,0))</f>
        <v/>
      </c>
      <c r="K19" s="9">
        <f>INDEX('V_Dengeli Değişken'!J$2:J$29,MATCH(LARGE('V_Dengeli Değişken'!$AD$2:$AD$29,ROW()-3),'V_Dengeli Değişken'!$AD$2:$AD$29,0))</f>
        <v/>
      </c>
      <c r="L19" s="10">
        <f>INDEX('V_Dengeli Değişken'!K$2:K$29,MATCH(LARGE('V_Dengeli Değişken'!$AD$2:$AD$29,ROW()-3),'V_Dengeli Değişken'!$AD$2:$AD$29,0))</f>
        <v/>
      </c>
      <c r="M19" s="10">
        <f>INDEX('V_Dengeli Değişken'!L$2:L$29,MATCH(LARGE('V_Dengeli Değişken'!$AD$2:$AD$29,ROW()-3),'V_Dengeli Değişken'!$AD$2:$AD$29,0))</f>
        <v/>
      </c>
      <c r="N19" s="8">
        <f>INDEX('V_Dengeli Değişken'!M$2:M$29,MATCH(LARGE('V_Dengeli Değişken'!$AD$2:$AD$29,ROW()-3),'V_Dengeli Değişken'!$AD$2:$AD$29,0))</f>
        <v/>
      </c>
      <c r="O19" s="11">
        <f>INDEX('V_Dengeli Değişken'!N$2:N$29,MATCH(LARGE('V_Dengeli Değişken'!$AD$2:$AD$29,ROW()-3),'V_Dengeli Değişken'!$AD$2:$AD$29,0))</f>
        <v/>
      </c>
      <c r="P19" s="11">
        <f>INDEX('V_Dengeli Değişken'!O$2:O$29,MATCH(LARGE('V_Dengeli Değişken'!$AD$2:$AD$29,ROW()-3),'V_Dengeli Değişken'!$AD$2:$AD$29,0))</f>
        <v/>
      </c>
      <c r="Q19" s="8">
        <f>INDEX('V_Dengeli Değişken'!P$2:P$29,MATCH(LARGE('V_Dengeli Değişken'!$AD$2:$AD$29,ROW()-3),'V_Dengeli Değişken'!$AD$2:$AD$29,0))</f>
        <v/>
      </c>
      <c r="R19" s="9">
        <f>INDEX('V_Dengeli Değişken'!Q$2:Q$29,MATCH(LARGE('V_Dengeli Değişken'!$AD$2:$AD$29,ROW()-3),'V_Dengeli Değişken'!$AD$2:$AD$29,0))</f>
        <v/>
      </c>
      <c r="S19" s="5">
        <f>INDEX('V_Dengeli Değişken'!R$2:R$29,MATCH(LARGE('V_Dengeli Değişken'!$AD$2:$AD$29,ROW()-3),'V_Dengeli Değişken'!$AD$2:$AD$29,0))</f>
        <v/>
      </c>
      <c r="T19" s="8">
        <f>INDEX('V_Dengeli Değişken'!S$2:S$29,MATCH(LARGE('V_Dengeli Değişken'!$AD$2:$AD$29,ROW()-3),'V_Dengeli Değişken'!$AD$2:$AD$29,0))</f>
        <v/>
      </c>
      <c r="U19" s="8">
        <f>INDEX('V_Dengeli Değişken'!T$2:T$29,MATCH(LARGE('V_Dengeli Değişken'!$AD$2:$AD$29,ROW()-3),'V_Dengeli Değişken'!$AD$2:$AD$29,0))</f>
        <v/>
      </c>
      <c r="V19" s="8">
        <f>INDEX('V_Dengeli Değişken'!U$2:U$29,MATCH(LARGE('V_Dengeli Değişken'!$AD$2:$AD$29,ROW()-3),'V_Dengeli Değişken'!$AD$2:$AD$29,0))</f>
        <v/>
      </c>
      <c r="W19" s="8">
        <f>INDEX('V_Dengeli Değişken'!V$2:V$29,MATCH(LARGE('V_Dengeli Değişken'!$AD$2:$AD$29,ROW()-3),'V_Dengeli Değişken'!$AD$2:$AD$29,0))</f>
        <v/>
      </c>
      <c r="X19" s="8">
        <f>INDEX('V_Dengeli Değişken'!W$2:W$29,MATCH(LARGE('V_Dengeli Değişken'!$AD$2:$AD$29,ROW()-3),'V_Dengeli Değişken'!$AD$2:$AD$29,0))</f>
        <v/>
      </c>
      <c r="Y19" s="8">
        <f>INDEX('V_Dengeli Değişken'!X$2:X$29,MATCH(LARGE('V_Dengeli Değişken'!$AD$2:$AD$29,ROW()-3),'V_Dengeli Değişken'!$AD$2:$AD$29,0))</f>
        <v/>
      </c>
      <c r="Z19" s="8">
        <f>INDEX('V_Dengeli Değişken'!Y$2:Y$29,MATCH(LARGE('V_Dengeli Değişken'!$AD$2:$AD$29,ROW()-3),'V_Dengeli Değişken'!$AD$2:$AD$29,0))</f>
        <v/>
      </c>
      <c r="AA19" s="8">
        <f>INDEX('V_Dengeli Değişken'!Z$2:Z$29,MATCH(LARGE('V_Dengeli Değişken'!$AD$2:$AD$29,ROW()-3),'V_Dengeli Değişken'!$AD$2:$AD$29,0))</f>
        <v/>
      </c>
      <c r="AB19" s="8">
        <f>INDEX('V_Dengeli Değişken'!AA$2:AA$29,MATCH(LARGE('V_Dengeli Değişken'!$AD$2:$AD$29,ROW()-3),'V_Dengeli Değişken'!$AD$2:$AD$29,0))</f>
        <v/>
      </c>
      <c r="AC19" s="8">
        <f>INDEX('V_Dengeli Değişken'!AB$2:AB$29,MATCH(LARGE('V_Dengeli Değişken'!$AD$2:$AD$29,ROW()-3),'V_Dengeli Değişken'!$AD$2:$AD$29,0))</f>
        <v/>
      </c>
    </row>
    <row r="20">
      <c r="A20" t="n">
        <v>17</v>
      </c>
      <c r="B20" s="5">
        <f>INDEX('V_Dengeli Değişken'!A$2:A$29,MATCH(LARGE('V_Dengeli Değişken'!$AD$2:$AD$29,ROW()-3),'V_Dengeli Değişken'!$AD$2:$AD$29,0))</f>
        <v/>
      </c>
      <c r="C20" s="5">
        <f>INDEX('V_Dengeli Değişken'!B$2:B$29,MATCH(LARGE('V_Dengeli Değişken'!$AD$2:$AD$29,ROW()-3),'V_Dengeli Değişken'!$AD$2:$AD$29,0))</f>
        <v/>
      </c>
      <c r="D20" s="5">
        <f>INDEX('V_Dengeli Değişken'!C$2:C$29,MATCH(LARGE('V_Dengeli Değişken'!$AD$2:$AD$29,ROW()-3),'V_Dengeli Değişken'!$AD$2:$AD$29,0))</f>
        <v/>
      </c>
      <c r="E20" s="8">
        <f>INDEX('V_Dengeli Değişken'!D$2:D$29,MATCH(LARGE('V_Dengeli Değişken'!$AD$2:$AD$29,ROW()-3),'V_Dengeli Değişken'!$AD$2:$AD$29,0))</f>
        <v/>
      </c>
      <c r="F20" s="9">
        <f>INDEX('V_Dengeli Değişken'!E$2:E$29,MATCH(LARGE('V_Dengeli Değişken'!$AD$2:$AD$29,ROW()-3),'V_Dengeli Değişken'!$AD$2:$AD$29,0))</f>
        <v/>
      </c>
      <c r="G20" s="9">
        <f>INDEX('V_Dengeli Değişken'!F$2:F$29,MATCH(LARGE('V_Dengeli Değişken'!$AD$2:$AD$29,ROW()-3),'V_Dengeli Değişken'!$AD$2:$AD$29,0))</f>
        <v/>
      </c>
      <c r="H20" s="9">
        <f>INDEX('V_Dengeli Değişken'!G$2:G$29,MATCH(LARGE('V_Dengeli Değişken'!$AD$2:$AD$29,ROW()-3),'V_Dengeli Değişken'!$AD$2:$AD$29,0))</f>
        <v/>
      </c>
      <c r="I20" s="9">
        <f>INDEX('V_Dengeli Değişken'!H$2:H$29,MATCH(LARGE('V_Dengeli Değişken'!$AD$2:$AD$29,ROW()-3),'V_Dengeli Değişken'!$AD$2:$AD$29,0))</f>
        <v/>
      </c>
      <c r="J20" s="9">
        <f>INDEX('V_Dengeli Değişken'!I$2:I$29,MATCH(LARGE('V_Dengeli Değişken'!$AD$2:$AD$29,ROW()-3),'V_Dengeli Değişken'!$AD$2:$AD$29,0))</f>
        <v/>
      </c>
      <c r="K20" s="9">
        <f>INDEX('V_Dengeli Değişken'!J$2:J$29,MATCH(LARGE('V_Dengeli Değişken'!$AD$2:$AD$29,ROW()-3),'V_Dengeli Değişken'!$AD$2:$AD$29,0))</f>
        <v/>
      </c>
      <c r="L20" s="10">
        <f>INDEX('V_Dengeli Değişken'!K$2:K$29,MATCH(LARGE('V_Dengeli Değişken'!$AD$2:$AD$29,ROW()-3),'V_Dengeli Değişken'!$AD$2:$AD$29,0))</f>
        <v/>
      </c>
      <c r="M20" s="10">
        <f>INDEX('V_Dengeli Değişken'!L$2:L$29,MATCH(LARGE('V_Dengeli Değişken'!$AD$2:$AD$29,ROW()-3),'V_Dengeli Değişken'!$AD$2:$AD$29,0))</f>
        <v/>
      </c>
      <c r="N20" s="8">
        <f>INDEX('V_Dengeli Değişken'!M$2:M$29,MATCH(LARGE('V_Dengeli Değişken'!$AD$2:$AD$29,ROW()-3),'V_Dengeli Değişken'!$AD$2:$AD$29,0))</f>
        <v/>
      </c>
      <c r="O20" s="11">
        <f>INDEX('V_Dengeli Değişken'!N$2:N$29,MATCH(LARGE('V_Dengeli Değişken'!$AD$2:$AD$29,ROW()-3),'V_Dengeli Değişken'!$AD$2:$AD$29,0))</f>
        <v/>
      </c>
      <c r="P20" s="11">
        <f>INDEX('V_Dengeli Değişken'!O$2:O$29,MATCH(LARGE('V_Dengeli Değişken'!$AD$2:$AD$29,ROW()-3),'V_Dengeli Değişken'!$AD$2:$AD$29,0))</f>
        <v/>
      </c>
      <c r="Q20" s="8">
        <f>INDEX('V_Dengeli Değişken'!P$2:P$29,MATCH(LARGE('V_Dengeli Değişken'!$AD$2:$AD$29,ROW()-3),'V_Dengeli Değişken'!$AD$2:$AD$29,0))</f>
        <v/>
      </c>
      <c r="R20" s="9">
        <f>INDEX('V_Dengeli Değişken'!Q$2:Q$29,MATCH(LARGE('V_Dengeli Değişken'!$AD$2:$AD$29,ROW()-3),'V_Dengeli Değişken'!$AD$2:$AD$29,0))</f>
        <v/>
      </c>
      <c r="S20" s="5">
        <f>INDEX('V_Dengeli Değişken'!R$2:R$29,MATCH(LARGE('V_Dengeli Değişken'!$AD$2:$AD$29,ROW()-3),'V_Dengeli Değişken'!$AD$2:$AD$29,0))</f>
        <v/>
      </c>
      <c r="T20" s="8">
        <f>INDEX('V_Dengeli Değişken'!S$2:S$29,MATCH(LARGE('V_Dengeli Değişken'!$AD$2:$AD$29,ROW()-3),'V_Dengeli Değişken'!$AD$2:$AD$29,0))</f>
        <v/>
      </c>
      <c r="U20" s="8">
        <f>INDEX('V_Dengeli Değişken'!T$2:T$29,MATCH(LARGE('V_Dengeli Değişken'!$AD$2:$AD$29,ROW()-3),'V_Dengeli Değişken'!$AD$2:$AD$29,0))</f>
        <v/>
      </c>
      <c r="V20" s="8">
        <f>INDEX('V_Dengeli Değişken'!U$2:U$29,MATCH(LARGE('V_Dengeli Değişken'!$AD$2:$AD$29,ROW()-3),'V_Dengeli Değişken'!$AD$2:$AD$29,0))</f>
        <v/>
      </c>
      <c r="W20" s="8">
        <f>INDEX('V_Dengeli Değişken'!V$2:V$29,MATCH(LARGE('V_Dengeli Değişken'!$AD$2:$AD$29,ROW()-3),'V_Dengeli Değişken'!$AD$2:$AD$29,0))</f>
        <v/>
      </c>
      <c r="X20" s="8">
        <f>INDEX('V_Dengeli Değişken'!W$2:W$29,MATCH(LARGE('V_Dengeli Değişken'!$AD$2:$AD$29,ROW()-3),'V_Dengeli Değişken'!$AD$2:$AD$29,0))</f>
        <v/>
      </c>
      <c r="Y20" s="8">
        <f>INDEX('V_Dengeli Değişken'!X$2:X$29,MATCH(LARGE('V_Dengeli Değişken'!$AD$2:$AD$29,ROW()-3),'V_Dengeli Değişken'!$AD$2:$AD$29,0))</f>
        <v/>
      </c>
      <c r="Z20" s="8">
        <f>INDEX('V_Dengeli Değişken'!Y$2:Y$29,MATCH(LARGE('V_Dengeli Değişken'!$AD$2:$AD$29,ROW()-3),'V_Dengeli Değişken'!$AD$2:$AD$29,0))</f>
        <v/>
      </c>
      <c r="AA20" s="8">
        <f>INDEX('V_Dengeli Değişken'!Z$2:Z$29,MATCH(LARGE('V_Dengeli Değişken'!$AD$2:$AD$29,ROW()-3),'V_Dengeli Değişken'!$AD$2:$AD$29,0))</f>
        <v/>
      </c>
      <c r="AB20" s="8">
        <f>INDEX('V_Dengeli Değişken'!AA$2:AA$29,MATCH(LARGE('V_Dengeli Değişken'!$AD$2:$AD$29,ROW()-3),'V_Dengeli Değişken'!$AD$2:$AD$29,0))</f>
        <v/>
      </c>
      <c r="AC20" s="8">
        <f>INDEX('V_Dengeli Değişken'!AB$2:AB$29,MATCH(LARGE('V_Dengeli Değişken'!$AD$2:$AD$29,ROW()-3),'V_Dengeli Değişken'!$AD$2:$AD$29,0))</f>
        <v/>
      </c>
    </row>
    <row r="21">
      <c r="A21" t="n">
        <v>18</v>
      </c>
      <c r="B21" s="5">
        <f>INDEX('V_Dengeli Değişken'!A$2:A$29,MATCH(LARGE('V_Dengeli Değişken'!$AD$2:$AD$29,ROW()-3),'V_Dengeli Değişken'!$AD$2:$AD$29,0))</f>
        <v/>
      </c>
      <c r="C21" s="5">
        <f>INDEX('V_Dengeli Değişken'!B$2:B$29,MATCH(LARGE('V_Dengeli Değişken'!$AD$2:$AD$29,ROW()-3),'V_Dengeli Değişken'!$AD$2:$AD$29,0))</f>
        <v/>
      </c>
      <c r="D21" s="5">
        <f>INDEX('V_Dengeli Değişken'!C$2:C$29,MATCH(LARGE('V_Dengeli Değişken'!$AD$2:$AD$29,ROW()-3),'V_Dengeli Değişken'!$AD$2:$AD$29,0))</f>
        <v/>
      </c>
      <c r="E21" s="8">
        <f>INDEX('V_Dengeli Değişken'!D$2:D$29,MATCH(LARGE('V_Dengeli Değişken'!$AD$2:$AD$29,ROW()-3),'V_Dengeli Değişken'!$AD$2:$AD$29,0))</f>
        <v/>
      </c>
      <c r="F21" s="9">
        <f>INDEX('V_Dengeli Değişken'!E$2:E$29,MATCH(LARGE('V_Dengeli Değişken'!$AD$2:$AD$29,ROW()-3),'V_Dengeli Değişken'!$AD$2:$AD$29,0))</f>
        <v/>
      </c>
      <c r="G21" s="9">
        <f>INDEX('V_Dengeli Değişken'!F$2:F$29,MATCH(LARGE('V_Dengeli Değişken'!$AD$2:$AD$29,ROW()-3),'V_Dengeli Değişken'!$AD$2:$AD$29,0))</f>
        <v/>
      </c>
      <c r="H21" s="9">
        <f>INDEX('V_Dengeli Değişken'!G$2:G$29,MATCH(LARGE('V_Dengeli Değişken'!$AD$2:$AD$29,ROW()-3),'V_Dengeli Değişken'!$AD$2:$AD$29,0))</f>
        <v/>
      </c>
      <c r="I21" s="9">
        <f>INDEX('V_Dengeli Değişken'!H$2:H$29,MATCH(LARGE('V_Dengeli Değişken'!$AD$2:$AD$29,ROW()-3),'V_Dengeli Değişken'!$AD$2:$AD$29,0))</f>
        <v/>
      </c>
      <c r="J21" s="9">
        <f>INDEX('V_Dengeli Değişken'!I$2:I$29,MATCH(LARGE('V_Dengeli Değişken'!$AD$2:$AD$29,ROW()-3),'V_Dengeli Değişken'!$AD$2:$AD$29,0))</f>
        <v/>
      </c>
      <c r="K21" s="9">
        <f>INDEX('V_Dengeli Değişken'!J$2:J$29,MATCH(LARGE('V_Dengeli Değişken'!$AD$2:$AD$29,ROW()-3),'V_Dengeli Değişken'!$AD$2:$AD$29,0))</f>
        <v/>
      </c>
      <c r="L21" s="10">
        <f>INDEX('V_Dengeli Değişken'!K$2:K$29,MATCH(LARGE('V_Dengeli Değişken'!$AD$2:$AD$29,ROW()-3),'V_Dengeli Değişken'!$AD$2:$AD$29,0))</f>
        <v/>
      </c>
      <c r="M21" s="10">
        <f>INDEX('V_Dengeli Değişken'!L$2:L$29,MATCH(LARGE('V_Dengeli Değişken'!$AD$2:$AD$29,ROW()-3),'V_Dengeli Değişken'!$AD$2:$AD$29,0))</f>
        <v/>
      </c>
      <c r="N21" s="8">
        <f>INDEX('V_Dengeli Değişken'!M$2:M$29,MATCH(LARGE('V_Dengeli Değişken'!$AD$2:$AD$29,ROW()-3),'V_Dengeli Değişken'!$AD$2:$AD$29,0))</f>
        <v/>
      </c>
      <c r="O21" s="11">
        <f>INDEX('V_Dengeli Değişken'!N$2:N$29,MATCH(LARGE('V_Dengeli Değişken'!$AD$2:$AD$29,ROW()-3),'V_Dengeli Değişken'!$AD$2:$AD$29,0))</f>
        <v/>
      </c>
      <c r="P21" s="11">
        <f>INDEX('V_Dengeli Değişken'!O$2:O$29,MATCH(LARGE('V_Dengeli Değişken'!$AD$2:$AD$29,ROW()-3),'V_Dengeli Değişken'!$AD$2:$AD$29,0))</f>
        <v/>
      </c>
      <c r="Q21" s="8">
        <f>INDEX('V_Dengeli Değişken'!P$2:P$29,MATCH(LARGE('V_Dengeli Değişken'!$AD$2:$AD$29,ROW()-3),'V_Dengeli Değişken'!$AD$2:$AD$29,0))</f>
        <v/>
      </c>
      <c r="R21" s="9">
        <f>INDEX('V_Dengeli Değişken'!Q$2:Q$29,MATCH(LARGE('V_Dengeli Değişken'!$AD$2:$AD$29,ROW()-3),'V_Dengeli Değişken'!$AD$2:$AD$29,0))</f>
        <v/>
      </c>
      <c r="S21" s="5">
        <f>INDEX('V_Dengeli Değişken'!R$2:R$29,MATCH(LARGE('V_Dengeli Değişken'!$AD$2:$AD$29,ROW()-3),'V_Dengeli Değişken'!$AD$2:$AD$29,0))</f>
        <v/>
      </c>
      <c r="T21" s="8">
        <f>INDEX('V_Dengeli Değişken'!S$2:S$29,MATCH(LARGE('V_Dengeli Değişken'!$AD$2:$AD$29,ROW()-3),'V_Dengeli Değişken'!$AD$2:$AD$29,0))</f>
        <v/>
      </c>
      <c r="U21" s="8">
        <f>INDEX('V_Dengeli Değişken'!T$2:T$29,MATCH(LARGE('V_Dengeli Değişken'!$AD$2:$AD$29,ROW()-3),'V_Dengeli Değişken'!$AD$2:$AD$29,0))</f>
        <v/>
      </c>
      <c r="V21" s="8">
        <f>INDEX('V_Dengeli Değişken'!U$2:U$29,MATCH(LARGE('V_Dengeli Değişken'!$AD$2:$AD$29,ROW()-3),'V_Dengeli Değişken'!$AD$2:$AD$29,0))</f>
        <v/>
      </c>
      <c r="W21" s="8">
        <f>INDEX('V_Dengeli Değişken'!V$2:V$29,MATCH(LARGE('V_Dengeli Değişken'!$AD$2:$AD$29,ROW()-3),'V_Dengeli Değişken'!$AD$2:$AD$29,0))</f>
        <v/>
      </c>
      <c r="X21" s="8">
        <f>INDEX('V_Dengeli Değişken'!W$2:W$29,MATCH(LARGE('V_Dengeli Değişken'!$AD$2:$AD$29,ROW()-3),'V_Dengeli Değişken'!$AD$2:$AD$29,0))</f>
        <v/>
      </c>
      <c r="Y21" s="8">
        <f>INDEX('V_Dengeli Değişken'!X$2:X$29,MATCH(LARGE('V_Dengeli Değişken'!$AD$2:$AD$29,ROW()-3),'V_Dengeli Değişken'!$AD$2:$AD$29,0))</f>
        <v/>
      </c>
      <c r="Z21" s="8">
        <f>INDEX('V_Dengeli Değişken'!Y$2:Y$29,MATCH(LARGE('V_Dengeli Değişken'!$AD$2:$AD$29,ROW()-3),'V_Dengeli Değişken'!$AD$2:$AD$29,0))</f>
        <v/>
      </c>
      <c r="AA21" s="8">
        <f>INDEX('V_Dengeli Değişken'!Z$2:Z$29,MATCH(LARGE('V_Dengeli Değişken'!$AD$2:$AD$29,ROW()-3),'V_Dengeli Değişken'!$AD$2:$AD$29,0))</f>
        <v/>
      </c>
      <c r="AB21" s="8">
        <f>INDEX('V_Dengeli Değişken'!AA$2:AA$29,MATCH(LARGE('V_Dengeli Değişken'!$AD$2:$AD$29,ROW()-3),'V_Dengeli Değişken'!$AD$2:$AD$29,0))</f>
        <v/>
      </c>
      <c r="AC21" s="8">
        <f>INDEX('V_Dengeli Değişken'!AB$2:AB$29,MATCH(LARGE('V_Dengeli Değişken'!$AD$2:$AD$29,ROW()-3),'V_Dengeli Değişken'!$AD$2:$AD$29,0))</f>
        <v/>
      </c>
    </row>
    <row r="22">
      <c r="A22" t="n">
        <v>19</v>
      </c>
      <c r="B22" s="5">
        <f>INDEX('V_Dengeli Değişken'!A$2:A$29,MATCH(LARGE('V_Dengeli Değişken'!$AD$2:$AD$29,ROW()-3),'V_Dengeli Değişken'!$AD$2:$AD$29,0))</f>
        <v/>
      </c>
      <c r="C22" s="5">
        <f>INDEX('V_Dengeli Değişken'!B$2:B$29,MATCH(LARGE('V_Dengeli Değişken'!$AD$2:$AD$29,ROW()-3),'V_Dengeli Değişken'!$AD$2:$AD$29,0))</f>
        <v/>
      </c>
      <c r="D22" s="5">
        <f>INDEX('V_Dengeli Değişken'!C$2:C$29,MATCH(LARGE('V_Dengeli Değişken'!$AD$2:$AD$29,ROW()-3),'V_Dengeli Değişken'!$AD$2:$AD$29,0))</f>
        <v/>
      </c>
      <c r="E22" s="8">
        <f>INDEX('V_Dengeli Değişken'!D$2:D$29,MATCH(LARGE('V_Dengeli Değişken'!$AD$2:$AD$29,ROW()-3),'V_Dengeli Değişken'!$AD$2:$AD$29,0))</f>
        <v/>
      </c>
      <c r="F22" s="9">
        <f>INDEX('V_Dengeli Değişken'!E$2:E$29,MATCH(LARGE('V_Dengeli Değişken'!$AD$2:$AD$29,ROW()-3),'V_Dengeli Değişken'!$AD$2:$AD$29,0))</f>
        <v/>
      </c>
      <c r="G22" s="9">
        <f>INDEX('V_Dengeli Değişken'!F$2:F$29,MATCH(LARGE('V_Dengeli Değişken'!$AD$2:$AD$29,ROW()-3),'V_Dengeli Değişken'!$AD$2:$AD$29,0))</f>
        <v/>
      </c>
      <c r="H22" s="9">
        <f>INDEX('V_Dengeli Değişken'!G$2:G$29,MATCH(LARGE('V_Dengeli Değişken'!$AD$2:$AD$29,ROW()-3),'V_Dengeli Değişken'!$AD$2:$AD$29,0))</f>
        <v/>
      </c>
      <c r="I22" s="9">
        <f>INDEX('V_Dengeli Değişken'!H$2:H$29,MATCH(LARGE('V_Dengeli Değişken'!$AD$2:$AD$29,ROW()-3),'V_Dengeli Değişken'!$AD$2:$AD$29,0))</f>
        <v/>
      </c>
      <c r="J22" s="9">
        <f>INDEX('V_Dengeli Değişken'!I$2:I$29,MATCH(LARGE('V_Dengeli Değişken'!$AD$2:$AD$29,ROW()-3),'V_Dengeli Değişken'!$AD$2:$AD$29,0))</f>
        <v/>
      </c>
      <c r="K22" s="9">
        <f>INDEX('V_Dengeli Değişken'!J$2:J$29,MATCH(LARGE('V_Dengeli Değişken'!$AD$2:$AD$29,ROW()-3),'V_Dengeli Değişken'!$AD$2:$AD$29,0))</f>
        <v/>
      </c>
      <c r="L22" s="10">
        <f>INDEX('V_Dengeli Değişken'!K$2:K$29,MATCH(LARGE('V_Dengeli Değişken'!$AD$2:$AD$29,ROW()-3),'V_Dengeli Değişken'!$AD$2:$AD$29,0))</f>
        <v/>
      </c>
      <c r="M22" s="10">
        <f>INDEX('V_Dengeli Değişken'!L$2:L$29,MATCH(LARGE('V_Dengeli Değişken'!$AD$2:$AD$29,ROW()-3),'V_Dengeli Değişken'!$AD$2:$AD$29,0))</f>
        <v/>
      </c>
      <c r="N22" s="8">
        <f>INDEX('V_Dengeli Değişken'!M$2:M$29,MATCH(LARGE('V_Dengeli Değişken'!$AD$2:$AD$29,ROW()-3),'V_Dengeli Değişken'!$AD$2:$AD$29,0))</f>
        <v/>
      </c>
      <c r="O22" s="11">
        <f>INDEX('V_Dengeli Değişken'!N$2:N$29,MATCH(LARGE('V_Dengeli Değişken'!$AD$2:$AD$29,ROW()-3),'V_Dengeli Değişken'!$AD$2:$AD$29,0))</f>
        <v/>
      </c>
      <c r="P22" s="11">
        <f>INDEX('V_Dengeli Değişken'!O$2:O$29,MATCH(LARGE('V_Dengeli Değişken'!$AD$2:$AD$29,ROW()-3),'V_Dengeli Değişken'!$AD$2:$AD$29,0))</f>
        <v/>
      </c>
      <c r="Q22" s="8">
        <f>INDEX('V_Dengeli Değişken'!P$2:P$29,MATCH(LARGE('V_Dengeli Değişken'!$AD$2:$AD$29,ROW()-3),'V_Dengeli Değişken'!$AD$2:$AD$29,0))</f>
        <v/>
      </c>
      <c r="R22" s="9">
        <f>INDEX('V_Dengeli Değişken'!Q$2:Q$29,MATCH(LARGE('V_Dengeli Değişken'!$AD$2:$AD$29,ROW()-3),'V_Dengeli Değişken'!$AD$2:$AD$29,0))</f>
        <v/>
      </c>
      <c r="S22" s="5">
        <f>INDEX('V_Dengeli Değişken'!R$2:R$29,MATCH(LARGE('V_Dengeli Değişken'!$AD$2:$AD$29,ROW()-3),'V_Dengeli Değişken'!$AD$2:$AD$29,0))</f>
        <v/>
      </c>
      <c r="T22" s="8">
        <f>INDEX('V_Dengeli Değişken'!S$2:S$29,MATCH(LARGE('V_Dengeli Değişken'!$AD$2:$AD$29,ROW()-3),'V_Dengeli Değişken'!$AD$2:$AD$29,0))</f>
        <v/>
      </c>
      <c r="U22" s="8">
        <f>INDEX('V_Dengeli Değişken'!T$2:T$29,MATCH(LARGE('V_Dengeli Değişken'!$AD$2:$AD$29,ROW()-3),'V_Dengeli Değişken'!$AD$2:$AD$29,0))</f>
        <v/>
      </c>
      <c r="V22" s="8">
        <f>INDEX('V_Dengeli Değişken'!U$2:U$29,MATCH(LARGE('V_Dengeli Değişken'!$AD$2:$AD$29,ROW()-3),'V_Dengeli Değişken'!$AD$2:$AD$29,0))</f>
        <v/>
      </c>
      <c r="W22" s="8">
        <f>INDEX('V_Dengeli Değişken'!V$2:V$29,MATCH(LARGE('V_Dengeli Değişken'!$AD$2:$AD$29,ROW()-3),'V_Dengeli Değişken'!$AD$2:$AD$29,0))</f>
        <v/>
      </c>
      <c r="X22" s="8">
        <f>INDEX('V_Dengeli Değişken'!W$2:W$29,MATCH(LARGE('V_Dengeli Değişken'!$AD$2:$AD$29,ROW()-3),'V_Dengeli Değişken'!$AD$2:$AD$29,0))</f>
        <v/>
      </c>
      <c r="Y22" s="8">
        <f>INDEX('V_Dengeli Değişken'!X$2:X$29,MATCH(LARGE('V_Dengeli Değişken'!$AD$2:$AD$29,ROW()-3),'V_Dengeli Değişken'!$AD$2:$AD$29,0))</f>
        <v/>
      </c>
      <c r="Z22" s="8">
        <f>INDEX('V_Dengeli Değişken'!Y$2:Y$29,MATCH(LARGE('V_Dengeli Değişken'!$AD$2:$AD$29,ROW()-3),'V_Dengeli Değişken'!$AD$2:$AD$29,0))</f>
        <v/>
      </c>
      <c r="AA22" s="8">
        <f>INDEX('V_Dengeli Değişken'!Z$2:Z$29,MATCH(LARGE('V_Dengeli Değişken'!$AD$2:$AD$29,ROW()-3),'V_Dengeli Değişken'!$AD$2:$AD$29,0))</f>
        <v/>
      </c>
      <c r="AB22" s="8">
        <f>INDEX('V_Dengeli Değişken'!AA$2:AA$29,MATCH(LARGE('V_Dengeli Değişken'!$AD$2:$AD$29,ROW()-3),'V_Dengeli Değişken'!$AD$2:$AD$29,0))</f>
        <v/>
      </c>
      <c r="AC22" s="8">
        <f>INDEX('V_Dengeli Değişken'!AB$2:AB$29,MATCH(LARGE('V_Dengeli Değişken'!$AD$2:$AD$29,ROW()-3),'V_Dengeli Değişken'!$AD$2:$AD$29,0))</f>
        <v/>
      </c>
    </row>
    <row r="23">
      <c r="A23" t="n">
        <v>20</v>
      </c>
      <c r="B23" s="5">
        <f>INDEX('V_Dengeli Değişken'!A$2:A$29,MATCH(LARGE('V_Dengeli Değişken'!$AD$2:$AD$29,ROW()-3),'V_Dengeli Değişken'!$AD$2:$AD$29,0))</f>
        <v/>
      </c>
      <c r="C23" s="5">
        <f>INDEX('V_Dengeli Değişken'!B$2:B$29,MATCH(LARGE('V_Dengeli Değişken'!$AD$2:$AD$29,ROW()-3),'V_Dengeli Değişken'!$AD$2:$AD$29,0))</f>
        <v/>
      </c>
      <c r="D23" s="5">
        <f>INDEX('V_Dengeli Değişken'!C$2:C$29,MATCH(LARGE('V_Dengeli Değişken'!$AD$2:$AD$29,ROW()-3),'V_Dengeli Değişken'!$AD$2:$AD$29,0))</f>
        <v/>
      </c>
      <c r="E23" s="8">
        <f>INDEX('V_Dengeli Değişken'!D$2:D$29,MATCH(LARGE('V_Dengeli Değişken'!$AD$2:$AD$29,ROW()-3),'V_Dengeli Değişken'!$AD$2:$AD$29,0))</f>
        <v/>
      </c>
      <c r="F23" s="9">
        <f>INDEX('V_Dengeli Değişken'!E$2:E$29,MATCH(LARGE('V_Dengeli Değişken'!$AD$2:$AD$29,ROW()-3),'V_Dengeli Değişken'!$AD$2:$AD$29,0))</f>
        <v/>
      </c>
      <c r="G23" s="9">
        <f>INDEX('V_Dengeli Değişken'!F$2:F$29,MATCH(LARGE('V_Dengeli Değişken'!$AD$2:$AD$29,ROW()-3),'V_Dengeli Değişken'!$AD$2:$AD$29,0))</f>
        <v/>
      </c>
      <c r="H23" s="9">
        <f>INDEX('V_Dengeli Değişken'!G$2:G$29,MATCH(LARGE('V_Dengeli Değişken'!$AD$2:$AD$29,ROW()-3),'V_Dengeli Değişken'!$AD$2:$AD$29,0))</f>
        <v/>
      </c>
      <c r="I23" s="9">
        <f>INDEX('V_Dengeli Değişken'!H$2:H$29,MATCH(LARGE('V_Dengeli Değişken'!$AD$2:$AD$29,ROW()-3),'V_Dengeli Değişken'!$AD$2:$AD$29,0))</f>
        <v/>
      </c>
      <c r="J23" s="9">
        <f>INDEX('V_Dengeli Değişken'!I$2:I$29,MATCH(LARGE('V_Dengeli Değişken'!$AD$2:$AD$29,ROW()-3),'V_Dengeli Değişken'!$AD$2:$AD$29,0))</f>
        <v/>
      </c>
      <c r="K23" s="9">
        <f>INDEX('V_Dengeli Değişken'!J$2:J$29,MATCH(LARGE('V_Dengeli Değişken'!$AD$2:$AD$29,ROW()-3),'V_Dengeli Değişken'!$AD$2:$AD$29,0))</f>
        <v/>
      </c>
      <c r="L23" s="10">
        <f>INDEX('V_Dengeli Değişken'!K$2:K$29,MATCH(LARGE('V_Dengeli Değişken'!$AD$2:$AD$29,ROW()-3),'V_Dengeli Değişken'!$AD$2:$AD$29,0))</f>
        <v/>
      </c>
      <c r="M23" s="10">
        <f>INDEX('V_Dengeli Değişken'!L$2:L$29,MATCH(LARGE('V_Dengeli Değişken'!$AD$2:$AD$29,ROW()-3),'V_Dengeli Değişken'!$AD$2:$AD$29,0))</f>
        <v/>
      </c>
      <c r="N23" s="8">
        <f>INDEX('V_Dengeli Değişken'!M$2:M$29,MATCH(LARGE('V_Dengeli Değişken'!$AD$2:$AD$29,ROW()-3),'V_Dengeli Değişken'!$AD$2:$AD$29,0))</f>
        <v/>
      </c>
      <c r="O23" s="11">
        <f>INDEX('V_Dengeli Değişken'!N$2:N$29,MATCH(LARGE('V_Dengeli Değişken'!$AD$2:$AD$29,ROW()-3),'V_Dengeli Değişken'!$AD$2:$AD$29,0))</f>
        <v/>
      </c>
      <c r="P23" s="11">
        <f>INDEX('V_Dengeli Değişken'!O$2:O$29,MATCH(LARGE('V_Dengeli Değişken'!$AD$2:$AD$29,ROW()-3),'V_Dengeli Değişken'!$AD$2:$AD$29,0))</f>
        <v/>
      </c>
      <c r="Q23" s="8">
        <f>INDEX('V_Dengeli Değişken'!P$2:P$29,MATCH(LARGE('V_Dengeli Değişken'!$AD$2:$AD$29,ROW()-3),'V_Dengeli Değişken'!$AD$2:$AD$29,0))</f>
        <v/>
      </c>
      <c r="R23" s="9">
        <f>INDEX('V_Dengeli Değişken'!Q$2:Q$29,MATCH(LARGE('V_Dengeli Değişken'!$AD$2:$AD$29,ROW()-3),'V_Dengeli Değişken'!$AD$2:$AD$29,0))</f>
        <v/>
      </c>
      <c r="S23" s="5">
        <f>INDEX('V_Dengeli Değişken'!R$2:R$29,MATCH(LARGE('V_Dengeli Değişken'!$AD$2:$AD$29,ROW()-3),'V_Dengeli Değişken'!$AD$2:$AD$29,0))</f>
        <v/>
      </c>
      <c r="T23" s="8">
        <f>INDEX('V_Dengeli Değişken'!S$2:S$29,MATCH(LARGE('V_Dengeli Değişken'!$AD$2:$AD$29,ROW()-3),'V_Dengeli Değişken'!$AD$2:$AD$29,0))</f>
        <v/>
      </c>
      <c r="U23" s="8">
        <f>INDEX('V_Dengeli Değişken'!T$2:T$29,MATCH(LARGE('V_Dengeli Değişken'!$AD$2:$AD$29,ROW()-3),'V_Dengeli Değişken'!$AD$2:$AD$29,0))</f>
        <v/>
      </c>
      <c r="V23" s="8">
        <f>INDEX('V_Dengeli Değişken'!U$2:U$29,MATCH(LARGE('V_Dengeli Değişken'!$AD$2:$AD$29,ROW()-3),'V_Dengeli Değişken'!$AD$2:$AD$29,0))</f>
        <v/>
      </c>
      <c r="W23" s="8">
        <f>INDEX('V_Dengeli Değişken'!V$2:V$29,MATCH(LARGE('V_Dengeli Değişken'!$AD$2:$AD$29,ROW()-3),'V_Dengeli Değişken'!$AD$2:$AD$29,0))</f>
        <v/>
      </c>
      <c r="X23" s="8">
        <f>INDEX('V_Dengeli Değişken'!W$2:W$29,MATCH(LARGE('V_Dengeli Değişken'!$AD$2:$AD$29,ROW()-3),'V_Dengeli Değişken'!$AD$2:$AD$29,0))</f>
        <v/>
      </c>
      <c r="Y23" s="8">
        <f>INDEX('V_Dengeli Değişken'!X$2:X$29,MATCH(LARGE('V_Dengeli Değişken'!$AD$2:$AD$29,ROW()-3),'V_Dengeli Değişken'!$AD$2:$AD$29,0))</f>
        <v/>
      </c>
      <c r="Z23" s="8">
        <f>INDEX('V_Dengeli Değişken'!Y$2:Y$29,MATCH(LARGE('V_Dengeli Değişken'!$AD$2:$AD$29,ROW()-3),'V_Dengeli Değişken'!$AD$2:$AD$29,0))</f>
        <v/>
      </c>
      <c r="AA23" s="8">
        <f>INDEX('V_Dengeli Değişken'!Z$2:Z$29,MATCH(LARGE('V_Dengeli Değişken'!$AD$2:$AD$29,ROW()-3),'V_Dengeli Değişken'!$AD$2:$AD$29,0))</f>
        <v/>
      </c>
      <c r="AB23" s="8">
        <f>INDEX('V_Dengeli Değişken'!AA$2:AA$29,MATCH(LARGE('V_Dengeli Değişken'!$AD$2:$AD$29,ROW()-3),'V_Dengeli Değişken'!$AD$2:$AD$29,0))</f>
        <v/>
      </c>
      <c r="AC23" s="8">
        <f>INDEX('V_Dengeli Değişken'!AB$2:AB$29,MATCH(LARGE('V_Dengeli Değişken'!$AD$2:$AD$29,ROW()-3),'V_Dengeli Değişken'!$AD$2:$AD$29,0))</f>
        <v/>
      </c>
    </row>
    <row r="24">
      <c r="A24" t="n">
        <v>21</v>
      </c>
      <c r="B24" s="5">
        <f>INDEX('V_Dengeli Değişken'!A$2:A$29,MATCH(LARGE('V_Dengeli Değişken'!$AD$2:$AD$29,ROW()-3),'V_Dengeli Değişken'!$AD$2:$AD$29,0))</f>
        <v/>
      </c>
      <c r="C24" s="5">
        <f>INDEX('V_Dengeli Değişken'!B$2:B$29,MATCH(LARGE('V_Dengeli Değişken'!$AD$2:$AD$29,ROW()-3),'V_Dengeli Değişken'!$AD$2:$AD$29,0))</f>
        <v/>
      </c>
      <c r="D24" s="5">
        <f>INDEX('V_Dengeli Değişken'!C$2:C$29,MATCH(LARGE('V_Dengeli Değişken'!$AD$2:$AD$29,ROW()-3),'V_Dengeli Değişken'!$AD$2:$AD$29,0))</f>
        <v/>
      </c>
      <c r="E24" s="8">
        <f>INDEX('V_Dengeli Değişken'!D$2:D$29,MATCH(LARGE('V_Dengeli Değişken'!$AD$2:$AD$29,ROW()-3),'V_Dengeli Değişken'!$AD$2:$AD$29,0))</f>
        <v/>
      </c>
      <c r="F24" s="9">
        <f>INDEX('V_Dengeli Değişken'!E$2:E$29,MATCH(LARGE('V_Dengeli Değişken'!$AD$2:$AD$29,ROW()-3),'V_Dengeli Değişken'!$AD$2:$AD$29,0))</f>
        <v/>
      </c>
      <c r="G24" s="9">
        <f>INDEX('V_Dengeli Değişken'!F$2:F$29,MATCH(LARGE('V_Dengeli Değişken'!$AD$2:$AD$29,ROW()-3),'V_Dengeli Değişken'!$AD$2:$AD$29,0))</f>
        <v/>
      </c>
      <c r="H24" s="9">
        <f>INDEX('V_Dengeli Değişken'!G$2:G$29,MATCH(LARGE('V_Dengeli Değişken'!$AD$2:$AD$29,ROW()-3),'V_Dengeli Değişken'!$AD$2:$AD$29,0))</f>
        <v/>
      </c>
      <c r="I24" s="9">
        <f>INDEX('V_Dengeli Değişken'!H$2:H$29,MATCH(LARGE('V_Dengeli Değişken'!$AD$2:$AD$29,ROW()-3),'V_Dengeli Değişken'!$AD$2:$AD$29,0))</f>
        <v/>
      </c>
      <c r="J24" s="9">
        <f>INDEX('V_Dengeli Değişken'!I$2:I$29,MATCH(LARGE('V_Dengeli Değişken'!$AD$2:$AD$29,ROW()-3),'V_Dengeli Değişken'!$AD$2:$AD$29,0))</f>
        <v/>
      </c>
      <c r="K24" s="9">
        <f>INDEX('V_Dengeli Değişken'!J$2:J$29,MATCH(LARGE('V_Dengeli Değişken'!$AD$2:$AD$29,ROW()-3),'V_Dengeli Değişken'!$AD$2:$AD$29,0))</f>
        <v/>
      </c>
      <c r="L24" s="10">
        <f>INDEX('V_Dengeli Değişken'!K$2:K$29,MATCH(LARGE('V_Dengeli Değişken'!$AD$2:$AD$29,ROW()-3),'V_Dengeli Değişken'!$AD$2:$AD$29,0))</f>
        <v/>
      </c>
      <c r="M24" s="10">
        <f>INDEX('V_Dengeli Değişken'!L$2:L$29,MATCH(LARGE('V_Dengeli Değişken'!$AD$2:$AD$29,ROW()-3),'V_Dengeli Değişken'!$AD$2:$AD$29,0))</f>
        <v/>
      </c>
      <c r="N24" s="8">
        <f>INDEX('V_Dengeli Değişken'!M$2:M$29,MATCH(LARGE('V_Dengeli Değişken'!$AD$2:$AD$29,ROW()-3),'V_Dengeli Değişken'!$AD$2:$AD$29,0))</f>
        <v/>
      </c>
      <c r="O24" s="11">
        <f>INDEX('V_Dengeli Değişken'!N$2:N$29,MATCH(LARGE('V_Dengeli Değişken'!$AD$2:$AD$29,ROW()-3),'V_Dengeli Değişken'!$AD$2:$AD$29,0))</f>
        <v/>
      </c>
      <c r="P24" s="11">
        <f>INDEX('V_Dengeli Değişken'!O$2:O$29,MATCH(LARGE('V_Dengeli Değişken'!$AD$2:$AD$29,ROW()-3),'V_Dengeli Değişken'!$AD$2:$AD$29,0))</f>
        <v/>
      </c>
      <c r="Q24" s="8">
        <f>INDEX('V_Dengeli Değişken'!P$2:P$29,MATCH(LARGE('V_Dengeli Değişken'!$AD$2:$AD$29,ROW()-3),'V_Dengeli Değişken'!$AD$2:$AD$29,0))</f>
        <v/>
      </c>
      <c r="R24" s="9">
        <f>INDEX('V_Dengeli Değişken'!Q$2:Q$29,MATCH(LARGE('V_Dengeli Değişken'!$AD$2:$AD$29,ROW()-3),'V_Dengeli Değişken'!$AD$2:$AD$29,0))</f>
        <v/>
      </c>
      <c r="S24" s="5">
        <f>INDEX('V_Dengeli Değişken'!R$2:R$29,MATCH(LARGE('V_Dengeli Değişken'!$AD$2:$AD$29,ROW()-3),'V_Dengeli Değişken'!$AD$2:$AD$29,0))</f>
        <v/>
      </c>
      <c r="T24" s="8">
        <f>INDEX('V_Dengeli Değişken'!S$2:S$29,MATCH(LARGE('V_Dengeli Değişken'!$AD$2:$AD$29,ROW()-3),'V_Dengeli Değişken'!$AD$2:$AD$29,0))</f>
        <v/>
      </c>
      <c r="U24" s="8">
        <f>INDEX('V_Dengeli Değişken'!T$2:T$29,MATCH(LARGE('V_Dengeli Değişken'!$AD$2:$AD$29,ROW()-3),'V_Dengeli Değişken'!$AD$2:$AD$29,0))</f>
        <v/>
      </c>
      <c r="V24" s="8">
        <f>INDEX('V_Dengeli Değişken'!U$2:U$29,MATCH(LARGE('V_Dengeli Değişken'!$AD$2:$AD$29,ROW()-3),'V_Dengeli Değişken'!$AD$2:$AD$29,0))</f>
        <v/>
      </c>
      <c r="W24" s="8">
        <f>INDEX('V_Dengeli Değişken'!V$2:V$29,MATCH(LARGE('V_Dengeli Değişken'!$AD$2:$AD$29,ROW()-3),'V_Dengeli Değişken'!$AD$2:$AD$29,0))</f>
        <v/>
      </c>
      <c r="X24" s="8">
        <f>INDEX('V_Dengeli Değişken'!W$2:W$29,MATCH(LARGE('V_Dengeli Değişken'!$AD$2:$AD$29,ROW()-3),'V_Dengeli Değişken'!$AD$2:$AD$29,0))</f>
        <v/>
      </c>
      <c r="Y24" s="8">
        <f>INDEX('V_Dengeli Değişken'!X$2:X$29,MATCH(LARGE('V_Dengeli Değişken'!$AD$2:$AD$29,ROW()-3),'V_Dengeli Değişken'!$AD$2:$AD$29,0))</f>
        <v/>
      </c>
      <c r="Z24" s="8">
        <f>INDEX('V_Dengeli Değişken'!Y$2:Y$29,MATCH(LARGE('V_Dengeli Değişken'!$AD$2:$AD$29,ROW()-3),'V_Dengeli Değişken'!$AD$2:$AD$29,0))</f>
        <v/>
      </c>
      <c r="AA24" s="8">
        <f>INDEX('V_Dengeli Değişken'!Z$2:Z$29,MATCH(LARGE('V_Dengeli Değişken'!$AD$2:$AD$29,ROW()-3),'V_Dengeli Değişken'!$AD$2:$AD$29,0))</f>
        <v/>
      </c>
      <c r="AB24" s="8">
        <f>INDEX('V_Dengeli Değişken'!AA$2:AA$29,MATCH(LARGE('V_Dengeli Değişken'!$AD$2:$AD$29,ROW()-3),'V_Dengeli Değişken'!$AD$2:$AD$29,0))</f>
        <v/>
      </c>
      <c r="AC24" s="8">
        <f>INDEX('V_Dengeli Değişken'!AB$2:AB$29,MATCH(LARGE('V_Dengeli Değişken'!$AD$2:$AD$29,ROW()-3),'V_Dengeli Değişken'!$AD$2:$AD$29,0))</f>
        <v/>
      </c>
    </row>
    <row r="25">
      <c r="A25" t="n">
        <v>22</v>
      </c>
      <c r="B25" s="5">
        <f>INDEX('V_Dengeli Değişken'!A$2:A$29,MATCH(LARGE('V_Dengeli Değişken'!$AD$2:$AD$29,ROW()-3),'V_Dengeli Değişken'!$AD$2:$AD$29,0))</f>
        <v/>
      </c>
      <c r="C25" s="5">
        <f>INDEX('V_Dengeli Değişken'!B$2:B$29,MATCH(LARGE('V_Dengeli Değişken'!$AD$2:$AD$29,ROW()-3),'V_Dengeli Değişken'!$AD$2:$AD$29,0))</f>
        <v/>
      </c>
      <c r="D25" s="5">
        <f>INDEX('V_Dengeli Değişken'!C$2:C$29,MATCH(LARGE('V_Dengeli Değişken'!$AD$2:$AD$29,ROW()-3),'V_Dengeli Değişken'!$AD$2:$AD$29,0))</f>
        <v/>
      </c>
      <c r="E25" s="8">
        <f>INDEX('V_Dengeli Değişken'!D$2:D$29,MATCH(LARGE('V_Dengeli Değişken'!$AD$2:$AD$29,ROW()-3),'V_Dengeli Değişken'!$AD$2:$AD$29,0))</f>
        <v/>
      </c>
      <c r="F25" s="9">
        <f>INDEX('V_Dengeli Değişken'!E$2:E$29,MATCH(LARGE('V_Dengeli Değişken'!$AD$2:$AD$29,ROW()-3),'V_Dengeli Değişken'!$AD$2:$AD$29,0))</f>
        <v/>
      </c>
      <c r="G25" s="9">
        <f>INDEX('V_Dengeli Değişken'!F$2:F$29,MATCH(LARGE('V_Dengeli Değişken'!$AD$2:$AD$29,ROW()-3),'V_Dengeli Değişken'!$AD$2:$AD$29,0))</f>
        <v/>
      </c>
      <c r="H25" s="9">
        <f>INDEX('V_Dengeli Değişken'!G$2:G$29,MATCH(LARGE('V_Dengeli Değişken'!$AD$2:$AD$29,ROW()-3),'V_Dengeli Değişken'!$AD$2:$AD$29,0))</f>
        <v/>
      </c>
      <c r="I25" s="9">
        <f>INDEX('V_Dengeli Değişken'!H$2:H$29,MATCH(LARGE('V_Dengeli Değişken'!$AD$2:$AD$29,ROW()-3),'V_Dengeli Değişken'!$AD$2:$AD$29,0))</f>
        <v/>
      </c>
      <c r="J25" s="9">
        <f>INDEX('V_Dengeli Değişken'!I$2:I$29,MATCH(LARGE('V_Dengeli Değişken'!$AD$2:$AD$29,ROW()-3),'V_Dengeli Değişken'!$AD$2:$AD$29,0))</f>
        <v/>
      </c>
      <c r="K25" s="9">
        <f>INDEX('V_Dengeli Değişken'!J$2:J$29,MATCH(LARGE('V_Dengeli Değişken'!$AD$2:$AD$29,ROW()-3),'V_Dengeli Değişken'!$AD$2:$AD$29,0))</f>
        <v/>
      </c>
      <c r="L25" s="10">
        <f>INDEX('V_Dengeli Değişken'!K$2:K$29,MATCH(LARGE('V_Dengeli Değişken'!$AD$2:$AD$29,ROW()-3),'V_Dengeli Değişken'!$AD$2:$AD$29,0))</f>
        <v/>
      </c>
      <c r="M25" s="10">
        <f>INDEX('V_Dengeli Değişken'!L$2:L$29,MATCH(LARGE('V_Dengeli Değişken'!$AD$2:$AD$29,ROW()-3),'V_Dengeli Değişken'!$AD$2:$AD$29,0))</f>
        <v/>
      </c>
      <c r="N25" s="8">
        <f>INDEX('V_Dengeli Değişken'!M$2:M$29,MATCH(LARGE('V_Dengeli Değişken'!$AD$2:$AD$29,ROW()-3),'V_Dengeli Değişken'!$AD$2:$AD$29,0))</f>
        <v/>
      </c>
      <c r="O25" s="11">
        <f>INDEX('V_Dengeli Değişken'!N$2:N$29,MATCH(LARGE('V_Dengeli Değişken'!$AD$2:$AD$29,ROW()-3),'V_Dengeli Değişken'!$AD$2:$AD$29,0))</f>
        <v/>
      </c>
      <c r="P25" s="11">
        <f>INDEX('V_Dengeli Değişken'!O$2:O$29,MATCH(LARGE('V_Dengeli Değişken'!$AD$2:$AD$29,ROW()-3),'V_Dengeli Değişken'!$AD$2:$AD$29,0))</f>
        <v/>
      </c>
      <c r="Q25" s="8">
        <f>INDEX('V_Dengeli Değişken'!P$2:P$29,MATCH(LARGE('V_Dengeli Değişken'!$AD$2:$AD$29,ROW()-3),'V_Dengeli Değişken'!$AD$2:$AD$29,0))</f>
        <v/>
      </c>
      <c r="R25" s="9">
        <f>INDEX('V_Dengeli Değişken'!Q$2:Q$29,MATCH(LARGE('V_Dengeli Değişken'!$AD$2:$AD$29,ROW()-3),'V_Dengeli Değişken'!$AD$2:$AD$29,0))</f>
        <v/>
      </c>
      <c r="S25" s="5">
        <f>INDEX('V_Dengeli Değişken'!R$2:R$29,MATCH(LARGE('V_Dengeli Değişken'!$AD$2:$AD$29,ROW()-3),'V_Dengeli Değişken'!$AD$2:$AD$29,0))</f>
        <v/>
      </c>
      <c r="T25" s="8">
        <f>INDEX('V_Dengeli Değişken'!S$2:S$29,MATCH(LARGE('V_Dengeli Değişken'!$AD$2:$AD$29,ROW()-3),'V_Dengeli Değişken'!$AD$2:$AD$29,0))</f>
        <v/>
      </c>
      <c r="U25" s="8">
        <f>INDEX('V_Dengeli Değişken'!T$2:T$29,MATCH(LARGE('V_Dengeli Değişken'!$AD$2:$AD$29,ROW()-3),'V_Dengeli Değişken'!$AD$2:$AD$29,0))</f>
        <v/>
      </c>
      <c r="V25" s="8">
        <f>INDEX('V_Dengeli Değişken'!U$2:U$29,MATCH(LARGE('V_Dengeli Değişken'!$AD$2:$AD$29,ROW()-3),'V_Dengeli Değişken'!$AD$2:$AD$29,0))</f>
        <v/>
      </c>
      <c r="W25" s="8">
        <f>INDEX('V_Dengeli Değişken'!V$2:V$29,MATCH(LARGE('V_Dengeli Değişken'!$AD$2:$AD$29,ROW()-3),'V_Dengeli Değişken'!$AD$2:$AD$29,0))</f>
        <v/>
      </c>
      <c r="X25" s="8">
        <f>INDEX('V_Dengeli Değişken'!W$2:W$29,MATCH(LARGE('V_Dengeli Değişken'!$AD$2:$AD$29,ROW()-3),'V_Dengeli Değişken'!$AD$2:$AD$29,0))</f>
        <v/>
      </c>
      <c r="Y25" s="8">
        <f>INDEX('V_Dengeli Değişken'!X$2:X$29,MATCH(LARGE('V_Dengeli Değişken'!$AD$2:$AD$29,ROW()-3),'V_Dengeli Değişken'!$AD$2:$AD$29,0))</f>
        <v/>
      </c>
      <c r="Z25" s="8">
        <f>INDEX('V_Dengeli Değişken'!Y$2:Y$29,MATCH(LARGE('V_Dengeli Değişken'!$AD$2:$AD$29,ROW()-3),'V_Dengeli Değişken'!$AD$2:$AD$29,0))</f>
        <v/>
      </c>
      <c r="AA25" s="8">
        <f>INDEX('V_Dengeli Değişken'!Z$2:Z$29,MATCH(LARGE('V_Dengeli Değişken'!$AD$2:$AD$29,ROW()-3),'V_Dengeli Değişken'!$AD$2:$AD$29,0))</f>
        <v/>
      </c>
      <c r="AB25" s="8">
        <f>INDEX('V_Dengeli Değişken'!AA$2:AA$29,MATCH(LARGE('V_Dengeli Değişken'!$AD$2:$AD$29,ROW()-3),'V_Dengeli Değişken'!$AD$2:$AD$29,0))</f>
        <v/>
      </c>
      <c r="AC25" s="8">
        <f>INDEX('V_Dengeli Değişken'!AB$2:AB$29,MATCH(LARGE('V_Dengeli Değişken'!$AD$2:$AD$29,ROW()-3),'V_Dengeli Değişken'!$AD$2:$AD$29,0))</f>
        <v/>
      </c>
    </row>
    <row r="26">
      <c r="A26" t="n">
        <v>23</v>
      </c>
      <c r="B26" s="5">
        <f>INDEX('V_Dengeli Değişken'!A$2:A$29,MATCH(LARGE('V_Dengeli Değişken'!$AD$2:$AD$29,ROW()-3),'V_Dengeli Değişken'!$AD$2:$AD$29,0))</f>
        <v/>
      </c>
      <c r="C26" s="5">
        <f>INDEX('V_Dengeli Değişken'!B$2:B$29,MATCH(LARGE('V_Dengeli Değişken'!$AD$2:$AD$29,ROW()-3),'V_Dengeli Değişken'!$AD$2:$AD$29,0))</f>
        <v/>
      </c>
      <c r="D26" s="5">
        <f>INDEX('V_Dengeli Değişken'!C$2:C$29,MATCH(LARGE('V_Dengeli Değişken'!$AD$2:$AD$29,ROW()-3),'V_Dengeli Değişken'!$AD$2:$AD$29,0))</f>
        <v/>
      </c>
      <c r="E26" s="8">
        <f>INDEX('V_Dengeli Değişken'!D$2:D$29,MATCH(LARGE('V_Dengeli Değişken'!$AD$2:$AD$29,ROW()-3),'V_Dengeli Değişken'!$AD$2:$AD$29,0))</f>
        <v/>
      </c>
      <c r="F26" s="9">
        <f>INDEX('V_Dengeli Değişken'!E$2:E$29,MATCH(LARGE('V_Dengeli Değişken'!$AD$2:$AD$29,ROW()-3),'V_Dengeli Değişken'!$AD$2:$AD$29,0))</f>
        <v/>
      </c>
      <c r="G26" s="9">
        <f>INDEX('V_Dengeli Değişken'!F$2:F$29,MATCH(LARGE('V_Dengeli Değişken'!$AD$2:$AD$29,ROW()-3),'V_Dengeli Değişken'!$AD$2:$AD$29,0))</f>
        <v/>
      </c>
      <c r="H26" s="9">
        <f>INDEX('V_Dengeli Değişken'!G$2:G$29,MATCH(LARGE('V_Dengeli Değişken'!$AD$2:$AD$29,ROW()-3),'V_Dengeli Değişken'!$AD$2:$AD$29,0))</f>
        <v/>
      </c>
      <c r="I26" s="9">
        <f>INDEX('V_Dengeli Değişken'!H$2:H$29,MATCH(LARGE('V_Dengeli Değişken'!$AD$2:$AD$29,ROW()-3),'V_Dengeli Değişken'!$AD$2:$AD$29,0))</f>
        <v/>
      </c>
      <c r="J26" s="9">
        <f>INDEX('V_Dengeli Değişken'!I$2:I$29,MATCH(LARGE('V_Dengeli Değişken'!$AD$2:$AD$29,ROW()-3),'V_Dengeli Değişken'!$AD$2:$AD$29,0))</f>
        <v/>
      </c>
      <c r="K26" s="9">
        <f>INDEX('V_Dengeli Değişken'!J$2:J$29,MATCH(LARGE('V_Dengeli Değişken'!$AD$2:$AD$29,ROW()-3),'V_Dengeli Değişken'!$AD$2:$AD$29,0))</f>
        <v/>
      </c>
      <c r="L26" s="10">
        <f>INDEX('V_Dengeli Değişken'!K$2:K$29,MATCH(LARGE('V_Dengeli Değişken'!$AD$2:$AD$29,ROW()-3),'V_Dengeli Değişken'!$AD$2:$AD$29,0))</f>
        <v/>
      </c>
      <c r="M26" s="10">
        <f>INDEX('V_Dengeli Değişken'!L$2:L$29,MATCH(LARGE('V_Dengeli Değişken'!$AD$2:$AD$29,ROW()-3),'V_Dengeli Değişken'!$AD$2:$AD$29,0))</f>
        <v/>
      </c>
      <c r="N26" s="8">
        <f>INDEX('V_Dengeli Değişken'!M$2:M$29,MATCH(LARGE('V_Dengeli Değişken'!$AD$2:$AD$29,ROW()-3),'V_Dengeli Değişken'!$AD$2:$AD$29,0))</f>
        <v/>
      </c>
      <c r="O26" s="11">
        <f>INDEX('V_Dengeli Değişken'!N$2:N$29,MATCH(LARGE('V_Dengeli Değişken'!$AD$2:$AD$29,ROW()-3),'V_Dengeli Değişken'!$AD$2:$AD$29,0))</f>
        <v/>
      </c>
      <c r="P26" s="11">
        <f>INDEX('V_Dengeli Değişken'!O$2:O$29,MATCH(LARGE('V_Dengeli Değişken'!$AD$2:$AD$29,ROW()-3),'V_Dengeli Değişken'!$AD$2:$AD$29,0))</f>
        <v/>
      </c>
      <c r="Q26" s="8">
        <f>INDEX('V_Dengeli Değişken'!P$2:P$29,MATCH(LARGE('V_Dengeli Değişken'!$AD$2:$AD$29,ROW()-3),'V_Dengeli Değişken'!$AD$2:$AD$29,0))</f>
        <v/>
      </c>
      <c r="R26" s="9">
        <f>INDEX('V_Dengeli Değişken'!Q$2:Q$29,MATCH(LARGE('V_Dengeli Değişken'!$AD$2:$AD$29,ROW()-3),'V_Dengeli Değişken'!$AD$2:$AD$29,0))</f>
        <v/>
      </c>
      <c r="S26" s="5">
        <f>INDEX('V_Dengeli Değişken'!R$2:R$29,MATCH(LARGE('V_Dengeli Değişken'!$AD$2:$AD$29,ROW()-3),'V_Dengeli Değişken'!$AD$2:$AD$29,0))</f>
        <v/>
      </c>
      <c r="T26" s="8">
        <f>INDEX('V_Dengeli Değişken'!S$2:S$29,MATCH(LARGE('V_Dengeli Değişken'!$AD$2:$AD$29,ROW()-3),'V_Dengeli Değişken'!$AD$2:$AD$29,0))</f>
        <v/>
      </c>
      <c r="U26" s="8">
        <f>INDEX('V_Dengeli Değişken'!T$2:T$29,MATCH(LARGE('V_Dengeli Değişken'!$AD$2:$AD$29,ROW()-3),'V_Dengeli Değişken'!$AD$2:$AD$29,0))</f>
        <v/>
      </c>
      <c r="V26" s="8">
        <f>INDEX('V_Dengeli Değişken'!U$2:U$29,MATCH(LARGE('V_Dengeli Değişken'!$AD$2:$AD$29,ROW()-3),'V_Dengeli Değişken'!$AD$2:$AD$29,0))</f>
        <v/>
      </c>
      <c r="W26" s="8">
        <f>INDEX('V_Dengeli Değişken'!V$2:V$29,MATCH(LARGE('V_Dengeli Değişken'!$AD$2:$AD$29,ROW()-3),'V_Dengeli Değişken'!$AD$2:$AD$29,0))</f>
        <v/>
      </c>
      <c r="X26" s="8">
        <f>INDEX('V_Dengeli Değişken'!W$2:W$29,MATCH(LARGE('V_Dengeli Değişken'!$AD$2:$AD$29,ROW()-3),'V_Dengeli Değişken'!$AD$2:$AD$29,0))</f>
        <v/>
      </c>
      <c r="Y26" s="8">
        <f>INDEX('V_Dengeli Değişken'!X$2:X$29,MATCH(LARGE('V_Dengeli Değişken'!$AD$2:$AD$29,ROW()-3),'V_Dengeli Değişken'!$AD$2:$AD$29,0))</f>
        <v/>
      </c>
      <c r="Z26" s="8">
        <f>INDEX('V_Dengeli Değişken'!Y$2:Y$29,MATCH(LARGE('V_Dengeli Değişken'!$AD$2:$AD$29,ROW()-3),'V_Dengeli Değişken'!$AD$2:$AD$29,0))</f>
        <v/>
      </c>
      <c r="AA26" s="8">
        <f>INDEX('V_Dengeli Değişken'!Z$2:Z$29,MATCH(LARGE('V_Dengeli Değişken'!$AD$2:$AD$29,ROW()-3),'V_Dengeli Değişken'!$AD$2:$AD$29,0))</f>
        <v/>
      </c>
      <c r="AB26" s="8">
        <f>INDEX('V_Dengeli Değişken'!AA$2:AA$29,MATCH(LARGE('V_Dengeli Değişken'!$AD$2:$AD$29,ROW()-3),'V_Dengeli Değişken'!$AD$2:$AD$29,0))</f>
        <v/>
      </c>
      <c r="AC26" s="8">
        <f>INDEX('V_Dengeli Değişken'!AB$2:AB$29,MATCH(LARGE('V_Dengeli Değişken'!$AD$2:$AD$29,ROW()-3),'V_Dengeli Değişken'!$AD$2:$AD$29,0))</f>
        <v/>
      </c>
    </row>
    <row r="27">
      <c r="A27" t="n">
        <v>24</v>
      </c>
      <c r="B27" s="5">
        <f>INDEX('V_Dengeli Değişken'!A$2:A$29,MATCH(LARGE('V_Dengeli Değişken'!$AD$2:$AD$29,ROW()-3),'V_Dengeli Değişken'!$AD$2:$AD$29,0))</f>
        <v/>
      </c>
      <c r="C27" s="5">
        <f>INDEX('V_Dengeli Değişken'!B$2:B$29,MATCH(LARGE('V_Dengeli Değişken'!$AD$2:$AD$29,ROW()-3),'V_Dengeli Değişken'!$AD$2:$AD$29,0))</f>
        <v/>
      </c>
      <c r="D27" s="5">
        <f>INDEX('V_Dengeli Değişken'!C$2:C$29,MATCH(LARGE('V_Dengeli Değişken'!$AD$2:$AD$29,ROW()-3),'V_Dengeli Değişken'!$AD$2:$AD$29,0))</f>
        <v/>
      </c>
      <c r="E27" s="8">
        <f>INDEX('V_Dengeli Değişken'!D$2:D$29,MATCH(LARGE('V_Dengeli Değişken'!$AD$2:$AD$29,ROW()-3),'V_Dengeli Değişken'!$AD$2:$AD$29,0))</f>
        <v/>
      </c>
      <c r="F27" s="9">
        <f>INDEX('V_Dengeli Değişken'!E$2:E$29,MATCH(LARGE('V_Dengeli Değişken'!$AD$2:$AD$29,ROW()-3),'V_Dengeli Değişken'!$AD$2:$AD$29,0))</f>
        <v/>
      </c>
      <c r="G27" s="9">
        <f>INDEX('V_Dengeli Değişken'!F$2:F$29,MATCH(LARGE('V_Dengeli Değişken'!$AD$2:$AD$29,ROW()-3),'V_Dengeli Değişken'!$AD$2:$AD$29,0))</f>
        <v/>
      </c>
      <c r="H27" s="9">
        <f>INDEX('V_Dengeli Değişken'!G$2:G$29,MATCH(LARGE('V_Dengeli Değişken'!$AD$2:$AD$29,ROW()-3),'V_Dengeli Değişken'!$AD$2:$AD$29,0))</f>
        <v/>
      </c>
      <c r="I27" s="9">
        <f>INDEX('V_Dengeli Değişken'!H$2:H$29,MATCH(LARGE('V_Dengeli Değişken'!$AD$2:$AD$29,ROW()-3),'V_Dengeli Değişken'!$AD$2:$AD$29,0))</f>
        <v/>
      </c>
      <c r="J27" s="9">
        <f>INDEX('V_Dengeli Değişken'!I$2:I$29,MATCH(LARGE('V_Dengeli Değişken'!$AD$2:$AD$29,ROW()-3),'V_Dengeli Değişken'!$AD$2:$AD$29,0))</f>
        <v/>
      </c>
      <c r="K27" s="9">
        <f>INDEX('V_Dengeli Değişken'!J$2:J$29,MATCH(LARGE('V_Dengeli Değişken'!$AD$2:$AD$29,ROW()-3),'V_Dengeli Değişken'!$AD$2:$AD$29,0))</f>
        <v/>
      </c>
      <c r="L27" s="10">
        <f>INDEX('V_Dengeli Değişken'!K$2:K$29,MATCH(LARGE('V_Dengeli Değişken'!$AD$2:$AD$29,ROW()-3),'V_Dengeli Değişken'!$AD$2:$AD$29,0))</f>
        <v/>
      </c>
      <c r="M27" s="10">
        <f>INDEX('V_Dengeli Değişken'!L$2:L$29,MATCH(LARGE('V_Dengeli Değişken'!$AD$2:$AD$29,ROW()-3),'V_Dengeli Değişken'!$AD$2:$AD$29,0))</f>
        <v/>
      </c>
      <c r="N27" s="8">
        <f>INDEX('V_Dengeli Değişken'!M$2:M$29,MATCH(LARGE('V_Dengeli Değişken'!$AD$2:$AD$29,ROW()-3),'V_Dengeli Değişken'!$AD$2:$AD$29,0))</f>
        <v/>
      </c>
      <c r="O27" s="11">
        <f>INDEX('V_Dengeli Değişken'!N$2:N$29,MATCH(LARGE('V_Dengeli Değişken'!$AD$2:$AD$29,ROW()-3),'V_Dengeli Değişken'!$AD$2:$AD$29,0))</f>
        <v/>
      </c>
      <c r="P27" s="11">
        <f>INDEX('V_Dengeli Değişken'!O$2:O$29,MATCH(LARGE('V_Dengeli Değişken'!$AD$2:$AD$29,ROW()-3),'V_Dengeli Değişken'!$AD$2:$AD$29,0))</f>
        <v/>
      </c>
      <c r="Q27" s="8">
        <f>INDEX('V_Dengeli Değişken'!P$2:P$29,MATCH(LARGE('V_Dengeli Değişken'!$AD$2:$AD$29,ROW()-3),'V_Dengeli Değişken'!$AD$2:$AD$29,0))</f>
        <v/>
      </c>
      <c r="R27" s="9">
        <f>INDEX('V_Dengeli Değişken'!Q$2:Q$29,MATCH(LARGE('V_Dengeli Değişken'!$AD$2:$AD$29,ROW()-3),'V_Dengeli Değişken'!$AD$2:$AD$29,0))</f>
        <v/>
      </c>
      <c r="S27" s="5">
        <f>INDEX('V_Dengeli Değişken'!R$2:R$29,MATCH(LARGE('V_Dengeli Değişken'!$AD$2:$AD$29,ROW()-3),'V_Dengeli Değişken'!$AD$2:$AD$29,0))</f>
        <v/>
      </c>
      <c r="T27" s="8">
        <f>INDEX('V_Dengeli Değişken'!S$2:S$29,MATCH(LARGE('V_Dengeli Değişken'!$AD$2:$AD$29,ROW()-3),'V_Dengeli Değişken'!$AD$2:$AD$29,0))</f>
        <v/>
      </c>
      <c r="U27" s="8">
        <f>INDEX('V_Dengeli Değişken'!T$2:T$29,MATCH(LARGE('V_Dengeli Değişken'!$AD$2:$AD$29,ROW()-3),'V_Dengeli Değişken'!$AD$2:$AD$29,0))</f>
        <v/>
      </c>
      <c r="V27" s="8">
        <f>INDEX('V_Dengeli Değişken'!U$2:U$29,MATCH(LARGE('V_Dengeli Değişken'!$AD$2:$AD$29,ROW()-3),'V_Dengeli Değişken'!$AD$2:$AD$29,0))</f>
        <v/>
      </c>
      <c r="W27" s="8">
        <f>INDEX('V_Dengeli Değişken'!V$2:V$29,MATCH(LARGE('V_Dengeli Değişken'!$AD$2:$AD$29,ROW()-3),'V_Dengeli Değişken'!$AD$2:$AD$29,0))</f>
        <v/>
      </c>
      <c r="X27" s="8">
        <f>INDEX('V_Dengeli Değişken'!W$2:W$29,MATCH(LARGE('V_Dengeli Değişken'!$AD$2:$AD$29,ROW()-3),'V_Dengeli Değişken'!$AD$2:$AD$29,0))</f>
        <v/>
      </c>
      <c r="Y27" s="8">
        <f>INDEX('V_Dengeli Değişken'!X$2:X$29,MATCH(LARGE('V_Dengeli Değişken'!$AD$2:$AD$29,ROW()-3),'V_Dengeli Değişken'!$AD$2:$AD$29,0))</f>
        <v/>
      </c>
      <c r="Z27" s="8">
        <f>INDEX('V_Dengeli Değişken'!Y$2:Y$29,MATCH(LARGE('V_Dengeli Değişken'!$AD$2:$AD$29,ROW()-3),'V_Dengeli Değişken'!$AD$2:$AD$29,0))</f>
        <v/>
      </c>
      <c r="AA27" s="8">
        <f>INDEX('V_Dengeli Değişken'!Z$2:Z$29,MATCH(LARGE('V_Dengeli Değişken'!$AD$2:$AD$29,ROW()-3),'V_Dengeli Değişken'!$AD$2:$AD$29,0))</f>
        <v/>
      </c>
      <c r="AB27" s="8">
        <f>INDEX('V_Dengeli Değişken'!AA$2:AA$29,MATCH(LARGE('V_Dengeli Değişken'!$AD$2:$AD$29,ROW()-3),'V_Dengeli Değişken'!$AD$2:$AD$29,0))</f>
        <v/>
      </c>
      <c r="AC27" s="8">
        <f>INDEX('V_Dengeli Değişken'!AB$2:AB$29,MATCH(LARGE('V_Dengeli Değişken'!$AD$2:$AD$29,ROW()-3),'V_Dengeli Değişken'!$AD$2:$AD$29,0))</f>
        <v/>
      </c>
    </row>
    <row r="28">
      <c r="A28" t="n">
        <v>25</v>
      </c>
      <c r="B28" s="5">
        <f>INDEX('V_Dengeli Değişken'!A$2:A$29,MATCH(LARGE('V_Dengeli Değişken'!$AD$2:$AD$29,ROW()-3),'V_Dengeli Değişken'!$AD$2:$AD$29,0))</f>
        <v/>
      </c>
      <c r="C28" s="5">
        <f>INDEX('V_Dengeli Değişken'!B$2:B$29,MATCH(LARGE('V_Dengeli Değişken'!$AD$2:$AD$29,ROW()-3),'V_Dengeli Değişken'!$AD$2:$AD$29,0))</f>
        <v/>
      </c>
      <c r="D28" s="5">
        <f>INDEX('V_Dengeli Değişken'!C$2:C$29,MATCH(LARGE('V_Dengeli Değişken'!$AD$2:$AD$29,ROW()-3),'V_Dengeli Değişken'!$AD$2:$AD$29,0))</f>
        <v/>
      </c>
      <c r="E28" s="8">
        <f>INDEX('V_Dengeli Değişken'!D$2:D$29,MATCH(LARGE('V_Dengeli Değişken'!$AD$2:$AD$29,ROW()-3),'V_Dengeli Değişken'!$AD$2:$AD$29,0))</f>
        <v/>
      </c>
      <c r="F28" s="9">
        <f>INDEX('V_Dengeli Değişken'!E$2:E$29,MATCH(LARGE('V_Dengeli Değişken'!$AD$2:$AD$29,ROW()-3),'V_Dengeli Değişken'!$AD$2:$AD$29,0))</f>
        <v/>
      </c>
      <c r="G28" s="9">
        <f>INDEX('V_Dengeli Değişken'!F$2:F$29,MATCH(LARGE('V_Dengeli Değişken'!$AD$2:$AD$29,ROW()-3),'V_Dengeli Değişken'!$AD$2:$AD$29,0))</f>
        <v/>
      </c>
      <c r="H28" s="9">
        <f>INDEX('V_Dengeli Değişken'!G$2:G$29,MATCH(LARGE('V_Dengeli Değişken'!$AD$2:$AD$29,ROW()-3),'V_Dengeli Değişken'!$AD$2:$AD$29,0))</f>
        <v/>
      </c>
      <c r="I28" s="9">
        <f>INDEX('V_Dengeli Değişken'!H$2:H$29,MATCH(LARGE('V_Dengeli Değişken'!$AD$2:$AD$29,ROW()-3),'V_Dengeli Değişken'!$AD$2:$AD$29,0))</f>
        <v/>
      </c>
      <c r="J28" s="9">
        <f>INDEX('V_Dengeli Değişken'!I$2:I$29,MATCH(LARGE('V_Dengeli Değişken'!$AD$2:$AD$29,ROW()-3),'V_Dengeli Değişken'!$AD$2:$AD$29,0))</f>
        <v/>
      </c>
      <c r="K28" s="9">
        <f>INDEX('V_Dengeli Değişken'!J$2:J$29,MATCH(LARGE('V_Dengeli Değişken'!$AD$2:$AD$29,ROW()-3),'V_Dengeli Değişken'!$AD$2:$AD$29,0))</f>
        <v/>
      </c>
      <c r="L28" s="10">
        <f>INDEX('V_Dengeli Değişken'!K$2:K$29,MATCH(LARGE('V_Dengeli Değişken'!$AD$2:$AD$29,ROW()-3),'V_Dengeli Değişken'!$AD$2:$AD$29,0))</f>
        <v/>
      </c>
      <c r="M28" s="10">
        <f>INDEX('V_Dengeli Değişken'!L$2:L$29,MATCH(LARGE('V_Dengeli Değişken'!$AD$2:$AD$29,ROW()-3),'V_Dengeli Değişken'!$AD$2:$AD$29,0))</f>
        <v/>
      </c>
      <c r="N28" s="8">
        <f>INDEX('V_Dengeli Değişken'!M$2:M$29,MATCH(LARGE('V_Dengeli Değişken'!$AD$2:$AD$29,ROW()-3),'V_Dengeli Değişken'!$AD$2:$AD$29,0))</f>
        <v/>
      </c>
      <c r="O28" s="11">
        <f>INDEX('V_Dengeli Değişken'!N$2:N$29,MATCH(LARGE('V_Dengeli Değişken'!$AD$2:$AD$29,ROW()-3),'V_Dengeli Değişken'!$AD$2:$AD$29,0))</f>
        <v/>
      </c>
      <c r="P28" s="11">
        <f>INDEX('V_Dengeli Değişken'!O$2:O$29,MATCH(LARGE('V_Dengeli Değişken'!$AD$2:$AD$29,ROW()-3),'V_Dengeli Değişken'!$AD$2:$AD$29,0))</f>
        <v/>
      </c>
      <c r="Q28" s="8">
        <f>INDEX('V_Dengeli Değişken'!P$2:P$29,MATCH(LARGE('V_Dengeli Değişken'!$AD$2:$AD$29,ROW()-3),'V_Dengeli Değişken'!$AD$2:$AD$29,0))</f>
        <v/>
      </c>
      <c r="R28" s="9">
        <f>INDEX('V_Dengeli Değişken'!Q$2:Q$29,MATCH(LARGE('V_Dengeli Değişken'!$AD$2:$AD$29,ROW()-3),'V_Dengeli Değişken'!$AD$2:$AD$29,0))</f>
        <v/>
      </c>
      <c r="S28" s="5">
        <f>INDEX('V_Dengeli Değişken'!R$2:R$29,MATCH(LARGE('V_Dengeli Değişken'!$AD$2:$AD$29,ROW()-3),'V_Dengeli Değişken'!$AD$2:$AD$29,0))</f>
        <v/>
      </c>
      <c r="T28" s="8">
        <f>INDEX('V_Dengeli Değişken'!S$2:S$29,MATCH(LARGE('V_Dengeli Değişken'!$AD$2:$AD$29,ROW()-3),'V_Dengeli Değişken'!$AD$2:$AD$29,0))</f>
        <v/>
      </c>
      <c r="U28" s="8">
        <f>INDEX('V_Dengeli Değişken'!T$2:T$29,MATCH(LARGE('V_Dengeli Değişken'!$AD$2:$AD$29,ROW()-3),'V_Dengeli Değişken'!$AD$2:$AD$29,0))</f>
        <v/>
      </c>
      <c r="V28" s="8">
        <f>INDEX('V_Dengeli Değişken'!U$2:U$29,MATCH(LARGE('V_Dengeli Değişken'!$AD$2:$AD$29,ROW()-3),'V_Dengeli Değişken'!$AD$2:$AD$29,0))</f>
        <v/>
      </c>
      <c r="W28" s="8">
        <f>INDEX('V_Dengeli Değişken'!V$2:V$29,MATCH(LARGE('V_Dengeli Değişken'!$AD$2:$AD$29,ROW()-3),'V_Dengeli Değişken'!$AD$2:$AD$29,0))</f>
        <v/>
      </c>
      <c r="X28" s="8">
        <f>INDEX('V_Dengeli Değişken'!W$2:W$29,MATCH(LARGE('V_Dengeli Değişken'!$AD$2:$AD$29,ROW()-3),'V_Dengeli Değişken'!$AD$2:$AD$29,0))</f>
        <v/>
      </c>
      <c r="Y28" s="8">
        <f>INDEX('V_Dengeli Değişken'!X$2:X$29,MATCH(LARGE('V_Dengeli Değişken'!$AD$2:$AD$29,ROW()-3),'V_Dengeli Değişken'!$AD$2:$AD$29,0))</f>
        <v/>
      </c>
      <c r="Z28" s="8">
        <f>INDEX('V_Dengeli Değişken'!Y$2:Y$29,MATCH(LARGE('V_Dengeli Değişken'!$AD$2:$AD$29,ROW()-3),'V_Dengeli Değişken'!$AD$2:$AD$29,0))</f>
        <v/>
      </c>
      <c r="AA28" s="8">
        <f>INDEX('V_Dengeli Değişken'!Z$2:Z$29,MATCH(LARGE('V_Dengeli Değişken'!$AD$2:$AD$29,ROW()-3),'V_Dengeli Değişken'!$AD$2:$AD$29,0))</f>
        <v/>
      </c>
      <c r="AB28" s="8">
        <f>INDEX('V_Dengeli Değişken'!AA$2:AA$29,MATCH(LARGE('V_Dengeli Değişken'!$AD$2:$AD$29,ROW()-3),'V_Dengeli Değişken'!$AD$2:$AD$29,0))</f>
        <v/>
      </c>
      <c r="AC28" s="8">
        <f>INDEX('V_Dengeli Değişken'!AB$2:AB$29,MATCH(LARGE('V_Dengeli Değişken'!$AD$2:$AD$29,ROW()-3),'V_Dengeli Değişken'!$AD$2:$AD$29,0))</f>
        <v/>
      </c>
    </row>
    <row r="29">
      <c r="A29" t="n">
        <v>26</v>
      </c>
      <c r="B29" s="5">
        <f>INDEX('V_Dengeli Değişken'!A$2:A$29,MATCH(LARGE('V_Dengeli Değişken'!$AD$2:$AD$29,ROW()-3),'V_Dengeli Değişken'!$AD$2:$AD$29,0))</f>
        <v/>
      </c>
      <c r="C29" s="5">
        <f>INDEX('V_Dengeli Değişken'!B$2:B$29,MATCH(LARGE('V_Dengeli Değişken'!$AD$2:$AD$29,ROW()-3),'V_Dengeli Değişken'!$AD$2:$AD$29,0))</f>
        <v/>
      </c>
      <c r="D29" s="5">
        <f>INDEX('V_Dengeli Değişken'!C$2:C$29,MATCH(LARGE('V_Dengeli Değişken'!$AD$2:$AD$29,ROW()-3),'V_Dengeli Değişken'!$AD$2:$AD$29,0))</f>
        <v/>
      </c>
      <c r="E29" s="8">
        <f>INDEX('V_Dengeli Değişken'!D$2:D$29,MATCH(LARGE('V_Dengeli Değişken'!$AD$2:$AD$29,ROW()-3),'V_Dengeli Değişken'!$AD$2:$AD$29,0))</f>
        <v/>
      </c>
      <c r="F29" s="9">
        <f>INDEX('V_Dengeli Değişken'!E$2:E$29,MATCH(LARGE('V_Dengeli Değişken'!$AD$2:$AD$29,ROW()-3),'V_Dengeli Değişken'!$AD$2:$AD$29,0))</f>
        <v/>
      </c>
      <c r="G29" s="9">
        <f>INDEX('V_Dengeli Değişken'!F$2:F$29,MATCH(LARGE('V_Dengeli Değişken'!$AD$2:$AD$29,ROW()-3),'V_Dengeli Değişken'!$AD$2:$AD$29,0))</f>
        <v/>
      </c>
      <c r="H29" s="9">
        <f>INDEX('V_Dengeli Değişken'!G$2:G$29,MATCH(LARGE('V_Dengeli Değişken'!$AD$2:$AD$29,ROW()-3),'V_Dengeli Değişken'!$AD$2:$AD$29,0))</f>
        <v/>
      </c>
      <c r="I29" s="9">
        <f>INDEX('V_Dengeli Değişken'!H$2:H$29,MATCH(LARGE('V_Dengeli Değişken'!$AD$2:$AD$29,ROW()-3),'V_Dengeli Değişken'!$AD$2:$AD$29,0))</f>
        <v/>
      </c>
      <c r="J29" s="9">
        <f>INDEX('V_Dengeli Değişken'!I$2:I$29,MATCH(LARGE('V_Dengeli Değişken'!$AD$2:$AD$29,ROW()-3),'V_Dengeli Değişken'!$AD$2:$AD$29,0))</f>
        <v/>
      </c>
      <c r="K29" s="9">
        <f>INDEX('V_Dengeli Değişken'!J$2:J$29,MATCH(LARGE('V_Dengeli Değişken'!$AD$2:$AD$29,ROW()-3),'V_Dengeli Değişken'!$AD$2:$AD$29,0))</f>
        <v/>
      </c>
      <c r="L29" s="10">
        <f>INDEX('V_Dengeli Değişken'!K$2:K$29,MATCH(LARGE('V_Dengeli Değişken'!$AD$2:$AD$29,ROW()-3),'V_Dengeli Değişken'!$AD$2:$AD$29,0))</f>
        <v/>
      </c>
      <c r="M29" s="10">
        <f>INDEX('V_Dengeli Değişken'!L$2:L$29,MATCH(LARGE('V_Dengeli Değişken'!$AD$2:$AD$29,ROW()-3),'V_Dengeli Değişken'!$AD$2:$AD$29,0))</f>
        <v/>
      </c>
      <c r="N29" s="8">
        <f>INDEX('V_Dengeli Değişken'!M$2:M$29,MATCH(LARGE('V_Dengeli Değişken'!$AD$2:$AD$29,ROW()-3),'V_Dengeli Değişken'!$AD$2:$AD$29,0))</f>
        <v/>
      </c>
      <c r="O29" s="11">
        <f>INDEX('V_Dengeli Değişken'!N$2:N$29,MATCH(LARGE('V_Dengeli Değişken'!$AD$2:$AD$29,ROW()-3),'V_Dengeli Değişken'!$AD$2:$AD$29,0))</f>
        <v/>
      </c>
      <c r="P29" s="11">
        <f>INDEX('V_Dengeli Değişken'!O$2:O$29,MATCH(LARGE('V_Dengeli Değişken'!$AD$2:$AD$29,ROW()-3),'V_Dengeli Değişken'!$AD$2:$AD$29,0))</f>
        <v/>
      </c>
      <c r="Q29" s="8">
        <f>INDEX('V_Dengeli Değişken'!P$2:P$29,MATCH(LARGE('V_Dengeli Değişken'!$AD$2:$AD$29,ROW()-3),'V_Dengeli Değişken'!$AD$2:$AD$29,0))</f>
        <v/>
      </c>
      <c r="R29" s="9">
        <f>INDEX('V_Dengeli Değişken'!Q$2:Q$29,MATCH(LARGE('V_Dengeli Değişken'!$AD$2:$AD$29,ROW()-3),'V_Dengeli Değişken'!$AD$2:$AD$29,0))</f>
        <v/>
      </c>
      <c r="S29" s="5">
        <f>INDEX('V_Dengeli Değişken'!R$2:R$29,MATCH(LARGE('V_Dengeli Değişken'!$AD$2:$AD$29,ROW()-3),'V_Dengeli Değişken'!$AD$2:$AD$29,0))</f>
        <v/>
      </c>
      <c r="T29" s="8">
        <f>INDEX('V_Dengeli Değişken'!S$2:S$29,MATCH(LARGE('V_Dengeli Değişken'!$AD$2:$AD$29,ROW()-3),'V_Dengeli Değişken'!$AD$2:$AD$29,0))</f>
        <v/>
      </c>
      <c r="U29" s="8">
        <f>INDEX('V_Dengeli Değişken'!T$2:T$29,MATCH(LARGE('V_Dengeli Değişken'!$AD$2:$AD$29,ROW()-3),'V_Dengeli Değişken'!$AD$2:$AD$29,0))</f>
        <v/>
      </c>
      <c r="V29" s="8">
        <f>INDEX('V_Dengeli Değişken'!U$2:U$29,MATCH(LARGE('V_Dengeli Değişken'!$AD$2:$AD$29,ROW()-3),'V_Dengeli Değişken'!$AD$2:$AD$29,0))</f>
        <v/>
      </c>
      <c r="W29" s="8">
        <f>INDEX('V_Dengeli Değişken'!V$2:V$29,MATCH(LARGE('V_Dengeli Değişken'!$AD$2:$AD$29,ROW()-3),'V_Dengeli Değişken'!$AD$2:$AD$29,0))</f>
        <v/>
      </c>
      <c r="X29" s="8">
        <f>INDEX('V_Dengeli Değişken'!W$2:W$29,MATCH(LARGE('V_Dengeli Değişken'!$AD$2:$AD$29,ROW()-3),'V_Dengeli Değişken'!$AD$2:$AD$29,0))</f>
        <v/>
      </c>
      <c r="Y29" s="8">
        <f>INDEX('V_Dengeli Değişken'!X$2:X$29,MATCH(LARGE('V_Dengeli Değişken'!$AD$2:$AD$29,ROW()-3),'V_Dengeli Değişken'!$AD$2:$AD$29,0))</f>
        <v/>
      </c>
      <c r="Z29" s="8">
        <f>INDEX('V_Dengeli Değişken'!Y$2:Y$29,MATCH(LARGE('V_Dengeli Değişken'!$AD$2:$AD$29,ROW()-3),'V_Dengeli Değişken'!$AD$2:$AD$29,0))</f>
        <v/>
      </c>
      <c r="AA29" s="8">
        <f>INDEX('V_Dengeli Değişken'!Z$2:Z$29,MATCH(LARGE('V_Dengeli Değişken'!$AD$2:$AD$29,ROW()-3),'V_Dengeli Değişken'!$AD$2:$AD$29,0))</f>
        <v/>
      </c>
      <c r="AB29" s="8">
        <f>INDEX('V_Dengeli Değişken'!AA$2:AA$29,MATCH(LARGE('V_Dengeli Değişken'!$AD$2:$AD$29,ROW()-3),'V_Dengeli Değişken'!$AD$2:$AD$29,0))</f>
        <v/>
      </c>
      <c r="AC29" s="8">
        <f>INDEX('V_Dengeli Değişken'!AB$2:AB$29,MATCH(LARGE('V_Dengeli Değişken'!$AD$2:$AD$29,ROW()-3),'V_Dengeli Değişken'!$AD$2:$AD$29,0))</f>
        <v/>
      </c>
    </row>
    <row r="30">
      <c r="A30" t="n">
        <v>27</v>
      </c>
      <c r="B30" s="5">
        <f>INDEX('V_Dengeli Değişken'!A$2:A$29,MATCH(LARGE('V_Dengeli Değişken'!$AD$2:$AD$29,ROW()-3),'V_Dengeli Değişken'!$AD$2:$AD$29,0))</f>
        <v/>
      </c>
      <c r="C30" s="5">
        <f>INDEX('V_Dengeli Değişken'!B$2:B$29,MATCH(LARGE('V_Dengeli Değişken'!$AD$2:$AD$29,ROW()-3),'V_Dengeli Değişken'!$AD$2:$AD$29,0))</f>
        <v/>
      </c>
      <c r="D30" s="5">
        <f>INDEX('V_Dengeli Değişken'!C$2:C$29,MATCH(LARGE('V_Dengeli Değişken'!$AD$2:$AD$29,ROW()-3),'V_Dengeli Değişken'!$AD$2:$AD$29,0))</f>
        <v/>
      </c>
      <c r="E30" s="8">
        <f>INDEX('V_Dengeli Değişken'!D$2:D$29,MATCH(LARGE('V_Dengeli Değişken'!$AD$2:$AD$29,ROW()-3),'V_Dengeli Değişken'!$AD$2:$AD$29,0))</f>
        <v/>
      </c>
      <c r="F30" s="9">
        <f>INDEX('V_Dengeli Değişken'!E$2:E$29,MATCH(LARGE('V_Dengeli Değişken'!$AD$2:$AD$29,ROW()-3),'V_Dengeli Değişken'!$AD$2:$AD$29,0))</f>
        <v/>
      </c>
      <c r="G30" s="9">
        <f>INDEX('V_Dengeli Değişken'!F$2:F$29,MATCH(LARGE('V_Dengeli Değişken'!$AD$2:$AD$29,ROW()-3),'V_Dengeli Değişken'!$AD$2:$AD$29,0))</f>
        <v/>
      </c>
      <c r="H30" s="9">
        <f>INDEX('V_Dengeli Değişken'!G$2:G$29,MATCH(LARGE('V_Dengeli Değişken'!$AD$2:$AD$29,ROW()-3),'V_Dengeli Değişken'!$AD$2:$AD$29,0))</f>
        <v/>
      </c>
      <c r="I30" s="9">
        <f>INDEX('V_Dengeli Değişken'!H$2:H$29,MATCH(LARGE('V_Dengeli Değişken'!$AD$2:$AD$29,ROW()-3),'V_Dengeli Değişken'!$AD$2:$AD$29,0))</f>
        <v/>
      </c>
      <c r="J30" s="9">
        <f>INDEX('V_Dengeli Değişken'!I$2:I$29,MATCH(LARGE('V_Dengeli Değişken'!$AD$2:$AD$29,ROW()-3),'V_Dengeli Değişken'!$AD$2:$AD$29,0))</f>
        <v/>
      </c>
      <c r="K30" s="9">
        <f>INDEX('V_Dengeli Değişken'!J$2:J$29,MATCH(LARGE('V_Dengeli Değişken'!$AD$2:$AD$29,ROW()-3),'V_Dengeli Değişken'!$AD$2:$AD$29,0))</f>
        <v/>
      </c>
      <c r="L30" s="10">
        <f>INDEX('V_Dengeli Değişken'!K$2:K$29,MATCH(LARGE('V_Dengeli Değişken'!$AD$2:$AD$29,ROW()-3),'V_Dengeli Değişken'!$AD$2:$AD$29,0))</f>
        <v/>
      </c>
      <c r="M30" s="10">
        <f>INDEX('V_Dengeli Değişken'!L$2:L$29,MATCH(LARGE('V_Dengeli Değişken'!$AD$2:$AD$29,ROW()-3),'V_Dengeli Değişken'!$AD$2:$AD$29,0))</f>
        <v/>
      </c>
      <c r="N30" s="8">
        <f>INDEX('V_Dengeli Değişken'!M$2:M$29,MATCH(LARGE('V_Dengeli Değişken'!$AD$2:$AD$29,ROW()-3),'V_Dengeli Değişken'!$AD$2:$AD$29,0))</f>
        <v/>
      </c>
      <c r="O30" s="11">
        <f>INDEX('V_Dengeli Değişken'!N$2:N$29,MATCH(LARGE('V_Dengeli Değişken'!$AD$2:$AD$29,ROW()-3),'V_Dengeli Değişken'!$AD$2:$AD$29,0))</f>
        <v/>
      </c>
      <c r="P30" s="11">
        <f>INDEX('V_Dengeli Değişken'!O$2:O$29,MATCH(LARGE('V_Dengeli Değişken'!$AD$2:$AD$29,ROW()-3),'V_Dengeli Değişken'!$AD$2:$AD$29,0))</f>
        <v/>
      </c>
      <c r="Q30" s="8">
        <f>INDEX('V_Dengeli Değişken'!P$2:P$29,MATCH(LARGE('V_Dengeli Değişken'!$AD$2:$AD$29,ROW()-3),'V_Dengeli Değişken'!$AD$2:$AD$29,0))</f>
        <v/>
      </c>
      <c r="R30" s="9">
        <f>INDEX('V_Dengeli Değişken'!Q$2:Q$29,MATCH(LARGE('V_Dengeli Değişken'!$AD$2:$AD$29,ROW()-3),'V_Dengeli Değişken'!$AD$2:$AD$29,0))</f>
        <v/>
      </c>
      <c r="S30" s="5">
        <f>INDEX('V_Dengeli Değişken'!R$2:R$29,MATCH(LARGE('V_Dengeli Değişken'!$AD$2:$AD$29,ROW()-3),'V_Dengeli Değişken'!$AD$2:$AD$29,0))</f>
        <v/>
      </c>
      <c r="T30" s="8">
        <f>INDEX('V_Dengeli Değişken'!S$2:S$29,MATCH(LARGE('V_Dengeli Değişken'!$AD$2:$AD$29,ROW()-3),'V_Dengeli Değişken'!$AD$2:$AD$29,0))</f>
        <v/>
      </c>
      <c r="U30" s="8">
        <f>INDEX('V_Dengeli Değişken'!T$2:T$29,MATCH(LARGE('V_Dengeli Değişken'!$AD$2:$AD$29,ROW()-3),'V_Dengeli Değişken'!$AD$2:$AD$29,0))</f>
        <v/>
      </c>
      <c r="V30" s="8">
        <f>INDEX('V_Dengeli Değişken'!U$2:U$29,MATCH(LARGE('V_Dengeli Değişken'!$AD$2:$AD$29,ROW()-3),'V_Dengeli Değişken'!$AD$2:$AD$29,0))</f>
        <v/>
      </c>
      <c r="W30" s="8">
        <f>INDEX('V_Dengeli Değişken'!V$2:V$29,MATCH(LARGE('V_Dengeli Değişken'!$AD$2:$AD$29,ROW()-3),'V_Dengeli Değişken'!$AD$2:$AD$29,0))</f>
        <v/>
      </c>
      <c r="X30" s="8">
        <f>INDEX('V_Dengeli Değişken'!W$2:W$29,MATCH(LARGE('V_Dengeli Değişken'!$AD$2:$AD$29,ROW()-3),'V_Dengeli Değişken'!$AD$2:$AD$29,0))</f>
        <v/>
      </c>
      <c r="Y30" s="8">
        <f>INDEX('V_Dengeli Değişken'!X$2:X$29,MATCH(LARGE('V_Dengeli Değişken'!$AD$2:$AD$29,ROW()-3),'V_Dengeli Değişken'!$AD$2:$AD$29,0))</f>
        <v/>
      </c>
      <c r="Z30" s="8">
        <f>INDEX('V_Dengeli Değişken'!Y$2:Y$29,MATCH(LARGE('V_Dengeli Değişken'!$AD$2:$AD$29,ROW()-3),'V_Dengeli Değişken'!$AD$2:$AD$29,0))</f>
        <v/>
      </c>
      <c r="AA30" s="8">
        <f>INDEX('V_Dengeli Değişken'!Z$2:Z$29,MATCH(LARGE('V_Dengeli Değişken'!$AD$2:$AD$29,ROW()-3),'V_Dengeli Değişken'!$AD$2:$AD$29,0))</f>
        <v/>
      </c>
      <c r="AB30" s="8">
        <f>INDEX('V_Dengeli Değişken'!AA$2:AA$29,MATCH(LARGE('V_Dengeli Değişken'!$AD$2:$AD$29,ROW()-3),'V_Dengeli Değişken'!$AD$2:$AD$29,0))</f>
        <v/>
      </c>
      <c r="AC30" s="8">
        <f>INDEX('V_Dengeli Değişken'!AB$2:AB$29,MATCH(LARGE('V_Dengeli Değişken'!$AD$2:$AD$29,ROW()-3),'V_Dengeli Değişken'!$AD$2:$AD$29,0))</f>
        <v/>
      </c>
    </row>
    <row r="31">
      <c r="A31" t="n">
        <v>28</v>
      </c>
      <c r="B31" s="5">
        <f>INDEX('V_Dengeli Değişken'!A$2:A$29,MATCH(LARGE('V_Dengeli Değişken'!$AD$2:$AD$29,ROW()-3),'V_Dengeli Değişken'!$AD$2:$AD$29,0))</f>
        <v/>
      </c>
      <c r="C31" s="5">
        <f>INDEX('V_Dengeli Değişken'!B$2:B$29,MATCH(LARGE('V_Dengeli Değişken'!$AD$2:$AD$29,ROW()-3),'V_Dengeli Değişken'!$AD$2:$AD$29,0))</f>
        <v/>
      </c>
      <c r="D31" s="5">
        <f>INDEX('V_Dengeli Değişken'!C$2:C$29,MATCH(LARGE('V_Dengeli Değişken'!$AD$2:$AD$29,ROW()-3),'V_Dengeli Değişken'!$AD$2:$AD$29,0))</f>
        <v/>
      </c>
      <c r="E31" s="8">
        <f>INDEX('V_Dengeli Değişken'!D$2:D$29,MATCH(LARGE('V_Dengeli Değişken'!$AD$2:$AD$29,ROW()-3),'V_Dengeli Değişken'!$AD$2:$AD$29,0))</f>
        <v/>
      </c>
      <c r="F31" s="9">
        <f>INDEX('V_Dengeli Değişken'!E$2:E$29,MATCH(LARGE('V_Dengeli Değişken'!$AD$2:$AD$29,ROW()-3),'V_Dengeli Değişken'!$AD$2:$AD$29,0))</f>
        <v/>
      </c>
      <c r="G31" s="9">
        <f>INDEX('V_Dengeli Değişken'!F$2:F$29,MATCH(LARGE('V_Dengeli Değişken'!$AD$2:$AD$29,ROW()-3),'V_Dengeli Değişken'!$AD$2:$AD$29,0))</f>
        <v/>
      </c>
      <c r="H31" s="9">
        <f>INDEX('V_Dengeli Değişken'!G$2:G$29,MATCH(LARGE('V_Dengeli Değişken'!$AD$2:$AD$29,ROW()-3),'V_Dengeli Değişken'!$AD$2:$AD$29,0))</f>
        <v/>
      </c>
      <c r="I31" s="9">
        <f>INDEX('V_Dengeli Değişken'!H$2:H$29,MATCH(LARGE('V_Dengeli Değişken'!$AD$2:$AD$29,ROW()-3),'V_Dengeli Değişken'!$AD$2:$AD$29,0))</f>
        <v/>
      </c>
      <c r="J31" s="9">
        <f>INDEX('V_Dengeli Değişken'!I$2:I$29,MATCH(LARGE('V_Dengeli Değişken'!$AD$2:$AD$29,ROW()-3),'V_Dengeli Değişken'!$AD$2:$AD$29,0))</f>
        <v/>
      </c>
      <c r="K31" s="9">
        <f>INDEX('V_Dengeli Değişken'!J$2:J$29,MATCH(LARGE('V_Dengeli Değişken'!$AD$2:$AD$29,ROW()-3),'V_Dengeli Değişken'!$AD$2:$AD$29,0))</f>
        <v/>
      </c>
      <c r="L31" s="10">
        <f>INDEX('V_Dengeli Değişken'!K$2:K$29,MATCH(LARGE('V_Dengeli Değişken'!$AD$2:$AD$29,ROW()-3),'V_Dengeli Değişken'!$AD$2:$AD$29,0))</f>
        <v/>
      </c>
      <c r="M31" s="10">
        <f>INDEX('V_Dengeli Değişken'!L$2:L$29,MATCH(LARGE('V_Dengeli Değişken'!$AD$2:$AD$29,ROW()-3),'V_Dengeli Değişken'!$AD$2:$AD$29,0))</f>
        <v/>
      </c>
      <c r="N31" s="8">
        <f>INDEX('V_Dengeli Değişken'!M$2:M$29,MATCH(LARGE('V_Dengeli Değişken'!$AD$2:$AD$29,ROW()-3),'V_Dengeli Değişken'!$AD$2:$AD$29,0))</f>
        <v/>
      </c>
      <c r="O31" s="11">
        <f>INDEX('V_Dengeli Değişken'!N$2:N$29,MATCH(LARGE('V_Dengeli Değişken'!$AD$2:$AD$29,ROW()-3),'V_Dengeli Değişken'!$AD$2:$AD$29,0))</f>
        <v/>
      </c>
      <c r="P31" s="11">
        <f>INDEX('V_Dengeli Değişken'!O$2:O$29,MATCH(LARGE('V_Dengeli Değişken'!$AD$2:$AD$29,ROW()-3),'V_Dengeli Değişken'!$AD$2:$AD$29,0))</f>
        <v/>
      </c>
      <c r="Q31" s="8">
        <f>INDEX('V_Dengeli Değişken'!P$2:P$29,MATCH(LARGE('V_Dengeli Değişken'!$AD$2:$AD$29,ROW()-3),'V_Dengeli Değişken'!$AD$2:$AD$29,0))</f>
        <v/>
      </c>
      <c r="R31" s="9">
        <f>INDEX('V_Dengeli Değişken'!Q$2:Q$29,MATCH(LARGE('V_Dengeli Değişken'!$AD$2:$AD$29,ROW()-3),'V_Dengeli Değişken'!$AD$2:$AD$29,0))</f>
        <v/>
      </c>
      <c r="S31" s="5">
        <f>INDEX('V_Dengeli Değişken'!R$2:R$29,MATCH(LARGE('V_Dengeli Değişken'!$AD$2:$AD$29,ROW()-3),'V_Dengeli Değişken'!$AD$2:$AD$29,0))</f>
        <v/>
      </c>
      <c r="T31" s="8">
        <f>INDEX('V_Dengeli Değişken'!S$2:S$29,MATCH(LARGE('V_Dengeli Değişken'!$AD$2:$AD$29,ROW()-3),'V_Dengeli Değişken'!$AD$2:$AD$29,0))</f>
        <v/>
      </c>
      <c r="U31" s="8">
        <f>INDEX('V_Dengeli Değişken'!T$2:T$29,MATCH(LARGE('V_Dengeli Değişken'!$AD$2:$AD$29,ROW()-3),'V_Dengeli Değişken'!$AD$2:$AD$29,0))</f>
        <v/>
      </c>
      <c r="V31" s="8">
        <f>INDEX('V_Dengeli Değişken'!U$2:U$29,MATCH(LARGE('V_Dengeli Değişken'!$AD$2:$AD$29,ROW()-3),'V_Dengeli Değişken'!$AD$2:$AD$29,0))</f>
        <v/>
      </c>
      <c r="W31" s="8">
        <f>INDEX('V_Dengeli Değişken'!V$2:V$29,MATCH(LARGE('V_Dengeli Değişken'!$AD$2:$AD$29,ROW()-3),'V_Dengeli Değişken'!$AD$2:$AD$29,0))</f>
        <v/>
      </c>
      <c r="X31" s="8">
        <f>INDEX('V_Dengeli Değişken'!W$2:W$29,MATCH(LARGE('V_Dengeli Değişken'!$AD$2:$AD$29,ROW()-3),'V_Dengeli Değişken'!$AD$2:$AD$29,0))</f>
        <v/>
      </c>
      <c r="Y31" s="8">
        <f>INDEX('V_Dengeli Değişken'!X$2:X$29,MATCH(LARGE('V_Dengeli Değişken'!$AD$2:$AD$29,ROW()-3),'V_Dengeli Değişken'!$AD$2:$AD$29,0))</f>
        <v/>
      </c>
      <c r="Z31" s="8">
        <f>INDEX('V_Dengeli Değişken'!Y$2:Y$29,MATCH(LARGE('V_Dengeli Değişken'!$AD$2:$AD$29,ROW()-3),'V_Dengeli Değişken'!$AD$2:$AD$29,0))</f>
        <v/>
      </c>
      <c r="AA31" s="8">
        <f>INDEX('V_Dengeli Değişken'!Z$2:Z$29,MATCH(LARGE('V_Dengeli Değişken'!$AD$2:$AD$29,ROW()-3),'V_Dengeli Değişken'!$AD$2:$AD$29,0))</f>
        <v/>
      </c>
      <c r="AB31" s="8">
        <f>INDEX('V_Dengeli Değişken'!AA$2:AA$29,MATCH(LARGE('V_Dengeli Değişken'!$AD$2:$AD$29,ROW()-3),'V_Dengeli Değişken'!$AD$2:$AD$29,0))</f>
        <v/>
      </c>
      <c r="AC31" s="8">
        <f>INDEX('V_Dengeli Değişken'!AB$2:AB$29,MATCH(LARGE('V_Dengeli Değişken'!$AD$2:$AD$29,ROW()-3),'V_Dengeli Değişken'!$AD$2:$AD$29,0))</f>
        <v/>
      </c>
    </row>
  </sheetData>
  <conditionalFormatting sqref="B4:AC31">
    <cfRule type="expression" priority="1" dxfId="0">
      <formula>OR($B4="BAI",$B4="BHI",$B4="BIS",$B4="BSD",$B4="BTE",$B4="BTK",$B4="BV1",$B4="BVD",$B4="BVF",$B4="BVV",$B4="BVZ",$B4="MTD",$B4="RUT",$B4="SPR")</formula>
    </cfRule>
  </conditionalFormatting>
  <dataValidations count="1">
    <dataValidation sqref="E2" showDropDown="0" showInputMessage="0" showErrorMessage="0" allowBlank="0" type="list">
      <formula1>"Günlük%,Haftalık,Aylık,Ay Başından Bu güne,Yılbaşına Göre,Yıllık"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 Kodu</t>
        </is>
      </c>
      <c r="B1" t="inlineStr">
        <is>
          <t>Altın Fonları</t>
        </is>
      </c>
      <c r="C1" t="inlineStr">
        <is>
          <t>Yönetici</t>
        </is>
      </c>
      <c r="D1" t="inlineStr">
        <is>
          <t>FYÜ%</t>
        </is>
      </c>
      <c r="E1" t="inlineStr">
        <is>
          <t>Günlük%</t>
        </is>
      </c>
      <c r="F1" t="inlineStr">
        <is>
          <t>Haftalık</t>
        </is>
      </c>
      <c r="G1" t="inlineStr">
        <is>
          <t>Aylık</t>
        </is>
      </c>
      <c r="H1" t="inlineStr">
        <is>
          <t>Yılbaşına Göre</t>
        </is>
      </c>
      <c r="I1" t="inlineStr">
        <is>
          <t>Yıllık</t>
        </is>
      </c>
      <c r="J1" t="inlineStr">
        <is>
          <t>Yatırımcı Sayısı T-30</t>
        </is>
      </c>
      <c r="K1" t="inlineStr">
        <is>
          <t>Yatırımcı Sayısı T-1</t>
        </is>
      </c>
      <c r="L1" t="inlineStr">
        <is>
          <t>YS Değişim</t>
        </is>
      </c>
      <c r="M1" t="inlineStr">
        <is>
          <t>Önceki Ay FTD</t>
        </is>
      </c>
      <c r="N1" t="inlineStr">
        <is>
          <t>T-1 FTD</t>
        </is>
      </c>
      <c r="O1" t="inlineStr">
        <is>
          <t>FTD Değişim</t>
        </is>
      </c>
      <c r="P1" t="inlineStr">
        <is>
          <t>Standart Sapma (Aylık)</t>
        </is>
      </c>
      <c r="Q1" t="inlineStr">
        <is>
          <t>TEFAS Durumu</t>
        </is>
      </c>
      <c r="R1" t="inlineStr">
        <is>
          <t>Mevduat (TL)</t>
        </is>
      </c>
      <c r="S1" t="inlineStr">
        <is>
          <t>Vadeli İşlemler Nakit Teminatları</t>
        </is>
      </c>
      <c r="T1" t="inlineStr">
        <is>
          <t>Ters Repo Oranı</t>
        </is>
      </c>
      <c r="U1" t="inlineStr">
        <is>
          <t>Hisse Oranı</t>
        </is>
      </c>
      <c r="V1" t="inlineStr">
        <is>
          <t>Para Piyasaları Oranı</t>
        </is>
      </c>
      <c r="W1" t="inlineStr">
        <is>
          <t>Yatırım Fonları Katılma Payları</t>
        </is>
      </c>
      <c r="X1" t="inlineStr">
        <is>
          <t>Özel Tahvil/Bono Oranı</t>
        </is>
      </c>
      <c r="Y1" t="inlineStr">
        <is>
          <t>Finansman Bonosu Oranı</t>
        </is>
      </c>
      <c r="Z1" t="inlineStr">
        <is>
          <t>Diğer Oran</t>
        </is>
      </c>
      <c r="AA1" t="inlineStr">
        <is>
          <t>Toplam</t>
        </is>
      </c>
    </row>
    <row r="2">
      <c r="A2" t="inlineStr">
        <is>
          <t>AU1</t>
        </is>
      </c>
      <c r="B2" t="inlineStr">
        <is>
          <t>A1 Capital Portföy Altın Fonu</t>
        </is>
      </c>
      <c r="C2" t="inlineStr">
        <is>
          <t>A1 Capital Portföy</t>
        </is>
      </c>
      <c r="D2" t="n">
        <v>0.014</v>
      </c>
      <c r="E2" t="n">
        <v>0.573462769736488</v>
      </c>
      <c r="F2" t="n">
        <v>-1.070819021562097</v>
      </c>
      <c r="G2" t="n">
        <v>-6.646261094982242</v>
      </c>
      <c r="H2" t="n">
        <v>-0.2141834769804341</v>
      </c>
      <c r="I2" t="inlineStr">
        <is>
          <t>-</t>
        </is>
      </c>
      <c r="J2" t="n">
        <v>626</v>
      </c>
      <c r="K2" t="n">
        <v>606</v>
      </c>
      <c r="L2" t="n">
        <v>-0.03194888178913735</v>
      </c>
      <c r="M2" t="n">
        <v>56615278.59</v>
      </c>
      <c r="N2" t="n">
        <v>50327267.26</v>
      </c>
      <c r="O2" t="n">
        <v>-0.1110656255096245</v>
      </c>
      <c r="P2" t="n">
        <v>1.174348243535853</v>
      </c>
      <c r="Q2" t="inlineStr">
        <is>
          <t>Görüyor</t>
        </is>
      </c>
      <c r="R2" t="n">
        <v>0</v>
      </c>
      <c r="S2" t="n">
        <v>0.0273</v>
      </c>
      <c r="T2" t="n">
        <v>0</v>
      </c>
      <c r="U2" t="n">
        <v>0.0059</v>
      </c>
      <c r="V2" t="n">
        <v>0.0019</v>
      </c>
      <c r="W2" t="n">
        <v>0</v>
      </c>
      <c r="X2" t="n">
        <v>0</v>
      </c>
      <c r="Y2" t="n">
        <v>0</v>
      </c>
      <c r="Z2" t="n">
        <v>0</v>
      </c>
      <c r="AA2" t="n">
        <v>0.0351</v>
      </c>
      <c r="AC2">
        <f>IF(ISNUMBER(INDEX($A$2:$AA$48,1,MATCH('Altın'!$E$2,$A$1:$AA$1,0))),INDEX($A$2:$AA$48,1,MATCH('Altın'!$E$2,$A$1:$AA$1,0)),-1E+9)-ROW()/1E+7</f>
        <v/>
      </c>
    </row>
    <row r="3">
      <c r="A3" t="inlineStr">
        <is>
          <t>KAN</t>
        </is>
      </c>
      <c r="B3" t="inlineStr">
        <is>
          <t>Kuveyt Türk Portföy Altın Katılım Serbest Fon</t>
        </is>
      </c>
      <c r="C3" t="inlineStr">
        <is>
          <t>Kuveyt Türk Portföy</t>
        </is>
      </c>
      <c r="D3" t="n">
        <v>0.003</v>
      </c>
      <c r="E3" t="n">
        <v>0.546136836124389</v>
      </c>
      <c r="F3" t="n">
        <v>-1.235968598272486</v>
      </c>
      <c r="G3" t="n">
        <v>-6.513800141273629</v>
      </c>
      <c r="H3" t="n">
        <v>0.3956635856917856</v>
      </c>
      <c r="I3" t="n">
        <v>44.40377992356019</v>
      </c>
      <c r="J3" t="n">
        <v>40</v>
      </c>
      <c r="K3" t="n">
        <v>38</v>
      </c>
      <c r="L3" t="n">
        <v>-0.05000000000000004</v>
      </c>
      <c r="M3" t="n">
        <v>5539706844.09</v>
      </c>
      <c r="N3" t="n">
        <v>4962957093.11</v>
      </c>
      <c r="O3" t="n">
        <v>-0.1041119624579597</v>
      </c>
      <c r="P3" t="n">
        <v>1.306737140034842</v>
      </c>
      <c r="Q3" t="inlineStr">
        <is>
          <t>Görmüyor</t>
        </is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0.0007000000000000001</v>
      </c>
      <c r="X3" t="n">
        <v>0</v>
      </c>
      <c r="Y3" t="n">
        <v>0</v>
      </c>
      <c r="Z3" t="n">
        <v>0</v>
      </c>
      <c r="AA3" t="n">
        <v>0.0007000000000000001</v>
      </c>
      <c r="AC3">
        <f>IF(ISNUMBER(INDEX($A$2:$AA$48,2,MATCH('Altın'!$E$2,$A$1:$AA$1,0))),INDEX($A$2:$AA$48,2,MATCH('Altın'!$E$2,$A$1:$AA$1,0)),-1E+9)-ROW()/1E+7</f>
        <v/>
      </c>
    </row>
    <row r="4">
      <c r="A4" t="inlineStr">
        <is>
          <t>KZL</t>
        </is>
      </c>
      <c r="B4" t="inlineStr">
        <is>
          <t>Kuveyt Türk Portföy Altın Katılım Fonu</t>
        </is>
      </c>
      <c r="C4" t="inlineStr">
        <is>
          <t>Kuveyt Türk Portföy</t>
        </is>
      </c>
      <c r="D4" t="n">
        <v>0.003</v>
      </c>
      <c r="E4" t="n">
        <v>0.5428259117911782</v>
      </c>
      <c r="F4" t="n">
        <v>-1.265839398136259</v>
      </c>
      <c r="G4" t="n">
        <v>-6.634584624973117</v>
      </c>
      <c r="H4" t="n">
        <v>-0.5863611840504879</v>
      </c>
      <c r="I4" t="n">
        <v>42.10690668267765</v>
      </c>
      <c r="J4" t="n">
        <v>66998</v>
      </c>
      <c r="K4" t="n">
        <v>65902</v>
      </c>
      <c r="L4" t="n">
        <v>-0.01635869727454553</v>
      </c>
      <c r="M4" t="n">
        <v>88297572680.50999</v>
      </c>
      <c r="N4" t="n">
        <v>83977443764.10001</v>
      </c>
      <c r="O4" t="n">
        <v>-0.04892692726720416</v>
      </c>
      <c r="P4" t="n">
        <v>1.30644760607867</v>
      </c>
      <c r="Q4" t="inlineStr">
        <is>
          <t>Görüyor</t>
        </is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0.0003</v>
      </c>
      <c r="X4" t="n">
        <v>0</v>
      </c>
      <c r="Y4" t="n">
        <v>0</v>
      </c>
      <c r="Z4" t="n">
        <v>0</v>
      </c>
      <c r="AA4" t="n">
        <v>0.0003</v>
      </c>
      <c r="AC4">
        <f>IF(ISNUMBER(INDEX($A$2:$AA$48,3,MATCH('Altın'!$E$2,$A$1:$AA$1,0))),INDEX($A$2:$AA$48,3,MATCH('Altın'!$E$2,$A$1:$AA$1,0)),-1E+9)-ROW()/1E+7</f>
        <v/>
      </c>
    </row>
    <row r="5">
      <c r="A5" t="inlineStr">
        <is>
          <t>GOL</t>
        </is>
      </c>
      <c r="B5" t="inlineStr">
        <is>
          <t>Garanti Portföy Altın Katılım Fonu</t>
        </is>
      </c>
      <c r="C5" t="inlineStr">
        <is>
          <t>Garanti Portföy</t>
        </is>
      </c>
      <c r="D5" t="n">
        <v>0.0195</v>
      </c>
      <c r="E5" t="n">
        <v>0.5299667790838791</v>
      </c>
      <c r="F5" t="n">
        <v>-1.27625629423761</v>
      </c>
      <c r="G5" t="n">
        <v>-6.697324989433618</v>
      </c>
      <c r="H5" t="n">
        <v>-2.450814746631147</v>
      </c>
      <c r="I5" t="n">
        <v>35.03219292898508</v>
      </c>
      <c r="J5" t="n">
        <v>12706</v>
      </c>
      <c r="K5" t="n">
        <v>12210</v>
      </c>
      <c r="L5" t="n">
        <v>-0.03903667558633717</v>
      </c>
      <c r="M5" t="n">
        <v>5104553195.07</v>
      </c>
      <c r="N5" t="n">
        <v>4392261103.39</v>
      </c>
      <c r="O5" t="n">
        <v>-0.139540536548416</v>
      </c>
      <c r="P5" t="n">
        <v>1.247331961613617</v>
      </c>
      <c r="Q5" t="inlineStr">
        <is>
          <t>Görüyor</t>
        </is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0.0077</v>
      </c>
      <c r="X5" t="n">
        <v>0</v>
      </c>
      <c r="Y5" t="n">
        <v>0</v>
      </c>
      <c r="Z5" t="n">
        <v>0</v>
      </c>
      <c r="AA5" t="n">
        <v>0.0077</v>
      </c>
      <c r="AC5">
        <f>IF(ISNUMBER(INDEX($A$2:$AA$48,4,MATCH('Altın'!$E$2,$A$1:$AA$1,0))),INDEX($A$2:$AA$48,4,MATCH('Altın'!$E$2,$A$1:$AA$1,0)),-1E+9)-ROW()/1E+7</f>
        <v/>
      </c>
    </row>
    <row r="6">
      <c r="A6" t="inlineStr">
        <is>
          <t>ICA</t>
        </is>
      </c>
      <c r="B6" t="inlineStr">
        <is>
          <t>Icbc Turkey Portföy Altın Fonu</t>
        </is>
      </c>
      <c r="C6" t="inlineStr">
        <is>
          <t>Icbc Turkey Portföy</t>
        </is>
      </c>
      <c r="D6" t="n">
        <v>0.0175</v>
      </c>
      <c r="E6" t="n">
        <v>0.5217704931171907</v>
      </c>
      <c r="F6" t="n">
        <v>-1.294822480841318</v>
      </c>
      <c r="G6" t="n">
        <v>-6.626563206688552</v>
      </c>
      <c r="H6" t="n">
        <v>-2.812331094497966</v>
      </c>
      <c r="I6" t="n">
        <v>34.6501116550717</v>
      </c>
      <c r="J6" t="n">
        <v>3280</v>
      </c>
      <c r="K6" t="n">
        <v>3072</v>
      </c>
      <c r="L6" t="n">
        <v>-0.06341463414634141</v>
      </c>
      <c r="M6" t="n">
        <v>678117852.1900001</v>
      </c>
      <c r="N6" t="n">
        <v>580783581.83</v>
      </c>
      <c r="O6" t="n">
        <v>-0.1435359208515988</v>
      </c>
      <c r="P6" t="n">
        <v>1.227730440766367</v>
      </c>
      <c r="Q6" t="inlineStr">
        <is>
          <t>Görüyor</t>
        </is>
      </c>
      <c r="R6" t="n">
        <v>0</v>
      </c>
      <c r="S6" t="n">
        <v>0.0343</v>
      </c>
      <c r="T6" t="n">
        <v>0.0034</v>
      </c>
      <c r="U6" t="n">
        <v>0</v>
      </c>
      <c r="V6" t="n">
        <v>0.0008</v>
      </c>
      <c r="W6" t="n">
        <v>0</v>
      </c>
      <c r="X6" t="n">
        <v>0</v>
      </c>
      <c r="Y6" t="n">
        <v>0</v>
      </c>
      <c r="Z6" t="n">
        <v>0</v>
      </c>
      <c r="AA6" t="n">
        <v>0.03850000000000001</v>
      </c>
      <c r="AC6">
        <f>IF(ISNUMBER(INDEX($A$2:$AA$48,5,MATCH('Altın'!$E$2,$A$1:$AA$1,0))),INDEX($A$2:$AA$48,5,MATCH('Altın'!$E$2,$A$1:$AA$1,0)),-1E+9)-ROW()/1E+7</f>
        <v/>
      </c>
    </row>
    <row r="7">
      <c r="A7" t="inlineStr">
        <is>
          <t>PEA</t>
        </is>
      </c>
      <c r="B7" t="inlineStr">
        <is>
          <t>Perform Portföy Altın Fonu</t>
        </is>
      </c>
      <c r="C7" t="inlineStr">
        <is>
          <t>Perform Portföy</t>
        </is>
      </c>
      <c r="D7" t="n">
        <v>0.01825</v>
      </c>
      <c r="E7" t="n">
        <v>0.5209072298680617</v>
      </c>
      <c r="F7" t="n">
        <v>-1.242655177016971</v>
      </c>
      <c r="G7" t="n">
        <v>-6.30318840011812</v>
      </c>
      <c r="H7" t="n">
        <v>-0.8711835748434593</v>
      </c>
      <c r="I7" t="n">
        <v>34.01892225421636</v>
      </c>
      <c r="J7" t="n">
        <v>99</v>
      </c>
      <c r="K7" t="n">
        <v>100</v>
      </c>
      <c r="L7" t="n">
        <v>0.01010101010101017</v>
      </c>
      <c r="M7" t="n">
        <v>67545930.90000001</v>
      </c>
      <c r="N7" t="n">
        <v>63259397</v>
      </c>
      <c r="O7" t="n">
        <v>-0.06346102337898207</v>
      </c>
      <c r="P7" t="n">
        <v>1.211738205011597</v>
      </c>
      <c r="Q7" t="inlineStr">
        <is>
          <t>Görüyor</t>
        </is>
      </c>
      <c r="R7" t="n">
        <v>0.005500000000000001</v>
      </c>
      <c r="S7" t="n">
        <v>0</v>
      </c>
      <c r="T7" t="n">
        <v>0</v>
      </c>
      <c r="U7" t="n">
        <v>0</v>
      </c>
      <c r="V7" t="n">
        <v>0</v>
      </c>
      <c r="W7" t="n">
        <v>0.0351</v>
      </c>
      <c r="X7" t="n">
        <v>0</v>
      </c>
      <c r="Y7" t="n">
        <v>0</v>
      </c>
      <c r="Z7" t="n">
        <v>0</v>
      </c>
      <c r="AA7" t="n">
        <v>0.0406</v>
      </c>
      <c r="AC7">
        <f>IF(ISNUMBER(INDEX($A$2:$AA$48,6,MATCH('Altın'!$E$2,$A$1:$AA$1,0))),INDEX($A$2:$AA$48,6,MATCH('Altın'!$E$2,$A$1:$AA$1,0)),-1E+9)-ROW()/1E+7</f>
        <v/>
      </c>
    </row>
    <row r="8">
      <c r="A8" t="inlineStr">
        <is>
          <t>PKF</t>
        </is>
      </c>
      <c r="B8" t="inlineStr">
        <is>
          <t>Ata Portföy Altın Katılım Fonu</t>
        </is>
      </c>
      <c r="C8" t="inlineStr">
        <is>
          <t>Ata Portföy</t>
        </is>
      </c>
      <c r="D8" t="n">
        <v>0.01</v>
      </c>
      <c r="E8" t="n">
        <v>0.5179660331968705</v>
      </c>
      <c r="F8" t="n">
        <v>-1.208531366718257</v>
      </c>
      <c r="G8" t="n">
        <v>-6.622855110528669</v>
      </c>
      <c r="H8" t="n">
        <v>-2.613736191899829</v>
      </c>
      <c r="I8" t="n">
        <v>38.06771820488935</v>
      </c>
      <c r="J8" t="n">
        <v>1674</v>
      </c>
      <c r="K8" t="n">
        <v>1611</v>
      </c>
      <c r="L8" t="n">
        <v>-0.0376344086021505</v>
      </c>
      <c r="M8" t="n">
        <v>459053794.31</v>
      </c>
      <c r="N8" t="n">
        <v>395343256.98</v>
      </c>
      <c r="O8" t="n">
        <v>-0.1387866479260078</v>
      </c>
      <c r="P8" t="n">
        <v>1.218141924194403</v>
      </c>
      <c r="Q8" t="inlineStr">
        <is>
          <t>Görüyor</t>
        </is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0.0157</v>
      </c>
      <c r="X8" t="n">
        <v>0</v>
      </c>
      <c r="Y8" t="n">
        <v>0</v>
      </c>
      <c r="Z8" t="n">
        <v>0</v>
      </c>
      <c r="AA8" t="n">
        <v>0.0157</v>
      </c>
      <c r="AC8">
        <f>IF(ISNUMBER(INDEX($A$2:$AA$48,7,MATCH('Altın'!$E$2,$A$1:$AA$1,0))),INDEX($A$2:$AA$48,7,MATCH('Altın'!$E$2,$A$1:$AA$1,0)),-1E+9)-ROW()/1E+7</f>
        <v/>
      </c>
    </row>
    <row r="9">
      <c r="A9" t="inlineStr">
        <is>
          <t>KCR</t>
        </is>
      </c>
      <c r="B9" t="inlineStr">
        <is>
          <t>AK Portföy Külçe Altın Katılım Fonu</t>
        </is>
      </c>
      <c r="C9" t="inlineStr">
        <is>
          <t>AK Portföy</t>
        </is>
      </c>
      <c r="D9" t="n">
        <v>0.015</v>
      </c>
      <c r="E9" t="n">
        <v>0.5116599835641056</v>
      </c>
      <c r="F9" t="n">
        <v>-1.216569699601655</v>
      </c>
      <c r="G9" t="inlineStr">
        <is>
          <t>-</t>
        </is>
      </c>
      <c r="H9" t="inlineStr">
        <is>
          <t>-</t>
        </is>
      </c>
      <c r="I9" t="inlineStr">
        <is>
          <t>-</t>
        </is>
      </c>
      <c r="J9" t="inlineStr">
        <is>
          <t>-</t>
        </is>
      </c>
      <c r="K9" t="n">
        <v>87</v>
      </c>
      <c r="L9" t="inlineStr">
        <is>
          <t>-</t>
        </is>
      </c>
      <c r="M9" t="inlineStr">
        <is>
          <t>-</t>
        </is>
      </c>
      <c r="N9" t="n">
        <v>51201321.03</v>
      </c>
      <c r="O9" t="inlineStr">
        <is>
          <t>-</t>
        </is>
      </c>
      <c r="P9" t="n">
        <v>0.8520901606742207</v>
      </c>
      <c r="Q9" t="inlineStr">
        <is>
          <t>Görüyor</t>
        </is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C9">
        <f>IF(ISNUMBER(INDEX($A$2:$AA$48,8,MATCH('Altın'!$E$2,$A$1:$AA$1,0))),INDEX($A$2:$AA$48,8,MATCH('Altın'!$E$2,$A$1:$AA$1,0)),-1E+9)-ROW()/1E+7</f>
        <v/>
      </c>
    </row>
    <row r="10">
      <c r="A10" t="inlineStr">
        <is>
          <t>RJG</t>
        </is>
      </c>
      <c r="B10" t="inlineStr">
        <is>
          <t>Re-pıe Portföy Altın Katılım Fonu</t>
        </is>
      </c>
      <c r="C10" t="inlineStr">
        <is>
          <t>Re-pıe Portföy</t>
        </is>
      </c>
      <c r="D10" t="n">
        <v>0.0095</v>
      </c>
      <c r="E10" t="n">
        <v>0.4926972536850371</v>
      </c>
      <c r="F10" t="n">
        <v>-1.287995083151383</v>
      </c>
      <c r="G10" t="n">
        <v>-6.480040899807705</v>
      </c>
      <c r="H10" t="n">
        <v>-4.322035606130459</v>
      </c>
      <c r="I10" t="n">
        <v>37.46168099991751</v>
      </c>
      <c r="J10" t="n">
        <v>587</v>
      </c>
      <c r="K10" t="n">
        <v>575</v>
      </c>
      <c r="L10" t="n">
        <v>-0.02044293015332199</v>
      </c>
      <c r="M10" t="n">
        <v>112543132.45</v>
      </c>
      <c r="N10" t="n">
        <v>93142131.44</v>
      </c>
      <c r="O10" t="n">
        <v>-0.1723872491164165</v>
      </c>
      <c r="P10" t="n">
        <v>1.195897391876524</v>
      </c>
      <c r="Q10" t="inlineStr">
        <is>
          <t>Görüyor</t>
        </is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0.0278</v>
      </c>
      <c r="X10" t="n">
        <v>0</v>
      </c>
      <c r="Y10" t="n">
        <v>0</v>
      </c>
      <c r="Z10" t="n">
        <v>0</v>
      </c>
      <c r="AA10" t="n">
        <v>0.0278</v>
      </c>
      <c r="AC10">
        <f>IF(ISNUMBER(INDEX($A$2:$AA$48,9,MATCH('Altın'!$E$2,$A$1:$AA$1,0))),INDEX($A$2:$AA$48,9,MATCH('Altın'!$E$2,$A$1:$AA$1,0)),-1E+9)-ROW()/1E+7</f>
        <v/>
      </c>
    </row>
    <row r="11">
      <c r="A11" t="inlineStr">
        <is>
          <t>OJK</t>
        </is>
      </c>
      <c r="B11" t="inlineStr">
        <is>
          <t>Qnb Portföy Altın Fonu</t>
        </is>
      </c>
      <c r="C11" t="inlineStr">
        <is>
          <t>Qnb Portföy</t>
        </is>
      </c>
      <c r="D11" t="n">
        <v>0.0185</v>
      </c>
      <c r="E11" t="n">
        <v>0.447882326782767</v>
      </c>
      <c r="F11" t="n">
        <v>-1.267833426055864</v>
      </c>
      <c r="G11" t="n">
        <v>-6.211703560443993</v>
      </c>
      <c r="H11" t="n">
        <v>0.8158778857299431</v>
      </c>
      <c r="I11" t="n">
        <v>41.5857524916633</v>
      </c>
      <c r="J11" t="n">
        <v>29246</v>
      </c>
      <c r="K11" t="n">
        <v>28435</v>
      </c>
      <c r="L11" t="n">
        <v>-0.02773028790261911</v>
      </c>
      <c r="M11" t="n">
        <v>47859429819.34</v>
      </c>
      <c r="N11" t="n">
        <v>43131277955.67</v>
      </c>
      <c r="O11" t="n">
        <v>-0.09879248209846725</v>
      </c>
      <c r="P11" t="n">
        <v>1.183301560914803</v>
      </c>
      <c r="Q11" t="inlineStr">
        <is>
          <t>Görüyor</t>
        </is>
      </c>
      <c r="R11" t="n">
        <v>0</v>
      </c>
      <c r="S11" t="n">
        <v>0.0284</v>
      </c>
      <c r="T11" t="n">
        <v>0.0012</v>
      </c>
      <c r="U11" t="n">
        <v>0.0017</v>
      </c>
      <c r="V11" t="n">
        <v>0.0004</v>
      </c>
      <c r="W11" t="n">
        <v>0</v>
      </c>
      <c r="X11" t="n">
        <v>0</v>
      </c>
      <c r="Y11" t="n">
        <v>0</v>
      </c>
      <c r="Z11" t="n">
        <v>0</v>
      </c>
      <c r="AA11" t="n">
        <v>0.0317</v>
      </c>
      <c r="AC11">
        <f>IF(ISNUMBER(INDEX($A$2:$AA$48,10,MATCH('Altın'!$E$2,$A$1:$AA$1,0))),INDEX($A$2:$AA$48,10,MATCH('Altın'!$E$2,$A$1:$AA$1,0)),-1E+9)-ROW()/1E+7</f>
        <v/>
      </c>
    </row>
    <row r="12">
      <c r="A12" t="inlineStr">
        <is>
          <t>NJF</t>
        </is>
      </c>
      <c r="B12" t="inlineStr">
        <is>
          <t>Nurol Portföy Altın Katılım Fonu</t>
        </is>
      </c>
      <c r="C12" t="inlineStr">
        <is>
          <t>Nurol Portföy</t>
        </is>
      </c>
      <c r="D12" t="n">
        <v>0.01</v>
      </c>
      <c r="E12" t="n">
        <v>0.4278703572299758</v>
      </c>
      <c r="F12" t="n">
        <v>-0.9381283195965207</v>
      </c>
      <c r="G12" t="n">
        <v>-4.983929111962082</v>
      </c>
      <c r="H12" t="n">
        <v>3.658018663043161</v>
      </c>
      <c r="I12" t="n">
        <v>44.99852419587427</v>
      </c>
      <c r="J12" t="n">
        <v>1761</v>
      </c>
      <c r="K12" t="n">
        <v>1755</v>
      </c>
      <c r="L12" t="n">
        <v>-0.003407155025553665</v>
      </c>
      <c r="M12" t="n">
        <v>1143547047.51</v>
      </c>
      <c r="N12" t="n">
        <v>1053419751.08</v>
      </c>
      <c r="O12" t="n">
        <v>-0.07881380711554131</v>
      </c>
      <c r="P12" t="n">
        <v>1.011216318827596</v>
      </c>
      <c r="Q12" t="inlineStr">
        <is>
          <t>Görüyor</t>
        </is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0.04769999999999999</v>
      </c>
      <c r="X12" t="n">
        <v>0</v>
      </c>
      <c r="Y12" t="n">
        <v>0</v>
      </c>
      <c r="Z12" t="n">
        <v>0</v>
      </c>
      <c r="AA12" t="n">
        <v>0.04769999999999999</v>
      </c>
      <c r="AC12">
        <f>IF(ISNUMBER(INDEX($A$2:$AA$48,11,MATCH('Altın'!$E$2,$A$1:$AA$1,0))),INDEX($A$2:$AA$48,11,MATCH('Altın'!$E$2,$A$1:$AA$1,0)),-1E+9)-ROW()/1E+7</f>
        <v/>
      </c>
    </row>
    <row r="13">
      <c r="A13" t="inlineStr">
        <is>
          <t>VLT</t>
        </is>
      </c>
      <c r="B13" t="inlineStr">
        <is>
          <t>Vakıf Katılım Portföy Altın Katılım Fonu</t>
        </is>
      </c>
      <c r="C13" t="inlineStr">
        <is>
          <t>Vakıf Katılım Portföy</t>
        </is>
      </c>
      <c r="D13" t="n">
        <v>0.015</v>
      </c>
      <c r="E13" t="n">
        <v>0.4217233568442502</v>
      </c>
      <c r="F13" t="n">
        <v>-1.304218214338948</v>
      </c>
      <c r="G13" t="n">
        <v>-6.083723380544248</v>
      </c>
      <c r="H13" t="inlineStr">
        <is>
          <t>-</t>
        </is>
      </c>
      <c r="I13" t="inlineStr">
        <is>
          <t>-</t>
        </is>
      </c>
      <c r="J13" t="n">
        <v>192</v>
      </c>
      <c r="K13" t="n">
        <v>334</v>
      </c>
      <c r="L13" t="n">
        <v>0.7395833333333333</v>
      </c>
      <c r="M13" t="n">
        <v>42365217.94</v>
      </c>
      <c r="N13" t="n">
        <v>52095771.86</v>
      </c>
      <c r="O13" t="n">
        <v>0.2296826121319844</v>
      </c>
      <c r="P13" t="n">
        <v>1.191012012854317</v>
      </c>
      <c r="Q13" t="inlineStr">
        <is>
          <t>Görüyor</t>
        </is>
      </c>
      <c r="R13" t="n">
        <v>0</v>
      </c>
      <c r="S13" t="n">
        <v>0</v>
      </c>
      <c r="T13" t="n">
        <v>0</v>
      </c>
      <c r="U13" t="n">
        <v>0.0129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0.0129</v>
      </c>
      <c r="AC13">
        <f>IF(ISNUMBER(INDEX($A$2:$AA$48,12,MATCH('Altın'!$E$2,$A$1:$AA$1,0))),INDEX($A$2:$AA$48,12,MATCH('Altın'!$E$2,$A$1:$AA$1,0)),-1E+9)-ROW()/1E+7</f>
        <v/>
      </c>
    </row>
    <row r="14">
      <c r="A14" t="inlineStr">
        <is>
          <t>AFO</t>
        </is>
      </c>
      <c r="B14" t="inlineStr">
        <is>
          <t>AK Portföy Altın Fonu</t>
        </is>
      </c>
      <c r="C14" t="inlineStr">
        <is>
          <t>AK Portföy</t>
        </is>
      </c>
      <c r="D14" t="n">
        <v>0.0204</v>
      </c>
      <c r="E14" t="n">
        <v>0.4124007519757722</v>
      </c>
      <c r="F14" t="n">
        <v>-1.378531944684813</v>
      </c>
      <c r="G14" t="n">
        <v>-6.864348288173416</v>
      </c>
      <c r="H14" t="n">
        <v>-2.261616176396464</v>
      </c>
      <c r="I14" t="n">
        <v>37.31177429246551</v>
      </c>
      <c r="J14" t="n">
        <v>84310</v>
      </c>
      <c r="K14" t="n">
        <v>82595</v>
      </c>
      <c r="L14" t="n">
        <v>-0.02034159648914724</v>
      </c>
      <c r="M14" t="n">
        <v>20557726733.36</v>
      </c>
      <c r="N14" t="n">
        <v>18173405158.08</v>
      </c>
      <c r="O14" t="n">
        <v>-0.1159817720220421</v>
      </c>
      <c r="P14" t="n">
        <v>1.20858012042207</v>
      </c>
      <c r="Q14" t="inlineStr">
        <is>
          <t>Görüyor</t>
        </is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0.0279</v>
      </c>
      <c r="X14" t="n">
        <v>0</v>
      </c>
      <c r="Y14" t="n">
        <v>0</v>
      </c>
      <c r="Z14" t="n">
        <v>0</v>
      </c>
      <c r="AA14" t="n">
        <v>0.0279</v>
      </c>
      <c r="AC14">
        <f>IF(ISNUMBER(INDEX($A$2:$AA$48,13,MATCH('Altın'!$E$2,$A$1:$AA$1,0))),INDEX($A$2:$AA$48,13,MATCH('Altın'!$E$2,$A$1:$AA$1,0)),-1E+9)-ROW()/1E+7</f>
        <v/>
      </c>
    </row>
    <row r="15">
      <c r="A15" t="inlineStr">
        <is>
          <t>DBA</t>
        </is>
      </c>
      <c r="B15" t="inlineStr">
        <is>
          <t>Deniz Portföy Altın Fonu</t>
        </is>
      </c>
      <c r="C15" t="inlineStr">
        <is>
          <t>Deniz Portföy</t>
        </is>
      </c>
      <c r="D15" t="n">
        <v>0.02</v>
      </c>
      <c r="E15" t="n">
        <v>0.4097466899084079</v>
      </c>
      <c r="F15" t="n">
        <v>-1.31917158124174</v>
      </c>
      <c r="G15" t="n">
        <v>-6.496791528807167</v>
      </c>
      <c r="H15" t="n">
        <v>-0.0963851864972165</v>
      </c>
      <c r="I15" t="n">
        <v>39.82559941164077</v>
      </c>
      <c r="J15" t="n">
        <v>26541</v>
      </c>
      <c r="K15" t="n">
        <v>25898</v>
      </c>
      <c r="L15" t="n">
        <v>-0.02422666817376884</v>
      </c>
      <c r="M15" t="n">
        <v>10572860610.07</v>
      </c>
      <c r="N15" t="n">
        <v>9478225055.219999</v>
      </c>
      <c r="O15" t="n">
        <v>-0.1035325816938727</v>
      </c>
      <c r="P15" t="n">
        <v>1.190213482854572</v>
      </c>
      <c r="Q15" t="inlineStr">
        <is>
          <t>Görüyor</t>
        </is>
      </c>
      <c r="R15" t="n">
        <v>0.0001</v>
      </c>
      <c r="S15" t="n">
        <v>0.0072</v>
      </c>
      <c r="T15" t="n">
        <v>0.0266</v>
      </c>
      <c r="U15" t="n">
        <v>0</v>
      </c>
      <c r="V15" t="n">
        <v>0</v>
      </c>
      <c r="W15" t="n">
        <v>0.0069</v>
      </c>
      <c r="X15" t="n">
        <v>0</v>
      </c>
      <c r="Y15" t="n">
        <v>0</v>
      </c>
      <c r="Z15" t="n">
        <v>0</v>
      </c>
      <c r="AA15" t="n">
        <v>0.0408</v>
      </c>
      <c r="AC15">
        <f>IF(ISNUMBER(INDEX($A$2:$AA$48,14,MATCH('Altın'!$E$2,$A$1:$AA$1,0))),INDEX($A$2:$AA$48,14,MATCH('Altın'!$E$2,$A$1:$AA$1,0)),-1E+9)-ROW()/1E+7</f>
        <v/>
      </c>
    </row>
    <row r="16">
      <c r="A16" t="inlineStr">
        <is>
          <t>NAU</t>
        </is>
      </c>
      <c r="B16" t="inlineStr">
        <is>
          <t>Neo Portföy Altın Fonu</t>
        </is>
      </c>
      <c r="C16" t="inlineStr">
        <is>
          <t>Neo Portföy</t>
        </is>
      </c>
      <c r="D16" t="n">
        <v>0.018</v>
      </c>
      <c r="E16" t="n">
        <v>0.3995442236263802</v>
      </c>
      <c r="F16" t="n">
        <v>-1.16123428879038</v>
      </c>
      <c r="G16" t="n">
        <v>-6.449114662928457</v>
      </c>
      <c r="H16" t="n">
        <v>-3.439229458623105</v>
      </c>
      <c r="I16" t="n">
        <v>36.90403610194677</v>
      </c>
      <c r="J16" t="n">
        <v>11262</v>
      </c>
      <c r="K16" t="n">
        <v>10465</v>
      </c>
      <c r="L16" t="n">
        <v>-0.07076895755638435</v>
      </c>
      <c r="M16" t="n">
        <v>2649796934.01</v>
      </c>
      <c r="N16" t="n">
        <v>2302568577.01</v>
      </c>
      <c r="O16" t="n">
        <v>-0.1310396100709993</v>
      </c>
      <c r="P16" t="n">
        <v>1.140794826777341</v>
      </c>
      <c r="Q16" t="inlineStr">
        <is>
          <t>Görüyor</t>
        </is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0.1045</v>
      </c>
      <c r="X16" t="n">
        <v>0</v>
      </c>
      <c r="Y16" t="n">
        <v>0</v>
      </c>
      <c r="Z16" t="n">
        <v>0.0015</v>
      </c>
      <c r="AA16" t="n">
        <v>0.106</v>
      </c>
      <c r="AC16">
        <f>IF(ISNUMBER(INDEX($A$2:$AA$48,15,MATCH('Altın'!$E$2,$A$1:$AA$1,0))),INDEX($A$2:$AA$48,15,MATCH('Altın'!$E$2,$A$1:$AA$1,0)),-1E+9)-ROW()/1E+7</f>
        <v/>
      </c>
    </row>
    <row r="17">
      <c r="A17" t="inlineStr">
        <is>
          <t>NAK</t>
        </is>
      </c>
      <c r="B17" t="inlineStr">
        <is>
          <t>Neo Portföy Altın Katılım Fonu</t>
        </is>
      </c>
      <c r="C17" t="inlineStr">
        <is>
          <t>Neo Portföy</t>
        </is>
      </c>
      <c r="D17" t="n">
        <v>0.018</v>
      </c>
      <c r="E17" t="n">
        <v>0.3895695948886724</v>
      </c>
      <c r="F17" t="n">
        <v>-1.234035505157716</v>
      </c>
      <c r="G17" t="n">
        <v>-6.510223727996922</v>
      </c>
      <c r="H17" t="inlineStr">
        <is>
          <t>-</t>
        </is>
      </c>
      <c r="I17" t="inlineStr">
        <is>
          <t>-</t>
        </is>
      </c>
      <c r="J17" t="n">
        <v>172</v>
      </c>
      <c r="K17" t="n">
        <v>170</v>
      </c>
      <c r="L17" t="n">
        <v>-0.01162790697674421</v>
      </c>
      <c r="M17" t="n">
        <v>134974070.74</v>
      </c>
      <c r="N17" t="n">
        <v>112778115.66</v>
      </c>
      <c r="O17" t="n">
        <v>-0.16444606699872</v>
      </c>
      <c r="P17" t="n">
        <v>1.152919900860953</v>
      </c>
      <c r="Q17" t="inlineStr">
        <is>
          <t>Görüyor</t>
        </is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0.1038</v>
      </c>
      <c r="X17" t="n">
        <v>0</v>
      </c>
      <c r="Y17" t="n">
        <v>0</v>
      </c>
      <c r="Z17" t="n">
        <v>0</v>
      </c>
      <c r="AA17" t="n">
        <v>0.1038</v>
      </c>
      <c r="AC17">
        <f>IF(ISNUMBER(INDEX($A$2:$AA$48,16,MATCH('Altın'!$E$2,$A$1:$AA$1,0))),INDEX($A$2:$AA$48,16,MATCH('Altın'!$E$2,$A$1:$AA$1,0)),-1E+9)-ROW()/1E+7</f>
        <v/>
      </c>
    </row>
    <row r="18">
      <c r="A18" t="inlineStr">
        <is>
          <t>GGK</t>
        </is>
      </c>
      <c r="B18" t="inlineStr">
        <is>
          <t>Inveo Portföy Altın Fon</t>
        </is>
      </c>
      <c r="C18" t="inlineStr">
        <is>
          <t>Inveo Portföy</t>
        </is>
      </c>
      <c r="D18" t="n">
        <v>0.015</v>
      </c>
      <c r="E18" t="n">
        <v>0.3880801438596704</v>
      </c>
      <c r="F18" t="n">
        <v>-1.274032466490849</v>
      </c>
      <c r="G18" t="n">
        <v>-6.447269587021687</v>
      </c>
      <c r="H18" t="n">
        <v>-1.950601788990303</v>
      </c>
      <c r="I18" t="n">
        <v>36.62874831858498</v>
      </c>
      <c r="J18" t="n">
        <v>12770</v>
      </c>
      <c r="K18" t="n">
        <v>12435</v>
      </c>
      <c r="L18" t="n">
        <v>-0.02623335943617855</v>
      </c>
      <c r="M18" t="n">
        <v>2646451763.35</v>
      </c>
      <c r="N18" t="n">
        <v>2396602427.63</v>
      </c>
      <c r="O18" t="n">
        <v>-0.09440917804741278</v>
      </c>
      <c r="P18" t="n">
        <v>1.162545120906932</v>
      </c>
      <c r="Q18" t="inlineStr">
        <is>
          <t>Görüyor</t>
        </is>
      </c>
      <c r="R18" t="n">
        <v>0</v>
      </c>
      <c r="S18" t="n">
        <v>0.0018</v>
      </c>
      <c r="T18" t="n">
        <v>0</v>
      </c>
      <c r="U18" t="n">
        <v>0.006</v>
      </c>
      <c r="V18" t="n">
        <v>0</v>
      </c>
      <c r="W18" t="n">
        <v>0.0699</v>
      </c>
      <c r="X18" t="n">
        <v>0</v>
      </c>
      <c r="Y18" t="n">
        <v>0</v>
      </c>
      <c r="Z18" t="n">
        <v>0</v>
      </c>
      <c r="AA18" t="n">
        <v>0.07770000000000001</v>
      </c>
      <c r="AC18">
        <f>IF(ISNUMBER(INDEX($A$2:$AA$48,17,MATCH('Altın'!$E$2,$A$1:$AA$1,0))),INDEX($A$2:$AA$48,17,MATCH('Altın'!$E$2,$A$1:$AA$1,0)),-1E+9)-ROW()/1E+7</f>
        <v/>
      </c>
    </row>
    <row r="19">
      <c r="A19" t="inlineStr">
        <is>
          <t>GTA</t>
        </is>
      </c>
      <c r="B19" t="inlineStr">
        <is>
          <t>Garanti Portföy Altın Fonu</t>
        </is>
      </c>
      <c r="C19" t="inlineStr">
        <is>
          <t>Garanti Portföy</t>
        </is>
      </c>
      <c r="D19" t="n">
        <v>0.0195</v>
      </c>
      <c r="E19" t="n">
        <v>0.3793810550393184</v>
      </c>
      <c r="F19" t="n">
        <v>-1.404870671658753</v>
      </c>
      <c r="G19" t="n">
        <v>-6.677960189046361</v>
      </c>
      <c r="H19" t="n">
        <v>-1.740620741205579</v>
      </c>
      <c r="I19" t="n">
        <v>36.15029381550752</v>
      </c>
      <c r="J19" t="n">
        <v>78663</v>
      </c>
      <c r="K19" t="n">
        <v>76226</v>
      </c>
      <c r="L19" t="n">
        <v>-0.0309802575543775</v>
      </c>
      <c r="M19" t="n">
        <v>25474150899.37</v>
      </c>
      <c r="N19" t="n">
        <v>22626142787.61</v>
      </c>
      <c r="O19" t="n">
        <v>-0.1117999231067769</v>
      </c>
      <c r="P19" t="n">
        <v>1.186855756381695</v>
      </c>
      <c r="Q19" t="inlineStr">
        <is>
          <t>Görüyor</t>
        </is>
      </c>
      <c r="R19" t="n">
        <v>0.0011</v>
      </c>
      <c r="S19" t="n">
        <v>0.0012</v>
      </c>
      <c r="T19" t="n">
        <v>0</v>
      </c>
      <c r="U19" t="n">
        <v>0</v>
      </c>
      <c r="V19" t="n">
        <v>0.0002</v>
      </c>
      <c r="W19" t="n">
        <v>0</v>
      </c>
      <c r="X19" t="n">
        <v>0</v>
      </c>
      <c r="Y19" t="n">
        <v>0</v>
      </c>
      <c r="Z19" t="n">
        <v>0</v>
      </c>
      <c r="AA19" t="n">
        <v>0.0025</v>
      </c>
      <c r="AC19">
        <f>IF(ISNUMBER(INDEX($A$2:$AA$48,18,MATCH('Altın'!$E$2,$A$1:$AA$1,0))),INDEX($A$2:$AA$48,18,MATCH('Altın'!$E$2,$A$1:$AA$1,0)),-1E+9)-ROW()/1E+7</f>
        <v/>
      </c>
    </row>
    <row r="20">
      <c r="A20" t="inlineStr">
        <is>
          <t>BAI</t>
        </is>
      </c>
      <c r="B20" t="inlineStr">
        <is>
          <t>BV Portföy Altın Katılım Fonu</t>
        </is>
      </c>
      <c r="C20" t="inlineStr">
        <is>
          <t>BV Portföy</t>
        </is>
      </c>
      <c r="D20" t="n">
        <v>0.0172</v>
      </c>
      <c r="E20" t="n">
        <v>0.3635731785014196</v>
      </c>
      <c r="F20" t="n">
        <v>-1.437770617309342</v>
      </c>
      <c r="G20" t="inlineStr">
        <is>
          <t>-</t>
        </is>
      </c>
      <c r="H20" t="inlineStr">
        <is>
          <t>-</t>
        </is>
      </c>
      <c r="I20" t="inlineStr">
        <is>
          <t>-</t>
        </is>
      </c>
      <c r="J20" t="inlineStr">
        <is>
          <t>-</t>
        </is>
      </c>
      <c r="K20" t="n">
        <v>21</v>
      </c>
      <c r="L20" t="inlineStr">
        <is>
          <t>-</t>
        </is>
      </c>
      <c r="M20" t="inlineStr">
        <is>
          <t>-</t>
        </is>
      </c>
      <c r="N20" t="n">
        <v>32701174.85</v>
      </c>
      <c r="O20" t="inlineStr">
        <is>
          <t>-</t>
        </is>
      </c>
      <c r="P20" t="n">
        <v>0.6665704158927279</v>
      </c>
      <c r="Q20" t="inlineStr">
        <is>
          <t>Görüyor</t>
        </is>
      </c>
      <c r="R20" t="n">
        <v>0</v>
      </c>
      <c r="S20" t="n">
        <v>0</v>
      </c>
      <c r="T20" t="n">
        <v>0</v>
      </c>
      <c r="U20" t="n">
        <v>0.0619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0.0619</v>
      </c>
      <c r="AC20">
        <f>IF(ISNUMBER(INDEX($A$2:$AA$48,19,MATCH('Altın'!$E$2,$A$1:$AA$1,0))),INDEX($A$2:$AA$48,19,MATCH('Altın'!$E$2,$A$1:$AA$1,0)),-1E+9)-ROW()/1E+7</f>
        <v/>
      </c>
    </row>
    <row r="21">
      <c r="A21" t="inlineStr">
        <is>
          <t>HAI</t>
        </is>
      </c>
      <c r="B21" t="inlineStr">
        <is>
          <t>Ahlatcı Portföy Altın Fonu</t>
        </is>
      </c>
      <c r="C21" t="inlineStr">
        <is>
          <t>Ahlatcı Portföy</t>
        </is>
      </c>
      <c r="D21" t="n">
        <v>0</v>
      </c>
      <c r="E21" t="n">
        <v>0.3465376493408501</v>
      </c>
      <c r="F21" t="n">
        <v>-1.121177565987008</v>
      </c>
      <c r="G21" t="n">
        <v>-5.65941875646303</v>
      </c>
      <c r="H21" t="inlineStr">
        <is>
          <t>-</t>
        </is>
      </c>
      <c r="I21" t="inlineStr">
        <is>
          <t>-</t>
        </is>
      </c>
      <c r="J21" t="n">
        <v>118</v>
      </c>
      <c r="K21" t="n">
        <v>179</v>
      </c>
      <c r="L21" t="n">
        <v>0.5169491525423728</v>
      </c>
      <c r="M21" t="n">
        <v>7288750.6</v>
      </c>
      <c r="N21" t="n">
        <v>7598492.21</v>
      </c>
      <c r="O21" t="n">
        <v>0.04249584421231267</v>
      </c>
      <c r="P21" t="n">
        <v>1.056510987010141</v>
      </c>
      <c r="Q21" t="inlineStr">
        <is>
          <t>Görüyor</t>
        </is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0.0298</v>
      </c>
      <c r="X21" t="n">
        <v>0</v>
      </c>
      <c r="Y21" t="n">
        <v>0</v>
      </c>
      <c r="Z21" t="n">
        <v>0</v>
      </c>
      <c r="AA21" t="n">
        <v>0.0298</v>
      </c>
      <c r="AC21">
        <f>IF(ISNUMBER(INDEX($A$2:$AA$48,20,MATCH('Altın'!$E$2,$A$1:$AA$1,0))),INDEX($A$2:$AA$48,20,MATCH('Altın'!$E$2,$A$1:$AA$1,0)),-1E+9)-ROW()/1E+7</f>
        <v/>
      </c>
    </row>
    <row r="22">
      <c r="A22" t="inlineStr">
        <is>
          <t>LKF</t>
        </is>
      </c>
      <c r="B22" t="inlineStr">
        <is>
          <t>İŞ Portföy Altın Katılım Fonu</t>
        </is>
      </c>
      <c r="C22" t="inlineStr">
        <is>
          <t>İŞ Portföy</t>
        </is>
      </c>
      <c r="D22" t="n">
        <v>0.019</v>
      </c>
      <c r="E22" t="n">
        <v>0.340831052132029</v>
      </c>
      <c r="F22" t="n">
        <v>-1.281936500731851</v>
      </c>
      <c r="G22" t="n">
        <v>-6.161067091001393</v>
      </c>
      <c r="H22" t="inlineStr">
        <is>
          <t>-</t>
        </is>
      </c>
      <c r="I22" t="inlineStr">
        <is>
          <t>-</t>
        </is>
      </c>
      <c r="J22" t="n">
        <v>22</v>
      </c>
      <c r="K22" t="n">
        <v>250</v>
      </c>
      <c r="L22" t="n">
        <v>10.36363636363636</v>
      </c>
      <c r="M22" t="n">
        <v>88595.56</v>
      </c>
      <c r="N22" t="n">
        <v>71338283.7</v>
      </c>
      <c r="O22" t="n">
        <v>804.2128537818375</v>
      </c>
      <c r="P22" t="n">
        <v>1.128002692411745</v>
      </c>
      <c r="Q22" t="inlineStr">
        <is>
          <t>Görüyor</t>
        </is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C22">
        <f>IF(ISNUMBER(INDEX($A$2:$AA$48,21,MATCH('Altın'!$E$2,$A$1:$AA$1,0))),INDEX($A$2:$AA$48,21,MATCH('Altın'!$E$2,$A$1:$AA$1,0)),-1E+9)-ROW()/1E+7</f>
        <v/>
      </c>
    </row>
    <row r="23">
      <c r="A23" t="inlineStr">
        <is>
          <t>TRO</t>
        </is>
      </c>
      <c r="B23" t="inlineStr">
        <is>
          <t>Trıve Portföy Altın Fonu</t>
        </is>
      </c>
      <c r="C23" t="inlineStr">
        <is>
          <t>Trıve Portföy</t>
        </is>
      </c>
      <c r="D23" t="n">
        <v>0.01825</v>
      </c>
      <c r="E23" t="n">
        <v>0.3091384828320942</v>
      </c>
      <c r="F23" t="n">
        <v>-1.192199608277267</v>
      </c>
      <c r="G23" t="n">
        <v>-5.859969682712219</v>
      </c>
      <c r="H23" t="n">
        <v>1.093510085940541</v>
      </c>
      <c r="I23" t="n">
        <v>41.92949371243535</v>
      </c>
      <c r="J23" t="n">
        <v>445</v>
      </c>
      <c r="K23" t="n">
        <v>408</v>
      </c>
      <c r="L23" t="n">
        <v>-0.08314606741573038</v>
      </c>
      <c r="M23" t="n">
        <v>33690484.82</v>
      </c>
      <c r="N23" t="n">
        <v>30295808.16</v>
      </c>
      <c r="O23" t="n">
        <v>-0.100760694841197</v>
      </c>
      <c r="P23" t="n">
        <v>1.064429519890385</v>
      </c>
      <c r="Q23" t="inlineStr">
        <is>
          <t>Görüyor</t>
        </is>
      </c>
      <c r="R23" t="n">
        <v>0</v>
      </c>
      <c r="S23" t="n">
        <v>0.0111</v>
      </c>
      <c r="T23" t="n">
        <v>0</v>
      </c>
      <c r="U23" t="n">
        <v>0.0321</v>
      </c>
      <c r="V23" t="n">
        <v>0</v>
      </c>
      <c r="W23" t="n">
        <v>0.0544</v>
      </c>
      <c r="X23" t="n">
        <v>0</v>
      </c>
      <c r="Y23" t="n">
        <v>0.0475</v>
      </c>
      <c r="Z23" t="n">
        <v>0</v>
      </c>
      <c r="AA23" t="n">
        <v>0.1451</v>
      </c>
      <c r="AC23">
        <f>IF(ISNUMBER(INDEX($A$2:$AA$48,22,MATCH('Altın'!$E$2,$A$1:$AA$1,0))),INDEX($A$2:$AA$48,22,MATCH('Altın'!$E$2,$A$1:$AA$1,0)),-1E+9)-ROW()/1E+7</f>
        <v/>
      </c>
    </row>
    <row r="24">
      <c r="A24" t="inlineStr">
        <is>
          <t>HAM</t>
        </is>
      </c>
      <c r="B24" t="inlineStr">
        <is>
          <t>Hedef Portföy Altın Katılım Fonu</t>
        </is>
      </c>
      <c r="C24" t="inlineStr">
        <is>
          <t>Hedef Portföy</t>
        </is>
      </c>
      <c r="D24" t="n">
        <v>0.015</v>
      </c>
      <c r="E24" t="n">
        <v>0.2839754560492569</v>
      </c>
      <c r="F24" t="n">
        <v>-1.481926902102582</v>
      </c>
      <c r="G24" t="n">
        <v>-7.128687023426805</v>
      </c>
      <c r="H24" t="n">
        <v>-0.1879276261443796</v>
      </c>
      <c r="I24" t="n">
        <v>45.08359029936413</v>
      </c>
      <c r="J24" t="n">
        <v>8218</v>
      </c>
      <c r="K24" t="n">
        <v>7694</v>
      </c>
      <c r="L24" t="n">
        <v>-0.06376247262107571</v>
      </c>
      <c r="M24" t="n">
        <v>1723299312.54</v>
      </c>
      <c r="N24" t="n">
        <v>1463156678.42</v>
      </c>
      <c r="O24" t="n">
        <v>-0.1509561526700612</v>
      </c>
      <c r="P24" t="n">
        <v>1.212521405936404</v>
      </c>
      <c r="Q24" t="inlineStr">
        <is>
          <t>Görüyor</t>
        </is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0.0108</v>
      </c>
      <c r="X24" t="n">
        <v>0</v>
      </c>
      <c r="Y24" t="n">
        <v>0</v>
      </c>
      <c r="Z24" t="n">
        <v>0</v>
      </c>
      <c r="AA24" t="n">
        <v>0.0108</v>
      </c>
      <c r="AC24">
        <f>IF(ISNUMBER(INDEX($A$2:$AA$48,23,MATCH('Altın'!$E$2,$A$1:$AA$1,0))),INDEX($A$2:$AA$48,23,MATCH('Altın'!$E$2,$A$1:$AA$1,0)),-1E+9)-ROW()/1E+7</f>
        <v/>
      </c>
    </row>
    <row r="25">
      <c r="A25" t="inlineStr">
        <is>
          <t>PAF</t>
        </is>
      </c>
      <c r="B25" t="inlineStr">
        <is>
          <t>Pardus Portföy Altın Fonu</t>
        </is>
      </c>
      <c r="C25" t="inlineStr">
        <is>
          <t>Pardus Portföy</t>
        </is>
      </c>
      <c r="D25" t="n">
        <v>0.01</v>
      </c>
      <c r="E25" t="n">
        <v>0.2318409422324752</v>
      </c>
      <c r="F25" t="n">
        <v>-1.446393948354574</v>
      </c>
      <c r="G25" t="n">
        <v>-6.041367838147426</v>
      </c>
      <c r="H25" t="n">
        <v>-5.073283347534963</v>
      </c>
      <c r="I25" t="n">
        <v>38.23301349371684</v>
      </c>
      <c r="J25" t="n">
        <v>3686</v>
      </c>
      <c r="K25" t="n">
        <v>3495</v>
      </c>
      <c r="L25" t="n">
        <v>-0.05181768855127511</v>
      </c>
      <c r="M25" t="n">
        <v>313447578.65</v>
      </c>
      <c r="N25" t="n">
        <v>280598718.05</v>
      </c>
      <c r="O25" t="n">
        <v>-0.1047985782550245</v>
      </c>
      <c r="P25" t="n">
        <v>1.150583080458448</v>
      </c>
      <c r="Q25" t="inlineStr">
        <is>
          <t>Görüyor</t>
        </is>
      </c>
      <c r="R25" t="n">
        <v>0.0029</v>
      </c>
      <c r="S25" t="n">
        <v>0.0139</v>
      </c>
      <c r="T25" t="n">
        <v>0</v>
      </c>
      <c r="U25" t="n">
        <v>0</v>
      </c>
      <c r="V25" t="n">
        <v>0</v>
      </c>
      <c r="W25" t="n">
        <v>0.0354</v>
      </c>
      <c r="X25" t="n">
        <v>0</v>
      </c>
      <c r="Y25" t="n">
        <v>0</v>
      </c>
      <c r="Z25" t="n">
        <v>0</v>
      </c>
      <c r="AA25" t="n">
        <v>0.0522</v>
      </c>
      <c r="AC25">
        <f>IF(ISNUMBER(INDEX($A$2:$AA$48,24,MATCH('Altın'!$E$2,$A$1:$AA$1,0))),INDEX($A$2:$AA$48,24,MATCH('Altın'!$E$2,$A$1:$AA$1,0)),-1E+9)-ROW()/1E+7</f>
        <v/>
      </c>
    </row>
    <row r="26">
      <c r="A26" t="inlineStr">
        <is>
          <t>FIB</t>
        </is>
      </c>
      <c r="B26" t="inlineStr">
        <is>
          <t>Fiba Portföy Altın Fonu</t>
        </is>
      </c>
      <c r="C26" t="inlineStr">
        <is>
          <t>Fiba Portföy</t>
        </is>
      </c>
      <c r="D26" t="n">
        <v>0.015</v>
      </c>
      <c r="E26" t="n">
        <v>0.1824124540950711</v>
      </c>
      <c r="F26" t="n">
        <v>-1.623965891111945</v>
      </c>
      <c r="G26" t="n">
        <v>-7.108823391727159</v>
      </c>
      <c r="H26" t="n">
        <v>-2.812399515331154</v>
      </c>
      <c r="I26" t="n">
        <v>35.99284862932062</v>
      </c>
      <c r="J26" t="n">
        <v>13027</v>
      </c>
      <c r="K26" t="n">
        <v>12647</v>
      </c>
      <c r="L26" t="n">
        <v>-0.02917018500038382</v>
      </c>
      <c r="M26" t="n">
        <v>5395761794.01</v>
      </c>
      <c r="N26" t="n">
        <v>4724882070.22</v>
      </c>
      <c r="O26" t="n">
        <v>-0.1243345702426605</v>
      </c>
      <c r="P26" t="n">
        <v>1.261937677199502</v>
      </c>
      <c r="Q26" t="inlineStr">
        <is>
          <t>Görüyor</t>
        </is>
      </c>
      <c r="R26" t="n">
        <v>0.0009</v>
      </c>
      <c r="S26" t="n">
        <v>0</v>
      </c>
      <c r="T26" t="n">
        <v>0</v>
      </c>
      <c r="U26" t="n">
        <v>0.0442</v>
      </c>
      <c r="V26" t="n">
        <v>0</v>
      </c>
      <c r="W26" t="n">
        <v>0.0063</v>
      </c>
      <c r="X26" t="n">
        <v>0</v>
      </c>
      <c r="Y26" t="n">
        <v>0</v>
      </c>
      <c r="Z26" t="n">
        <v>0</v>
      </c>
      <c r="AA26" t="n">
        <v>0.05139999999999999</v>
      </c>
      <c r="AC26">
        <f>IF(ISNUMBER(INDEX($A$2:$AA$48,25,MATCH('Altın'!$E$2,$A$1:$AA$1,0))),INDEX($A$2:$AA$48,25,MATCH('Altın'!$E$2,$A$1:$AA$1,0)),-1E+9)-ROW()/1E+7</f>
        <v/>
      </c>
    </row>
    <row r="27">
      <c r="A27" t="inlineStr">
        <is>
          <t>KMF</t>
        </is>
      </c>
      <c r="B27" t="inlineStr">
        <is>
          <t>Azimut Portföy Altın Katılım Fonu</t>
        </is>
      </c>
      <c r="C27" t="inlineStr">
        <is>
          <t>Azimut Portföy</t>
        </is>
      </c>
      <c r="D27" t="n">
        <v>0.016905</v>
      </c>
      <c r="E27" t="n">
        <v>0.17807751457104</v>
      </c>
      <c r="F27" t="n">
        <v>-0.9681573131519072</v>
      </c>
      <c r="G27" t="n">
        <v>-5.573716316997579</v>
      </c>
      <c r="H27" t="n">
        <v>2.085499895232545</v>
      </c>
      <c r="I27" t="n">
        <v>40.68602554520313</v>
      </c>
      <c r="J27" t="n">
        <v>2478</v>
      </c>
      <c r="K27" t="n">
        <v>2317</v>
      </c>
      <c r="L27" t="n">
        <v>-0.06497175141242939</v>
      </c>
      <c r="M27" t="n">
        <v>1695802050.65</v>
      </c>
      <c r="N27" t="n">
        <v>1399300767.04</v>
      </c>
      <c r="O27" t="n">
        <v>-0.1748442770760604</v>
      </c>
      <c r="P27" t="n">
        <v>0.9519667957042353</v>
      </c>
      <c r="Q27" t="inlineStr">
        <is>
          <t>Görüyor</t>
        </is>
      </c>
      <c r="R27" t="n">
        <v>0</v>
      </c>
      <c r="S27" t="n">
        <v>0</v>
      </c>
      <c r="T27" t="n">
        <v>0</v>
      </c>
      <c r="U27" t="n">
        <v>0.07190000000000001</v>
      </c>
      <c r="V27" t="n">
        <v>0</v>
      </c>
      <c r="W27" t="n">
        <v>0.0946</v>
      </c>
      <c r="X27" t="n">
        <v>0</v>
      </c>
      <c r="Y27" t="n">
        <v>0</v>
      </c>
      <c r="Z27" t="n">
        <v>0</v>
      </c>
      <c r="AA27" t="n">
        <v>0.1665</v>
      </c>
      <c r="AC27">
        <f>IF(ISNUMBER(INDEX($A$2:$AA$48,26,MATCH('Altın'!$E$2,$A$1:$AA$1,0))),INDEX($A$2:$AA$48,26,MATCH('Altın'!$E$2,$A$1:$AA$1,0)),-1E+9)-ROW()/1E+7</f>
        <v/>
      </c>
    </row>
    <row r="28">
      <c r="A28" t="inlineStr">
        <is>
          <t>TAL</t>
        </is>
      </c>
      <c r="B28" t="inlineStr">
        <is>
          <t>Atlas Portföy Altın Katılım Fonu</t>
        </is>
      </c>
      <c r="C28" t="inlineStr">
        <is>
          <t>Atlas Portföy</t>
        </is>
      </c>
      <c r="D28" t="n">
        <v>0.015</v>
      </c>
      <c r="E28" t="n">
        <v>0.162225112992509</v>
      </c>
      <c r="F28" t="n">
        <v>-1.681837850595957</v>
      </c>
      <c r="G28" t="n">
        <v>-8.028219909814627</v>
      </c>
      <c r="H28" t="n">
        <v>-3.301717617427258</v>
      </c>
      <c r="I28" t="n">
        <v>31.67370515073735</v>
      </c>
      <c r="J28" t="n">
        <v>777</v>
      </c>
      <c r="K28" t="n">
        <v>752</v>
      </c>
      <c r="L28" t="n">
        <v>-0.03217503217503215</v>
      </c>
      <c r="M28" t="n">
        <v>36236090.01</v>
      </c>
      <c r="N28" t="n">
        <v>32483947.53</v>
      </c>
      <c r="O28" t="n">
        <v>-0.1035471122564418</v>
      </c>
      <c r="P28" t="n">
        <v>1.090606154100658</v>
      </c>
      <c r="Q28" t="inlineStr">
        <is>
          <t>Görüyor</t>
        </is>
      </c>
      <c r="R28" t="n">
        <v>0</v>
      </c>
      <c r="S28" t="n">
        <v>0</v>
      </c>
      <c r="T28" t="n">
        <v>0</v>
      </c>
      <c r="U28" t="n">
        <v>0.1482</v>
      </c>
      <c r="V28" t="n">
        <v>0</v>
      </c>
      <c r="W28" t="n">
        <v>0.0708</v>
      </c>
      <c r="X28" t="n">
        <v>0</v>
      </c>
      <c r="Y28" t="n">
        <v>0</v>
      </c>
      <c r="Z28" t="n">
        <v>0</v>
      </c>
      <c r="AA28" t="n">
        <v>0.219</v>
      </c>
      <c r="AC28">
        <f>IF(ISNUMBER(INDEX($A$2:$AA$48,27,MATCH('Altın'!$E$2,$A$1:$AA$1,0))),INDEX($A$2:$AA$48,27,MATCH('Altın'!$E$2,$A$1:$AA$1,0)),-1E+9)-ROW()/1E+7</f>
        <v/>
      </c>
    </row>
    <row r="29">
      <c r="A29" t="inlineStr">
        <is>
          <t>RBA</t>
        </is>
      </c>
      <c r="B29" t="inlineStr">
        <is>
          <t>Albaraka Portföy Bereket Vakfı NA Destek Altın Katılım Fonu</t>
        </is>
      </c>
      <c r="C29" t="inlineStr">
        <is>
          <t>Albaraka Portföy</t>
        </is>
      </c>
      <c r="D29" t="n">
        <v>0.01</v>
      </c>
      <c r="E29" t="n">
        <v>0.144987694483123</v>
      </c>
      <c r="F29" t="n">
        <v>-1.772658927608728</v>
      </c>
      <c r="G29" t="n">
        <v>-7.877817640327988</v>
      </c>
      <c r="H29" t="n">
        <v>-2.890470434890824</v>
      </c>
      <c r="I29" t="n">
        <v>38.2848750722307</v>
      </c>
      <c r="J29" t="n">
        <v>5890</v>
      </c>
      <c r="K29" t="n">
        <v>5603</v>
      </c>
      <c r="L29" t="n">
        <v>-0.04872665534804754</v>
      </c>
      <c r="M29" t="n">
        <v>2129515003.3</v>
      </c>
      <c r="N29" t="n">
        <v>1770274958.05</v>
      </c>
      <c r="O29" t="n">
        <v>-0.1686957099120242</v>
      </c>
      <c r="P29" t="n">
        <v>1.14693577661567</v>
      </c>
      <c r="Q29" t="inlineStr">
        <is>
          <t>Görüyor</t>
        </is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C29">
        <f>IF(ISNUMBER(INDEX($A$2:$AA$48,28,MATCH('Altın'!$E$2,$A$1:$AA$1,0))),INDEX($A$2:$AA$48,28,MATCH('Altın'!$E$2,$A$1:$AA$1,0)),-1E+9)-ROW()/1E+7</f>
        <v/>
      </c>
    </row>
    <row r="30">
      <c r="A30" t="inlineStr">
        <is>
          <t>YKT</t>
        </is>
      </c>
      <c r="B30" t="inlineStr">
        <is>
          <t>Yapı Kredi Portföy Altın Fonu</t>
        </is>
      </c>
      <c r="C30" t="inlineStr">
        <is>
          <t>Yapı Kredi Portföy</t>
        </is>
      </c>
      <c r="D30" t="n">
        <v>0.020075</v>
      </c>
      <c r="E30" t="n">
        <v>0.1268802108163491</v>
      </c>
      <c r="F30" t="n">
        <v>-1.49130808918303</v>
      </c>
      <c r="G30" t="n">
        <v>-6.962416068366128</v>
      </c>
      <c r="H30" t="n">
        <v>-1.311013624428503</v>
      </c>
      <c r="I30" t="n">
        <v>35.57262229089579</v>
      </c>
      <c r="J30" t="n">
        <v>90601</v>
      </c>
      <c r="K30" t="n">
        <v>88433</v>
      </c>
      <c r="L30" t="n">
        <v>-0.0239290957053454</v>
      </c>
      <c r="M30" t="n">
        <v>33435523813.22</v>
      </c>
      <c r="N30" t="n">
        <v>30952732097.35</v>
      </c>
      <c r="O30" t="n">
        <v>-0.0742561034706547</v>
      </c>
      <c r="P30" t="n">
        <v>1.204107831030843</v>
      </c>
      <c r="Q30" t="inlineStr">
        <is>
          <t>Görüyor</t>
        </is>
      </c>
      <c r="R30" t="n">
        <v>0</v>
      </c>
      <c r="S30" t="n">
        <v>0.0197</v>
      </c>
      <c r="T30" t="n">
        <v>0.006500000000000001</v>
      </c>
      <c r="U30" t="n">
        <v>0</v>
      </c>
      <c r="V30" t="n">
        <v>0</v>
      </c>
      <c r="W30" t="n">
        <v>0.0431</v>
      </c>
      <c r="X30" t="n">
        <v>0</v>
      </c>
      <c r="Y30" t="n">
        <v>0</v>
      </c>
      <c r="Z30" t="n">
        <v>0</v>
      </c>
      <c r="AA30" t="n">
        <v>0.0693</v>
      </c>
      <c r="AC30">
        <f>IF(ISNUMBER(INDEX($A$2:$AA$48,29,MATCH('Altın'!$E$2,$A$1:$AA$1,0))),INDEX($A$2:$AA$48,29,MATCH('Altın'!$E$2,$A$1:$AA$1,0)),-1E+9)-ROW()/1E+7</f>
        <v/>
      </c>
    </row>
    <row r="31">
      <c r="A31" t="inlineStr">
        <is>
          <t>TUA</t>
        </is>
      </c>
      <c r="B31" t="inlineStr">
        <is>
          <t>Teb Portföy Altın Fonu</t>
        </is>
      </c>
      <c r="C31" t="inlineStr">
        <is>
          <t>Teb Portföy</t>
        </is>
      </c>
      <c r="D31" t="n">
        <v>0.0195</v>
      </c>
      <c r="E31" t="n">
        <v>0.1147880747944585</v>
      </c>
      <c r="F31" t="n">
        <v>-1.623296694770981</v>
      </c>
      <c r="G31" t="n">
        <v>-6.917968195797231</v>
      </c>
      <c r="H31" t="n">
        <v>-2.520440650227418</v>
      </c>
      <c r="I31" t="n">
        <v>36.11110824404427</v>
      </c>
      <c r="J31" t="n">
        <v>33304</v>
      </c>
      <c r="K31" t="n">
        <v>32405</v>
      </c>
      <c r="L31" t="n">
        <v>-0.02699375450396346</v>
      </c>
      <c r="M31" t="n">
        <v>16544143410.56</v>
      </c>
      <c r="N31" t="n">
        <v>14245245739.62</v>
      </c>
      <c r="O31" t="n">
        <v>-0.1389553761648747</v>
      </c>
      <c r="P31" t="n">
        <v>1.157941281061605</v>
      </c>
      <c r="Q31" t="inlineStr">
        <is>
          <t>Görüyor</t>
        </is>
      </c>
      <c r="R31" t="n">
        <v>0.0174</v>
      </c>
      <c r="S31" t="n">
        <v>0.0053</v>
      </c>
      <c r="T31" t="n">
        <v>0</v>
      </c>
      <c r="U31" t="n">
        <v>0.0021</v>
      </c>
      <c r="V31" t="n">
        <v>0</v>
      </c>
      <c r="W31" t="n">
        <v>0.0529</v>
      </c>
      <c r="X31" t="n">
        <v>0</v>
      </c>
      <c r="Y31" t="n">
        <v>0</v>
      </c>
      <c r="Z31" t="n">
        <v>0</v>
      </c>
      <c r="AA31" t="n">
        <v>0.07770000000000001</v>
      </c>
      <c r="AC31">
        <f>IF(ISNUMBER(INDEX($A$2:$AA$48,30,MATCH('Altın'!$E$2,$A$1:$AA$1,0))),INDEX($A$2:$AA$48,30,MATCH('Altın'!$E$2,$A$1:$AA$1,0)),-1E+9)-ROW()/1E+7</f>
        <v/>
      </c>
    </row>
    <row r="32">
      <c r="A32" t="inlineStr">
        <is>
          <t>IAY</t>
        </is>
      </c>
      <c r="B32" t="inlineStr">
        <is>
          <t>Inveo Portföy Altın Katılım Fonu</t>
        </is>
      </c>
      <c r="C32" t="inlineStr">
        <is>
          <t>Inveo Portföy</t>
        </is>
      </c>
      <c r="D32" t="n">
        <v>0.015</v>
      </c>
      <c r="E32" t="n">
        <v>0.071562226875721</v>
      </c>
      <c r="F32" t="n">
        <v>-1.50837900133215</v>
      </c>
      <c r="G32" t="n">
        <v>-6.896292971366746</v>
      </c>
      <c r="H32" t="n">
        <v>-3.046852523415611</v>
      </c>
      <c r="I32" t="n">
        <v>34.78585049975955</v>
      </c>
      <c r="J32" t="n">
        <v>206</v>
      </c>
      <c r="K32" t="n">
        <v>203</v>
      </c>
      <c r="L32" t="n">
        <v>-0.0145631067961165</v>
      </c>
      <c r="M32" t="n">
        <v>48235507.47</v>
      </c>
      <c r="N32" t="n">
        <v>44568706.38</v>
      </c>
      <c r="O32" t="n">
        <v>-0.07601871074499544</v>
      </c>
      <c r="P32" t="n">
        <v>1.080894905218259</v>
      </c>
      <c r="Q32" t="inlineStr">
        <is>
          <t>Görüyor</t>
        </is>
      </c>
      <c r="R32" t="n">
        <v>0</v>
      </c>
      <c r="S32" t="n">
        <v>0</v>
      </c>
      <c r="T32" t="n">
        <v>0</v>
      </c>
      <c r="U32" t="n">
        <v>0.0709</v>
      </c>
      <c r="V32" t="n">
        <v>0</v>
      </c>
      <c r="W32" t="n">
        <v>0.047</v>
      </c>
      <c r="X32" t="n">
        <v>0</v>
      </c>
      <c r="Y32" t="n">
        <v>0</v>
      </c>
      <c r="Z32" t="n">
        <v>0</v>
      </c>
      <c r="AA32" t="n">
        <v>0.1179</v>
      </c>
      <c r="AC32">
        <f>IF(ISNUMBER(INDEX($A$2:$AA$48,31,MATCH('Altın'!$E$2,$A$1:$AA$1,0))),INDEX($A$2:$AA$48,31,MATCH('Altın'!$E$2,$A$1:$AA$1,0)),-1E+9)-ROW()/1E+7</f>
        <v/>
      </c>
    </row>
    <row r="33">
      <c r="A33" t="inlineStr">
        <is>
          <t>HBF</t>
        </is>
      </c>
      <c r="B33" t="inlineStr">
        <is>
          <t>Hsbc Portföy Altın Fonu</t>
        </is>
      </c>
      <c r="C33" t="inlineStr">
        <is>
          <t>Hsbc Portföy</t>
        </is>
      </c>
      <c r="D33" t="n">
        <v>0.018</v>
      </c>
      <c r="E33" t="n">
        <v>0.04549965363984665</v>
      </c>
      <c r="F33" t="n">
        <v>-1.48611695365185</v>
      </c>
      <c r="G33" t="n">
        <v>-6.294651558355124</v>
      </c>
      <c r="H33" t="n">
        <v>-1.281453315570069</v>
      </c>
      <c r="I33" t="n">
        <v>40.62280470927433</v>
      </c>
      <c r="J33" t="n">
        <v>11899</v>
      </c>
      <c r="K33" t="n">
        <v>11334</v>
      </c>
      <c r="L33" t="n">
        <v>-0.04748298176317334</v>
      </c>
      <c r="M33" t="n">
        <v>6515112853.35</v>
      </c>
      <c r="N33" t="n">
        <v>5976315265.87</v>
      </c>
      <c r="O33" t="n">
        <v>-0.08269965534103629</v>
      </c>
      <c r="P33" t="n">
        <v>1.080754700376239</v>
      </c>
      <c r="Q33" t="inlineStr">
        <is>
          <t>Görüyor</t>
        </is>
      </c>
      <c r="R33" t="n">
        <v>0</v>
      </c>
      <c r="S33" t="n">
        <v>0.0137</v>
      </c>
      <c r="T33" t="n">
        <v>0</v>
      </c>
      <c r="U33" t="n">
        <v>0</v>
      </c>
      <c r="V33" t="n">
        <v>0.06</v>
      </c>
      <c r="W33" t="n">
        <v>0</v>
      </c>
      <c r="X33" t="n">
        <v>0</v>
      </c>
      <c r="Y33" t="n">
        <v>0</v>
      </c>
      <c r="Z33" t="n">
        <v>0</v>
      </c>
      <c r="AA33" t="n">
        <v>0.0737</v>
      </c>
      <c r="AC33">
        <f>IF(ISNUMBER(INDEX($A$2:$AA$48,32,MATCH('Altın'!$E$2,$A$1:$AA$1,0))),INDEX($A$2:$AA$48,32,MATCH('Altın'!$E$2,$A$1:$AA$1,0)),-1E+9)-ROW()/1E+7</f>
        <v/>
      </c>
    </row>
    <row r="34">
      <c r="A34" t="inlineStr">
        <is>
          <t>BLT</t>
        </is>
      </c>
      <c r="B34" t="inlineStr">
        <is>
          <t>Bulls Portföy Altın Fonu</t>
        </is>
      </c>
      <c r="C34" t="inlineStr">
        <is>
          <t>Bulls Portföy</t>
        </is>
      </c>
      <c r="D34" t="n">
        <v>0.015</v>
      </c>
      <c r="E34" t="n">
        <v>-0.0345743915875607</v>
      </c>
      <c r="F34" t="n">
        <v>-1.295458563119622</v>
      </c>
      <c r="G34" t="n">
        <v>0.3324020733594057</v>
      </c>
      <c r="H34" t="n">
        <v>3.921660760630719</v>
      </c>
      <c r="I34" t="n">
        <v>66.18401612868598</v>
      </c>
      <c r="J34" t="n">
        <v>2711</v>
      </c>
      <c r="K34" t="n">
        <v>2758</v>
      </c>
      <c r="L34" t="n">
        <v>0.01733677609738105</v>
      </c>
      <c r="M34" t="n">
        <v>330736355.47</v>
      </c>
      <c r="N34" t="n">
        <v>290294787.8</v>
      </c>
      <c r="O34" t="n">
        <v>-0.1222773577840562</v>
      </c>
      <c r="P34" t="n">
        <v>1.407560569448379</v>
      </c>
      <c r="Q34" t="inlineStr">
        <is>
          <t>Görüyor</t>
        </is>
      </c>
      <c r="R34" t="n">
        <v>0</v>
      </c>
      <c r="S34" t="n">
        <v>0.0512</v>
      </c>
      <c r="T34" t="n">
        <v>0</v>
      </c>
      <c r="U34" t="n">
        <v>0.0138</v>
      </c>
      <c r="V34" t="n">
        <v>0.1596</v>
      </c>
      <c r="W34" t="n">
        <v>0.0115</v>
      </c>
      <c r="X34" t="n">
        <v>0</v>
      </c>
      <c r="Y34" t="n">
        <v>0</v>
      </c>
      <c r="Z34" t="n">
        <v>0</v>
      </c>
      <c r="AA34" t="n">
        <v>0.2361</v>
      </c>
      <c r="AC34">
        <f>IF(ISNUMBER(INDEX($A$2:$AA$48,33,MATCH('Altın'!$E$2,$A$1:$AA$1,0))),INDEX($A$2:$AA$48,33,MATCH('Altın'!$E$2,$A$1:$AA$1,0)),-1E+9)-ROW()/1E+7</f>
        <v/>
      </c>
    </row>
    <row r="35">
      <c r="A35" t="inlineStr">
        <is>
          <t>KZU</t>
        </is>
      </c>
      <c r="B35" t="inlineStr">
        <is>
          <t>Kuveyt Türk Portföy İkinci Altın Katılım Fonu</t>
        </is>
      </c>
      <c r="C35" t="inlineStr">
        <is>
          <t>Kuveyt Türk Portföy</t>
        </is>
      </c>
      <c r="D35" t="n">
        <v>0.015</v>
      </c>
      <c r="E35" t="n">
        <v>-0.05391921543153044</v>
      </c>
      <c r="F35" t="n">
        <v>-1.828388859389962</v>
      </c>
      <c r="G35" t="n">
        <v>-6.723452916770523</v>
      </c>
      <c r="H35" t="n">
        <v>-5.163028705608374</v>
      </c>
      <c r="I35" t="n">
        <v>33.90161937380416</v>
      </c>
      <c r="J35" t="n">
        <v>6194</v>
      </c>
      <c r="K35" t="n">
        <v>6014</v>
      </c>
      <c r="L35" t="n">
        <v>-0.02906038101388442</v>
      </c>
      <c r="M35" t="n">
        <v>461466838.37</v>
      </c>
      <c r="N35" t="n">
        <v>408992829.45</v>
      </c>
      <c r="O35" t="n">
        <v>-0.1137113321194422</v>
      </c>
      <c r="P35" t="n">
        <v>1.179773973721637</v>
      </c>
      <c r="Q35" t="inlineStr">
        <is>
          <t>Görüyor</t>
        </is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0.0185</v>
      </c>
      <c r="X35" t="n">
        <v>0</v>
      </c>
      <c r="Y35" t="n">
        <v>0</v>
      </c>
      <c r="Z35" t="n">
        <v>0</v>
      </c>
      <c r="AA35" t="n">
        <v>0.0185</v>
      </c>
      <c r="AC35">
        <f>IF(ISNUMBER(INDEX($A$2:$AA$48,34,MATCH('Altın'!$E$2,$A$1:$AA$1,0))),INDEX($A$2:$AA$48,34,MATCH('Altın'!$E$2,$A$1:$AA$1,0)),-1E+9)-ROW()/1E+7</f>
        <v/>
      </c>
    </row>
    <row r="36">
      <c r="A36" t="inlineStr">
        <is>
          <t>MKG</t>
        </is>
      </c>
      <c r="B36" t="inlineStr">
        <is>
          <t>Aktif Portföy Altın Katılım Fonu</t>
        </is>
      </c>
      <c r="C36" t="inlineStr">
        <is>
          <t>Aktif Portföy</t>
        </is>
      </c>
      <c r="D36" t="n">
        <v>0.015</v>
      </c>
      <c r="E36" t="n">
        <v>-0.1011566095948546</v>
      </c>
      <c r="F36" t="n">
        <v>-1.680564600052603</v>
      </c>
      <c r="G36" t="n">
        <v>-6.580943794916583</v>
      </c>
      <c r="H36" t="n">
        <v>-0.5315742106275279</v>
      </c>
      <c r="I36" t="n">
        <v>38.81255564571202</v>
      </c>
      <c r="J36" t="n">
        <v>8772</v>
      </c>
      <c r="K36" t="n">
        <v>8514</v>
      </c>
      <c r="L36" t="n">
        <v>-0.02941176470588236</v>
      </c>
      <c r="M36" t="n">
        <v>1622114926.76</v>
      </c>
      <c r="N36" t="n">
        <v>1466339038.96</v>
      </c>
      <c r="O36" t="n">
        <v>-0.09603258390029457</v>
      </c>
      <c r="P36" t="n">
        <v>1.108119960136697</v>
      </c>
      <c r="Q36" t="inlineStr">
        <is>
          <t>Görüyor</t>
        </is>
      </c>
      <c r="R36" t="n">
        <v>0</v>
      </c>
      <c r="S36" t="n">
        <v>0</v>
      </c>
      <c r="T36" t="n">
        <v>0</v>
      </c>
      <c r="U36" t="n">
        <v>0.0092</v>
      </c>
      <c r="V36" t="n">
        <v>0</v>
      </c>
      <c r="W36" t="n">
        <v>0.0229</v>
      </c>
      <c r="X36" t="n">
        <v>0</v>
      </c>
      <c r="Y36" t="n">
        <v>0</v>
      </c>
      <c r="Z36" t="n">
        <v>0</v>
      </c>
      <c r="AA36" t="n">
        <v>0.0321</v>
      </c>
      <c r="AC36">
        <f>IF(ISNUMBER(INDEX($A$2:$AA$48,35,MATCH('Altın'!$E$2,$A$1:$AA$1,0))),INDEX($A$2:$AA$48,35,MATCH('Altın'!$E$2,$A$1:$AA$1,0)),-1E+9)-ROW()/1E+7</f>
        <v/>
      </c>
    </row>
    <row r="37">
      <c r="A37" t="inlineStr">
        <is>
          <t>OGD</t>
        </is>
      </c>
      <c r="B37" t="inlineStr">
        <is>
          <t>Oyak Portföy Altın Katılım Fonu</t>
        </is>
      </c>
      <c r="C37" t="inlineStr">
        <is>
          <t>Oyak Portföy</t>
        </is>
      </c>
      <c r="D37" t="n">
        <v>0.01752</v>
      </c>
      <c r="E37" t="n">
        <v>-0.1131636961039129</v>
      </c>
      <c r="F37" t="n">
        <v>-1.793396256291713</v>
      </c>
      <c r="G37" t="n">
        <v>-6.704338591363046</v>
      </c>
      <c r="H37" t="n">
        <v>-1.468479653285315</v>
      </c>
      <c r="I37" t="n">
        <v>37.74134474016471</v>
      </c>
      <c r="J37" t="n">
        <v>3281</v>
      </c>
      <c r="K37" t="n">
        <v>3213</v>
      </c>
      <c r="L37" t="n">
        <v>-0.02072538860103623</v>
      </c>
      <c r="M37" t="n">
        <v>809796695.5700001</v>
      </c>
      <c r="N37" t="n">
        <v>721285617.15</v>
      </c>
      <c r="O37" t="n">
        <v>-0.1093003699622396</v>
      </c>
      <c r="P37" t="n">
        <v>1.108222031062537</v>
      </c>
      <c r="Q37" t="inlineStr">
        <is>
          <t>Görüyor</t>
        </is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0.0036</v>
      </c>
      <c r="X37" t="n">
        <v>0</v>
      </c>
      <c r="Y37" t="n">
        <v>0</v>
      </c>
      <c r="Z37" t="n">
        <v>0</v>
      </c>
      <c r="AA37" t="n">
        <v>0.0036</v>
      </c>
      <c r="AC37">
        <f>IF(ISNUMBER(INDEX($A$2:$AA$48,36,MATCH('Altın'!$E$2,$A$1:$AA$1,0))),INDEX($A$2:$AA$48,36,MATCH('Altın'!$E$2,$A$1:$AA$1,0)),-1E+9)-ROW()/1E+7</f>
        <v/>
      </c>
    </row>
    <row r="38">
      <c r="A38" t="inlineStr">
        <is>
          <t>OIL</t>
        </is>
      </c>
      <c r="B38" t="inlineStr">
        <is>
          <t>Osmanlı Portföy Altın Fon Sepeti Fonu</t>
        </is>
      </c>
      <c r="C38" t="inlineStr">
        <is>
          <t>Osmanlı Portföy</t>
        </is>
      </c>
      <c r="D38" t="n">
        <v>0.001</v>
      </c>
      <c r="E38" t="n">
        <v>-0.1184066271487372</v>
      </c>
      <c r="F38" t="n">
        <v>-1.663286523999474</v>
      </c>
      <c r="G38" t="n">
        <v>-6.556131816832755</v>
      </c>
      <c r="H38" t="n">
        <v>2.558825854084912</v>
      </c>
      <c r="I38" t="n">
        <v>13.61780798942565</v>
      </c>
      <c r="J38" t="n">
        <v>678</v>
      </c>
      <c r="K38" t="n">
        <v>665</v>
      </c>
      <c r="L38" t="n">
        <v>-0.0191740412979351</v>
      </c>
      <c r="M38" t="n">
        <v>48719562.95</v>
      </c>
      <c r="N38" t="n">
        <v>41716440.32</v>
      </c>
      <c r="O38" t="n">
        <v>-0.1437435437831653</v>
      </c>
      <c r="P38" t="n">
        <v>1.133730774204492</v>
      </c>
      <c r="Q38" t="inlineStr">
        <is>
          <t>Görüyor</t>
        </is>
      </c>
      <c r="R38" t="n">
        <v>0</v>
      </c>
      <c r="S38" t="n">
        <v>0.0233</v>
      </c>
      <c r="T38" t="n">
        <v>0</v>
      </c>
      <c r="U38" t="n">
        <v>0</v>
      </c>
      <c r="V38" t="n">
        <v>0</v>
      </c>
      <c r="W38" t="n">
        <v>0.917</v>
      </c>
      <c r="X38" t="n">
        <v>0</v>
      </c>
      <c r="Y38" t="n">
        <v>0</v>
      </c>
      <c r="Z38" t="n">
        <v>0</v>
      </c>
      <c r="AA38" t="n">
        <v>0.9403</v>
      </c>
      <c r="AC38">
        <f>IF(ISNUMBER(INDEX($A$2:$AA$48,37,MATCH('Altın'!$E$2,$A$1:$AA$1,0))),INDEX($A$2:$AA$48,37,MATCH('Altın'!$E$2,$A$1:$AA$1,0)),-1E+9)-ROW()/1E+7</f>
        <v/>
      </c>
    </row>
    <row r="39">
      <c r="A39" t="inlineStr">
        <is>
          <t>TCA</t>
        </is>
      </c>
      <c r="B39" t="inlineStr">
        <is>
          <t>Ziraat Portföy Altın Katılım Fonu</t>
        </is>
      </c>
      <c r="C39" t="inlineStr">
        <is>
          <t>Ziraat Portföy</t>
        </is>
      </c>
      <c r="D39" t="n">
        <v>0.012</v>
      </c>
      <c r="E39" t="n">
        <v>-0.1411688103931663</v>
      </c>
      <c r="F39" t="n">
        <v>-2.003809041170967</v>
      </c>
      <c r="G39" t="n">
        <v>-8.236598795600203</v>
      </c>
      <c r="H39" t="n">
        <v>-11.57523267517427</v>
      </c>
      <c r="I39" t="n">
        <v>24.60946597394049</v>
      </c>
      <c r="J39" t="n">
        <v>48092</v>
      </c>
      <c r="K39" t="n">
        <v>46649</v>
      </c>
      <c r="L39" t="n">
        <v>-0.0300049904349996</v>
      </c>
      <c r="M39" t="n">
        <v>14421193373.96</v>
      </c>
      <c r="N39" t="n">
        <v>12906676203.03</v>
      </c>
      <c r="O39" t="n">
        <v>-0.1050202387317491</v>
      </c>
      <c r="P39" t="n">
        <v>1.120738463104482</v>
      </c>
      <c r="Q39" t="inlineStr">
        <is>
          <t>Görüyor</t>
        </is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0.1832</v>
      </c>
      <c r="AA39" t="n">
        <v>0.1832</v>
      </c>
      <c r="AC39">
        <f>IF(ISNUMBER(INDEX($A$2:$AA$48,38,MATCH('Altın'!$E$2,$A$1:$AA$1,0))),INDEX($A$2:$AA$48,38,MATCH('Altın'!$E$2,$A$1:$AA$1,0)),-1E+9)-ROW()/1E+7</f>
        <v/>
      </c>
    </row>
    <row r="40">
      <c r="A40" t="inlineStr">
        <is>
          <t>UP1</t>
        </is>
      </c>
      <c r="B40" t="inlineStr">
        <is>
          <t>Ünlü Portföy Altın Fonu</t>
        </is>
      </c>
      <c r="C40" t="inlineStr">
        <is>
          <t>Ünlü Portföy</t>
        </is>
      </c>
      <c r="D40" t="n">
        <v>0.018</v>
      </c>
      <c r="E40" t="n">
        <v>-0.3029696243782798</v>
      </c>
      <c r="F40" t="n">
        <v>-1.508217183274385</v>
      </c>
      <c r="G40" t="n">
        <v>-5.70290977262461</v>
      </c>
      <c r="H40" t="n">
        <v>-1.103767145188772</v>
      </c>
      <c r="I40" t="n">
        <v>43.20924431792732</v>
      </c>
      <c r="J40" t="n">
        <v>1548</v>
      </c>
      <c r="K40" t="n">
        <v>1512</v>
      </c>
      <c r="L40" t="n">
        <v>-0.02325581395348841</v>
      </c>
      <c r="M40" t="n">
        <v>1217740493.35</v>
      </c>
      <c r="N40" t="n">
        <v>1195138585.45</v>
      </c>
      <c r="O40" t="n">
        <v>-0.01856052913032569</v>
      </c>
      <c r="P40" t="n">
        <v>0.9235867639720756</v>
      </c>
      <c r="Q40" t="inlineStr">
        <is>
          <t>Görüyor</t>
        </is>
      </c>
      <c r="R40" t="n">
        <v>0</v>
      </c>
      <c r="S40" t="n">
        <v>0</v>
      </c>
      <c r="T40" t="n">
        <v>0.1429</v>
      </c>
      <c r="U40" t="n">
        <v>0.0429</v>
      </c>
      <c r="V40" t="n">
        <v>0.0008</v>
      </c>
      <c r="W40" t="n">
        <v>0.0885</v>
      </c>
      <c r="X40" t="n">
        <v>0</v>
      </c>
      <c r="Y40" t="n">
        <v>0</v>
      </c>
      <c r="Z40" t="n">
        <v>0</v>
      </c>
      <c r="AA40" t="n">
        <v>0.2751</v>
      </c>
      <c r="AC40">
        <f>IF(ISNUMBER(INDEX($A$2:$AA$48,39,MATCH('Altın'!$E$2,$A$1:$AA$1,0))),INDEX($A$2:$AA$48,39,MATCH('Altın'!$E$2,$A$1:$AA$1,0)),-1E+9)-ROW()/1E+7</f>
        <v/>
      </c>
    </row>
    <row r="41">
      <c r="A41" t="inlineStr">
        <is>
          <t>FAL</t>
        </is>
      </c>
      <c r="B41" t="inlineStr">
        <is>
          <t>One Portföy Altın Fonu</t>
        </is>
      </c>
      <c r="C41" t="inlineStr">
        <is>
          <t>One Portföy</t>
        </is>
      </c>
      <c r="D41" t="n">
        <v>0.02</v>
      </c>
      <c r="E41" t="n">
        <v>-0.3098244825430863</v>
      </c>
      <c r="F41" t="n">
        <v>-1.871395263222475</v>
      </c>
      <c r="G41" t="n">
        <v>-6.34045792837683</v>
      </c>
      <c r="H41" t="n">
        <v>0.2632178447747435</v>
      </c>
      <c r="I41" t="inlineStr">
        <is>
          <t>-</t>
        </is>
      </c>
      <c r="J41" t="n">
        <v>783</v>
      </c>
      <c r="K41" t="n">
        <v>725</v>
      </c>
      <c r="L41" t="n">
        <v>-0.07407407407407407</v>
      </c>
      <c r="M41" t="n">
        <v>347739685.69</v>
      </c>
      <c r="N41" t="n">
        <v>306094654.64</v>
      </c>
      <c r="O41" t="n">
        <v>-0.1197592128933059</v>
      </c>
      <c r="P41" t="n">
        <v>1.054525179953404</v>
      </c>
      <c r="Q41" t="inlineStr">
        <is>
          <t>Görüyor</t>
        </is>
      </c>
      <c r="R41" t="n">
        <v>0</v>
      </c>
      <c r="S41" t="n">
        <v>0.0061</v>
      </c>
      <c r="T41" t="n">
        <v>0.0229</v>
      </c>
      <c r="U41" t="n">
        <v>0.05019999999999999</v>
      </c>
      <c r="V41" t="n">
        <v>0</v>
      </c>
      <c r="W41" t="n">
        <v>0.1333</v>
      </c>
      <c r="X41" t="n">
        <v>0</v>
      </c>
      <c r="Y41" t="n">
        <v>0</v>
      </c>
      <c r="Z41" t="n">
        <v>0</v>
      </c>
      <c r="AA41" t="n">
        <v>0.2125</v>
      </c>
      <c r="AC41">
        <f>IF(ISNUMBER(INDEX($A$2:$AA$48,40,MATCH('Altın'!$E$2,$A$1:$AA$1,0))),INDEX($A$2:$AA$48,40,MATCH('Altın'!$E$2,$A$1:$AA$1,0)),-1E+9)-ROW()/1E+7</f>
        <v/>
      </c>
    </row>
    <row r="42">
      <c r="A42" t="inlineStr">
        <is>
          <t>PIR</t>
        </is>
      </c>
      <c r="B42" t="inlineStr">
        <is>
          <t>Piramit Portföy Altın Fonu</t>
        </is>
      </c>
      <c r="C42" t="inlineStr">
        <is>
          <t>Piramit Portföy</t>
        </is>
      </c>
      <c r="D42" t="n">
        <v>0.01575</v>
      </c>
      <c r="E42" t="n">
        <v>-0.4093493829679273</v>
      </c>
      <c r="F42" t="n">
        <v>-2.136677444726032</v>
      </c>
      <c r="G42" t="n">
        <v>-6.831763906298082</v>
      </c>
      <c r="H42" t="n">
        <v>0.8051192985057298</v>
      </c>
      <c r="I42" t="n">
        <v>49.08283957058548</v>
      </c>
      <c r="J42" t="n">
        <v>1091</v>
      </c>
      <c r="K42" t="n">
        <v>975</v>
      </c>
      <c r="L42" t="n">
        <v>-0.1063244729605867</v>
      </c>
      <c r="M42" t="n">
        <v>140906103.84</v>
      </c>
      <c r="N42" t="n">
        <v>111901578.38</v>
      </c>
      <c r="O42" t="n">
        <v>-0.2058429313533137</v>
      </c>
      <c r="P42" t="n">
        <v>1.1004011562852</v>
      </c>
      <c r="Q42" t="inlineStr">
        <is>
          <t>Görüyor</t>
        </is>
      </c>
      <c r="R42" t="n">
        <v>0</v>
      </c>
      <c r="S42" t="n">
        <v>0.0002</v>
      </c>
      <c r="T42" t="n">
        <v>0</v>
      </c>
      <c r="U42" t="n">
        <v>0.0591</v>
      </c>
      <c r="V42" t="n">
        <v>0</v>
      </c>
      <c r="W42" t="n">
        <v>0.0248</v>
      </c>
      <c r="X42" t="n">
        <v>0</v>
      </c>
      <c r="Y42" t="n">
        <v>0</v>
      </c>
      <c r="Z42" t="n">
        <v>0</v>
      </c>
      <c r="AA42" t="n">
        <v>0.08409999999999999</v>
      </c>
      <c r="AC42">
        <f>IF(ISNUMBER(INDEX($A$2:$AA$48,41,MATCH('Altın'!$E$2,$A$1:$AA$1,0))),INDEX($A$2:$AA$48,41,MATCH('Altın'!$E$2,$A$1:$AA$1,0)),-1E+9)-ROW()/1E+7</f>
        <v/>
      </c>
    </row>
    <row r="43">
      <c r="A43" t="inlineStr">
        <is>
          <t>TTA</t>
        </is>
      </c>
      <c r="B43" t="inlineStr">
        <is>
          <t>İŞ Portföy Altın Fonu</t>
        </is>
      </c>
      <c r="C43" t="inlineStr">
        <is>
          <t>İŞ Portföy</t>
        </is>
      </c>
      <c r="D43" t="n">
        <v>0.019</v>
      </c>
      <c r="E43" t="n">
        <v>-0.4655514731052746</v>
      </c>
      <c r="F43" t="n">
        <v>-2.013493569470792</v>
      </c>
      <c r="G43" t="n">
        <v>-7.114867322165175</v>
      </c>
      <c r="H43" t="n">
        <v>-7.48361368601913</v>
      </c>
      <c r="I43" t="n">
        <v>30.63377523419826</v>
      </c>
      <c r="J43" t="n">
        <v>221252</v>
      </c>
      <c r="K43" t="n">
        <v>222222</v>
      </c>
      <c r="L43" t="n">
        <v>0.004384141160305832</v>
      </c>
      <c r="M43" t="n">
        <v>27294762489.01</v>
      </c>
      <c r="N43" t="n">
        <v>24740454550.69</v>
      </c>
      <c r="O43" t="n">
        <v>-0.0935823471388868</v>
      </c>
      <c r="P43" t="n">
        <v>1.056495202528193</v>
      </c>
      <c r="Q43" t="inlineStr">
        <is>
          <t>Görüyor</t>
        </is>
      </c>
      <c r="R43" t="n">
        <v>0</v>
      </c>
      <c r="S43" t="n">
        <v>0.0276</v>
      </c>
      <c r="T43" t="n">
        <v>0.0007000000000000001</v>
      </c>
      <c r="U43" t="n">
        <v>0</v>
      </c>
      <c r="V43" t="n">
        <v>0</v>
      </c>
      <c r="W43" t="n">
        <v>0.0664</v>
      </c>
      <c r="X43" t="n">
        <v>0</v>
      </c>
      <c r="Y43" t="n">
        <v>0</v>
      </c>
      <c r="Z43" t="n">
        <v>0</v>
      </c>
      <c r="AA43" t="n">
        <v>0.09470000000000001</v>
      </c>
      <c r="AC43">
        <f>IF(ISNUMBER(INDEX($A$2:$AA$48,42,MATCH('Altın'!$E$2,$A$1:$AA$1,0))),INDEX($A$2:$AA$48,42,MATCH('Altın'!$E$2,$A$1:$AA$1,0)),-1E+9)-ROW()/1E+7</f>
        <v/>
      </c>
    </row>
    <row r="44">
      <c r="A44" t="inlineStr">
        <is>
          <t>PA2</t>
        </is>
      </c>
      <c r="B44" t="inlineStr">
        <is>
          <t>Pusula Portföy Altın Katılım Fonu</t>
        </is>
      </c>
      <c r="C44" t="inlineStr">
        <is>
          <t>Pusula Portföy</t>
        </is>
      </c>
      <c r="D44" t="n">
        <v>0.0125</v>
      </c>
      <c r="E44" t="n">
        <v>-0.6364387227942747</v>
      </c>
      <c r="F44" t="n">
        <v>-2.090610739666543</v>
      </c>
      <c r="G44" t="inlineStr">
        <is>
          <t>-</t>
        </is>
      </c>
      <c r="H44" t="inlineStr">
        <is>
          <t>-</t>
        </is>
      </c>
      <c r="I44" t="inlineStr">
        <is>
          <t>-</t>
        </is>
      </c>
      <c r="J44" t="inlineStr">
        <is>
          <t>-</t>
        </is>
      </c>
      <c r="K44" t="n">
        <v>257</v>
      </c>
      <c r="L44" t="inlineStr">
        <is>
          <t>-</t>
        </is>
      </c>
      <c r="M44" t="inlineStr">
        <is>
          <t>-</t>
        </is>
      </c>
      <c r="N44" t="n">
        <v>26469105.78</v>
      </c>
      <c r="O44" t="inlineStr">
        <is>
          <t>-</t>
        </is>
      </c>
      <c r="P44" t="n">
        <v>0.7318022416340625</v>
      </c>
      <c r="Q44" t="inlineStr">
        <is>
          <t>Görüyor</t>
        </is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C44">
        <f>IF(ISNUMBER(INDEX($A$2:$AA$48,43,MATCH('Altın'!$E$2,$A$1:$AA$1,0))),INDEX($A$2:$AA$48,43,MATCH('Altın'!$E$2,$A$1:$AA$1,0)),-1E+9)-ROW()/1E+7</f>
        <v/>
      </c>
    </row>
    <row r="45">
      <c r="A45" t="inlineStr">
        <is>
          <t>RPG</t>
        </is>
      </c>
      <c r="B45" t="inlineStr">
        <is>
          <t>Rota Portföy Altın Fonu</t>
        </is>
      </c>
      <c r="C45" t="inlineStr">
        <is>
          <t>Rota Portföy</t>
        </is>
      </c>
      <c r="D45" t="n">
        <v>0.016</v>
      </c>
      <c r="E45" t="n">
        <v>-0.7622770001070034</v>
      </c>
      <c r="F45" t="n">
        <v>-1.990495794458502</v>
      </c>
      <c r="G45" t="n">
        <v>-6.269668434440123</v>
      </c>
      <c r="H45" t="n">
        <v>-1.353228202984602</v>
      </c>
      <c r="I45" t="n">
        <v>39.33394207794214</v>
      </c>
      <c r="J45" t="n">
        <v>1572</v>
      </c>
      <c r="K45" t="n">
        <v>1495</v>
      </c>
      <c r="L45" t="n">
        <v>-0.04898218829516543</v>
      </c>
      <c r="M45" t="n">
        <v>1077082140.43</v>
      </c>
      <c r="N45" t="n">
        <v>871787248.01</v>
      </c>
      <c r="O45" t="n">
        <v>-0.1906028191480743</v>
      </c>
      <c r="P45" t="n">
        <v>1.059092360994387</v>
      </c>
      <c r="Q45" t="inlineStr">
        <is>
          <t>Görüyor</t>
        </is>
      </c>
      <c r="R45" t="n">
        <v>0</v>
      </c>
      <c r="S45" t="n">
        <v>0.0018</v>
      </c>
      <c r="T45" t="n">
        <v>0</v>
      </c>
      <c r="U45" t="n">
        <v>0</v>
      </c>
      <c r="V45" t="n">
        <v>0</v>
      </c>
      <c r="W45" t="n">
        <v>0.0032</v>
      </c>
      <c r="X45" t="n">
        <v>0</v>
      </c>
      <c r="Y45" t="n">
        <v>0</v>
      </c>
      <c r="Z45" t="n">
        <v>0</v>
      </c>
      <c r="AA45" t="n">
        <v>0.005</v>
      </c>
      <c r="AC45">
        <f>IF(ISNUMBER(INDEX($A$2:$AA$48,44,MATCH('Altın'!$E$2,$A$1:$AA$1,0))),INDEX($A$2:$AA$48,44,MATCH('Altın'!$E$2,$A$1:$AA$1,0)),-1E+9)-ROW()/1E+7</f>
        <v/>
      </c>
    </row>
    <row r="46">
      <c r="A46" t="inlineStr">
        <is>
          <t>PTN</t>
        </is>
      </c>
      <c r="B46" t="inlineStr">
        <is>
          <t>Phillip Portföy Altın Fonu</t>
        </is>
      </c>
      <c r="C46" t="inlineStr">
        <is>
          <t>Phillip Portföy</t>
        </is>
      </c>
      <c r="D46" t="n">
        <v>0.021</v>
      </c>
      <c r="E46" t="n">
        <v>-0.9117982328270324</v>
      </c>
      <c r="F46" t="n">
        <v>-2.274963908961602</v>
      </c>
      <c r="G46" t="n">
        <v>-6.336914834440965</v>
      </c>
      <c r="H46" t="n">
        <v>1.388703256911139</v>
      </c>
      <c r="I46" t="n">
        <v>45.60663536181637</v>
      </c>
      <c r="J46" t="n">
        <v>910</v>
      </c>
      <c r="K46" t="n">
        <v>860</v>
      </c>
      <c r="L46" t="n">
        <v>-0.05494505494505497</v>
      </c>
      <c r="M46" t="n">
        <v>651761490.73</v>
      </c>
      <c r="N46" t="n">
        <v>556387905.88</v>
      </c>
      <c r="O46" t="n">
        <v>-0.1463320343507525</v>
      </c>
      <c r="P46" t="n">
        <v>1.020147072292427</v>
      </c>
      <c r="Q46" t="inlineStr">
        <is>
          <t>Görüyor</t>
        </is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0.09470000000000001</v>
      </c>
      <c r="X46" t="n">
        <v>0</v>
      </c>
      <c r="Y46" t="n">
        <v>0</v>
      </c>
      <c r="Z46" t="n">
        <v>0</v>
      </c>
      <c r="AA46" t="n">
        <v>0.09470000000000001</v>
      </c>
      <c r="AC46">
        <f>IF(ISNUMBER(INDEX($A$2:$AA$48,45,MATCH('Altın'!$E$2,$A$1:$AA$1,0))),INDEX($A$2:$AA$48,45,MATCH('Altın'!$E$2,$A$1:$AA$1,0)),-1E+9)-ROW()/1E+7</f>
        <v/>
      </c>
    </row>
    <row r="47">
      <c r="A47" t="inlineStr">
        <is>
          <t>VFO</t>
        </is>
      </c>
      <c r="B47" t="inlineStr">
        <is>
          <t>V Portföy Altın Katılım Fonu</t>
        </is>
      </c>
      <c r="C47" t="inlineStr">
        <is>
          <t>V Portföy</t>
        </is>
      </c>
      <c r="D47" t="n">
        <v>0.018</v>
      </c>
      <c r="E47" t="n">
        <v>-1.065973553034028</v>
      </c>
      <c r="F47" t="n">
        <v>-2.245493737058279</v>
      </c>
      <c r="G47" t="n">
        <v>-7.281396614712509</v>
      </c>
      <c r="H47" t="inlineStr">
        <is>
          <t>-</t>
        </is>
      </c>
      <c r="I47" t="inlineStr">
        <is>
          <t>-</t>
        </is>
      </c>
      <c r="J47" t="n">
        <v>306</v>
      </c>
      <c r="K47" t="n">
        <v>1202</v>
      </c>
      <c r="L47" t="n">
        <v>2.928104575163399</v>
      </c>
      <c r="M47" t="n">
        <v>26085304.89</v>
      </c>
      <c r="N47" t="n">
        <v>40968533.83</v>
      </c>
      <c r="O47" t="n">
        <v>0.5705598996355068</v>
      </c>
      <c r="P47" t="n">
        <v>1.067503444091754</v>
      </c>
      <c r="Q47" t="inlineStr">
        <is>
          <t>Görüyor</t>
        </is>
      </c>
      <c r="R47" t="n">
        <v>0</v>
      </c>
      <c r="S47" t="n">
        <v>0</v>
      </c>
      <c r="T47" t="n">
        <v>0</v>
      </c>
      <c r="U47" t="n">
        <v>0.1154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0.1154</v>
      </c>
      <c r="AC47">
        <f>IF(ISNUMBER(INDEX($A$2:$AA$48,46,MATCH('Altın'!$E$2,$A$1:$AA$1,0))),INDEX($A$2:$AA$48,46,MATCH('Altın'!$E$2,$A$1:$AA$1,0)),-1E+9)-ROW()/1E+7</f>
        <v/>
      </c>
    </row>
    <row r="48">
      <c r="A48" t="inlineStr">
        <is>
          <t>FAK</t>
        </is>
      </c>
      <c r="B48" t="inlineStr">
        <is>
          <t>Fonmap Portföy Altın Katılım Fonu</t>
        </is>
      </c>
      <c r="C48" t="inlineStr">
        <is>
          <t>Fonmap Portföy</t>
        </is>
      </c>
      <c r="D48" t="n">
        <v>0.012</v>
      </c>
      <c r="E48" t="n">
        <v>-1.988249364802452</v>
      </c>
      <c r="F48" t="n">
        <v>-3.847104072066143</v>
      </c>
      <c r="G48" t="n">
        <v>-10.22805215883339</v>
      </c>
      <c r="H48" t="n">
        <v>-21.36560469120293</v>
      </c>
      <c r="I48" t="inlineStr">
        <is>
          <t>-</t>
        </is>
      </c>
      <c r="J48" t="n">
        <v>394</v>
      </c>
      <c r="K48" t="n">
        <v>384</v>
      </c>
      <c r="L48" t="n">
        <v>-0.02538071065989844</v>
      </c>
      <c r="M48" t="n">
        <v>28319884.07</v>
      </c>
      <c r="N48" t="n">
        <v>24792260.28</v>
      </c>
      <c r="O48" t="n">
        <v>-0.1245634968448512</v>
      </c>
      <c r="P48" t="n">
        <v>1.19742943670221</v>
      </c>
      <c r="Q48" t="inlineStr">
        <is>
          <t>Görüyor</t>
        </is>
      </c>
      <c r="R48" t="n">
        <v>0</v>
      </c>
      <c r="S48" t="n">
        <v>0</v>
      </c>
      <c r="T48" t="n">
        <v>0</v>
      </c>
      <c r="U48" t="n">
        <v>0.8219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0.8219</v>
      </c>
      <c r="AC48">
        <f>IF(ISNUMBER(INDEX($A$2:$AA$48,47,MATCH('Altın'!$E$2,$A$1:$AA$1,0))),INDEX($A$2:$AA$48,47,MATCH('Altın'!$E$2,$A$1:$AA$1,0)),-1E+9)-ROW()/1E+7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B50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2" max="2"/>
    <col width="68" customWidth="1" min="3" max="3"/>
    <col width="2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>
      <c r="F1" s="6" t="n">
        <v>46219</v>
      </c>
      <c r="G1" s="6" t="n">
        <v>46213</v>
      </c>
      <c r="H1" s="6" t="n">
        <v>46190</v>
      </c>
      <c r="I1" s="6" t="n">
        <v>46022</v>
      </c>
    </row>
    <row r="2">
      <c r="B2" s="3" t="inlineStr">
        <is>
          <t>T-1: 17.07.2026</t>
        </is>
      </c>
      <c r="D2" s="7" t="inlineStr">
        <is>
          <t>Sırala:</t>
        </is>
      </c>
      <c r="E2" s="2" t="inlineStr">
        <is>
          <t>Günlük%</t>
        </is>
      </c>
    </row>
    <row r="3">
      <c r="B3" s="4" t="inlineStr">
        <is>
          <t>Fon Kodu</t>
        </is>
      </c>
      <c r="C3" s="4" t="inlineStr">
        <is>
          <t>Altın Fonları</t>
        </is>
      </c>
      <c r="D3" s="4" t="inlineStr">
        <is>
          <t>Yönetici</t>
        </is>
      </c>
      <c r="E3" s="4" t="inlineStr">
        <is>
          <t>FYÜ%</t>
        </is>
      </c>
      <c r="F3" s="4" t="inlineStr">
        <is>
          <t>Günlük%</t>
        </is>
      </c>
      <c r="G3" s="4" t="inlineStr">
        <is>
          <t>Haftalık</t>
        </is>
      </c>
      <c r="H3" s="4" t="inlineStr">
        <is>
          <t>Aylık</t>
        </is>
      </c>
      <c r="I3" s="4" t="inlineStr">
        <is>
          <t>Yılbaşına Göre</t>
        </is>
      </c>
      <c r="J3" s="4" t="inlineStr">
        <is>
          <t>Yıllık</t>
        </is>
      </c>
      <c r="K3" s="4" t="inlineStr">
        <is>
          <t>Yatırımcı Sayısı T-30</t>
        </is>
      </c>
      <c r="L3" s="4" t="inlineStr">
        <is>
          <t>Yatırımcı Sayısı T-1</t>
        </is>
      </c>
      <c r="M3" s="4" t="inlineStr">
        <is>
          <t>YS Değişim</t>
        </is>
      </c>
      <c r="N3" s="4" t="inlineStr">
        <is>
          <t>Önceki Ay FTD</t>
        </is>
      </c>
      <c r="O3" s="4" t="inlineStr">
        <is>
          <t>T-1 FTD</t>
        </is>
      </c>
      <c r="P3" s="4" t="inlineStr">
        <is>
          <t>FTD Değişim</t>
        </is>
      </c>
      <c r="Q3" s="4" t="inlineStr">
        <is>
          <t>Standart Sapma (Aylık)</t>
        </is>
      </c>
      <c r="R3" s="4" t="inlineStr">
        <is>
          <t>TEFAS Durumu</t>
        </is>
      </c>
      <c r="S3" s="4" t="inlineStr">
        <is>
          <t>Mevduat (TL)</t>
        </is>
      </c>
      <c r="T3" s="4" t="inlineStr">
        <is>
          <t>Vadeli İşlemler Nakit Teminatları</t>
        </is>
      </c>
      <c r="U3" s="4" t="inlineStr">
        <is>
          <t>Ters Repo Oranı</t>
        </is>
      </c>
      <c r="V3" s="4" t="inlineStr">
        <is>
          <t>Hisse Oranı</t>
        </is>
      </c>
      <c r="W3" s="4" t="inlineStr">
        <is>
          <t>Para Piyasaları Oranı</t>
        </is>
      </c>
      <c r="X3" s="4" t="inlineStr">
        <is>
          <t>Yatırım Fonları Katılma Payları</t>
        </is>
      </c>
      <c r="Y3" s="4" t="inlineStr">
        <is>
          <t>Özel Tahvil/Bono Oranı</t>
        </is>
      </c>
      <c r="Z3" s="4" t="inlineStr">
        <is>
          <t>Finansman Bonosu Oranı</t>
        </is>
      </c>
      <c r="AA3" s="4" t="inlineStr">
        <is>
          <t>Diğer Oran</t>
        </is>
      </c>
      <c r="AB3" s="4" t="inlineStr">
        <is>
          <t>Toplam</t>
        </is>
      </c>
    </row>
    <row r="4">
      <c r="A4" t="n">
        <v>1</v>
      </c>
      <c r="B4" s="5">
        <f>INDEX('V_Altın'!A$2:A$48,MATCH(LARGE('V_Altın'!$AC$2:$AC$48,ROW()-3),'V_Altın'!$AC$2:$AC$48,0))</f>
        <v/>
      </c>
      <c r="C4" s="5">
        <f>INDEX('V_Altın'!B$2:B$48,MATCH(LARGE('V_Altın'!$AC$2:$AC$48,ROW()-3),'V_Altın'!$AC$2:$AC$48,0))</f>
        <v/>
      </c>
      <c r="D4" s="5">
        <f>INDEX('V_Altın'!C$2:C$48,MATCH(LARGE('V_Altın'!$AC$2:$AC$48,ROW()-3),'V_Altın'!$AC$2:$AC$48,0))</f>
        <v/>
      </c>
      <c r="E4" s="8">
        <f>INDEX('V_Altın'!D$2:D$48,MATCH(LARGE('V_Altın'!$AC$2:$AC$48,ROW()-3),'V_Altın'!$AC$2:$AC$48,0))</f>
        <v/>
      </c>
      <c r="F4" s="9">
        <f>INDEX('V_Altın'!E$2:E$48,MATCH(LARGE('V_Altın'!$AC$2:$AC$48,ROW()-3),'V_Altın'!$AC$2:$AC$48,0))</f>
        <v/>
      </c>
      <c r="G4" s="9">
        <f>INDEX('V_Altın'!F$2:F$48,MATCH(LARGE('V_Altın'!$AC$2:$AC$48,ROW()-3),'V_Altın'!$AC$2:$AC$48,0))</f>
        <v/>
      </c>
      <c r="H4" s="9">
        <f>INDEX('V_Altın'!G$2:G$48,MATCH(LARGE('V_Altın'!$AC$2:$AC$48,ROW()-3),'V_Altın'!$AC$2:$AC$48,0))</f>
        <v/>
      </c>
      <c r="I4" s="9">
        <f>INDEX('V_Altın'!H$2:H$48,MATCH(LARGE('V_Altın'!$AC$2:$AC$48,ROW()-3),'V_Altın'!$AC$2:$AC$48,0))</f>
        <v/>
      </c>
      <c r="J4" s="9">
        <f>INDEX('V_Altın'!I$2:I$48,MATCH(LARGE('V_Altın'!$AC$2:$AC$48,ROW()-3),'V_Altın'!$AC$2:$AC$48,0))</f>
        <v/>
      </c>
      <c r="K4" s="10">
        <f>INDEX('V_Altın'!J$2:J$48,MATCH(LARGE('V_Altın'!$AC$2:$AC$48,ROW()-3),'V_Altın'!$AC$2:$AC$48,0))</f>
        <v/>
      </c>
      <c r="L4" s="10">
        <f>INDEX('V_Altın'!K$2:K$48,MATCH(LARGE('V_Altın'!$AC$2:$AC$48,ROW()-3),'V_Altın'!$AC$2:$AC$48,0))</f>
        <v/>
      </c>
      <c r="M4" s="8">
        <f>INDEX('V_Altın'!L$2:L$48,MATCH(LARGE('V_Altın'!$AC$2:$AC$48,ROW()-3),'V_Altın'!$AC$2:$AC$48,0))</f>
        <v/>
      </c>
      <c r="N4" s="11">
        <f>INDEX('V_Altın'!M$2:M$48,MATCH(LARGE('V_Altın'!$AC$2:$AC$48,ROW()-3),'V_Altın'!$AC$2:$AC$48,0))</f>
        <v/>
      </c>
      <c r="O4" s="11">
        <f>INDEX('V_Altın'!N$2:N$48,MATCH(LARGE('V_Altın'!$AC$2:$AC$48,ROW()-3),'V_Altın'!$AC$2:$AC$48,0))</f>
        <v/>
      </c>
      <c r="P4" s="8">
        <f>INDEX('V_Altın'!O$2:O$48,MATCH(LARGE('V_Altın'!$AC$2:$AC$48,ROW()-3),'V_Altın'!$AC$2:$AC$48,0))</f>
        <v/>
      </c>
      <c r="Q4" s="9">
        <f>INDEX('V_Altın'!P$2:P$48,MATCH(LARGE('V_Altın'!$AC$2:$AC$48,ROW()-3),'V_Altın'!$AC$2:$AC$48,0))</f>
        <v/>
      </c>
      <c r="R4" s="5">
        <f>INDEX('V_Altın'!Q$2:Q$48,MATCH(LARGE('V_Altın'!$AC$2:$AC$48,ROW()-3),'V_Altın'!$AC$2:$AC$48,0))</f>
        <v/>
      </c>
      <c r="S4" s="8">
        <f>INDEX('V_Altın'!R$2:R$48,MATCH(LARGE('V_Altın'!$AC$2:$AC$48,ROW()-3),'V_Altın'!$AC$2:$AC$48,0))</f>
        <v/>
      </c>
      <c r="T4" s="8">
        <f>INDEX('V_Altın'!S$2:S$48,MATCH(LARGE('V_Altın'!$AC$2:$AC$48,ROW()-3),'V_Altın'!$AC$2:$AC$48,0))</f>
        <v/>
      </c>
      <c r="U4" s="8">
        <f>INDEX('V_Altın'!T$2:T$48,MATCH(LARGE('V_Altın'!$AC$2:$AC$48,ROW()-3),'V_Altın'!$AC$2:$AC$48,0))</f>
        <v/>
      </c>
      <c r="V4" s="8">
        <f>INDEX('V_Altın'!U$2:U$48,MATCH(LARGE('V_Altın'!$AC$2:$AC$48,ROW()-3),'V_Altın'!$AC$2:$AC$48,0))</f>
        <v/>
      </c>
      <c r="W4" s="8">
        <f>INDEX('V_Altın'!V$2:V$48,MATCH(LARGE('V_Altın'!$AC$2:$AC$48,ROW()-3),'V_Altın'!$AC$2:$AC$48,0))</f>
        <v/>
      </c>
      <c r="X4" s="8">
        <f>INDEX('V_Altın'!W$2:W$48,MATCH(LARGE('V_Altın'!$AC$2:$AC$48,ROW()-3),'V_Altın'!$AC$2:$AC$48,0))</f>
        <v/>
      </c>
      <c r="Y4" s="8">
        <f>INDEX('V_Altın'!X$2:X$48,MATCH(LARGE('V_Altın'!$AC$2:$AC$48,ROW()-3),'V_Altın'!$AC$2:$AC$48,0))</f>
        <v/>
      </c>
      <c r="Z4" s="8">
        <f>INDEX('V_Altın'!Y$2:Y$48,MATCH(LARGE('V_Altın'!$AC$2:$AC$48,ROW()-3),'V_Altın'!$AC$2:$AC$48,0))</f>
        <v/>
      </c>
      <c r="AA4" s="8">
        <f>INDEX('V_Altın'!Z$2:Z$48,MATCH(LARGE('V_Altın'!$AC$2:$AC$48,ROW()-3),'V_Altın'!$AC$2:$AC$48,0))</f>
        <v/>
      </c>
      <c r="AB4" s="8">
        <f>INDEX('V_Altın'!AA$2:AA$48,MATCH(LARGE('V_Altın'!$AC$2:$AC$48,ROW()-3),'V_Altın'!$AC$2:$AC$48,0))</f>
        <v/>
      </c>
    </row>
    <row r="5">
      <c r="A5" t="n">
        <v>2</v>
      </c>
      <c r="B5" s="5">
        <f>INDEX('V_Altın'!A$2:A$48,MATCH(LARGE('V_Altın'!$AC$2:$AC$48,ROW()-3),'V_Altın'!$AC$2:$AC$48,0))</f>
        <v/>
      </c>
      <c r="C5" s="5">
        <f>INDEX('V_Altın'!B$2:B$48,MATCH(LARGE('V_Altın'!$AC$2:$AC$48,ROW()-3),'V_Altın'!$AC$2:$AC$48,0))</f>
        <v/>
      </c>
      <c r="D5" s="5">
        <f>INDEX('V_Altın'!C$2:C$48,MATCH(LARGE('V_Altın'!$AC$2:$AC$48,ROW()-3),'V_Altın'!$AC$2:$AC$48,0))</f>
        <v/>
      </c>
      <c r="E5" s="8">
        <f>INDEX('V_Altın'!D$2:D$48,MATCH(LARGE('V_Altın'!$AC$2:$AC$48,ROW()-3),'V_Altın'!$AC$2:$AC$48,0))</f>
        <v/>
      </c>
      <c r="F5" s="9">
        <f>INDEX('V_Altın'!E$2:E$48,MATCH(LARGE('V_Altın'!$AC$2:$AC$48,ROW()-3),'V_Altın'!$AC$2:$AC$48,0))</f>
        <v/>
      </c>
      <c r="G5" s="9">
        <f>INDEX('V_Altın'!F$2:F$48,MATCH(LARGE('V_Altın'!$AC$2:$AC$48,ROW()-3),'V_Altın'!$AC$2:$AC$48,0))</f>
        <v/>
      </c>
      <c r="H5" s="9">
        <f>INDEX('V_Altın'!G$2:G$48,MATCH(LARGE('V_Altın'!$AC$2:$AC$48,ROW()-3),'V_Altın'!$AC$2:$AC$48,0))</f>
        <v/>
      </c>
      <c r="I5" s="9">
        <f>INDEX('V_Altın'!H$2:H$48,MATCH(LARGE('V_Altın'!$AC$2:$AC$48,ROW()-3),'V_Altın'!$AC$2:$AC$48,0))</f>
        <v/>
      </c>
      <c r="J5" s="9">
        <f>INDEX('V_Altın'!I$2:I$48,MATCH(LARGE('V_Altın'!$AC$2:$AC$48,ROW()-3),'V_Altın'!$AC$2:$AC$48,0))</f>
        <v/>
      </c>
      <c r="K5" s="10">
        <f>INDEX('V_Altın'!J$2:J$48,MATCH(LARGE('V_Altın'!$AC$2:$AC$48,ROW()-3),'V_Altın'!$AC$2:$AC$48,0))</f>
        <v/>
      </c>
      <c r="L5" s="10">
        <f>INDEX('V_Altın'!K$2:K$48,MATCH(LARGE('V_Altın'!$AC$2:$AC$48,ROW()-3),'V_Altın'!$AC$2:$AC$48,0))</f>
        <v/>
      </c>
      <c r="M5" s="8">
        <f>INDEX('V_Altın'!L$2:L$48,MATCH(LARGE('V_Altın'!$AC$2:$AC$48,ROW()-3),'V_Altın'!$AC$2:$AC$48,0))</f>
        <v/>
      </c>
      <c r="N5" s="11">
        <f>INDEX('V_Altın'!M$2:M$48,MATCH(LARGE('V_Altın'!$AC$2:$AC$48,ROW()-3),'V_Altın'!$AC$2:$AC$48,0))</f>
        <v/>
      </c>
      <c r="O5" s="11">
        <f>INDEX('V_Altın'!N$2:N$48,MATCH(LARGE('V_Altın'!$AC$2:$AC$48,ROW()-3),'V_Altın'!$AC$2:$AC$48,0))</f>
        <v/>
      </c>
      <c r="P5" s="8">
        <f>INDEX('V_Altın'!O$2:O$48,MATCH(LARGE('V_Altın'!$AC$2:$AC$48,ROW()-3),'V_Altın'!$AC$2:$AC$48,0))</f>
        <v/>
      </c>
      <c r="Q5" s="9">
        <f>INDEX('V_Altın'!P$2:P$48,MATCH(LARGE('V_Altın'!$AC$2:$AC$48,ROW()-3),'V_Altın'!$AC$2:$AC$48,0))</f>
        <v/>
      </c>
      <c r="R5" s="5">
        <f>INDEX('V_Altın'!Q$2:Q$48,MATCH(LARGE('V_Altın'!$AC$2:$AC$48,ROW()-3),'V_Altın'!$AC$2:$AC$48,0))</f>
        <v/>
      </c>
      <c r="S5" s="8">
        <f>INDEX('V_Altın'!R$2:R$48,MATCH(LARGE('V_Altın'!$AC$2:$AC$48,ROW()-3),'V_Altın'!$AC$2:$AC$48,0))</f>
        <v/>
      </c>
      <c r="T5" s="8">
        <f>INDEX('V_Altın'!S$2:S$48,MATCH(LARGE('V_Altın'!$AC$2:$AC$48,ROW()-3),'V_Altın'!$AC$2:$AC$48,0))</f>
        <v/>
      </c>
      <c r="U5" s="8">
        <f>INDEX('V_Altın'!T$2:T$48,MATCH(LARGE('V_Altın'!$AC$2:$AC$48,ROW()-3),'V_Altın'!$AC$2:$AC$48,0))</f>
        <v/>
      </c>
      <c r="V5" s="8">
        <f>INDEX('V_Altın'!U$2:U$48,MATCH(LARGE('V_Altın'!$AC$2:$AC$48,ROW()-3),'V_Altın'!$AC$2:$AC$48,0))</f>
        <v/>
      </c>
      <c r="W5" s="8">
        <f>INDEX('V_Altın'!V$2:V$48,MATCH(LARGE('V_Altın'!$AC$2:$AC$48,ROW()-3),'V_Altın'!$AC$2:$AC$48,0))</f>
        <v/>
      </c>
      <c r="X5" s="8">
        <f>INDEX('V_Altın'!W$2:W$48,MATCH(LARGE('V_Altın'!$AC$2:$AC$48,ROW()-3),'V_Altın'!$AC$2:$AC$48,0))</f>
        <v/>
      </c>
      <c r="Y5" s="8">
        <f>INDEX('V_Altın'!X$2:X$48,MATCH(LARGE('V_Altın'!$AC$2:$AC$48,ROW()-3),'V_Altın'!$AC$2:$AC$48,0))</f>
        <v/>
      </c>
      <c r="Z5" s="8">
        <f>INDEX('V_Altın'!Y$2:Y$48,MATCH(LARGE('V_Altın'!$AC$2:$AC$48,ROW()-3),'V_Altın'!$AC$2:$AC$48,0))</f>
        <v/>
      </c>
      <c r="AA5" s="8">
        <f>INDEX('V_Altın'!Z$2:Z$48,MATCH(LARGE('V_Altın'!$AC$2:$AC$48,ROW()-3),'V_Altın'!$AC$2:$AC$48,0))</f>
        <v/>
      </c>
      <c r="AB5" s="8">
        <f>INDEX('V_Altın'!AA$2:AA$48,MATCH(LARGE('V_Altın'!$AC$2:$AC$48,ROW()-3),'V_Altın'!$AC$2:$AC$48,0))</f>
        <v/>
      </c>
    </row>
    <row r="6">
      <c r="A6" t="n">
        <v>3</v>
      </c>
      <c r="B6" s="5">
        <f>INDEX('V_Altın'!A$2:A$48,MATCH(LARGE('V_Altın'!$AC$2:$AC$48,ROW()-3),'V_Altın'!$AC$2:$AC$48,0))</f>
        <v/>
      </c>
      <c r="C6" s="5">
        <f>INDEX('V_Altın'!B$2:B$48,MATCH(LARGE('V_Altın'!$AC$2:$AC$48,ROW()-3),'V_Altın'!$AC$2:$AC$48,0))</f>
        <v/>
      </c>
      <c r="D6" s="5">
        <f>INDEX('V_Altın'!C$2:C$48,MATCH(LARGE('V_Altın'!$AC$2:$AC$48,ROW()-3),'V_Altın'!$AC$2:$AC$48,0))</f>
        <v/>
      </c>
      <c r="E6" s="8">
        <f>INDEX('V_Altın'!D$2:D$48,MATCH(LARGE('V_Altın'!$AC$2:$AC$48,ROW()-3),'V_Altın'!$AC$2:$AC$48,0))</f>
        <v/>
      </c>
      <c r="F6" s="9">
        <f>INDEX('V_Altın'!E$2:E$48,MATCH(LARGE('V_Altın'!$AC$2:$AC$48,ROW()-3),'V_Altın'!$AC$2:$AC$48,0))</f>
        <v/>
      </c>
      <c r="G6" s="9">
        <f>INDEX('V_Altın'!F$2:F$48,MATCH(LARGE('V_Altın'!$AC$2:$AC$48,ROW()-3),'V_Altın'!$AC$2:$AC$48,0))</f>
        <v/>
      </c>
      <c r="H6" s="9">
        <f>INDEX('V_Altın'!G$2:G$48,MATCH(LARGE('V_Altın'!$AC$2:$AC$48,ROW()-3),'V_Altın'!$AC$2:$AC$48,0))</f>
        <v/>
      </c>
      <c r="I6" s="9">
        <f>INDEX('V_Altın'!H$2:H$48,MATCH(LARGE('V_Altın'!$AC$2:$AC$48,ROW()-3),'V_Altın'!$AC$2:$AC$48,0))</f>
        <v/>
      </c>
      <c r="J6" s="9">
        <f>INDEX('V_Altın'!I$2:I$48,MATCH(LARGE('V_Altın'!$AC$2:$AC$48,ROW()-3),'V_Altın'!$AC$2:$AC$48,0))</f>
        <v/>
      </c>
      <c r="K6" s="10">
        <f>INDEX('V_Altın'!J$2:J$48,MATCH(LARGE('V_Altın'!$AC$2:$AC$48,ROW()-3),'V_Altın'!$AC$2:$AC$48,0))</f>
        <v/>
      </c>
      <c r="L6" s="10">
        <f>INDEX('V_Altın'!K$2:K$48,MATCH(LARGE('V_Altın'!$AC$2:$AC$48,ROW()-3),'V_Altın'!$AC$2:$AC$48,0))</f>
        <v/>
      </c>
      <c r="M6" s="8">
        <f>INDEX('V_Altın'!L$2:L$48,MATCH(LARGE('V_Altın'!$AC$2:$AC$48,ROW()-3),'V_Altın'!$AC$2:$AC$48,0))</f>
        <v/>
      </c>
      <c r="N6" s="11">
        <f>INDEX('V_Altın'!M$2:M$48,MATCH(LARGE('V_Altın'!$AC$2:$AC$48,ROW()-3),'V_Altın'!$AC$2:$AC$48,0))</f>
        <v/>
      </c>
      <c r="O6" s="11">
        <f>INDEX('V_Altın'!N$2:N$48,MATCH(LARGE('V_Altın'!$AC$2:$AC$48,ROW()-3),'V_Altın'!$AC$2:$AC$48,0))</f>
        <v/>
      </c>
      <c r="P6" s="8">
        <f>INDEX('V_Altın'!O$2:O$48,MATCH(LARGE('V_Altın'!$AC$2:$AC$48,ROW()-3),'V_Altın'!$AC$2:$AC$48,0))</f>
        <v/>
      </c>
      <c r="Q6" s="9">
        <f>INDEX('V_Altın'!P$2:P$48,MATCH(LARGE('V_Altın'!$AC$2:$AC$48,ROW()-3),'V_Altın'!$AC$2:$AC$48,0))</f>
        <v/>
      </c>
      <c r="R6" s="5">
        <f>INDEX('V_Altın'!Q$2:Q$48,MATCH(LARGE('V_Altın'!$AC$2:$AC$48,ROW()-3),'V_Altın'!$AC$2:$AC$48,0))</f>
        <v/>
      </c>
      <c r="S6" s="8">
        <f>INDEX('V_Altın'!R$2:R$48,MATCH(LARGE('V_Altın'!$AC$2:$AC$48,ROW()-3),'V_Altın'!$AC$2:$AC$48,0))</f>
        <v/>
      </c>
      <c r="T6" s="8">
        <f>INDEX('V_Altın'!S$2:S$48,MATCH(LARGE('V_Altın'!$AC$2:$AC$48,ROW()-3),'V_Altın'!$AC$2:$AC$48,0))</f>
        <v/>
      </c>
      <c r="U6" s="8">
        <f>INDEX('V_Altın'!T$2:T$48,MATCH(LARGE('V_Altın'!$AC$2:$AC$48,ROW()-3),'V_Altın'!$AC$2:$AC$48,0))</f>
        <v/>
      </c>
      <c r="V6" s="8">
        <f>INDEX('V_Altın'!U$2:U$48,MATCH(LARGE('V_Altın'!$AC$2:$AC$48,ROW()-3),'V_Altın'!$AC$2:$AC$48,0))</f>
        <v/>
      </c>
      <c r="W6" s="8">
        <f>INDEX('V_Altın'!V$2:V$48,MATCH(LARGE('V_Altın'!$AC$2:$AC$48,ROW()-3),'V_Altın'!$AC$2:$AC$48,0))</f>
        <v/>
      </c>
      <c r="X6" s="8">
        <f>INDEX('V_Altın'!W$2:W$48,MATCH(LARGE('V_Altın'!$AC$2:$AC$48,ROW()-3),'V_Altın'!$AC$2:$AC$48,0))</f>
        <v/>
      </c>
      <c r="Y6" s="8">
        <f>INDEX('V_Altın'!X$2:X$48,MATCH(LARGE('V_Altın'!$AC$2:$AC$48,ROW()-3),'V_Altın'!$AC$2:$AC$48,0))</f>
        <v/>
      </c>
      <c r="Z6" s="8">
        <f>INDEX('V_Altın'!Y$2:Y$48,MATCH(LARGE('V_Altın'!$AC$2:$AC$48,ROW()-3),'V_Altın'!$AC$2:$AC$48,0))</f>
        <v/>
      </c>
      <c r="AA6" s="8">
        <f>INDEX('V_Altın'!Z$2:Z$48,MATCH(LARGE('V_Altın'!$AC$2:$AC$48,ROW()-3),'V_Altın'!$AC$2:$AC$48,0))</f>
        <v/>
      </c>
      <c r="AB6" s="8">
        <f>INDEX('V_Altın'!AA$2:AA$48,MATCH(LARGE('V_Altın'!$AC$2:$AC$48,ROW()-3),'V_Altın'!$AC$2:$AC$48,0))</f>
        <v/>
      </c>
    </row>
    <row r="7">
      <c r="A7" t="n">
        <v>4</v>
      </c>
      <c r="B7" s="5">
        <f>INDEX('V_Altın'!A$2:A$48,MATCH(LARGE('V_Altın'!$AC$2:$AC$48,ROW()-3),'V_Altın'!$AC$2:$AC$48,0))</f>
        <v/>
      </c>
      <c r="C7" s="5">
        <f>INDEX('V_Altın'!B$2:B$48,MATCH(LARGE('V_Altın'!$AC$2:$AC$48,ROW()-3),'V_Altın'!$AC$2:$AC$48,0))</f>
        <v/>
      </c>
      <c r="D7" s="5">
        <f>INDEX('V_Altın'!C$2:C$48,MATCH(LARGE('V_Altın'!$AC$2:$AC$48,ROW()-3),'V_Altın'!$AC$2:$AC$48,0))</f>
        <v/>
      </c>
      <c r="E7" s="8">
        <f>INDEX('V_Altın'!D$2:D$48,MATCH(LARGE('V_Altın'!$AC$2:$AC$48,ROW()-3),'V_Altın'!$AC$2:$AC$48,0))</f>
        <v/>
      </c>
      <c r="F7" s="9">
        <f>INDEX('V_Altın'!E$2:E$48,MATCH(LARGE('V_Altın'!$AC$2:$AC$48,ROW()-3),'V_Altın'!$AC$2:$AC$48,0))</f>
        <v/>
      </c>
      <c r="G7" s="9">
        <f>INDEX('V_Altın'!F$2:F$48,MATCH(LARGE('V_Altın'!$AC$2:$AC$48,ROW()-3),'V_Altın'!$AC$2:$AC$48,0))</f>
        <v/>
      </c>
      <c r="H7" s="9">
        <f>INDEX('V_Altın'!G$2:G$48,MATCH(LARGE('V_Altın'!$AC$2:$AC$48,ROW()-3),'V_Altın'!$AC$2:$AC$48,0))</f>
        <v/>
      </c>
      <c r="I7" s="9">
        <f>INDEX('V_Altın'!H$2:H$48,MATCH(LARGE('V_Altın'!$AC$2:$AC$48,ROW()-3),'V_Altın'!$AC$2:$AC$48,0))</f>
        <v/>
      </c>
      <c r="J7" s="9">
        <f>INDEX('V_Altın'!I$2:I$48,MATCH(LARGE('V_Altın'!$AC$2:$AC$48,ROW()-3),'V_Altın'!$AC$2:$AC$48,0))</f>
        <v/>
      </c>
      <c r="K7" s="10">
        <f>INDEX('V_Altın'!J$2:J$48,MATCH(LARGE('V_Altın'!$AC$2:$AC$48,ROW()-3),'V_Altın'!$AC$2:$AC$48,0))</f>
        <v/>
      </c>
      <c r="L7" s="10">
        <f>INDEX('V_Altın'!K$2:K$48,MATCH(LARGE('V_Altın'!$AC$2:$AC$48,ROW()-3),'V_Altın'!$AC$2:$AC$48,0))</f>
        <v/>
      </c>
      <c r="M7" s="8">
        <f>INDEX('V_Altın'!L$2:L$48,MATCH(LARGE('V_Altın'!$AC$2:$AC$48,ROW()-3),'V_Altın'!$AC$2:$AC$48,0))</f>
        <v/>
      </c>
      <c r="N7" s="11">
        <f>INDEX('V_Altın'!M$2:M$48,MATCH(LARGE('V_Altın'!$AC$2:$AC$48,ROW()-3),'V_Altın'!$AC$2:$AC$48,0))</f>
        <v/>
      </c>
      <c r="O7" s="11">
        <f>INDEX('V_Altın'!N$2:N$48,MATCH(LARGE('V_Altın'!$AC$2:$AC$48,ROW()-3),'V_Altın'!$AC$2:$AC$48,0))</f>
        <v/>
      </c>
      <c r="P7" s="8">
        <f>INDEX('V_Altın'!O$2:O$48,MATCH(LARGE('V_Altın'!$AC$2:$AC$48,ROW()-3),'V_Altın'!$AC$2:$AC$48,0))</f>
        <v/>
      </c>
      <c r="Q7" s="9">
        <f>INDEX('V_Altın'!P$2:P$48,MATCH(LARGE('V_Altın'!$AC$2:$AC$48,ROW()-3),'V_Altın'!$AC$2:$AC$48,0))</f>
        <v/>
      </c>
      <c r="R7" s="5">
        <f>INDEX('V_Altın'!Q$2:Q$48,MATCH(LARGE('V_Altın'!$AC$2:$AC$48,ROW()-3),'V_Altın'!$AC$2:$AC$48,0))</f>
        <v/>
      </c>
      <c r="S7" s="8">
        <f>INDEX('V_Altın'!R$2:R$48,MATCH(LARGE('V_Altın'!$AC$2:$AC$48,ROW()-3),'V_Altın'!$AC$2:$AC$48,0))</f>
        <v/>
      </c>
      <c r="T7" s="8">
        <f>INDEX('V_Altın'!S$2:S$48,MATCH(LARGE('V_Altın'!$AC$2:$AC$48,ROW()-3),'V_Altın'!$AC$2:$AC$48,0))</f>
        <v/>
      </c>
      <c r="U7" s="8">
        <f>INDEX('V_Altın'!T$2:T$48,MATCH(LARGE('V_Altın'!$AC$2:$AC$48,ROW()-3),'V_Altın'!$AC$2:$AC$48,0))</f>
        <v/>
      </c>
      <c r="V7" s="8">
        <f>INDEX('V_Altın'!U$2:U$48,MATCH(LARGE('V_Altın'!$AC$2:$AC$48,ROW()-3),'V_Altın'!$AC$2:$AC$48,0))</f>
        <v/>
      </c>
      <c r="W7" s="8">
        <f>INDEX('V_Altın'!V$2:V$48,MATCH(LARGE('V_Altın'!$AC$2:$AC$48,ROW()-3),'V_Altın'!$AC$2:$AC$48,0))</f>
        <v/>
      </c>
      <c r="X7" s="8">
        <f>INDEX('V_Altın'!W$2:W$48,MATCH(LARGE('V_Altın'!$AC$2:$AC$48,ROW()-3),'V_Altın'!$AC$2:$AC$48,0))</f>
        <v/>
      </c>
      <c r="Y7" s="8">
        <f>INDEX('V_Altın'!X$2:X$48,MATCH(LARGE('V_Altın'!$AC$2:$AC$48,ROW()-3),'V_Altın'!$AC$2:$AC$48,0))</f>
        <v/>
      </c>
      <c r="Z7" s="8">
        <f>INDEX('V_Altın'!Y$2:Y$48,MATCH(LARGE('V_Altın'!$AC$2:$AC$48,ROW()-3),'V_Altın'!$AC$2:$AC$48,0))</f>
        <v/>
      </c>
      <c r="AA7" s="8">
        <f>INDEX('V_Altın'!Z$2:Z$48,MATCH(LARGE('V_Altın'!$AC$2:$AC$48,ROW()-3),'V_Altın'!$AC$2:$AC$48,0))</f>
        <v/>
      </c>
      <c r="AB7" s="8">
        <f>INDEX('V_Altın'!AA$2:AA$48,MATCH(LARGE('V_Altın'!$AC$2:$AC$48,ROW()-3),'V_Altın'!$AC$2:$AC$48,0))</f>
        <v/>
      </c>
    </row>
    <row r="8">
      <c r="A8" t="n">
        <v>5</v>
      </c>
      <c r="B8" s="5">
        <f>INDEX('V_Altın'!A$2:A$48,MATCH(LARGE('V_Altın'!$AC$2:$AC$48,ROW()-3),'V_Altın'!$AC$2:$AC$48,0))</f>
        <v/>
      </c>
      <c r="C8" s="5">
        <f>INDEX('V_Altın'!B$2:B$48,MATCH(LARGE('V_Altın'!$AC$2:$AC$48,ROW()-3),'V_Altın'!$AC$2:$AC$48,0))</f>
        <v/>
      </c>
      <c r="D8" s="5">
        <f>INDEX('V_Altın'!C$2:C$48,MATCH(LARGE('V_Altın'!$AC$2:$AC$48,ROW()-3),'V_Altın'!$AC$2:$AC$48,0))</f>
        <v/>
      </c>
      <c r="E8" s="8">
        <f>INDEX('V_Altın'!D$2:D$48,MATCH(LARGE('V_Altın'!$AC$2:$AC$48,ROW()-3),'V_Altın'!$AC$2:$AC$48,0))</f>
        <v/>
      </c>
      <c r="F8" s="9">
        <f>INDEX('V_Altın'!E$2:E$48,MATCH(LARGE('V_Altın'!$AC$2:$AC$48,ROW()-3),'V_Altın'!$AC$2:$AC$48,0))</f>
        <v/>
      </c>
      <c r="G8" s="9">
        <f>INDEX('V_Altın'!F$2:F$48,MATCH(LARGE('V_Altın'!$AC$2:$AC$48,ROW()-3),'V_Altın'!$AC$2:$AC$48,0))</f>
        <v/>
      </c>
      <c r="H8" s="9">
        <f>INDEX('V_Altın'!G$2:G$48,MATCH(LARGE('V_Altın'!$AC$2:$AC$48,ROW()-3),'V_Altın'!$AC$2:$AC$48,0))</f>
        <v/>
      </c>
      <c r="I8" s="9">
        <f>INDEX('V_Altın'!H$2:H$48,MATCH(LARGE('V_Altın'!$AC$2:$AC$48,ROW()-3),'V_Altın'!$AC$2:$AC$48,0))</f>
        <v/>
      </c>
      <c r="J8" s="9">
        <f>INDEX('V_Altın'!I$2:I$48,MATCH(LARGE('V_Altın'!$AC$2:$AC$48,ROW()-3),'V_Altın'!$AC$2:$AC$48,0))</f>
        <v/>
      </c>
      <c r="K8" s="10">
        <f>INDEX('V_Altın'!J$2:J$48,MATCH(LARGE('V_Altın'!$AC$2:$AC$48,ROW()-3),'V_Altın'!$AC$2:$AC$48,0))</f>
        <v/>
      </c>
      <c r="L8" s="10">
        <f>INDEX('V_Altın'!K$2:K$48,MATCH(LARGE('V_Altın'!$AC$2:$AC$48,ROW()-3),'V_Altın'!$AC$2:$AC$48,0))</f>
        <v/>
      </c>
      <c r="M8" s="8">
        <f>INDEX('V_Altın'!L$2:L$48,MATCH(LARGE('V_Altın'!$AC$2:$AC$48,ROW()-3),'V_Altın'!$AC$2:$AC$48,0))</f>
        <v/>
      </c>
      <c r="N8" s="11">
        <f>INDEX('V_Altın'!M$2:M$48,MATCH(LARGE('V_Altın'!$AC$2:$AC$48,ROW()-3),'V_Altın'!$AC$2:$AC$48,0))</f>
        <v/>
      </c>
      <c r="O8" s="11">
        <f>INDEX('V_Altın'!N$2:N$48,MATCH(LARGE('V_Altın'!$AC$2:$AC$48,ROW()-3),'V_Altın'!$AC$2:$AC$48,0))</f>
        <v/>
      </c>
      <c r="P8" s="8">
        <f>INDEX('V_Altın'!O$2:O$48,MATCH(LARGE('V_Altın'!$AC$2:$AC$48,ROW()-3),'V_Altın'!$AC$2:$AC$48,0))</f>
        <v/>
      </c>
      <c r="Q8" s="9">
        <f>INDEX('V_Altın'!P$2:P$48,MATCH(LARGE('V_Altın'!$AC$2:$AC$48,ROW()-3),'V_Altın'!$AC$2:$AC$48,0))</f>
        <v/>
      </c>
      <c r="R8" s="5">
        <f>INDEX('V_Altın'!Q$2:Q$48,MATCH(LARGE('V_Altın'!$AC$2:$AC$48,ROW()-3),'V_Altın'!$AC$2:$AC$48,0))</f>
        <v/>
      </c>
      <c r="S8" s="8">
        <f>INDEX('V_Altın'!R$2:R$48,MATCH(LARGE('V_Altın'!$AC$2:$AC$48,ROW()-3),'V_Altın'!$AC$2:$AC$48,0))</f>
        <v/>
      </c>
      <c r="T8" s="8">
        <f>INDEX('V_Altın'!S$2:S$48,MATCH(LARGE('V_Altın'!$AC$2:$AC$48,ROW()-3),'V_Altın'!$AC$2:$AC$48,0))</f>
        <v/>
      </c>
      <c r="U8" s="8">
        <f>INDEX('V_Altın'!T$2:T$48,MATCH(LARGE('V_Altın'!$AC$2:$AC$48,ROW()-3),'V_Altın'!$AC$2:$AC$48,0))</f>
        <v/>
      </c>
      <c r="V8" s="8">
        <f>INDEX('V_Altın'!U$2:U$48,MATCH(LARGE('V_Altın'!$AC$2:$AC$48,ROW()-3),'V_Altın'!$AC$2:$AC$48,0))</f>
        <v/>
      </c>
      <c r="W8" s="8">
        <f>INDEX('V_Altın'!V$2:V$48,MATCH(LARGE('V_Altın'!$AC$2:$AC$48,ROW()-3),'V_Altın'!$AC$2:$AC$48,0))</f>
        <v/>
      </c>
      <c r="X8" s="8">
        <f>INDEX('V_Altın'!W$2:W$48,MATCH(LARGE('V_Altın'!$AC$2:$AC$48,ROW()-3),'V_Altın'!$AC$2:$AC$48,0))</f>
        <v/>
      </c>
      <c r="Y8" s="8">
        <f>INDEX('V_Altın'!X$2:X$48,MATCH(LARGE('V_Altın'!$AC$2:$AC$48,ROW()-3),'V_Altın'!$AC$2:$AC$48,0))</f>
        <v/>
      </c>
      <c r="Z8" s="8">
        <f>INDEX('V_Altın'!Y$2:Y$48,MATCH(LARGE('V_Altın'!$AC$2:$AC$48,ROW()-3),'V_Altın'!$AC$2:$AC$48,0))</f>
        <v/>
      </c>
      <c r="AA8" s="8">
        <f>INDEX('V_Altın'!Z$2:Z$48,MATCH(LARGE('V_Altın'!$AC$2:$AC$48,ROW()-3),'V_Altın'!$AC$2:$AC$48,0))</f>
        <v/>
      </c>
      <c r="AB8" s="8">
        <f>INDEX('V_Altın'!AA$2:AA$48,MATCH(LARGE('V_Altın'!$AC$2:$AC$48,ROW()-3),'V_Altın'!$AC$2:$AC$48,0))</f>
        <v/>
      </c>
    </row>
    <row r="9">
      <c r="A9" t="n">
        <v>6</v>
      </c>
      <c r="B9" s="5">
        <f>INDEX('V_Altın'!A$2:A$48,MATCH(LARGE('V_Altın'!$AC$2:$AC$48,ROW()-3),'V_Altın'!$AC$2:$AC$48,0))</f>
        <v/>
      </c>
      <c r="C9" s="5">
        <f>INDEX('V_Altın'!B$2:B$48,MATCH(LARGE('V_Altın'!$AC$2:$AC$48,ROW()-3),'V_Altın'!$AC$2:$AC$48,0))</f>
        <v/>
      </c>
      <c r="D9" s="5">
        <f>INDEX('V_Altın'!C$2:C$48,MATCH(LARGE('V_Altın'!$AC$2:$AC$48,ROW()-3),'V_Altın'!$AC$2:$AC$48,0))</f>
        <v/>
      </c>
      <c r="E9" s="8">
        <f>INDEX('V_Altın'!D$2:D$48,MATCH(LARGE('V_Altın'!$AC$2:$AC$48,ROW()-3),'V_Altın'!$AC$2:$AC$48,0))</f>
        <v/>
      </c>
      <c r="F9" s="9">
        <f>INDEX('V_Altın'!E$2:E$48,MATCH(LARGE('V_Altın'!$AC$2:$AC$48,ROW()-3),'V_Altın'!$AC$2:$AC$48,0))</f>
        <v/>
      </c>
      <c r="G9" s="9">
        <f>INDEX('V_Altın'!F$2:F$48,MATCH(LARGE('V_Altın'!$AC$2:$AC$48,ROW()-3),'V_Altın'!$AC$2:$AC$48,0))</f>
        <v/>
      </c>
      <c r="H9" s="9">
        <f>INDEX('V_Altın'!G$2:G$48,MATCH(LARGE('V_Altın'!$AC$2:$AC$48,ROW()-3),'V_Altın'!$AC$2:$AC$48,0))</f>
        <v/>
      </c>
      <c r="I9" s="9">
        <f>INDEX('V_Altın'!H$2:H$48,MATCH(LARGE('V_Altın'!$AC$2:$AC$48,ROW()-3),'V_Altın'!$AC$2:$AC$48,0))</f>
        <v/>
      </c>
      <c r="J9" s="9">
        <f>INDEX('V_Altın'!I$2:I$48,MATCH(LARGE('V_Altın'!$AC$2:$AC$48,ROW()-3),'V_Altın'!$AC$2:$AC$48,0))</f>
        <v/>
      </c>
      <c r="K9" s="10">
        <f>INDEX('V_Altın'!J$2:J$48,MATCH(LARGE('V_Altın'!$AC$2:$AC$48,ROW()-3),'V_Altın'!$AC$2:$AC$48,0))</f>
        <v/>
      </c>
      <c r="L9" s="10">
        <f>INDEX('V_Altın'!K$2:K$48,MATCH(LARGE('V_Altın'!$AC$2:$AC$48,ROW()-3),'V_Altın'!$AC$2:$AC$48,0))</f>
        <v/>
      </c>
      <c r="M9" s="8">
        <f>INDEX('V_Altın'!L$2:L$48,MATCH(LARGE('V_Altın'!$AC$2:$AC$48,ROW()-3),'V_Altın'!$AC$2:$AC$48,0))</f>
        <v/>
      </c>
      <c r="N9" s="11">
        <f>INDEX('V_Altın'!M$2:M$48,MATCH(LARGE('V_Altın'!$AC$2:$AC$48,ROW()-3),'V_Altın'!$AC$2:$AC$48,0))</f>
        <v/>
      </c>
      <c r="O9" s="11">
        <f>INDEX('V_Altın'!N$2:N$48,MATCH(LARGE('V_Altın'!$AC$2:$AC$48,ROW()-3),'V_Altın'!$AC$2:$AC$48,0))</f>
        <v/>
      </c>
      <c r="P9" s="8">
        <f>INDEX('V_Altın'!O$2:O$48,MATCH(LARGE('V_Altın'!$AC$2:$AC$48,ROW()-3),'V_Altın'!$AC$2:$AC$48,0))</f>
        <v/>
      </c>
      <c r="Q9" s="9">
        <f>INDEX('V_Altın'!P$2:P$48,MATCH(LARGE('V_Altın'!$AC$2:$AC$48,ROW()-3),'V_Altın'!$AC$2:$AC$48,0))</f>
        <v/>
      </c>
      <c r="R9" s="5">
        <f>INDEX('V_Altın'!Q$2:Q$48,MATCH(LARGE('V_Altın'!$AC$2:$AC$48,ROW()-3),'V_Altın'!$AC$2:$AC$48,0))</f>
        <v/>
      </c>
      <c r="S9" s="8">
        <f>INDEX('V_Altın'!R$2:R$48,MATCH(LARGE('V_Altın'!$AC$2:$AC$48,ROW()-3),'V_Altın'!$AC$2:$AC$48,0))</f>
        <v/>
      </c>
      <c r="T9" s="8">
        <f>INDEX('V_Altın'!S$2:S$48,MATCH(LARGE('V_Altın'!$AC$2:$AC$48,ROW()-3),'V_Altın'!$AC$2:$AC$48,0))</f>
        <v/>
      </c>
      <c r="U9" s="8">
        <f>INDEX('V_Altın'!T$2:T$48,MATCH(LARGE('V_Altın'!$AC$2:$AC$48,ROW()-3),'V_Altın'!$AC$2:$AC$48,0))</f>
        <v/>
      </c>
      <c r="V9" s="8">
        <f>INDEX('V_Altın'!U$2:U$48,MATCH(LARGE('V_Altın'!$AC$2:$AC$48,ROW()-3),'V_Altın'!$AC$2:$AC$48,0))</f>
        <v/>
      </c>
      <c r="W9" s="8">
        <f>INDEX('V_Altın'!V$2:V$48,MATCH(LARGE('V_Altın'!$AC$2:$AC$48,ROW()-3),'V_Altın'!$AC$2:$AC$48,0))</f>
        <v/>
      </c>
      <c r="X9" s="8">
        <f>INDEX('V_Altın'!W$2:W$48,MATCH(LARGE('V_Altın'!$AC$2:$AC$48,ROW()-3),'V_Altın'!$AC$2:$AC$48,0))</f>
        <v/>
      </c>
      <c r="Y9" s="8">
        <f>INDEX('V_Altın'!X$2:X$48,MATCH(LARGE('V_Altın'!$AC$2:$AC$48,ROW()-3),'V_Altın'!$AC$2:$AC$48,0))</f>
        <v/>
      </c>
      <c r="Z9" s="8">
        <f>INDEX('V_Altın'!Y$2:Y$48,MATCH(LARGE('V_Altın'!$AC$2:$AC$48,ROW()-3),'V_Altın'!$AC$2:$AC$48,0))</f>
        <v/>
      </c>
      <c r="AA9" s="8">
        <f>INDEX('V_Altın'!Z$2:Z$48,MATCH(LARGE('V_Altın'!$AC$2:$AC$48,ROW()-3),'V_Altın'!$AC$2:$AC$48,0))</f>
        <v/>
      </c>
      <c r="AB9" s="8">
        <f>INDEX('V_Altın'!AA$2:AA$48,MATCH(LARGE('V_Altın'!$AC$2:$AC$48,ROW()-3),'V_Altın'!$AC$2:$AC$48,0))</f>
        <v/>
      </c>
    </row>
    <row r="10">
      <c r="A10" t="n">
        <v>7</v>
      </c>
      <c r="B10" s="5">
        <f>INDEX('V_Altın'!A$2:A$48,MATCH(LARGE('V_Altın'!$AC$2:$AC$48,ROW()-3),'V_Altın'!$AC$2:$AC$48,0))</f>
        <v/>
      </c>
      <c r="C10" s="5">
        <f>INDEX('V_Altın'!B$2:B$48,MATCH(LARGE('V_Altın'!$AC$2:$AC$48,ROW()-3),'V_Altın'!$AC$2:$AC$48,0))</f>
        <v/>
      </c>
      <c r="D10" s="5">
        <f>INDEX('V_Altın'!C$2:C$48,MATCH(LARGE('V_Altın'!$AC$2:$AC$48,ROW()-3),'V_Altın'!$AC$2:$AC$48,0))</f>
        <v/>
      </c>
      <c r="E10" s="8">
        <f>INDEX('V_Altın'!D$2:D$48,MATCH(LARGE('V_Altın'!$AC$2:$AC$48,ROW()-3),'V_Altın'!$AC$2:$AC$48,0))</f>
        <v/>
      </c>
      <c r="F10" s="9">
        <f>INDEX('V_Altın'!E$2:E$48,MATCH(LARGE('V_Altın'!$AC$2:$AC$48,ROW()-3),'V_Altın'!$AC$2:$AC$48,0))</f>
        <v/>
      </c>
      <c r="G10" s="9">
        <f>INDEX('V_Altın'!F$2:F$48,MATCH(LARGE('V_Altın'!$AC$2:$AC$48,ROW()-3),'V_Altın'!$AC$2:$AC$48,0))</f>
        <v/>
      </c>
      <c r="H10" s="9">
        <f>INDEX('V_Altın'!G$2:G$48,MATCH(LARGE('V_Altın'!$AC$2:$AC$48,ROW()-3),'V_Altın'!$AC$2:$AC$48,0))</f>
        <v/>
      </c>
      <c r="I10" s="9">
        <f>INDEX('V_Altın'!H$2:H$48,MATCH(LARGE('V_Altın'!$AC$2:$AC$48,ROW()-3),'V_Altın'!$AC$2:$AC$48,0))</f>
        <v/>
      </c>
      <c r="J10" s="9">
        <f>INDEX('V_Altın'!I$2:I$48,MATCH(LARGE('V_Altın'!$AC$2:$AC$48,ROW()-3),'V_Altın'!$AC$2:$AC$48,0))</f>
        <v/>
      </c>
      <c r="K10" s="10">
        <f>INDEX('V_Altın'!J$2:J$48,MATCH(LARGE('V_Altın'!$AC$2:$AC$48,ROW()-3),'V_Altın'!$AC$2:$AC$48,0))</f>
        <v/>
      </c>
      <c r="L10" s="10">
        <f>INDEX('V_Altın'!K$2:K$48,MATCH(LARGE('V_Altın'!$AC$2:$AC$48,ROW()-3),'V_Altın'!$AC$2:$AC$48,0))</f>
        <v/>
      </c>
      <c r="M10" s="8">
        <f>INDEX('V_Altın'!L$2:L$48,MATCH(LARGE('V_Altın'!$AC$2:$AC$48,ROW()-3),'V_Altın'!$AC$2:$AC$48,0))</f>
        <v/>
      </c>
      <c r="N10" s="11">
        <f>INDEX('V_Altın'!M$2:M$48,MATCH(LARGE('V_Altın'!$AC$2:$AC$48,ROW()-3),'V_Altın'!$AC$2:$AC$48,0))</f>
        <v/>
      </c>
      <c r="O10" s="11">
        <f>INDEX('V_Altın'!N$2:N$48,MATCH(LARGE('V_Altın'!$AC$2:$AC$48,ROW()-3),'V_Altın'!$AC$2:$AC$48,0))</f>
        <v/>
      </c>
      <c r="P10" s="8">
        <f>INDEX('V_Altın'!O$2:O$48,MATCH(LARGE('V_Altın'!$AC$2:$AC$48,ROW()-3),'V_Altın'!$AC$2:$AC$48,0))</f>
        <v/>
      </c>
      <c r="Q10" s="9">
        <f>INDEX('V_Altın'!P$2:P$48,MATCH(LARGE('V_Altın'!$AC$2:$AC$48,ROW()-3),'V_Altın'!$AC$2:$AC$48,0))</f>
        <v/>
      </c>
      <c r="R10" s="5">
        <f>INDEX('V_Altın'!Q$2:Q$48,MATCH(LARGE('V_Altın'!$AC$2:$AC$48,ROW()-3),'V_Altın'!$AC$2:$AC$48,0))</f>
        <v/>
      </c>
      <c r="S10" s="8">
        <f>INDEX('V_Altın'!R$2:R$48,MATCH(LARGE('V_Altın'!$AC$2:$AC$48,ROW()-3),'V_Altın'!$AC$2:$AC$48,0))</f>
        <v/>
      </c>
      <c r="T10" s="8">
        <f>INDEX('V_Altın'!S$2:S$48,MATCH(LARGE('V_Altın'!$AC$2:$AC$48,ROW()-3),'V_Altın'!$AC$2:$AC$48,0))</f>
        <v/>
      </c>
      <c r="U10" s="8">
        <f>INDEX('V_Altın'!T$2:T$48,MATCH(LARGE('V_Altın'!$AC$2:$AC$48,ROW()-3),'V_Altın'!$AC$2:$AC$48,0))</f>
        <v/>
      </c>
      <c r="V10" s="8">
        <f>INDEX('V_Altın'!U$2:U$48,MATCH(LARGE('V_Altın'!$AC$2:$AC$48,ROW()-3),'V_Altın'!$AC$2:$AC$48,0))</f>
        <v/>
      </c>
      <c r="W10" s="8">
        <f>INDEX('V_Altın'!V$2:V$48,MATCH(LARGE('V_Altın'!$AC$2:$AC$48,ROW()-3),'V_Altın'!$AC$2:$AC$48,0))</f>
        <v/>
      </c>
      <c r="X10" s="8">
        <f>INDEX('V_Altın'!W$2:W$48,MATCH(LARGE('V_Altın'!$AC$2:$AC$48,ROW()-3),'V_Altın'!$AC$2:$AC$48,0))</f>
        <v/>
      </c>
      <c r="Y10" s="8">
        <f>INDEX('V_Altın'!X$2:X$48,MATCH(LARGE('V_Altın'!$AC$2:$AC$48,ROW()-3),'V_Altın'!$AC$2:$AC$48,0))</f>
        <v/>
      </c>
      <c r="Z10" s="8">
        <f>INDEX('V_Altın'!Y$2:Y$48,MATCH(LARGE('V_Altın'!$AC$2:$AC$48,ROW()-3),'V_Altın'!$AC$2:$AC$48,0))</f>
        <v/>
      </c>
      <c r="AA10" s="8">
        <f>INDEX('V_Altın'!Z$2:Z$48,MATCH(LARGE('V_Altın'!$AC$2:$AC$48,ROW()-3),'V_Altın'!$AC$2:$AC$48,0))</f>
        <v/>
      </c>
      <c r="AB10" s="8">
        <f>INDEX('V_Altın'!AA$2:AA$48,MATCH(LARGE('V_Altın'!$AC$2:$AC$48,ROW()-3),'V_Altın'!$AC$2:$AC$48,0))</f>
        <v/>
      </c>
    </row>
    <row r="11">
      <c r="A11" t="n">
        <v>8</v>
      </c>
      <c r="B11" s="5">
        <f>INDEX('V_Altın'!A$2:A$48,MATCH(LARGE('V_Altın'!$AC$2:$AC$48,ROW()-3),'V_Altın'!$AC$2:$AC$48,0))</f>
        <v/>
      </c>
      <c r="C11" s="5">
        <f>INDEX('V_Altın'!B$2:B$48,MATCH(LARGE('V_Altın'!$AC$2:$AC$48,ROW()-3),'V_Altın'!$AC$2:$AC$48,0))</f>
        <v/>
      </c>
      <c r="D11" s="5">
        <f>INDEX('V_Altın'!C$2:C$48,MATCH(LARGE('V_Altın'!$AC$2:$AC$48,ROW()-3),'V_Altın'!$AC$2:$AC$48,0))</f>
        <v/>
      </c>
      <c r="E11" s="8">
        <f>INDEX('V_Altın'!D$2:D$48,MATCH(LARGE('V_Altın'!$AC$2:$AC$48,ROW()-3),'V_Altın'!$AC$2:$AC$48,0))</f>
        <v/>
      </c>
      <c r="F11" s="9">
        <f>INDEX('V_Altın'!E$2:E$48,MATCH(LARGE('V_Altın'!$AC$2:$AC$48,ROW()-3),'V_Altın'!$AC$2:$AC$48,0))</f>
        <v/>
      </c>
      <c r="G11" s="9">
        <f>INDEX('V_Altın'!F$2:F$48,MATCH(LARGE('V_Altın'!$AC$2:$AC$48,ROW()-3),'V_Altın'!$AC$2:$AC$48,0))</f>
        <v/>
      </c>
      <c r="H11" s="9">
        <f>INDEX('V_Altın'!G$2:G$48,MATCH(LARGE('V_Altın'!$AC$2:$AC$48,ROW()-3),'V_Altın'!$AC$2:$AC$48,0))</f>
        <v/>
      </c>
      <c r="I11" s="9">
        <f>INDEX('V_Altın'!H$2:H$48,MATCH(LARGE('V_Altın'!$AC$2:$AC$48,ROW()-3),'V_Altın'!$AC$2:$AC$48,0))</f>
        <v/>
      </c>
      <c r="J11" s="9">
        <f>INDEX('V_Altın'!I$2:I$48,MATCH(LARGE('V_Altın'!$AC$2:$AC$48,ROW()-3),'V_Altın'!$AC$2:$AC$48,0))</f>
        <v/>
      </c>
      <c r="K11" s="10">
        <f>INDEX('V_Altın'!J$2:J$48,MATCH(LARGE('V_Altın'!$AC$2:$AC$48,ROW()-3),'V_Altın'!$AC$2:$AC$48,0))</f>
        <v/>
      </c>
      <c r="L11" s="10">
        <f>INDEX('V_Altın'!K$2:K$48,MATCH(LARGE('V_Altın'!$AC$2:$AC$48,ROW()-3),'V_Altın'!$AC$2:$AC$48,0))</f>
        <v/>
      </c>
      <c r="M11" s="8">
        <f>INDEX('V_Altın'!L$2:L$48,MATCH(LARGE('V_Altın'!$AC$2:$AC$48,ROW()-3),'V_Altın'!$AC$2:$AC$48,0))</f>
        <v/>
      </c>
      <c r="N11" s="11">
        <f>INDEX('V_Altın'!M$2:M$48,MATCH(LARGE('V_Altın'!$AC$2:$AC$48,ROW()-3),'V_Altın'!$AC$2:$AC$48,0))</f>
        <v/>
      </c>
      <c r="O11" s="11">
        <f>INDEX('V_Altın'!N$2:N$48,MATCH(LARGE('V_Altın'!$AC$2:$AC$48,ROW()-3),'V_Altın'!$AC$2:$AC$48,0))</f>
        <v/>
      </c>
      <c r="P11" s="8">
        <f>INDEX('V_Altın'!O$2:O$48,MATCH(LARGE('V_Altın'!$AC$2:$AC$48,ROW()-3),'V_Altın'!$AC$2:$AC$48,0))</f>
        <v/>
      </c>
      <c r="Q11" s="9">
        <f>INDEX('V_Altın'!P$2:P$48,MATCH(LARGE('V_Altın'!$AC$2:$AC$48,ROW()-3),'V_Altın'!$AC$2:$AC$48,0))</f>
        <v/>
      </c>
      <c r="R11" s="5">
        <f>INDEX('V_Altın'!Q$2:Q$48,MATCH(LARGE('V_Altın'!$AC$2:$AC$48,ROW()-3),'V_Altın'!$AC$2:$AC$48,0))</f>
        <v/>
      </c>
      <c r="S11" s="8">
        <f>INDEX('V_Altın'!R$2:R$48,MATCH(LARGE('V_Altın'!$AC$2:$AC$48,ROW()-3),'V_Altın'!$AC$2:$AC$48,0))</f>
        <v/>
      </c>
      <c r="T11" s="8">
        <f>INDEX('V_Altın'!S$2:S$48,MATCH(LARGE('V_Altın'!$AC$2:$AC$48,ROW()-3),'V_Altın'!$AC$2:$AC$48,0))</f>
        <v/>
      </c>
      <c r="U11" s="8">
        <f>INDEX('V_Altın'!T$2:T$48,MATCH(LARGE('V_Altın'!$AC$2:$AC$48,ROW()-3),'V_Altın'!$AC$2:$AC$48,0))</f>
        <v/>
      </c>
      <c r="V11" s="8">
        <f>INDEX('V_Altın'!U$2:U$48,MATCH(LARGE('V_Altın'!$AC$2:$AC$48,ROW()-3),'V_Altın'!$AC$2:$AC$48,0))</f>
        <v/>
      </c>
      <c r="W11" s="8">
        <f>INDEX('V_Altın'!V$2:V$48,MATCH(LARGE('V_Altın'!$AC$2:$AC$48,ROW()-3),'V_Altın'!$AC$2:$AC$48,0))</f>
        <v/>
      </c>
      <c r="X11" s="8">
        <f>INDEX('V_Altın'!W$2:W$48,MATCH(LARGE('V_Altın'!$AC$2:$AC$48,ROW()-3),'V_Altın'!$AC$2:$AC$48,0))</f>
        <v/>
      </c>
      <c r="Y11" s="8">
        <f>INDEX('V_Altın'!X$2:X$48,MATCH(LARGE('V_Altın'!$AC$2:$AC$48,ROW()-3),'V_Altın'!$AC$2:$AC$48,0))</f>
        <v/>
      </c>
      <c r="Z11" s="8">
        <f>INDEX('V_Altın'!Y$2:Y$48,MATCH(LARGE('V_Altın'!$AC$2:$AC$48,ROW()-3),'V_Altın'!$AC$2:$AC$48,0))</f>
        <v/>
      </c>
      <c r="AA11" s="8">
        <f>INDEX('V_Altın'!Z$2:Z$48,MATCH(LARGE('V_Altın'!$AC$2:$AC$48,ROW()-3),'V_Altın'!$AC$2:$AC$48,0))</f>
        <v/>
      </c>
      <c r="AB11" s="8">
        <f>INDEX('V_Altın'!AA$2:AA$48,MATCH(LARGE('V_Altın'!$AC$2:$AC$48,ROW()-3),'V_Altın'!$AC$2:$AC$48,0))</f>
        <v/>
      </c>
    </row>
    <row r="12">
      <c r="A12" t="n">
        <v>9</v>
      </c>
      <c r="B12" s="5">
        <f>INDEX('V_Altın'!A$2:A$48,MATCH(LARGE('V_Altın'!$AC$2:$AC$48,ROW()-3),'V_Altın'!$AC$2:$AC$48,0))</f>
        <v/>
      </c>
      <c r="C12" s="5">
        <f>INDEX('V_Altın'!B$2:B$48,MATCH(LARGE('V_Altın'!$AC$2:$AC$48,ROW()-3),'V_Altın'!$AC$2:$AC$48,0))</f>
        <v/>
      </c>
      <c r="D12" s="5">
        <f>INDEX('V_Altın'!C$2:C$48,MATCH(LARGE('V_Altın'!$AC$2:$AC$48,ROW()-3),'V_Altın'!$AC$2:$AC$48,0))</f>
        <v/>
      </c>
      <c r="E12" s="8">
        <f>INDEX('V_Altın'!D$2:D$48,MATCH(LARGE('V_Altın'!$AC$2:$AC$48,ROW()-3),'V_Altın'!$AC$2:$AC$48,0))</f>
        <v/>
      </c>
      <c r="F12" s="9">
        <f>INDEX('V_Altın'!E$2:E$48,MATCH(LARGE('V_Altın'!$AC$2:$AC$48,ROW()-3),'V_Altın'!$AC$2:$AC$48,0))</f>
        <v/>
      </c>
      <c r="G12" s="9">
        <f>INDEX('V_Altın'!F$2:F$48,MATCH(LARGE('V_Altın'!$AC$2:$AC$48,ROW()-3),'V_Altın'!$AC$2:$AC$48,0))</f>
        <v/>
      </c>
      <c r="H12" s="9">
        <f>INDEX('V_Altın'!G$2:G$48,MATCH(LARGE('V_Altın'!$AC$2:$AC$48,ROW()-3),'V_Altın'!$AC$2:$AC$48,0))</f>
        <v/>
      </c>
      <c r="I12" s="9">
        <f>INDEX('V_Altın'!H$2:H$48,MATCH(LARGE('V_Altın'!$AC$2:$AC$48,ROW()-3),'V_Altın'!$AC$2:$AC$48,0))</f>
        <v/>
      </c>
      <c r="J12" s="9">
        <f>INDEX('V_Altın'!I$2:I$48,MATCH(LARGE('V_Altın'!$AC$2:$AC$48,ROW()-3),'V_Altın'!$AC$2:$AC$48,0))</f>
        <v/>
      </c>
      <c r="K12" s="10">
        <f>INDEX('V_Altın'!J$2:J$48,MATCH(LARGE('V_Altın'!$AC$2:$AC$48,ROW()-3),'V_Altın'!$AC$2:$AC$48,0))</f>
        <v/>
      </c>
      <c r="L12" s="10">
        <f>INDEX('V_Altın'!K$2:K$48,MATCH(LARGE('V_Altın'!$AC$2:$AC$48,ROW()-3),'V_Altın'!$AC$2:$AC$48,0))</f>
        <v/>
      </c>
      <c r="M12" s="8">
        <f>INDEX('V_Altın'!L$2:L$48,MATCH(LARGE('V_Altın'!$AC$2:$AC$48,ROW()-3),'V_Altın'!$AC$2:$AC$48,0))</f>
        <v/>
      </c>
      <c r="N12" s="11">
        <f>INDEX('V_Altın'!M$2:M$48,MATCH(LARGE('V_Altın'!$AC$2:$AC$48,ROW()-3),'V_Altın'!$AC$2:$AC$48,0))</f>
        <v/>
      </c>
      <c r="O12" s="11">
        <f>INDEX('V_Altın'!N$2:N$48,MATCH(LARGE('V_Altın'!$AC$2:$AC$48,ROW()-3),'V_Altın'!$AC$2:$AC$48,0))</f>
        <v/>
      </c>
      <c r="P12" s="8">
        <f>INDEX('V_Altın'!O$2:O$48,MATCH(LARGE('V_Altın'!$AC$2:$AC$48,ROW()-3),'V_Altın'!$AC$2:$AC$48,0))</f>
        <v/>
      </c>
      <c r="Q12" s="9">
        <f>INDEX('V_Altın'!P$2:P$48,MATCH(LARGE('V_Altın'!$AC$2:$AC$48,ROW()-3),'V_Altın'!$AC$2:$AC$48,0))</f>
        <v/>
      </c>
      <c r="R12" s="5">
        <f>INDEX('V_Altın'!Q$2:Q$48,MATCH(LARGE('V_Altın'!$AC$2:$AC$48,ROW()-3),'V_Altın'!$AC$2:$AC$48,0))</f>
        <v/>
      </c>
      <c r="S12" s="8">
        <f>INDEX('V_Altın'!R$2:R$48,MATCH(LARGE('V_Altın'!$AC$2:$AC$48,ROW()-3),'V_Altın'!$AC$2:$AC$48,0))</f>
        <v/>
      </c>
      <c r="T12" s="8">
        <f>INDEX('V_Altın'!S$2:S$48,MATCH(LARGE('V_Altın'!$AC$2:$AC$48,ROW()-3),'V_Altın'!$AC$2:$AC$48,0))</f>
        <v/>
      </c>
      <c r="U12" s="8">
        <f>INDEX('V_Altın'!T$2:T$48,MATCH(LARGE('V_Altın'!$AC$2:$AC$48,ROW()-3),'V_Altın'!$AC$2:$AC$48,0))</f>
        <v/>
      </c>
      <c r="V12" s="8">
        <f>INDEX('V_Altın'!U$2:U$48,MATCH(LARGE('V_Altın'!$AC$2:$AC$48,ROW()-3),'V_Altın'!$AC$2:$AC$48,0))</f>
        <v/>
      </c>
      <c r="W12" s="8">
        <f>INDEX('V_Altın'!V$2:V$48,MATCH(LARGE('V_Altın'!$AC$2:$AC$48,ROW()-3),'V_Altın'!$AC$2:$AC$48,0))</f>
        <v/>
      </c>
      <c r="X12" s="8">
        <f>INDEX('V_Altın'!W$2:W$48,MATCH(LARGE('V_Altın'!$AC$2:$AC$48,ROW()-3),'V_Altın'!$AC$2:$AC$48,0))</f>
        <v/>
      </c>
      <c r="Y12" s="8">
        <f>INDEX('V_Altın'!X$2:X$48,MATCH(LARGE('V_Altın'!$AC$2:$AC$48,ROW()-3),'V_Altın'!$AC$2:$AC$48,0))</f>
        <v/>
      </c>
      <c r="Z12" s="8">
        <f>INDEX('V_Altın'!Y$2:Y$48,MATCH(LARGE('V_Altın'!$AC$2:$AC$48,ROW()-3),'V_Altın'!$AC$2:$AC$48,0))</f>
        <v/>
      </c>
      <c r="AA12" s="8">
        <f>INDEX('V_Altın'!Z$2:Z$48,MATCH(LARGE('V_Altın'!$AC$2:$AC$48,ROW()-3),'V_Altın'!$AC$2:$AC$48,0))</f>
        <v/>
      </c>
      <c r="AB12" s="8">
        <f>INDEX('V_Altın'!AA$2:AA$48,MATCH(LARGE('V_Altın'!$AC$2:$AC$48,ROW()-3),'V_Altın'!$AC$2:$AC$48,0))</f>
        <v/>
      </c>
    </row>
    <row r="13">
      <c r="A13" t="n">
        <v>10</v>
      </c>
      <c r="B13" s="5">
        <f>INDEX('V_Altın'!A$2:A$48,MATCH(LARGE('V_Altın'!$AC$2:$AC$48,ROW()-3),'V_Altın'!$AC$2:$AC$48,0))</f>
        <v/>
      </c>
      <c r="C13" s="5">
        <f>INDEX('V_Altın'!B$2:B$48,MATCH(LARGE('V_Altın'!$AC$2:$AC$48,ROW()-3),'V_Altın'!$AC$2:$AC$48,0))</f>
        <v/>
      </c>
      <c r="D13" s="5">
        <f>INDEX('V_Altın'!C$2:C$48,MATCH(LARGE('V_Altın'!$AC$2:$AC$48,ROW()-3),'V_Altın'!$AC$2:$AC$48,0))</f>
        <v/>
      </c>
      <c r="E13" s="8">
        <f>INDEX('V_Altın'!D$2:D$48,MATCH(LARGE('V_Altın'!$AC$2:$AC$48,ROW()-3),'V_Altın'!$AC$2:$AC$48,0))</f>
        <v/>
      </c>
      <c r="F13" s="9">
        <f>INDEX('V_Altın'!E$2:E$48,MATCH(LARGE('V_Altın'!$AC$2:$AC$48,ROW()-3),'V_Altın'!$AC$2:$AC$48,0))</f>
        <v/>
      </c>
      <c r="G13" s="9">
        <f>INDEX('V_Altın'!F$2:F$48,MATCH(LARGE('V_Altın'!$AC$2:$AC$48,ROW()-3),'V_Altın'!$AC$2:$AC$48,0))</f>
        <v/>
      </c>
      <c r="H13" s="9">
        <f>INDEX('V_Altın'!G$2:G$48,MATCH(LARGE('V_Altın'!$AC$2:$AC$48,ROW()-3),'V_Altın'!$AC$2:$AC$48,0))</f>
        <v/>
      </c>
      <c r="I13" s="9">
        <f>INDEX('V_Altın'!H$2:H$48,MATCH(LARGE('V_Altın'!$AC$2:$AC$48,ROW()-3),'V_Altın'!$AC$2:$AC$48,0))</f>
        <v/>
      </c>
      <c r="J13" s="9">
        <f>INDEX('V_Altın'!I$2:I$48,MATCH(LARGE('V_Altın'!$AC$2:$AC$48,ROW()-3),'V_Altın'!$AC$2:$AC$48,0))</f>
        <v/>
      </c>
      <c r="K13" s="10">
        <f>INDEX('V_Altın'!J$2:J$48,MATCH(LARGE('V_Altın'!$AC$2:$AC$48,ROW()-3),'V_Altın'!$AC$2:$AC$48,0))</f>
        <v/>
      </c>
      <c r="L13" s="10">
        <f>INDEX('V_Altın'!K$2:K$48,MATCH(LARGE('V_Altın'!$AC$2:$AC$48,ROW()-3),'V_Altın'!$AC$2:$AC$48,0))</f>
        <v/>
      </c>
      <c r="M13" s="8">
        <f>INDEX('V_Altın'!L$2:L$48,MATCH(LARGE('V_Altın'!$AC$2:$AC$48,ROW()-3),'V_Altın'!$AC$2:$AC$48,0))</f>
        <v/>
      </c>
      <c r="N13" s="11">
        <f>INDEX('V_Altın'!M$2:M$48,MATCH(LARGE('V_Altın'!$AC$2:$AC$48,ROW()-3),'V_Altın'!$AC$2:$AC$48,0))</f>
        <v/>
      </c>
      <c r="O13" s="11">
        <f>INDEX('V_Altın'!N$2:N$48,MATCH(LARGE('V_Altın'!$AC$2:$AC$48,ROW()-3),'V_Altın'!$AC$2:$AC$48,0))</f>
        <v/>
      </c>
      <c r="P13" s="8">
        <f>INDEX('V_Altın'!O$2:O$48,MATCH(LARGE('V_Altın'!$AC$2:$AC$48,ROW()-3),'V_Altın'!$AC$2:$AC$48,0))</f>
        <v/>
      </c>
      <c r="Q13" s="9">
        <f>INDEX('V_Altın'!P$2:P$48,MATCH(LARGE('V_Altın'!$AC$2:$AC$48,ROW()-3),'V_Altın'!$AC$2:$AC$48,0))</f>
        <v/>
      </c>
      <c r="R13" s="5">
        <f>INDEX('V_Altın'!Q$2:Q$48,MATCH(LARGE('V_Altın'!$AC$2:$AC$48,ROW()-3),'V_Altın'!$AC$2:$AC$48,0))</f>
        <v/>
      </c>
      <c r="S13" s="8">
        <f>INDEX('V_Altın'!R$2:R$48,MATCH(LARGE('V_Altın'!$AC$2:$AC$48,ROW()-3),'V_Altın'!$AC$2:$AC$48,0))</f>
        <v/>
      </c>
      <c r="T13" s="8">
        <f>INDEX('V_Altın'!S$2:S$48,MATCH(LARGE('V_Altın'!$AC$2:$AC$48,ROW()-3),'V_Altın'!$AC$2:$AC$48,0))</f>
        <v/>
      </c>
      <c r="U13" s="8">
        <f>INDEX('V_Altın'!T$2:T$48,MATCH(LARGE('V_Altın'!$AC$2:$AC$48,ROW()-3),'V_Altın'!$AC$2:$AC$48,0))</f>
        <v/>
      </c>
      <c r="V13" s="8">
        <f>INDEX('V_Altın'!U$2:U$48,MATCH(LARGE('V_Altın'!$AC$2:$AC$48,ROW()-3),'V_Altın'!$AC$2:$AC$48,0))</f>
        <v/>
      </c>
      <c r="W13" s="8">
        <f>INDEX('V_Altın'!V$2:V$48,MATCH(LARGE('V_Altın'!$AC$2:$AC$48,ROW()-3),'V_Altın'!$AC$2:$AC$48,0))</f>
        <v/>
      </c>
      <c r="X13" s="8">
        <f>INDEX('V_Altın'!W$2:W$48,MATCH(LARGE('V_Altın'!$AC$2:$AC$48,ROW()-3),'V_Altın'!$AC$2:$AC$48,0))</f>
        <v/>
      </c>
      <c r="Y13" s="8">
        <f>INDEX('V_Altın'!X$2:X$48,MATCH(LARGE('V_Altın'!$AC$2:$AC$48,ROW()-3),'V_Altın'!$AC$2:$AC$48,0))</f>
        <v/>
      </c>
      <c r="Z13" s="8">
        <f>INDEX('V_Altın'!Y$2:Y$48,MATCH(LARGE('V_Altın'!$AC$2:$AC$48,ROW()-3),'V_Altın'!$AC$2:$AC$48,0))</f>
        <v/>
      </c>
      <c r="AA13" s="8">
        <f>INDEX('V_Altın'!Z$2:Z$48,MATCH(LARGE('V_Altın'!$AC$2:$AC$48,ROW()-3),'V_Altın'!$AC$2:$AC$48,0))</f>
        <v/>
      </c>
      <c r="AB13" s="8">
        <f>INDEX('V_Altın'!AA$2:AA$48,MATCH(LARGE('V_Altın'!$AC$2:$AC$48,ROW()-3),'V_Altın'!$AC$2:$AC$48,0))</f>
        <v/>
      </c>
    </row>
    <row r="14">
      <c r="A14" t="n">
        <v>11</v>
      </c>
      <c r="B14" s="5">
        <f>INDEX('V_Altın'!A$2:A$48,MATCH(LARGE('V_Altın'!$AC$2:$AC$48,ROW()-3),'V_Altın'!$AC$2:$AC$48,0))</f>
        <v/>
      </c>
      <c r="C14" s="5">
        <f>INDEX('V_Altın'!B$2:B$48,MATCH(LARGE('V_Altın'!$AC$2:$AC$48,ROW()-3),'V_Altın'!$AC$2:$AC$48,0))</f>
        <v/>
      </c>
      <c r="D14" s="5">
        <f>INDEX('V_Altın'!C$2:C$48,MATCH(LARGE('V_Altın'!$AC$2:$AC$48,ROW()-3),'V_Altın'!$AC$2:$AC$48,0))</f>
        <v/>
      </c>
      <c r="E14" s="8">
        <f>INDEX('V_Altın'!D$2:D$48,MATCH(LARGE('V_Altın'!$AC$2:$AC$48,ROW()-3),'V_Altın'!$AC$2:$AC$48,0))</f>
        <v/>
      </c>
      <c r="F14" s="9">
        <f>INDEX('V_Altın'!E$2:E$48,MATCH(LARGE('V_Altın'!$AC$2:$AC$48,ROW()-3),'V_Altın'!$AC$2:$AC$48,0))</f>
        <v/>
      </c>
      <c r="G14" s="9">
        <f>INDEX('V_Altın'!F$2:F$48,MATCH(LARGE('V_Altın'!$AC$2:$AC$48,ROW()-3),'V_Altın'!$AC$2:$AC$48,0))</f>
        <v/>
      </c>
      <c r="H14" s="9">
        <f>INDEX('V_Altın'!G$2:G$48,MATCH(LARGE('V_Altın'!$AC$2:$AC$48,ROW()-3),'V_Altın'!$AC$2:$AC$48,0))</f>
        <v/>
      </c>
      <c r="I14" s="9">
        <f>INDEX('V_Altın'!H$2:H$48,MATCH(LARGE('V_Altın'!$AC$2:$AC$48,ROW()-3),'V_Altın'!$AC$2:$AC$48,0))</f>
        <v/>
      </c>
      <c r="J14" s="9">
        <f>INDEX('V_Altın'!I$2:I$48,MATCH(LARGE('V_Altın'!$AC$2:$AC$48,ROW()-3),'V_Altın'!$AC$2:$AC$48,0))</f>
        <v/>
      </c>
      <c r="K14" s="10">
        <f>INDEX('V_Altın'!J$2:J$48,MATCH(LARGE('V_Altın'!$AC$2:$AC$48,ROW()-3),'V_Altın'!$AC$2:$AC$48,0))</f>
        <v/>
      </c>
      <c r="L14" s="10">
        <f>INDEX('V_Altın'!K$2:K$48,MATCH(LARGE('V_Altın'!$AC$2:$AC$48,ROW()-3),'V_Altın'!$AC$2:$AC$48,0))</f>
        <v/>
      </c>
      <c r="M14" s="8">
        <f>INDEX('V_Altın'!L$2:L$48,MATCH(LARGE('V_Altın'!$AC$2:$AC$48,ROW()-3),'V_Altın'!$AC$2:$AC$48,0))</f>
        <v/>
      </c>
      <c r="N14" s="11">
        <f>INDEX('V_Altın'!M$2:M$48,MATCH(LARGE('V_Altın'!$AC$2:$AC$48,ROW()-3),'V_Altın'!$AC$2:$AC$48,0))</f>
        <v/>
      </c>
      <c r="O14" s="11">
        <f>INDEX('V_Altın'!N$2:N$48,MATCH(LARGE('V_Altın'!$AC$2:$AC$48,ROW()-3),'V_Altın'!$AC$2:$AC$48,0))</f>
        <v/>
      </c>
      <c r="P14" s="8">
        <f>INDEX('V_Altın'!O$2:O$48,MATCH(LARGE('V_Altın'!$AC$2:$AC$48,ROW()-3),'V_Altın'!$AC$2:$AC$48,0))</f>
        <v/>
      </c>
      <c r="Q14" s="9">
        <f>INDEX('V_Altın'!P$2:P$48,MATCH(LARGE('V_Altın'!$AC$2:$AC$48,ROW()-3),'V_Altın'!$AC$2:$AC$48,0))</f>
        <v/>
      </c>
      <c r="R14" s="5">
        <f>INDEX('V_Altın'!Q$2:Q$48,MATCH(LARGE('V_Altın'!$AC$2:$AC$48,ROW()-3),'V_Altın'!$AC$2:$AC$48,0))</f>
        <v/>
      </c>
      <c r="S14" s="8">
        <f>INDEX('V_Altın'!R$2:R$48,MATCH(LARGE('V_Altın'!$AC$2:$AC$48,ROW()-3),'V_Altın'!$AC$2:$AC$48,0))</f>
        <v/>
      </c>
      <c r="T14" s="8">
        <f>INDEX('V_Altın'!S$2:S$48,MATCH(LARGE('V_Altın'!$AC$2:$AC$48,ROW()-3),'V_Altın'!$AC$2:$AC$48,0))</f>
        <v/>
      </c>
      <c r="U14" s="8">
        <f>INDEX('V_Altın'!T$2:T$48,MATCH(LARGE('V_Altın'!$AC$2:$AC$48,ROW()-3),'V_Altın'!$AC$2:$AC$48,0))</f>
        <v/>
      </c>
      <c r="V14" s="8">
        <f>INDEX('V_Altın'!U$2:U$48,MATCH(LARGE('V_Altın'!$AC$2:$AC$48,ROW()-3),'V_Altın'!$AC$2:$AC$48,0))</f>
        <v/>
      </c>
      <c r="W14" s="8">
        <f>INDEX('V_Altın'!V$2:V$48,MATCH(LARGE('V_Altın'!$AC$2:$AC$48,ROW()-3),'V_Altın'!$AC$2:$AC$48,0))</f>
        <v/>
      </c>
      <c r="X14" s="8">
        <f>INDEX('V_Altın'!W$2:W$48,MATCH(LARGE('V_Altın'!$AC$2:$AC$48,ROW()-3),'V_Altın'!$AC$2:$AC$48,0))</f>
        <v/>
      </c>
      <c r="Y14" s="8">
        <f>INDEX('V_Altın'!X$2:X$48,MATCH(LARGE('V_Altın'!$AC$2:$AC$48,ROW()-3),'V_Altın'!$AC$2:$AC$48,0))</f>
        <v/>
      </c>
      <c r="Z14" s="8">
        <f>INDEX('V_Altın'!Y$2:Y$48,MATCH(LARGE('V_Altın'!$AC$2:$AC$48,ROW()-3),'V_Altın'!$AC$2:$AC$48,0))</f>
        <v/>
      </c>
      <c r="AA14" s="8">
        <f>INDEX('V_Altın'!Z$2:Z$48,MATCH(LARGE('V_Altın'!$AC$2:$AC$48,ROW()-3),'V_Altın'!$AC$2:$AC$48,0))</f>
        <v/>
      </c>
      <c r="AB14" s="8">
        <f>INDEX('V_Altın'!AA$2:AA$48,MATCH(LARGE('V_Altın'!$AC$2:$AC$48,ROW()-3),'V_Altın'!$AC$2:$AC$48,0))</f>
        <v/>
      </c>
    </row>
    <row r="15">
      <c r="A15" t="n">
        <v>12</v>
      </c>
      <c r="B15" s="5">
        <f>INDEX('V_Altın'!A$2:A$48,MATCH(LARGE('V_Altın'!$AC$2:$AC$48,ROW()-3),'V_Altın'!$AC$2:$AC$48,0))</f>
        <v/>
      </c>
      <c r="C15" s="5">
        <f>INDEX('V_Altın'!B$2:B$48,MATCH(LARGE('V_Altın'!$AC$2:$AC$48,ROW()-3),'V_Altın'!$AC$2:$AC$48,0))</f>
        <v/>
      </c>
      <c r="D15" s="5">
        <f>INDEX('V_Altın'!C$2:C$48,MATCH(LARGE('V_Altın'!$AC$2:$AC$48,ROW()-3),'V_Altın'!$AC$2:$AC$48,0))</f>
        <v/>
      </c>
      <c r="E15" s="8">
        <f>INDEX('V_Altın'!D$2:D$48,MATCH(LARGE('V_Altın'!$AC$2:$AC$48,ROW()-3),'V_Altın'!$AC$2:$AC$48,0))</f>
        <v/>
      </c>
      <c r="F15" s="9">
        <f>INDEX('V_Altın'!E$2:E$48,MATCH(LARGE('V_Altın'!$AC$2:$AC$48,ROW()-3),'V_Altın'!$AC$2:$AC$48,0))</f>
        <v/>
      </c>
      <c r="G15" s="9">
        <f>INDEX('V_Altın'!F$2:F$48,MATCH(LARGE('V_Altın'!$AC$2:$AC$48,ROW()-3),'V_Altın'!$AC$2:$AC$48,0))</f>
        <v/>
      </c>
      <c r="H15" s="9">
        <f>INDEX('V_Altın'!G$2:G$48,MATCH(LARGE('V_Altın'!$AC$2:$AC$48,ROW()-3),'V_Altın'!$AC$2:$AC$48,0))</f>
        <v/>
      </c>
      <c r="I15" s="9">
        <f>INDEX('V_Altın'!H$2:H$48,MATCH(LARGE('V_Altın'!$AC$2:$AC$48,ROW()-3),'V_Altın'!$AC$2:$AC$48,0))</f>
        <v/>
      </c>
      <c r="J15" s="9">
        <f>INDEX('V_Altın'!I$2:I$48,MATCH(LARGE('V_Altın'!$AC$2:$AC$48,ROW()-3),'V_Altın'!$AC$2:$AC$48,0))</f>
        <v/>
      </c>
      <c r="K15" s="10">
        <f>INDEX('V_Altın'!J$2:J$48,MATCH(LARGE('V_Altın'!$AC$2:$AC$48,ROW()-3),'V_Altın'!$AC$2:$AC$48,0))</f>
        <v/>
      </c>
      <c r="L15" s="10">
        <f>INDEX('V_Altın'!K$2:K$48,MATCH(LARGE('V_Altın'!$AC$2:$AC$48,ROW()-3),'V_Altın'!$AC$2:$AC$48,0))</f>
        <v/>
      </c>
      <c r="M15" s="8">
        <f>INDEX('V_Altın'!L$2:L$48,MATCH(LARGE('V_Altın'!$AC$2:$AC$48,ROW()-3),'V_Altın'!$AC$2:$AC$48,0))</f>
        <v/>
      </c>
      <c r="N15" s="11">
        <f>INDEX('V_Altın'!M$2:M$48,MATCH(LARGE('V_Altın'!$AC$2:$AC$48,ROW()-3),'V_Altın'!$AC$2:$AC$48,0))</f>
        <v/>
      </c>
      <c r="O15" s="11">
        <f>INDEX('V_Altın'!N$2:N$48,MATCH(LARGE('V_Altın'!$AC$2:$AC$48,ROW()-3),'V_Altın'!$AC$2:$AC$48,0))</f>
        <v/>
      </c>
      <c r="P15" s="8">
        <f>INDEX('V_Altın'!O$2:O$48,MATCH(LARGE('V_Altın'!$AC$2:$AC$48,ROW()-3),'V_Altın'!$AC$2:$AC$48,0))</f>
        <v/>
      </c>
      <c r="Q15" s="9">
        <f>INDEX('V_Altın'!P$2:P$48,MATCH(LARGE('V_Altın'!$AC$2:$AC$48,ROW()-3),'V_Altın'!$AC$2:$AC$48,0))</f>
        <v/>
      </c>
      <c r="R15" s="5">
        <f>INDEX('V_Altın'!Q$2:Q$48,MATCH(LARGE('V_Altın'!$AC$2:$AC$48,ROW()-3),'V_Altın'!$AC$2:$AC$48,0))</f>
        <v/>
      </c>
      <c r="S15" s="8">
        <f>INDEX('V_Altın'!R$2:R$48,MATCH(LARGE('V_Altın'!$AC$2:$AC$48,ROW()-3),'V_Altın'!$AC$2:$AC$48,0))</f>
        <v/>
      </c>
      <c r="T15" s="8">
        <f>INDEX('V_Altın'!S$2:S$48,MATCH(LARGE('V_Altın'!$AC$2:$AC$48,ROW()-3),'V_Altın'!$AC$2:$AC$48,0))</f>
        <v/>
      </c>
      <c r="U15" s="8">
        <f>INDEX('V_Altın'!T$2:T$48,MATCH(LARGE('V_Altın'!$AC$2:$AC$48,ROW()-3),'V_Altın'!$AC$2:$AC$48,0))</f>
        <v/>
      </c>
      <c r="V15" s="8">
        <f>INDEX('V_Altın'!U$2:U$48,MATCH(LARGE('V_Altın'!$AC$2:$AC$48,ROW()-3),'V_Altın'!$AC$2:$AC$48,0))</f>
        <v/>
      </c>
      <c r="W15" s="8">
        <f>INDEX('V_Altın'!V$2:V$48,MATCH(LARGE('V_Altın'!$AC$2:$AC$48,ROW()-3),'V_Altın'!$AC$2:$AC$48,0))</f>
        <v/>
      </c>
      <c r="X15" s="8">
        <f>INDEX('V_Altın'!W$2:W$48,MATCH(LARGE('V_Altın'!$AC$2:$AC$48,ROW()-3),'V_Altın'!$AC$2:$AC$48,0))</f>
        <v/>
      </c>
      <c r="Y15" s="8">
        <f>INDEX('V_Altın'!X$2:X$48,MATCH(LARGE('V_Altın'!$AC$2:$AC$48,ROW()-3),'V_Altın'!$AC$2:$AC$48,0))</f>
        <v/>
      </c>
      <c r="Z15" s="8">
        <f>INDEX('V_Altın'!Y$2:Y$48,MATCH(LARGE('V_Altın'!$AC$2:$AC$48,ROW()-3),'V_Altın'!$AC$2:$AC$48,0))</f>
        <v/>
      </c>
      <c r="AA15" s="8">
        <f>INDEX('V_Altın'!Z$2:Z$48,MATCH(LARGE('V_Altın'!$AC$2:$AC$48,ROW()-3),'V_Altın'!$AC$2:$AC$48,0))</f>
        <v/>
      </c>
      <c r="AB15" s="8">
        <f>INDEX('V_Altın'!AA$2:AA$48,MATCH(LARGE('V_Altın'!$AC$2:$AC$48,ROW()-3),'V_Altın'!$AC$2:$AC$48,0))</f>
        <v/>
      </c>
    </row>
    <row r="16">
      <c r="A16" t="n">
        <v>13</v>
      </c>
      <c r="B16" s="5">
        <f>INDEX('V_Altın'!A$2:A$48,MATCH(LARGE('V_Altın'!$AC$2:$AC$48,ROW()-3),'V_Altın'!$AC$2:$AC$48,0))</f>
        <v/>
      </c>
      <c r="C16" s="5">
        <f>INDEX('V_Altın'!B$2:B$48,MATCH(LARGE('V_Altın'!$AC$2:$AC$48,ROW()-3),'V_Altın'!$AC$2:$AC$48,0))</f>
        <v/>
      </c>
      <c r="D16" s="5">
        <f>INDEX('V_Altın'!C$2:C$48,MATCH(LARGE('V_Altın'!$AC$2:$AC$48,ROW()-3),'V_Altın'!$AC$2:$AC$48,0))</f>
        <v/>
      </c>
      <c r="E16" s="8">
        <f>INDEX('V_Altın'!D$2:D$48,MATCH(LARGE('V_Altın'!$AC$2:$AC$48,ROW()-3),'V_Altın'!$AC$2:$AC$48,0))</f>
        <v/>
      </c>
      <c r="F16" s="9">
        <f>INDEX('V_Altın'!E$2:E$48,MATCH(LARGE('V_Altın'!$AC$2:$AC$48,ROW()-3),'V_Altın'!$AC$2:$AC$48,0))</f>
        <v/>
      </c>
      <c r="G16" s="9">
        <f>INDEX('V_Altın'!F$2:F$48,MATCH(LARGE('V_Altın'!$AC$2:$AC$48,ROW()-3),'V_Altın'!$AC$2:$AC$48,0))</f>
        <v/>
      </c>
      <c r="H16" s="9">
        <f>INDEX('V_Altın'!G$2:G$48,MATCH(LARGE('V_Altın'!$AC$2:$AC$48,ROW()-3),'V_Altın'!$AC$2:$AC$48,0))</f>
        <v/>
      </c>
      <c r="I16" s="9">
        <f>INDEX('V_Altın'!H$2:H$48,MATCH(LARGE('V_Altın'!$AC$2:$AC$48,ROW()-3),'V_Altın'!$AC$2:$AC$48,0))</f>
        <v/>
      </c>
      <c r="J16" s="9">
        <f>INDEX('V_Altın'!I$2:I$48,MATCH(LARGE('V_Altın'!$AC$2:$AC$48,ROW()-3),'V_Altın'!$AC$2:$AC$48,0))</f>
        <v/>
      </c>
      <c r="K16" s="10">
        <f>INDEX('V_Altın'!J$2:J$48,MATCH(LARGE('V_Altın'!$AC$2:$AC$48,ROW()-3),'V_Altın'!$AC$2:$AC$48,0))</f>
        <v/>
      </c>
      <c r="L16" s="10">
        <f>INDEX('V_Altın'!K$2:K$48,MATCH(LARGE('V_Altın'!$AC$2:$AC$48,ROW()-3),'V_Altın'!$AC$2:$AC$48,0))</f>
        <v/>
      </c>
      <c r="M16" s="8">
        <f>INDEX('V_Altın'!L$2:L$48,MATCH(LARGE('V_Altın'!$AC$2:$AC$48,ROW()-3),'V_Altın'!$AC$2:$AC$48,0))</f>
        <v/>
      </c>
      <c r="N16" s="11">
        <f>INDEX('V_Altın'!M$2:M$48,MATCH(LARGE('V_Altın'!$AC$2:$AC$48,ROW()-3),'V_Altın'!$AC$2:$AC$48,0))</f>
        <v/>
      </c>
      <c r="O16" s="11">
        <f>INDEX('V_Altın'!N$2:N$48,MATCH(LARGE('V_Altın'!$AC$2:$AC$48,ROW()-3),'V_Altın'!$AC$2:$AC$48,0))</f>
        <v/>
      </c>
      <c r="P16" s="8">
        <f>INDEX('V_Altın'!O$2:O$48,MATCH(LARGE('V_Altın'!$AC$2:$AC$48,ROW()-3),'V_Altın'!$AC$2:$AC$48,0))</f>
        <v/>
      </c>
      <c r="Q16" s="9">
        <f>INDEX('V_Altın'!P$2:P$48,MATCH(LARGE('V_Altın'!$AC$2:$AC$48,ROW()-3),'V_Altın'!$AC$2:$AC$48,0))</f>
        <v/>
      </c>
      <c r="R16" s="5">
        <f>INDEX('V_Altın'!Q$2:Q$48,MATCH(LARGE('V_Altın'!$AC$2:$AC$48,ROW()-3),'V_Altın'!$AC$2:$AC$48,0))</f>
        <v/>
      </c>
      <c r="S16" s="8">
        <f>INDEX('V_Altın'!R$2:R$48,MATCH(LARGE('V_Altın'!$AC$2:$AC$48,ROW()-3),'V_Altın'!$AC$2:$AC$48,0))</f>
        <v/>
      </c>
      <c r="T16" s="8">
        <f>INDEX('V_Altın'!S$2:S$48,MATCH(LARGE('V_Altın'!$AC$2:$AC$48,ROW()-3),'V_Altın'!$AC$2:$AC$48,0))</f>
        <v/>
      </c>
      <c r="U16" s="8">
        <f>INDEX('V_Altın'!T$2:T$48,MATCH(LARGE('V_Altın'!$AC$2:$AC$48,ROW()-3),'V_Altın'!$AC$2:$AC$48,0))</f>
        <v/>
      </c>
      <c r="V16" s="8">
        <f>INDEX('V_Altın'!U$2:U$48,MATCH(LARGE('V_Altın'!$AC$2:$AC$48,ROW()-3),'V_Altın'!$AC$2:$AC$48,0))</f>
        <v/>
      </c>
      <c r="W16" s="8">
        <f>INDEX('V_Altın'!V$2:V$48,MATCH(LARGE('V_Altın'!$AC$2:$AC$48,ROW()-3),'V_Altın'!$AC$2:$AC$48,0))</f>
        <v/>
      </c>
      <c r="X16" s="8">
        <f>INDEX('V_Altın'!W$2:W$48,MATCH(LARGE('V_Altın'!$AC$2:$AC$48,ROW()-3),'V_Altın'!$AC$2:$AC$48,0))</f>
        <v/>
      </c>
      <c r="Y16" s="8">
        <f>INDEX('V_Altın'!X$2:X$48,MATCH(LARGE('V_Altın'!$AC$2:$AC$48,ROW()-3),'V_Altın'!$AC$2:$AC$48,0))</f>
        <v/>
      </c>
      <c r="Z16" s="8">
        <f>INDEX('V_Altın'!Y$2:Y$48,MATCH(LARGE('V_Altın'!$AC$2:$AC$48,ROW()-3),'V_Altın'!$AC$2:$AC$48,0))</f>
        <v/>
      </c>
      <c r="AA16" s="8">
        <f>INDEX('V_Altın'!Z$2:Z$48,MATCH(LARGE('V_Altın'!$AC$2:$AC$48,ROW()-3),'V_Altın'!$AC$2:$AC$48,0))</f>
        <v/>
      </c>
      <c r="AB16" s="8">
        <f>INDEX('V_Altın'!AA$2:AA$48,MATCH(LARGE('V_Altın'!$AC$2:$AC$48,ROW()-3),'V_Altın'!$AC$2:$AC$48,0))</f>
        <v/>
      </c>
    </row>
    <row r="17">
      <c r="A17" t="n">
        <v>14</v>
      </c>
      <c r="B17" s="5">
        <f>INDEX('V_Altın'!A$2:A$48,MATCH(LARGE('V_Altın'!$AC$2:$AC$48,ROW()-3),'V_Altın'!$AC$2:$AC$48,0))</f>
        <v/>
      </c>
      <c r="C17" s="5">
        <f>INDEX('V_Altın'!B$2:B$48,MATCH(LARGE('V_Altın'!$AC$2:$AC$48,ROW()-3),'V_Altın'!$AC$2:$AC$48,0))</f>
        <v/>
      </c>
      <c r="D17" s="5">
        <f>INDEX('V_Altın'!C$2:C$48,MATCH(LARGE('V_Altın'!$AC$2:$AC$48,ROW()-3),'V_Altın'!$AC$2:$AC$48,0))</f>
        <v/>
      </c>
      <c r="E17" s="8">
        <f>INDEX('V_Altın'!D$2:D$48,MATCH(LARGE('V_Altın'!$AC$2:$AC$48,ROW()-3),'V_Altın'!$AC$2:$AC$48,0))</f>
        <v/>
      </c>
      <c r="F17" s="9">
        <f>INDEX('V_Altın'!E$2:E$48,MATCH(LARGE('V_Altın'!$AC$2:$AC$48,ROW()-3),'V_Altın'!$AC$2:$AC$48,0))</f>
        <v/>
      </c>
      <c r="G17" s="9">
        <f>INDEX('V_Altın'!F$2:F$48,MATCH(LARGE('V_Altın'!$AC$2:$AC$48,ROW()-3),'V_Altın'!$AC$2:$AC$48,0))</f>
        <v/>
      </c>
      <c r="H17" s="9">
        <f>INDEX('V_Altın'!G$2:G$48,MATCH(LARGE('V_Altın'!$AC$2:$AC$48,ROW()-3),'V_Altın'!$AC$2:$AC$48,0))</f>
        <v/>
      </c>
      <c r="I17" s="9">
        <f>INDEX('V_Altın'!H$2:H$48,MATCH(LARGE('V_Altın'!$AC$2:$AC$48,ROW()-3),'V_Altın'!$AC$2:$AC$48,0))</f>
        <v/>
      </c>
      <c r="J17" s="9">
        <f>INDEX('V_Altın'!I$2:I$48,MATCH(LARGE('V_Altın'!$AC$2:$AC$48,ROW()-3),'V_Altın'!$AC$2:$AC$48,0))</f>
        <v/>
      </c>
      <c r="K17" s="10">
        <f>INDEX('V_Altın'!J$2:J$48,MATCH(LARGE('V_Altın'!$AC$2:$AC$48,ROW()-3),'V_Altın'!$AC$2:$AC$48,0))</f>
        <v/>
      </c>
      <c r="L17" s="10">
        <f>INDEX('V_Altın'!K$2:K$48,MATCH(LARGE('V_Altın'!$AC$2:$AC$48,ROW()-3),'V_Altın'!$AC$2:$AC$48,0))</f>
        <v/>
      </c>
      <c r="M17" s="8">
        <f>INDEX('V_Altın'!L$2:L$48,MATCH(LARGE('V_Altın'!$AC$2:$AC$48,ROW()-3),'V_Altın'!$AC$2:$AC$48,0))</f>
        <v/>
      </c>
      <c r="N17" s="11">
        <f>INDEX('V_Altın'!M$2:M$48,MATCH(LARGE('V_Altın'!$AC$2:$AC$48,ROW()-3),'V_Altın'!$AC$2:$AC$48,0))</f>
        <v/>
      </c>
      <c r="O17" s="11">
        <f>INDEX('V_Altın'!N$2:N$48,MATCH(LARGE('V_Altın'!$AC$2:$AC$48,ROW()-3),'V_Altın'!$AC$2:$AC$48,0))</f>
        <v/>
      </c>
      <c r="P17" s="8">
        <f>INDEX('V_Altın'!O$2:O$48,MATCH(LARGE('V_Altın'!$AC$2:$AC$48,ROW()-3),'V_Altın'!$AC$2:$AC$48,0))</f>
        <v/>
      </c>
      <c r="Q17" s="9">
        <f>INDEX('V_Altın'!P$2:P$48,MATCH(LARGE('V_Altın'!$AC$2:$AC$48,ROW()-3),'V_Altın'!$AC$2:$AC$48,0))</f>
        <v/>
      </c>
      <c r="R17" s="5">
        <f>INDEX('V_Altın'!Q$2:Q$48,MATCH(LARGE('V_Altın'!$AC$2:$AC$48,ROW()-3),'V_Altın'!$AC$2:$AC$48,0))</f>
        <v/>
      </c>
      <c r="S17" s="8">
        <f>INDEX('V_Altın'!R$2:R$48,MATCH(LARGE('V_Altın'!$AC$2:$AC$48,ROW()-3),'V_Altın'!$AC$2:$AC$48,0))</f>
        <v/>
      </c>
      <c r="T17" s="8">
        <f>INDEX('V_Altın'!S$2:S$48,MATCH(LARGE('V_Altın'!$AC$2:$AC$48,ROW()-3),'V_Altın'!$AC$2:$AC$48,0))</f>
        <v/>
      </c>
      <c r="U17" s="8">
        <f>INDEX('V_Altın'!T$2:T$48,MATCH(LARGE('V_Altın'!$AC$2:$AC$48,ROW()-3),'V_Altın'!$AC$2:$AC$48,0))</f>
        <v/>
      </c>
      <c r="V17" s="8">
        <f>INDEX('V_Altın'!U$2:U$48,MATCH(LARGE('V_Altın'!$AC$2:$AC$48,ROW()-3),'V_Altın'!$AC$2:$AC$48,0))</f>
        <v/>
      </c>
      <c r="W17" s="8">
        <f>INDEX('V_Altın'!V$2:V$48,MATCH(LARGE('V_Altın'!$AC$2:$AC$48,ROW()-3),'V_Altın'!$AC$2:$AC$48,0))</f>
        <v/>
      </c>
      <c r="X17" s="8">
        <f>INDEX('V_Altın'!W$2:W$48,MATCH(LARGE('V_Altın'!$AC$2:$AC$48,ROW()-3),'V_Altın'!$AC$2:$AC$48,0))</f>
        <v/>
      </c>
      <c r="Y17" s="8">
        <f>INDEX('V_Altın'!X$2:X$48,MATCH(LARGE('V_Altın'!$AC$2:$AC$48,ROW()-3),'V_Altın'!$AC$2:$AC$48,0))</f>
        <v/>
      </c>
      <c r="Z17" s="8">
        <f>INDEX('V_Altın'!Y$2:Y$48,MATCH(LARGE('V_Altın'!$AC$2:$AC$48,ROW()-3),'V_Altın'!$AC$2:$AC$48,0))</f>
        <v/>
      </c>
      <c r="AA17" s="8">
        <f>INDEX('V_Altın'!Z$2:Z$48,MATCH(LARGE('V_Altın'!$AC$2:$AC$48,ROW()-3),'V_Altın'!$AC$2:$AC$48,0))</f>
        <v/>
      </c>
      <c r="AB17" s="8">
        <f>INDEX('V_Altın'!AA$2:AA$48,MATCH(LARGE('V_Altın'!$AC$2:$AC$48,ROW()-3),'V_Altın'!$AC$2:$AC$48,0))</f>
        <v/>
      </c>
    </row>
    <row r="18">
      <c r="A18" t="n">
        <v>15</v>
      </c>
      <c r="B18" s="5">
        <f>INDEX('V_Altın'!A$2:A$48,MATCH(LARGE('V_Altın'!$AC$2:$AC$48,ROW()-3),'V_Altın'!$AC$2:$AC$48,0))</f>
        <v/>
      </c>
      <c r="C18" s="5">
        <f>INDEX('V_Altın'!B$2:B$48,MATCH(LARGE('V_Altın'!$AC$2:$AC$48,ROW()-3),'V_Altın'!$AC$2:$AC$48,0))</f>
        <v/>
      </c>
      <c r="D18" s="5">
        <f>INDEX('V_Altın'!C$2:C$48,MATCH(LARGE('V_Altın'!$AC$2:$AC$48,ROW()-3),'V_Altın'!$AC$2:$AC$48,0))</f>
        <v/>
      </c>
      <c r="E18" s="8">
        <f>INDEX('V_Altın'!D$2:D$48,MATCH(LARGE('V_Altın'!$AC$2:$AC$48,ROW()-3),'V_Altın'!$AC$2:$AC$48,0))</f>
        <v/>
      </c>
      <c r="F18" s="9">
        <f>INDEX('V_Altın'!E$2:E$48,MATCH(LARGE('V_Altın'!$AC$2:$AC$48,ROW()-3),'V_Altın'!$AC$2:$AC$48,0))</f>
        <v/>
      </c>
      <c r="G18" s="9">
        <f>INDEX('V_Altın'!F$2:F$48,MATCH(LARGE('V_Altın'!$AC$2:$AC$48,ROW()-3),'V_Altın'!$AC$2:$AC$48,0))</f>
        <v/>
      </c>
      <c r="H18" s="9">
        <f>INDEX('V_Altın'!G$2:G$48,MATCH(LARGE('V_Altın'!$AC$2:$AC$48,ROW()-3),'V_Altın'!$AC$2:$AC$48,0))</f>
        <v/>
      </c>
      <c r="I18" s="9">
        <f>INDEX('V_Altın'!H$2:H$48,MATCH(LARGE('V_Altın'!$AC$2:$AC$48,ROW()-3),'V_Altın'!$AC$2:$AC$48,0))</f>
        <v/>
      </c>
      <c r="J18" s="9">
        <f>INDEX('V_Altın'!I$2:I$48,MATCH(LARGE('V_Altın'!$AC$2:$AC$48,ROW()-3),'V_Altın'!$AC$2:$AC$48,0))</f>
        <v/>
      </c>
      <c r="K18" s="10">
        <f>INDEX('V_Altın'!J$2:J$48,MATCH(LARGE('V_Altın'!$AC$2:$AC$48,ROW()-3),'V_Altın'!$AC$2:$AC$48,0))</f>
        <v/>
      </c>
      <c r="L18" s="10">
        <f>INDEX('V_Altın'!K$2:K$48,MATCH(LARGE('V_Altın'!$AC$2:$AC$48,ROW()-3),'V_Altın'!$AC$2:$AC$48,0))</f>
        <v/>
      </c>
      <c r="M18" s="8">
        <f>INDEX('V_Altın'!L$2:L$48,MATCH(LARGE('V_Altın'!$AC$2:$AC$48,ROW()-3),'V_Altın'!$AC$2:$AC$48,0))</f>
        <v/>
      </c>
      <c r="N18" s="11">
        <f>INDEX('V_Altın'!M$2:M$48,MATCH(LARGE('V_Altın'!$AC$2:$AC$48,ROW()-3),'V_Altın'!$AC$2:$AC$48,0))</f>
        <v/>
      </c>
      <c r="O18" s="11">
        <f>INDEX('V_Altın'!N$2:N$48,MATCH(LARGE('V_Altın'!$AC$2:$AC$48,ROW()-3),'V_Altın'!$AC$2:$AC$48,0))</f>
        <v/>
      </c>
      <c r="P18" s="8">
        <f>INDEX('V_Altın'!O$2:O$48,MATCH(LARGE('V_Altın'!$AC$2:$AC$48,ROW()-3),'V_Altın'!$AC$2:$AC$48,0))</f>
        <v/>
      </c>
      <c r="Q18" s="9">
        <f>INDEX('V_Altın'!P$2:P$48,MATCH(LARGE('V_Altın'!$AC$2:$AC$48,ROW()-3),'V_Altın'!$AC$2:$AC$48,0))</f>
        <v/>
      </c>
      <c r="R18" s="5">
        <f>INDEX('V_Altın'!Q$2:Q$48,MATCH(LARGE('V_Altın'!$AC$2:$AC$48,ROW()-3),'V_Altın'!$AC$2:$AC$48,0))</f>
        <v/>
      </c>
      <c r="S18" s="8">
        <f>INDEX('V_Altın'!R$2:R$48,MATCH(LARGE('V_Altın'!$AC$2:$AC$48,ROW()-3),'V_Altın'!$AC$2:$AC$48,0))</f>
        <v/>
      </c>
      <c r="T18" s="8">
        <f>INDEX('V_Altın'!S$2:S$48,MATCH(LARGE('V_Altın'!$AC$2:$AC$48,ROW()-3),'V_Altın'!$AC$2:$AC$48,0))</f>
        <v/>
      </c>
      <c r="U18" s="8">
        <f>INDEX('V_Altın'!T$2:T$48,MATCH(LARGE('V_Altın'!$AC$2:$AC$48,ROW()-3),'V_Altın'!$AC$2:$AC$48,0))</f>
        <v/>
      </c>
      <c r="V18" s="8">
        <f>INDEX('V_Altın'!U$2:U$48,MATCH(LARGE('V_Altın'!$AC$2:$AC$48,ROW()-3),'V_Altın'!$AC$2:$AC$48,0))</f>
        <v/>
      </c>
      <c r="W18" s="8">
        <f>INDEX('V_Altın'!V$2:V$48,MATCH(LARGE('V_Altın'!$AC$2:$AC$48,ROW()-3),'V_Altın'!$AC$2:$AC$48,0))</f>
        <v/>
      </c>
      <c r="X18" s="8">
        <f>INDEX('V_Altın'!W$2:W$48,MATCH(LARGE('V_Altın'!$AC$2:$AC$48,ROW()-3),'V_Altın'!$AC$2:$AC$48,0))</f>
        <v/>
      </c>
      <c r="Y18" s="8">
        <f>INDEX('V_Altın'!X$2:X$48,MATCH(LARGE('V_Altın'!$AC$2:$AC$48,ROW()-3),'V_Altın'!$AC$2:$AC$48,0))</f>
        <v/>
      </c>
      <c r="Z18" s="8">
        <f>INDEX('V_Altın'!Y$2:Y$48,MATCH(LARGE('V_Altın'!$AC$2:$AC$48,ROW()-3),'V_Altın'!$AC$2:$AC$48,0))</f>
        <v/>
      </c>
      <c r="AA18" s="8">
        <f>INDEX('V_Altın'!Z$2:Z$48,MATCH(LARGE('V_Altın'!$AC$2:$AC$48,ROW()-3),'V_Altın'!$AC$2:$AC$48,0))</f>
        <v/>
      </c>
      <c r="AB18" s="8">
        <f>INDEX('V_Altın'!AA$2:AA$48,MATCH(LARGE('V_Altın'!$AC$2:$AC$48,ROW()-3),'V_Altın'!$AC$2:$AC$48,0))</f>
        <v/>
      </c>
    </row>
    <row r="19">
      <c r="A19" t="n">
        <v>16</v>
      </c>
      <c r="B19" s="5">
        <f>INDEX('V_Altın'!A$2:A$48,MATCH(LARGE('V_Altın'!$AC$2:$AC$48,ROW()-3),'V_Altın'!$AC$2:$AC$48,0))</f>
        <v/>
      </c>
      <c r="C19" s="5">
        <f>INDEX('V_Altın'!B$2:B$48,MATCH(LARGE('V_Altın'!$AC$2:$AC$48,ROW()-3),'V_Altın'!$AC$2:$AC$48,0))</f>
        <v/>
      </c>
      <c r="D19" s="5">
        <f>INDEX('V_Altın'!C$2:C$48,MATCH(LARGE('V_Altın'!$AC$2:$AC$48,ROW()-3),'V_Altın'!$AC$2:$AC$48,0))</f>
        <v/>
      </c>
      <c r="E19" s="8">
        <f>INDEX('V_Altın'!D$2:D$48,MATCH(LARGE('V_Altın'!$AC$2:$AC$48,ROW()-3),'V_Altın'!$AC$2:$AC$48,0))</f>
        <v/>
      </c>
      <c r="F19" s="9">
        <f>INDEX('V_Altın'!E$2:E$48,MATCH(LARGE('V_Altın'!$AC$2:$AC$48,ROW()-3),'V_Altın'!$AC$2:$AC$48,0))</f>
        <v/>
      </c>
      <c r="G19" s="9">
        <f>INDEX('V_Altın'!F$2:F$48,MATCH(LARGE('V_Altın'!$AC$2:$AC$48,ROW()-3),'V_Altın'!$AC$2:$AC$48,0))</f>
        <v/>
      </c>
      <c r="H19" s="9">
        <f>INDEX('V_Altın'!G$2:G$48,MATCH(LARGE('V_Altın'!$AC$2:$AC$48,ROW()-3),'V_Altın'!$AC$2:$AC$48,0))</f>
        <v/>
      </c>
      <c r="I19" s="9">
        <f>INDEX('V_Altın'!H$2:H$48,MATCH(LARGE('V_Altın'!$AC$2:$AC$48,ROW()-3),'V_Altın'!$AC$2:$AC$48,0))</f>
        <v/>
      </c>
      <c r="J19" s="9">
        <f>INDEX('V_Altın'!I$2:I$48,MATCH(LARGE('V_Altın'!$AC$2:$AC$48,ROW()-3),'V_Altın'!$AC$2:$AC$48,0))</f>
        <v/>
      </c>
      <c r="K19" s="10">
        <f>INDEX('V_Altın'!J$2:J$48,MATCH(LARGE('V_Altın'!$AC$2:$AC$48,ROW()-3),'V_Altın'!$AC$2:$AC$48,0))</f>
        <v/>
      </c>
      <c r="L19" s="10">
        <f>INDEX('V_Altın'!K$2:K$48,MATCH(LARGE('V_Altın'!$AC$2:$AC$48,ROW()-3),'V_Altın'!$AC$2:$AC$48,0))</f>
        <v/>
      </c>
      <c r="M19" s="8">
        <f>INDEX('V_Altın'!L$2:L$48,MATCH(LARGE('V_Altın'!$AC$2:$AC$48,ROW()-3),'V_Altın'!$AC$2:$AC$48,0))</f>
        <v/>
      </c>
      <c r="N19" s="11">
        <f>INDEX('V_Altın'!M$2:M$48,MATCH(LARGE('V_Altın'!$AC$2:$AC$48,ROW()-3),'V_Altın'!$AC$2:$AC$48,0))</f>
        <v/>
      </c>
      <c r="O19" s="11">
        <f>INDEX('V_Altın'!N$2:N$48,MATCH(LARGE('V_Altın'!$AC$2:$AC$48,ROW()-3),'V_Altın'!$AC$2:$AC$48,0))</f>
        <v/>
      </c>
      <c r="P19" s="8">
        <f>INDEX('V_Altın'!O$2:O$48,MATCH(LARGE('V_Altın'!$AC$2:$AC$48,ROW()-3),'V_Altın'!$AC$2:$AC$48,0))</f>
        <v/>
      </c>
      <c r="Q19" s="9">
        <f>INDEX('V_Altın'!P$2:P$48,MATCH(LARGE('V_Altın'!$AC$2:$AC$48,ROW()-3),'V_Altın'!$AC$2:$AC$48,0))</f>
        <v/>
      </c>
      <c r="R19" s="5">
        <f>INDEX('V_Altın'!Q$2:Q$48,MATCH(LARGE('V_Altın'!$AC$2:$AC$48,ROW()-3),'V_Altın'!$AC$2:$AC$48,0))</f>
        <v/>
      </c>
      <c r="S19" s="8">
        <f>INDEX('V_Altın'!R$2:R$48,MATCH(LARGE('V_Altın'!$AC$2:$AC$48,ROW()-3),'V_Altın'!$AC$2:$AC$48,0))</f>
        <v/>
      </c>
      <c r="T19" s="8">
        <f>INDEX('V_Altın'!S$2:S$48,MATCH(LARGE('V_Altın'!$AC$2:$AC$48,ROW()-3),'V_Altın'!$AC$2:$AC$48,0))</f>
        <v/>
      </c>
      <c r="U19" s="8">
        <f>INDEX('V_Altın'!T$2:T$48,MATCH(LARGE('V_Altın'!$AC$2:$AC$48,ROW()-3),'V_Altın'!$AC$2:$AC$48,0))</f>
        <v/>
      </c>
      <c r="V19" s="8">
        <f>INDEX('V_Altın'!U$2:U$48,MATCH(LARGE('V_Altın'!$AC$2:$AC$48,ROW()-3),'V_Altın'!$AC$2:$AC$48,0))</f>
        <v/>
      </c>
      <c r="W19" s="8">
        <f>INDEX('V_Altın'!V$2:V$48,MATCH(LARGE('V_Altın'!$AC$2:$AC$48,ROW()-3),'V_Altın'!$AC$2:$AC$48,0))</f>
        <v/>
      </c>
      <c r="X19" s="8">
        <f>INDEX('V_Altın'!W$2:W$48,MATCH(LARGE('V_Altın'!$AC$2:$AC$48,ROW()-3),'V_Altın'!$AC$2:$AC$48,0))</f>
        <v/>
      </c>
      <c r="Y19" s="8">
        <f>INDEX('V_Altın'!X$2:X$48,MATCH(LARGE('V_Altın'!$AC$2:$AC$48,ROW()-3),'V_Altın'!$AC$2:$AC$48,0))</f>
        <v/>
      </c>
      <c r="Z19" s="8">
        <f>INDEX('V_Altın'!Y$2:Y$48,MATCH(LARGE('V_Altın'!$AC$2:$AC$48,ROW()-3),'V_Altın'!$AC$2:$AC$48,0))</f>
        <v/>
      </c>
      <c r="AA19" s="8">
        <f>INDEX('V_Altın'!Z$2:Z$48,MATCH(LARGE('V_Altın'!$AC$2:$AC$48,ROW()-3),'V_Altın'!$AC$2:$AC$48,0))</f>
        <v/>
      </c>
      <c r="AB19" s="8">
        <f>INDEX('V_Altın'!AA$2:AA$48,MATCH(LARGE('V_Altın'!$AC$2:$AC$48,ROW()-3),'V_Altın'!$AC$2:$AC$48,0))</f>
        <v/>
      </c>
    </row>
    <row r="20">
      <c r="A20" t="n">
        <v>17</v>
      </c>
      <c r="B20" s="5">
        <f>INDEX('V_Altın'!A$2:A$48,MATCH(LARGE('V_Altın'!$AC$2:$AC$48,ROW()-3),'V_Altın'!$AC$2:$AC$48,0))</f>
        <v/>
      </c>
      <c r="C20" s="5">
        <f>INDEX('V_Altın'!B$2:B$48,MATCH(LARGE('V_Altın'!$AC$2:$AC$48,ROW()-3),'V_Altın'!$AC$2:$AC$48,0))</f>
        <v/>
      </c>
      <c r="D20" s="5">
        <f>INDEX('V_Altın'!C$2:C$48,MATCH(LARGE('V_Altın'!$AC$2:$AC$48,ROW()-3),'V_Altın'!$AC$2:$AC$48,0))</f>
        <v/>
      </c>
      <c r="E20" s="8">
        <f>INDEX('V_Altın'!D$2:D$48,MATCH(LARGE('V_Altın'!$AC$2:$AC$48,ROW()-3),'V_Altın'!$AC$2:$AC$48,0))</f>
        <v/>
      </c>
      <c r="F20" s="9">
        <f>INDEX('V_Altın'!E$2:E$48,MATCH(LARGE('V_Altın'!$AC$2:$AC$48,ROW()-3),'V_Altın'!$AC$2:$AC$48,0))</f>
        <v/>
      </c>
      <c r="G20" s="9">
        <f>INDEX('V_Altın'!F$2:F$48,MATCH(LARGE('V_Altın'!$AC$2:$AC$48,ROW()-3),'V_Altın'!$AC$2:$AC$48,0))</f>
        <v/>
      </c>
      <c r="H20" s="9">
        <f>INDEX('V_Altın'!G$2:G$48,MATCH(LARGE('V_Altın'!$AC$2:$AC$48,ROW()-3),'V_Altın'!$AC$2:$AC$48,0))</f>
        <v/>
      </c>
      <c r="I20" s="9">
        <f>INDEX('V_Altın'!H$2:H$48,MATCH(LARGE('V_Altın'!$AC$2:$AC$48,ROW()-3),'V_Altın'!$AC$2:$AC$48,0))</f>
        <v/>
      </c>
      <c r="J20" s="9">
        <f>INDEX('V_Altın'!I$2:I$48,MATCH(LARGE('V_Altın'!$AC$2:$AC$48,ROW()-3),'V_Altın'!$AC$2:$AC$48,0))</f>
        <v/>
      </c>
      <c r="K20" s="10">
        <f>INDEX('V_Altın'!J$2:J$48,MATCH(LARGE('V_Altın'!$AC$2:$AC$48,ROW()-3),'V_Altın'!$AC$2:$AC$48,0))</f>
        <v/>
      </c>
      <c r="L20" s="10">
        <f>INDEX('V_Altın'!K$2:K$48,MATCH(LARGE('V_Altın'!$AC$2:$AC$48,ROW()-3),'V_Altın'!$AC$2:$AC$48,0))</f>
        <v/>
      </c>
      <c r="M20" s="8">
        <f>INDEX('V_Altın'!L$2:L$48,MATCH(LARGE('V_Altın'!$AC$2:$AC$48,ROW()-3),'V_Altın'!$AC$2:$AC$48,0))</f>
        <v/>
      </c>
      <c r="N20" s="11">
        <f>INDEX('V_Altın'!M$2:M$48,MATCH(LARGE('V_Altın'!$AC$2:$AC$48,ROW()-3),'V_Altın'!$AC$2:$AC$48,0))</f>
        <v/>
      </c>
      <c r="O20" s="11">
        <f>INDEX('V_Altın'!N$2:N$48,MATCH(LARGE('V_Altın'!$AC$2:$AC$48,ROW()-3),'V_Altın'!$AC$2:$AC$48,0))</f>
        <v/>
      </c>
      <c r="P20" s="8">
        <f>INDEX('V_Altın'!O$2:O$48,MATCH(LARGE('V_Altın'!$AC$2:$AC$48,ROW()-3),'V_Altın'!$AC$2:$AC$48,0))</f>
        <v/>
      </c>
      <c r="Q20" s="9">
        <f>INDEX('V_Altın'!P$2:P$48,MATCH(LARGE('V_Altın'!$AC$2:$AC$48,ROW()-3),'V_Altın'!$AC$2:$AC$48,0))</f>
        <v/>
      </c>
      <c r="R20" s="5">
        <f>INDEX('V_Altın'!Q$2:Q$48,MATCH(LARGE('V_Altın'!$AC$2:$AC$48,ROW()-3),'V_Altın'!$AC$2:$AC$48,0))</f>
        <v/>
      </c>
      <c r="S20" s="8">
        <f>INDEX('V_Altın'!R$2:R$48,MATCH(LARGE('V_Altın'!$AC$2:$AC$48,ROW()-3),'V_Altın'!$AC$2:$AC$48,0))</f>
        <v/>
      </c>
      <c r="T20" s="8">
        <f>INDEX('V_Altın'!S$2:S$48,MATCH(LARGE('V_Altın'!$AC$2:$AC$48,ROW()-3),'V_Altın'!$AC$2:$AC$48,0))</f>
        <v/>
      </c>
      <c r="U20" s="8">
        <f>INDEX('V_Altın'!T$2:T$48,MATCH(LARGE('V_Altın'!$AC$2:$AC$48,ROW()-3),'V_Altın'!$AC$2:$AC$48,0))</f>
        <v/>
      </c>
      <c r="V20" s="8">
        <f>INDEX('V_Altın'!U$2:U$48,MATCH(LARGE('V_Altın'!$AC$2:$AC$48,ROW()-3),'V_Altın'!$AC$2:$AC$48,0))</f>
        <v/>
      </c>
      <c r="W20" s="8">
        <f>INDEX('V_Altın'!V$2:V$48,MATCH(LARGE('V_Altın'!$AC$2:$AC$48,ROW()-3),'V_Altın'!$AC$2:$AC$48,0))</f>
        <v/>
      </c>
      <c r="X20" s="8">
        <f>INDEX('V_Altın'!W$2:W$48,MATCH(LARGE('V_Altın'!$AC$2:$AC$48,ROW()-3),'V_Altın'!$AC$2:$AC$48,0))</f>
        <v/>
      </c>
      <c r="Y20" s="8">
        <f>INDEX('V_Altın'!X$2:X$48,MATCH(LARGE('V_Altın'!$AC$2:$AC$48,ROW()-3),'V_Altın'!$AC$2:$AC$48,0))</f>
        <v/>
      </c>
      <c r="Z20" s="8">
        <f>INDEX('V_Altın'!Y$2:Y$48,MATCH(LARGE('V_Altın'!$AC$2:$AC$48,ROW()-3),'V_Altın'!$AC$2:$AC$48,0))</f>
        <v/>
      </c>
      <c r="AA20" s="8">
        <f>INDEX('V_Altın'!Z$2:Z$48,MATCH(LARGE('V_Altın'!$AC$2:$AC$48,ROW()-3),'V_Altın'!$AC$2:$AC$48,0))</f>
        <v/>
      </c>
      <c r="AB20" s="8">
        <f>INDEX('V_Altın'!AA$2:AA$48,MATCH(LARGE('V_Altın'!$AC$2:$AC$48,ROW()-3),'V_Altın'!$AC$2:$AC$48,0))</f>
        <v/>
      </c>
    </row>
    <row r="21">
      <c r="A21" t="n">
        <v>18</v>
      </c>
      <c r="B21" s="5">
        <f>INDEX('V_Altın'!A$2:A$48,MATCH(LARGE('V_Altın'!$AC$2:$AC$48,ROW()-3),'V_Altın'!$AC$2:$AC$48,0))</f>
        <v/>
      </c>
      <c r="C21" s="5">
        <f>INDEX('V_Altın'!B$2:B$48,MATCH(LARGE('V_Altın'!$AC$2:$AC$48,ROW()-3),'V_Altın'!$AC$2:$AC$48,0))</f>
        <v/>
      </c>
      <c r="D21" s="5">
        <f>INDEX('V_Altın'!C$2:C$48,MATCH(LARGE('V_Altın'!$AC$2:$AC$48,ROW()-3),'V_Altın'!$AC$2:$AC$48,0))</f>
        <v/>
      </c>
      <c r="E21" s="8">
        <f>INDEX('V_Altın'!D$2:D$48,MATCH(LARGE('V_Altın'!$AC$2:$AC$48,ROW()-3),'V_Altın'!$AC$2:$AC$48,0))</f>
        <v/>
      </c>
      <c r="F21" s="9">
        <f>INDEX('V_Altın'!E$2:E$48,MATCH(LARGE('V_Altın'!$AC$2:$AC$48,ROW()-3),'V_Altın'!$AC$2:$AC$48,0))</f>
        <v/>
      </c>
      <c r="G21" s="9">
        <f>INDEX('V_Altın'!F$2:F$48,MATCH(LARGE('V_Altın'!$AC$2:$AC$48,ROW()-3),'V_Altın'!$AC$2:$AC$48,0))</f>
        <v/>
      </c>
      <c r="H21" s="9">
        <f>INDEX('V_Altın'!G$2:G$48,MATCH(LARGE('V_Altın'!$AC$2:$AC$48,ROW()-3),'V_Altın'!$AC$2:$AC$48,0))</f>
        <v/>
      </c>
      <c r="I21" s="9">
        <f>INDEX('V_Altın'!H$2:H$48,MATCH(LARGE('V_Altın'!$AC$2:$AC$48,ROW()-3),'V_Altın'!$AC$2:$AC$48,0))</f>
        <v/>
      </c>
      <c r="J21" s="9">
        <f>INDEX('V_Altın'!I$2:I$48,MATCH(LARGE('V_Altın'!$AC$2:$AC$48,ROW()-3),'V_Altın'!$AC$2:$AC$48,0))</f>
        <v/>
      </c>
      <c r="K21" s="10">
        <f>INDEX('V_Altın'!J$2:J$48,MATCH(LARGE('V_Altın'!$AC$2:$AC$48,ROW()-3),'V_Altın'!$AC$2:$AC$48,0))</f>
        <v/>
      </c>
      <c r="L21" s="10">
        <f>INDEX('V_Altın'!K$2:K$48,MATCH(LARGE('V_Altın'!$AC$2:$AC$48,ROW()-3),'V_Altın'!$AC$2:$AC$48,0))</f>
        <v/>
      </c>
      <c r="M21" s="8">
        <f>INDEX('V_Altın'!L$2:L$48,MATCH(LARGE('V_Altın'!$AC$2:$AC$48,ROW()-3),'V_Altın'!$AC$2:$AC$48,0))</f>
        <v/>
      </c>
      <c r="N21" s="11">
        <f>INDEX('V_Altın'!M$2:M$48,MATCH(LARGE('V_Altın'!$AC$2:$AC$48,ROW()-3),'V_Altın'!$AC$2:$AC$48,0))</f>
        <v/>
      </c>
      <c r="O21" s="11">
        <f>INDEX('V_Altın'!N$2:N$48,MATCH(LARGE('V_Altın'!$AC$2:$AC$48,ROW()-3),'V_Altın'!$AC$2:$AC$48,0))</f>
        <v/>
      </c>
      <c r="P21" s="8">
        <f>INDEX('V_Altın'!O$2:O$48,MATCH(LARGE('V_Altın'!$AC$2:$AC$48,ROW()-3),'V_Altın'!$AC$2:$AC$48,0))</f>
        <v/>
      </c>
      <c r="Q21" s="9">
        <f>INDEX('V_Altın'!P$2:P$48,MATCH(LARGE('V_Altın'!$AC$2:$AC$48,ROW()-3),'V_Altın'!$AC$2:$AC$48,0))</f>
        <v/>
      </c>
      <c r="R21" s="5">
        <f>INDEX('V_Altın'!Q$2:Q$48,MATCH(LARGE('V_Altın'!$AC$2:$AC$48,ROW()-3),'V_Altın'!$AC$2:$AC$48,0))</f>
        <v/>
      </c>
      <c r="S21" s="8">
        <f>INDEX('V_Altın'!R$2:R$48,MATCH(LARGE('V_Altın'!$AC$2:$AC$48,ROW()-3),'V_Altın'!$AC$2:$AC$48,0))</f>
        <v/>
      </c>
      <c r="T21" s="8">
        <f>INDEX('V_Altın'!S$2:S$48,MATCH(LARGE('V_Altın'!$AC$2:$AC$48,ROW()-3),'V_Altın'!$AC$2:$AC$48,0))</f>
        <v/>
      </c>
      <c r="U21" s="8">
        <f>INDEX('V_Altın'!T$2:T$48,MATCH(LARGE('V_Altın'!$AC$2:$AC$48,ROW()-3),'V_Altın'!$AC$2:$AC$48,0))</f>
        <v/>
      </c>
      <c r="V21" s="8">
        <f>INDEX('V_Altın'!U$2:U$48,MATCH(LARGE('V_Altın'!$AC$2:$AC$48,ROW()-3),'V_Altın'!$AC$2:$AC$48,0))</f>
        <v/>
      </c>
      <c r="W21" s="8">
        <f>INDEX('V_Altın'!V$2:V$48,MATCH(LARGE('V_Altın'!$AC$2:$AC$48,ROW()-3),'V_Altın'!$AC$2:$AC$48,0))</f>
        <v/>
      </c>
      <c r="X21" s="8">
        <f>INDEX('V_Altın'!W$2:W$48,MATCH(LARGE('V_Altın'!$AC$2:$AC$48,ROW()-3),'V_Altın'!$AC$2:$AC$48,0))</f>
        <v/>
      </c>
      <c r="Y21" s="8">
        <f>INDEX('V_Altın'!X$2:X$48,MATCH(LARGE('V_Altın'!$AC$2:$AC$48,ROW()-3),'V_Altın'!$AC$2:$AC$48,0))</f>
        <v/>
      </c>
      <c r="Z21" s="8">
        <f>INDEX('V_Altın'!Y$2:Y$48,MATCH(LARGE('V_Altın'!$AC$2:$AC$48,ROW()-3),'V_Altın'!$AC$2:$AC$48,0))</f>
        <v/>
      </c>
      <c r="AA21" s="8">
        <f>INDEX('V_Altın'!Z$2:Z$48,MATCH(LARGE('V_Altın'!$AC$2:$AC$48,ROW()-3),'V_Altın'!$AC$2:$AC$48,0))</f>
        <v/>
      </c>
      <c r="AB21" s="8">
        <f>INDEX('V_Altın'!AA$2:AA$48,MATCH(LARGE('V_Altın'!$AC$2:$AC$48,ROW()-3),'V_Altın'!$AC$2:$AC$48,0))</f>
        <v/>
      </c>
    </row>
    <row r="22">
      <c r="A22" t="n">
        <v>19</v>
      </c>
      <c r="B22" s="5">
        <f>INDEX('V_Altın'!A$2:A$48,MATCH(LARGE('V_Altın'!$AC$2:$AC$48,ROW()-3),'V_Altın'!$AC$2:$AC$48,0))</f>
        <v/>
      </c>
      <c r="C22" s="5">
        <f>INDEX('V_Altın'!B$2:B$48,MATCH(LARGE('V_Altın'!$AC$2:$AC$48,ROW()-3),'V_Altın'!$AC$2:$AC$48,0))</f>
        <v/>
      </c>
      <c r="D22" s="5">
        <f>INDEX('V_Altın'!C$2:C$48,MATCH(LARGE('V_Altın'!$AC$2:$AC$48,ROW()-3),'V_Altın'!$AC$2:$AC$48,0))</f>
        <v/>
      </c>
      <c r="E22" s="8">
        <f>INDEX('V_Altın'!D$2:D$48,MATCH(LARGE('V_Altın'!$AC$2:$AC$48,ROW()-3),'V_Altın'!$AC$2:$AC$48,0))</f>
        <v/>
      </c>
      <c r="F22" s="9">
        <f>INDEX('V_Altın'!E$2:E$48,MATCH(LARGE('V_Altın'!$AC$2:$AC$48,ROW()-3),'V_Altın'!$AC$2:$AC$48,0))</f>
        <v/>
      </c>
      <c r="G22" s="9">
        <f>INDEX('V_Altın'!F$2:F$48,MATCH(LARGE('V_Altın'!$AC$2:$AC$48,ROW()-3),'V_Altın'!$AC$2:$AC$48,0))</f>
        <v/>
      </c>
      <c r="H22" s="9">
        <f>INDEX('V_Altın'!G$2:G$48,MATCH(LARGE('V_Altın'!$AC$2:$AC$48,ROW()-3),'V_Altın'!$AC$2:$AC$48,0))</f>
        <v/>
      </c>
      <c r="I22" s="9">
        <f>INDEX('V_Altın'!H$2:H$48,MATCH(LARGE('V_Altın'!$AC$2:$AC$48,ROW()-3),'V_Altın'!$AC$2:$AC$48,0))</f>
        <v/>
      </c>
      <c r="J22" s="9">
        <f>INDEX('V_Altın'!I$2:I$48,MATCH(LARGE('V_Altın'!$AC$2:$AC$48,ROW()-3),'V_Altın'!$AC$2:$AC$48,0))</f>
        <v/>
      </c>
      <c r="K22" s="10">
        <f>INDEX('V_Altın'!J$2:J$48,MATCH(LARGE('V_Altın'!$AC$2:$AC$48,ROW()-3),'V_Altın'!$AC$2:$AC$48,0))</f>
        <v/>
      </c>
      <c r="L22" s="10">
        <f>INDEX('V_Altın'!K$2:K$48,MATCH(LARGE('V_Altın'!$AC$2:$AC$48,ROW()-3),'V_Altın'!$AC$2:$AC$48,0))</f>
        <v/>
      </c>
      <c r="M22" s="8">
        <f>INDEX('V_Altın'!L$2:L$48,MATCH(LARGE('V_Altın'!$AC$2:$AC$48,ROW()-3),'V_Altın'!$AC$2:$AC$48,0))</f>
        <v/>
      </c>
      <c r="N22" s="11">
        <f>INDEX('V_Altın'!M$2:M$48,MATCH(LARGE('V_Altın'!$AC$2:$AC$48,ROW()-3),'V_Altın'!$AC$2:$AC$48,0))</f>
        <v/>
      </c>
      <c r="O22" s="11">
        <f>INDEX('V_Altın'!N$2:N$48,MATCH(LARGE('V_Altın'!$AC$2:$AC$48,ROW()-3),'V_Altın'!$AC$2:$AC$48,0))</f>
        <v/>
      </c>
      <c r="P22" s="8">
        <f>INDEX('V_Altın'!O$2:O$48,MATCH(LARGE('V_Altın'!$AC$2:$AC$48,ROW()-3),'V_Altın'!$AC$2:$AC$48,0))</f>
        <v/>
      </c>
      <c r="Q22" s="9">
        <f>INDEX('V_Altın'!P$2:P$48,MATCH(LARGE('V_Altın'!$AC$2:$AC$48,ROW()-3),'V_Altın'!$AC$2:$AC$48,0))</f>
        <v/>
      </c>
      <c r="R22" s="5">
        <f>INDEX('V_Altın'!Q$2:Q$48,MATCH(LARGE('V_Altın'!$AC$2:$AC$48,ROW()-3),'V_Altın'!$AC$2:$AC$48,0))</f>
        <v/>
      </c>
      <c r="S22" s="8">
        <f>INDEX('V_Altın'!R$2:R$48,MATCH(LARGE('V_Altın'!$AC$2:$AC$48,ROW()-3),'V_Altın'!$AC$2:$AC$48,0))</f>
        <v/>
      </c>
      <c r="T22" s="8">
        <f>INDEX('V_Altın'!S$2:S$48,MATCH(LARGE('V_Altın'!$AC$2:$AC$48,ROW()-3),'V_Altın'!$AC$2:$AC$48,0))</f>
        <v/>
      </c>
      <c r="U22" s="8">
        <f>INDEX('V_Altın'!T$2:T$48,MATCH(LARGE('V_Altın'!$AC$2:$AC$48,ROW()-3),'V_Altın'!$AC$2:$AC$48,0))</f>
        <v/>
      </c>
      <c r="V22" s="8">
        <f>INDEX('V_Altın'!U$2:U$48,MATCH(LARGE('V_Altın'!$AC$2:$AC$48,ROW()-3),'V_Altın'!$AC$2:$AC$48,0))</f>
        <v/>
      </c>
      <c r="W22" s="8">
        <f>INDEX('V_Altın'!V$2:V$48,MATCH(LARGE('V_Altın'!$AC$2:$AC$48,ROW()-3),'V_Altın'!$AC$2:$AC$48,0))</f>
        <v/>
      </c>
      <c r="X22" s="8">
        <f>INDEX('V_Altın'!W$2:W$48,MATCH(LARGE('V_Altın'!$AC$2:$AC$48,ROW()-3),'V_Altın'!$AC$2:$AC$48,0))</f>
        <v/>
      </c>
      <c r="Y22" s="8">
        <f>INDEX('V_Altın'!X$2:X$48,MATCH(LARGE('V_Altın'!$AC$2:$AC$48,ROW()-3),'V_Altın'!$AC$2:$AC$48,0))</f>
        <v/>
      </c>
      <c r="Z22" s="8">
        <f>INDEX('V_Altın'!Y$2:Y$48,MATCH(LARGE('V_Altın'!$AC$2:$AC$48,ROW()-3),'V_Altın'!$AC$2:$AC$48,0))</f>
        <v/>
      </c>
      <c r="AA22" s="8">
        <f>INDEX('V_Altın'!Z$2:Z$48,MATCH(LARGE('V_Altın'!$AC$2:$AC$48,ROW()-3),'V_Altın'!$AC$2:$AC$48,0))</f>
        <v/>
      </c>
      <c r="AB22" s="8">
        <f>INDEX('V_Altın'!AA$2:AA$48,MATCH(LARGE('V_Altın'!$AC$2:$AC$48,ROW()-3),'V_Altın'!$AC$2:$AC$48,0))</f>
        <v/>
      </c>
    </row>
    <row r="23">
      <c r="A23" t="n">
        <v>20</v>
      </c>
      <c r="B23" s="5">
        <f>INDEX('V_Altın'!A$2:A$48,MATCH(LARGE('V_Altın'!$AC$2:$AC$48,ROW()-3),'V_Altın'!$AC$2:$AC$48,0))</f>
        <v/>
      </c>
      <c r="C23" s="5">
        <f>INDEX('V_Altın'!B$2:B$48,MATCH(LARGE('V_Altın'!$AC$2:$AC$48,ROW()-3),'V_Altın'!$AC$2:$AC$48,0))</f>
        <v/>
      </c>
      <c r="D23" s="5">
        <f>INDEX('V_Altın'!C$2:C$48,MATCH(LARGE('V_Altın'!$AC$2:$AC$48,ROW()-3),'V_Altın'!$AC$2:$AC$48,0))</f>
        <v/>
      </c>
      <c r="E23" s="8">
        <f>INDEX('V_Altın'!D$2:D$48,MATCH(LARGE('V_Altın'!$AC$2:$AC$48,ROW()-3),'V_Altın'!$AC$2:$AC$48,0))</f>
        <v/>
      </c>
      <c r="F23" s="9">
        <f>INDEX('V_Altın'!E$2:E$48,MATCH(LARGE('V_Altın'!$AC$2:$AC$48,ROW()-3),'V_Altın'!$AC$2:$AC$48,0))</f>
        <v/>
      </c>
      <c r="G23" s="9">
        <f>INDEX('V_Altın'!F$2:F$48,MATCH(LARGE('V_Altın'!$AC$2:$AC$48,ROW()-3),'V_Altın'!$AC$2:$AC$48,0))</f>
        <v/>
      </c>
      <c r="H23" s="9">
        <f>INDEX('V_Altın'!G$2:G$48,MATCH(LARGE('V_Altın'!$AC$2:$AC$48,ROW()-3),'V_Altın'!$AC$2:$AC$48,0))</f>
        <v/>
      </c>
      <c r="I23" s="9">
        <f>INDEX('V_Altın'!H$2:H$48,MATCH(LARGE('V_Altın'!$AC$2:$AC$48,ROW()-3),'V_Altın'!$AC$2:$AC$48,0))</f>
        <v/>
      </c>
      <c r="J23" s="9">
        <f>INDEX('V_Altın'!I$2:I$48,MATCH(LARGE('V_Altın'!$AC$2:$AC$48,ROW()-3),'V_Altın'!$AC$2:$AC$48,0))</f>
        <v/>
      </c>
      <c r="K23" s="10">
        <f>INDEX('V_Altın'!J$2:J$48,MATCH(LARGE('V_Altın'!$AC$2:$AC$48,ROW()-3),'V_Altın'!$AC$2:$AC$48,0))</f>
        <v/>
      </c>
      <c r="L23" s="10">
        <f>INDEX('V_Altın'!K$2:K$48,MATCH(LARGE('V_Altın'!$AC$2:$AC$48,ROW()-3),'V_Altın'!$AC$2:$AC$48,0))</f>
        <v/>
      </c>
      <c r="M23" s="8">
        <f>INDEX('V_Altın'!L$2:L$48,MATCH(LARGE('V_Altın'!$AC$2:$AC$48,ROW()-3),'V_Altın'!$AC$2:$AC$48,0))</f>
        <v/>
      </c>
      <c r="N23" s="11">
        <f>INDEX('V_Altın'!M$2:M$48,MATCH(LARGE('V_Altın'!$AC$2:$AC$48,ROW()-3),'V_Altın'!$AC$2:$AC$48,0))</f>
        <v/>
      </c>
      <c r="O23" s="11">
        <f>INDEX('V_Altın'!N$2:N$48,MATCH(LARGE('V_Altın'!$AC$2:$AC$48,ROW()-3),'V_Altın'!$AC$2:$AC$48,0))</f>
        <v/>
      </c>
      <c r="P23" s="8">
        <f>INDEX('V_Altın'!O$2:O$48,MATCH(LARGE('V_Altın'!$AC$2:$AC$48,ROW()-3),'V_Altın'!$AC$2:$AC$48,0))</f>
        <v/>
      </c>
      <c r="Q23" s="9">
        <f>INDEX('V_Altın'!P$2:P$48,MATCH(LARGE('V_Altın'!$AC$2:$AC$48,ROW()-3),'V_Altın'!$AC$2:$AC$48,0))</f>
        <v/>
      </c>
      <c r="R23" s="5">
        <f>INDEX('V_Altın'!Q$2:Q$48,MATCH(LARGE('V_Altın'!$AC$2:$AC$48,ROW()-3),'V_Altın'!$AC$2:$AC$48,0))</f>
        <v/>
      </c>
      <c r="S23" s="8">
        <f>INDEX('V_Altın'!R$2:R$48,MATCH(LARGE('V_Altın'!$AC$2:$AC$48,ROW()-3),'V_Altın'!$AC$2:$AC$48,0))</f>
        <v/>
      </c>
      <c r="T23" s="8">
        <f>INDEX('V_Altın'!S$2:S$48,MATCH(LARGE('V_Altın'!$AC$2:$AC$48,ROW()-3),'V_Altın'!$AC$2:$AC$48,0))</f>
        <v/>
      </c>
      <c r="U23" s="8">
        <f>INDEX('V_Altın'!T$2:T$48,MATCH(LARGE('V_Altın'!$AC$2:$AC$48,ROW()-3),'V_Altın'!$AC$2:$AC$48,0))</f>
        <v/>
      </c>
      <c r="V23" s="8">
        <f>INDEX('V_Altın'!U$2:U$48,MATCH(LARGE('V_Altın'!$AC$2:$AC$48,ROW()-3),'V_Altın'!$AC$2:$AC$48,0))</f>
        <v/>
      </c>
      <c r="W23" s="8">
        <f>INDEX('V_Altın'!V$2:V$48,MATCH(LARGE('V_Altın'!$AC$2:$AC$48,ROW()-3),'V_Altın'!$AC$2:$AC$48,0))</f>
        <v/>
      </c>
      <c r="X23" s="8">
        <f>INDEX('V_Altın'!W$2:W$48,MATCH(LARGE('V_Altın'!$AC$2:$AC$48,ROW()-3),'V_Altın'!$AC$2:$AC$48,0))</f>
        <v/>
      </c>
      <c r="Y23" s="8">
        <f>INDEX('V_Altın'!X$2:X$48,MATCH(LARGE('V_Altın'!$AC$2:$AC$48,ROW()-3),'V_Altın'!$AC$2:$AC$48,0))</f>
        <v/>
      </c>
      <c r="Z23" s="8">
        <f>INDEX('V_Altın'!Y$2:Y$48,MATCH(LARGE('V_Altın'!$AC$2:$AC$48,ROW()-3),'V_Altın'!$AC$2:$AC$48,0))</f>
        <v/>
      </c>
      <c r="AA23" s="8">
        <f>INDEX('V_Altın'!Z$2:Z$48,MATCH(LARGE('V_Altın'!$AC$2:$AC$48,ROW()-3),'V_Altın'!$AC$2:$AC$48,0))</f>
        <v/>
      </c>
      <c r="AB23" s="8">
        <f>INDEX('V_Altın'!AA$2:AA$48,MATCH(LARGE('V_Altın'!$AC$2:$AC$48,ROW()-3),'V_Altın'!$AC$2:$AC$48,0))</f>
        <v/>
      </c>
    </row>
    <row r="24">
      <c r="A24" t="n">
        <v>21</v>
      </c>
      <c r="B24" s="5">
        <f>INDEX('V_Altın'!A$2:A$48,MATCH(LARGE('V_Altın'!$AC$2:$AC$48,ROW()-3),'V_Altın'!$AC$2:$AC$48,0))</f>
        <v/>
      </c>
      <c r="C24" s="5">
        <f>INDEX('V_Altın'!B$2:B$48,MATCH(LARGE('V_Altın'!$AC$2:$AC$48,ROW()-3),'V_Altın'!$AC$2:$AC$48,0))</f>
        <v/>
      </c>
      <c r="D24" s="5">
        <f>INDEX('V_Altın'!C$2:C$48,MATCH(LARGE('V_Altın'!$AC$2:$AC$48,ROW()-3),'V_Altın'!$AC$2:$AC$48,0))</f>
        <v/>
      </c>
      <c r="E24" s="8">
        <f>INDEX('V_Altın'!D$2:D$48,MATCH(LARGE('V_Altın'!$AC$2:$AC$48,ROW()-3),'V_Altın'!$AC$2:$AC$48,0))</f>
        <v/>
      </c>
      <c r="F24" s="9">
        <f>INDEX('V_Altın'!E$2:E$48,MATCH(LARGE('V_Altın'!$AC$2:$AC$48,ROW()-3),'V_Altın'!$AC$2:$AC$48,0))</f>
        <v/>
      </c>
      <c r="G24" s="9">
        <f>INDEX('V_Altın'!F$2:F$48,MATCH(LARGE('V_Altın'!$AC$2:$AC$48,ROW()-3),'V_Altın'!$AC$2:$AC$48,0))</f>
        <v/>
      </c>
      <c r="H24" s="9">
        <f>INDEX('V_Altın'!G$2:G$48,MATCH(LARGE('V_Altın'!$AC$2:$AC$48,ROW()-3),'V_Altın'!$AC$2:$AC$48,0))</f>
        <v/>
      </c>
      <c r="I24" s="9">
        <f>INDEX('V_Altın'!H$2:H$48,MATCH(LARGE('V_Altın'!$AC$2:$AC$48,ROW()-3),'V_Altın'!$AC$2:$AC$48,0))</f>
        <v/>
      </c>
      <c r="J24" s="9">
        <f>INDEX('V_Altın'!I$2:I$48,MATCH(LARGE('V_Altın'!$AC$2:$AC$48,ROW()-3),'V_Altın'!$AC$2:$AC$48,0))</f>
        <v/>
      </c>
      <c r="K24" s="10">
        <f>INDEX('V_Altın'!J$2:J$48,MATCH(LARGE('V_Altın'!$AC$2:$AC$48,ROW()-3),'V_Altın'!$AC$2:$AC$48,0))</f>
        <v/>
      </c>
      <c r="L24" s="10">
        <f>INDEX('V_Altın'!K$2:K$48,MATCH(LARGE('V_Altın'!$AC$2:$AC$48,ROW()-3),'V_Altın'!$AC$2:$AC$48,0))</f>
        <v/>
      </c>
      <c r="M24" s="8">
        <f>INDEX('V_Altın'!L$2:L$48,MATCH(LARGE('V_Altın'!$AC$2:$AC$48,ROW()-3),'V_Altın'!$AC$2:$AC$48,0))</f>
        <v/>
      </c>
      <c r="N24" s="11">
        <f>INDEX('V_Altın'!M$2:M$48,MATCH(LARGE('V_Altın'!$AC$2:$AC$48,ROW()-3),'V_Altın'!$AC$2:$AC$48,0))</f>
        <v/>
      </c>
      <c r="O24" s="11">
        <f>INDEX('V_Altın'!N$2:N$48,MATCH(LARGE('V_Altın'!$AC$2:$AC$48,ROW()-3),'V_Altın'!$AC$2:$AC$48,0))</f>
        <v/>
      </c>
      <c r="P24" s="8">
        <f>INDEX('V_Altın'!O$2:O$48,MATCH(LARGE('V_Altın'!$AC$2:$AC$48,ROW()-3),'V_Altın'!$AC$2:$AC$48,0))</f>
        <v/>
      </c>
      <c r="Q24" s="9">
        <f>INDEX('V_Altın'!P$2:P$48,MATCH(LARGE('V_Altın'!$AC$2:$AC$48,ROW()-3),'V_Altın'!$AC$2:$AC$48,0))</f>
        <v/>
      </c>
      <c r="R24" s="5">
        <f>INDEX('V_Altın'!Q$2:Q$48,MATCH(LARGE('V_Altın'!$AC$2:$AC$48,ROW()-3),'V_Altın'!$AC$2:$AC$48,0))</f>
        <v/>
      </c>
      <c r="S24" s="8">
        <f>INDEX('V_Altın'!R$2:R$48,MATCH(LARGE('V_Altın'!$AC$2:$AC$48,ROW()-3),'V_Altın'!$AC$2:$AC$48,0))</f>
        <v/>
      </c>
      <c r="T24" s="8">
        <f>INDEX('V_Altın'!S$2:S$48,MATCH(LARGE('V_Altın'!$AC$2:$AC$48,ROW()-3),'V_Altın'!$AC$2:$AC$48,0))</f>
        <v/>
      </c>
      <c r="U24" s="8">
        <f>INDEX('V_Altın'!T$2:T$48,MATCH(LARGE('V_Altın'!$AC$2:$AC$48,ROW()-3),'V_Altın'!$AC$2:$AC$48,0))</f>
        <v/>
      </c>
      <c r="V24" s="8">
        <f>INDEX('V_Altın'!U$2:U$48,MATCH(LARGE('V_Altın'!$AC$2:$AC$48,ROW()-3),'V_Altın'!$AC$2:$AC$48,0))</f>
        <v/>
      </c>
      <c r="W24" s="8">
        <f>INDEX('V_Altın'!V$2:V$48,MATCH(LARGE('V_Altın'!$AC$2:$AC$48,ROW()-3),'V_Altın'!$AC$2:$AC$48,0))</f>
        <v/>
      </c>
      <c r="X24" s="8">
        <f>INDEX('V_Altın'!W$2:W$48,MATCH(LARGE('V_Altın'!$AC$2:$AC$48,ROW()-3),'V_Altın'!$AC$2:$AC$48,0))</f>
        <v/>
      </c>
      <c r="Y24" s="8">
        <f>INDEX('V_Altın'!X$2:X$48,MATCH(LARGE('V_Altın'!$AC$2:$AC$48,ROW()-3),'V_Altın'!$AC$2:$AC$48,0))</f>
        <v/>
      </c>
      <c r="Z24" s="8">
        <f>INDEX('V_Altın'!Y$2:Y$48,MATCH(LARGE('V_Altın'!$AC$2:$AC$48,ROW()-3),'V_Altın'!$AC$2:$AC$48,0))</f>
        <v/>
      </c>
      <c r="AA24" s="8">
        <f>INDEX('V_Altın'!Z$2:Z$48,MATCH(LARGE('V_Altın'!$AC$2:$AC$48,ROW()-3),'V_Altın'!$AC$2:$AC$48,0))</f>
        <v/>
      </c>
      <c r="AB24" s="8">
        <f>INDEX('V_Altın'!AA$2:AA$48,MATCH(LARGE('V_Altın'!$AC$2:$AC$48,ROW()-3),'V_Altın'!$AC$2:$AC$48,0))</f>
        <v/>
      </c>
    </row>
    <row r="25">
      <c r="A25" t="n">
        <v>22</v>
      </c>
      <c r="B25" s="5">
        <f>INDEX('V_Altın'!A$2:A$48,MATCH(LARGE('V_Altın'!$AC$2:$AC$48,ROW()-3),'V_Altın'!$AC$2:$AC$48,0))</f>
        <v/>
      </c>
      <c r="C25" s="5">
        <f>INDEX('V_Altın'!B$2:B$48,MATCH(LARGE('V_Altın'!$AC$2:$AC$48,ROW()-3),'V_Altın'!$AC$2:$AC$48,0))</f>
        <v/>
      </c>
      <c r="D25" s="5">
        <f>INDEX('V_Altın'!C$2:C$48,MATCH(LARGE('V_Altın'!$AC$2:$AC$48,ROW()-3),'V_Altın'!$AC$2:$AC$48,0))</f>
        <v/>
      </c>
      <c r="E25" s="8">
        <f>INDEX('V_Altın'!D$2:D$48,MATCH(LARGE('V_Altın'!$AC$2:$AC$48,ROW()-3),'V_Altın'!$AC$2:$AC$48,0))</f>
        <v/>
      </c>
      <c r="F25" s="9">
        <f>INDEX('V_Altın'!E$2:E$48,MATCH(LARGE('V_Altın'!$AC$2:$AC$48,ROW()-3),'V_Altın'!$AC$2:$AC$48,0))</f>
        <v/>
      </c>
      <c r="G25" s="9">
        <f>INDEX('V_Altın'!F$2:F$48,MATCH(LARGE('V_Altın'!$AC$2:$AC$48,ROW()-3),'V_Altın'!$AC$2:$AC$48,0))</f>
        <v/>
      </c>
      <c r="H25" s="9">
        <f>INDEX('V_Altın'!G$2:G$48,MATCH(LARGE('V_Altın'!$AC$2:$AC$48,ROW()-3),'V_Altın'!$AC$2:$AC$48,0))</f>
        <v/>
      </c>
      <c r="I25" s="9">
        <f>INDEX('V_Altın'!H$2:H$48,MATCH(LARGE('V_Altın'!$AC$2:$AC$48,ROW()-3),'V_Altın'!$AC$2:$AC$48,0))</f>
        <v/>
      </c>
      <c r="J25" s="9">
        <f>INDEX('V_Altın'!I$2:I$48,MATCH(LARGE('V_Altın'!$AC$2:$AC$48,ROW()-3),'V_Altın'!$AC$2:$AC$48,0))</f>
        <v/>
      </c>
      <c r="K25" s="10">
        <f>INDEX('V_Altın'!J$2:J$48,MATCH(LARGE('V_Altın'!$AC$2:$AC$48,ROW()-3),'V_Altın'!$AC$2:$AC$48,0))</f>
        <v/>
      </c>
      <c r="L25" s="10">
        <f>INDEX('V_Altın'!K$2:K$48,MATCH(LARGE('V_Altın'!$AC$2:$AC$48,ROW()-3),'V_Altın'!$AC$2:$AC$48,0))</f>
        <v/>
      </c>
      <c r="M25" s="8">
        <f>INDEX('V_Altın'!L$2:L$48,MATCH(LARGE('V_Altın'!$AC$2:$AC$48,ROW()-3),'V_Altın'!$AC$2:$AC$48,0))</f>
        <v/>
      </c>
      <c r="N25" s="11">
        <f>INDEX('V_Altın'!M$2:M$48,MATCH(LARGE('V_Altın'!$AC$2:$AC$48,ROW()-3),'V_Altın'!$AC$2:$AC$48,0))</f>
        <v/>
      </c>
      <c r="O25" s="11">
        <f>INDEX('V_Altın'!N$2:N$48,MATCH(LARGE('V_Altın'!$AC$2:$AC$48,ROW()-3),'V_Altın'!$AC$2:$AC$48,0))</f>
        <v/>
      </c>
      <c r="P25" s="8">
        <f>INDEX('V_Altın'!O$2:O$48,MATCH(LARGE('V_Altın'!$AC$2:$AC$48,ROW()-3),'V_Altın'!$AC$2:$AC$48,0))</f>
        <v/>
      </c>
      <c r="Q25" s="9">
        <f>INDEX('V_Altın'!P$2:P$48,MATCH(LARGE('V_Altın'!$AC$2:$AC$48,ROW()-3),'V_Altın'!$AC$2:$AC$48,0))</f>
        <v/>
      </c>
      <c r="R25" s="5">
        <f>INDEX('V_Altın'!Q$2:Q$48,MATCH(LARGE('V_Altın'!$AC$2:$AC$48,ROW()-3),'V_Altın'!$AC$2:$AC$48,0))</f>
        <v/>
      </c>
      <c r="S25" s="8">
        <f>INDEX('V_Altın'!R$2:R$48,MATCH(LARGE('V_Altın'!$AC$2:$AC$48,ROW()-3),'V_Altın'!$AC$2:$AC$48,0))</f>
        <v/>
      </c>
      <c r="T25" s="8">
        <f>INDEX('V_Altın'!S$2:S$48,MATCH(LARGE('V_Altın'!$AC$2:$AC$48,ROW()-3),'V_Altın'!$AC$2:$AC$48,0))</f>
        <v/>
      </c>
      <c r="U25" s="8">
        <f>INDEX('V_Altın'!T$2:T$48,MATCH(LARGE('V_Altın'!$AC$2:$AC$48,ROW()-3),'V_Altın'!$AC$2:$AC$48,0))</f>
        <v/>
      </c>
      <c r="V25" s="8">
        <f>INDEX('V_Altın'!U$2:U$48,MATCH(LARGE('V_Altın'!$AC$2:$AC$48,ROW()-3),'V_Altın'!$AC$2:$AC$48,0))</f>
        <v/>
      </c>
      <c r="W25" s="8">
        <f>INDEX('V_Altın'!V$2:V$48,MATCH(LARGE('V_Altın'!$AC$2:$AC$48,ROW()-3),'V_Altın'!$AC$2:$AC$48,0))</f>
        <v/>
      </c>
      <c r="X25" s="8">
        <f>INDEX('V_Altın'!W$2:W$48,MATCH(LARGE('V_Altın'!$AC$2:$AC$48,ROW()-3),'V_Altın'!$AC$2:$AC$48,0))</f>
        <v/>
      </c>
      <c r="Y25" s="8">
        <f>INDEX('V_Altın'!X$2:X$48,MATCH(LARGE('V_Altın'!$AC$2:$AC$48,ROW()-3),'V_Altın'!$AC$2:$AC$48,0))</f>
        <v/>
      </c>
      <c r="Z25" s="8">
        <f>INDEX('V_Altın'!Y$2:Y$48,MATCH(LARGE('V_Altın'!$AC$2:$AC$48,ROW()-3),'V_Altın'!$AC$2:$AC$48,0))</f>
        <v/>
      </c>
      <c r="AA25" s="8">
        <f>INDEX('V_Altın'!Z$2:Z$48,MATCH(LARGE('V_Altın'!$AC$2:$AC$48,ROW()-3),'V_Altın'!$AC$2:$AC$48,0))</f>
        <v/>
      </c>
      <c r="AB25" s="8">
        <f>INDEX('V_Altın'!AA$2:AA$48,MATCH(LARGE('V_Altın'!$AC$2:$AC$48,ROW()-3),'V_Altın'!$AC$2:$AC$48,0))</f>
        <v/>
      </c>
    </row>
    <row r="26">
      <c r="A26" t="n">
        <v>23</v>
      </c>
      <c r="B26" s="5">
        <f>INDEX('V_Altın'!A$2:A$48,MATCH(LARGE('V_Altın'!$AC$2:$AC$48,ROW()-3),'V_Altın'!$AC$2:$AC$48,0))</f>
        <v/>
      </c>
      <c r="C26" s="5">
        <f>INDEX('V_Altın'!B$2:B$48,MATCH(LARGE('V_Altın'!$AC$2:$AC$48,ROW()-3),'V_Altın'!$AC$2:$AC$48,0))</f>
        <v/>
      </c>
      <c r="D26" s="5">
        <f>INDEX('V_Altın'!C$2:C$48,MATCH(LARGE('V_Altın'!$AC$2:$AC$48,ROW()-3),'V_Altın'!$AC$2:$AC$48,0))</f>
        <v/>
      </c>
      <c r="E26" s="8">
        <f>INDEX('V_Altın'!D$2:D$48,MATCH(LARGE('V_Altın'!$AC$2:$AC$48,ROW()-3),'V_Altın'!$AC$2:$AC$48,0))</f>
        <v/>
      </c>
      <c r="F26" s="9">
        <f>INDEX('V_Altın'!E$2:E$48,MATCH(LARGE('V_Altın'!$AC$2:$AC$48,ROW()-3),'V_Altın'!$AC$2:$AC$48,0))</f>
        <v/>
      </c>
      <c r="G26" s="9">
        <f>INDEX('V_Altın'!F$2:F$48,MATCH(LARGE('V_Altın'!$AC$2:$AC$48,ROW()-3),'V_Altın'!$AC$2:$AC$48,0))</f>
        <v/>
      </c>
      <c r="H26" s="9">
        <f>INDEX('V_Altın'!G$2:G$48,MATCH(LARGE('V_Altın'!$AC$2:$AC$48,ROW()-3),'V_Altın'!$AC$2:$AC$48,0))</f>
        <v/>
      </c>
      <c r="I26" s="9">
        <f>INDEX('V_Altın'!H$2:H$48,MATCH(LARGE('V_Altın'!$AC$2:$AC$48,ROW()-3),'V_Altın'!$AC$2:$AC$48,0))</f>
        <v/>
      </c>
      <c r="J26" s="9">
        <f>INDEX('V_Altın'!I$2:I$48,MATCH(LARGE('V_Altın'!$AC$2:$AC$48,ROW()-3),'V_Altın'!$AC$2:$AC$48,0))</f>
        <v/>
      </c>
      <c r="K26" s="10">
        <f>INDEX('V_Altın'!J$2:J$48,MATCH(LARGE('V_Altın'!$AC$2:$AC$48,ROW()-3),'V_Altın'!$AC$2:$AC$48,0))</f>
        <v/>
      </c>
      <c r="L26" s="10">
        <f>INDEX('V_Altın'!K$2:K$48,MATCH(LARGE('V_Altın'!$AC$2:$AC$48,ROW()-3),'V_Altın'!$AC$2:$AC$48,0))</f>
        <v/>
      </c>
      <c r="M26" s="8">
        <f>INDEX('V_Altın'!L$2:L$48,MATCH(LARGE('V_Altın'!$AC$2:$AC$48,ROW()-3),'V_Altın'!$AC$2:$AC$48,0))</f>
        <v/>
      </c>
      <c r="N26" s="11">
        <f>INDEX('V_Altın'!M$2:M$48,MATCH(LARGE('V_Altın'!$AC$2:$AC$48,ROW()-3),'V_Altın'!$AC$2:$AC$48,0))</f>
        <v/>
      </c>
      <c r="O26" s="11">
        <f>INDEX('V_Altın'!N$2:N$48,MATCH(LARGE('V_Altın'!$AC$2:$AC$48,ROW()-3),'V_Altın'!$AC$2:$AC$48,0))</f>
        <v/>
      </c>
      <c r="P26" s="8">
        <f>INDEX('V_Altın'!O$2:O$48,MATCH(LARGE('V_Altın'!$AC$2:$AC$48,ROW()-3),'V_Altın'!$AC$2:$AC$48,0))</f>
        <v/>
      </c>
      <c r="Q26" s="9">
        <f>INDEX('V_Altın'!P$2:P$48,MATCH(LARGE('V_Altın'!$AC$2:$AC$48,ROW()-3),'V_Altın'!$AC$2:$AC$48,0))</f>
        <v/>
      </c>
      <c r="R26" s="5">
        <f>INDEX('V_Altın'!Q$2:Q$48,MATCH(LARGE('V_Altın'!$AC$2:$AC$48,ROW()-3),'V_Altın'!$AC$2:$AC$48,0))</f>
        <v/>
      </c>
      <c r="S26" s="8">
        <f>INDEX('V_Altın'!R$2:R$48,MATCH(LARGE('V_Altın'!$AC$2:$AC$48,ROW()-3),'V_Altın'!$AC$2:$AC$48,0))</f>
        <v/>
      </c>
      <c r="T26" s="8">
        <f>INDEX('V_Altın'!S$2:S$48,MATCH(LARGE('V_Altın'!$AC$2:$AC$48,ROW()-3),'V_Altın'!$AC$2:$AC$48,0))</f>
        <v/>
      </c>
      <c r="U26" s="8">
        <f>INDEX('V_Altın'!T$2:T$48,MATCH(LARGE('V_Altın'!$AC$2:$AC$48,ROW()-3),'V_Altın'!$AC$2:$AC$48,0))</f>
        <v/>
      </c>
      <c r="V26" s="8">
        <f>INDEX('V_Altın'!U$2:U$48,MATCH(LARGE('V_Altın'!$AC$2:$AC$48,ROW()-3),'V_Altın'!$AC$2:$AC$48,0))</f>
        <v/>
      </c>
      <c r="W26" s="8">
        <f>INDEX('V_Altın'!V$2:V$48,MATCH(LARGE('V_Altın'!$AC$2:$AC$48,ROW()-3),'V_Altın'!$AC$2:$AC$48,0))</f>
        <v/>
      </c>
      <c r="X26" s="8">
        <f>INDEX('V_Altın'!W$2:W$48,MATCH(LARGE('V_Altın'!$AC$2:$AC$48,ROW()-3),'V_Altın'!$AC$2:$AC$48,0))</f>
        <v/>
      </c>
      <c r="Y26" s="8">
        <f>INDEX('V_Altın'!X$2:X$48,MATCH(LARGE('V_Altın'!$AC$2:$AC$48,ROW()-3),'V_Altın'!$AC$2:$AC$48,0))</f>
        <v/>
      </c>
      <c r="Z26" s="8">
        <f>INDEX('V_Altın'!Y$2:Y$48,MATCH(LARGE('V_Altın'!$AC$2:$AC$48,ROW()-3),'V_Altın'!$AC$2:$AC$48,0))</f>
        <v/>
      </c>
      <c r="AA26" s="8">
        <f>INDEX('V_Altın'!Z$2:Z$48,MATCH(LARGE('V_Altın'!$AC$2:$AC$48,ROW()-3),'V_Altın'!$AC$2:$AC$48,0))</f>
        <v/>
      </c>
      <c r="AB26" s="8">
        <f>INDEX('V_Altın'!AA$2:AA$48,MATCH(LARGE('V_Altın'!$AC$2:$AC$48,ROW()-3),'V_Altın'!$AC$2:$AC$48,0))</f>
        <v/>
      </c>
    </row>
    <row r="27">
      <c r="A27" t="n">
        <v>24</v>
      </c>
      <c r="B27" s="5">
        <f>INDEX('V_Altın'!A$2:A$48,MATCH(LARGE('V_Altın'!$AC$2:$AC$48,ROW()-3),'V_Altın'!$AC$2:$AC$48,0))</f>
        <v/>
      </c>
      <c r="C27" s="5">
        <f>INDEX('V_Altın'!B$2:B$48,MATCH(LARGE('V_Altın'!$AC$2:$AC$48,ROW()-3),'V_Altın'!$AC$2:$AC$48,0))</f>
        <v/>
      </c>
      <c r="D27" s="5">
        <f>INDEX('V_Altın'!C$2:C$48,MATCH(LARGE('V_Altın'!$AC$2:$AC$48,ROW()-3),'V_Altın'!$AC$2:$AC$48,0))</f>
        <v/>
      </c>
      <c r="E27" s="8">
        <f>INDEX('V_Altın'!D$2:D$48,MATCH(LARGE('V_Altın'!$AC$2:$AC$48,ROW()-3),'V_Altın'!$AC$2:$AC$48,0))</f>
        <v/>
      </c>
      <c r="F27" s="9">
        <f>INDEX('V_Altın'!E$2:E$48,MATCH(LARGE('V_Altın'!$AC$2:$AC$48,ROW()-3),'V_Altın'!$AC$2:$AC$48,0))</f>
        <v/>
      </c>
      <c r="G27" s="9">
        <f>INDEX('V_Altın'!F$2:F$48,MATCH(LARGE('V_Altın'!$AC$2:$AC$48,ROW()-3),'V_Altın'!$AC$2:$AC$48,0))</f>
        <v/>
      </c>
      <c r="H27" s="9">
        <f>INDEX('V_Altın'!G$2:G$48,MATCH(LARGE('V_Altın'!$AC$2:$AC$48,ROW()-3),'V_Altın'!$AC$2:$AC$48,0))</f>
        <v/>
      </c>
      <c r="I27" s="9">
        <f>INDEX('V_Altın'!H$2:H$48,MATCH(LARGE('V_Altın'!$AC$2:$AC$48,ROW()-3),'V_Altın'!$AC$2:$AC$48,0))</f>
        <v/>
      </c>
      <c r="J27" s="9">
        <f>INDEX('V_Altın'!I$2:I$48,MATCH(LARGE('V_Altın'!$AC$2:$AC$48,ROW()-3),'V_Altın'!$AC$2:$AC$48,0))</f>
        <v/>
      </c>
      <c r="K27" s="10">
        <f>INDEX('V_Altın'!J$2:J$48,MATCH(LARGE('V_Altın'!$AC$2:$AC$48,ROW()-3),'V_Altın'!$AC$2:$AC$48,0))</f>
        <v/>
      </c>
      <c r="L27" s="10">
        <f>INDEX('V_Altın'!K$2:K$48,MATCH(LARGE('V_Altın'!$AC$2:$AC$48,ROW()-3),'V_Altın'!$AC$2:$AC$48,0))</f>
        <v/>
      </c>
      <c r="M27" s="8">
        <f>INDEX('V_Altın'!L$2:L$48,MATCH(LARGE('V_Altın'!$AC$2:$AC$48,ROW()-3),'V_Altın'!$AC$2:$AC$48,0))</f>
        <v/>
      </c>
      <c r="N27" s="11">
        <f>INDEX('V_Altın'!M$2:M$48,MATCH(LARGE('V_Altın'!$AC$2:$AC$48,ROW()-3),'V_Altın'!$AC$2:$AC$48,0))</f>
        <v/>
      </c>
      <c r="O27" s="11">
        <f>INDEX('V_Altın'!N$2:N$48,MATCH(LARGE('V_Altın'!$AC$2:$AC$48,ROW()-3),'V_Altın'!$AC$2:$AC$48,0))</f>
        <v/>
      </c>
      <c r="P27" s="8">
        <f>INDEX('V_Altın'!O$2:O$48,MATCH(LARGE('V_Altın'!$AC$2:$AC$48,ROW()-3),'V_Altın'!$AC$2:$AC$48,0))</f>
        <v/>
      </c>
      <c r="Q27" s="9">
        <f>INDEX('V_Altın'!P$2:P$48,MATCH(LARGE('V_Altın'!$AC$2:$AC$48,ROW()-3),'V_Altın'!$AC$2:$AC$48,0))</f>
        <v/>
      </c>
      <c r="R27" s="5">
        <f>INDEX('V_Altın'!Q$2:Q$48,MATCH(LARGE('V_Altın'!$AC$2:$AC$48,ROW()-3),'V_Altın'!$AC$2:$AC$48,0))</f>
        <v/>
      </c>
      <c r="S27" s="8">
        <f>INDEX('V_Altın'!R$2:R$48,MATCH(LARGE('V_Altın'!$AC$2:$AC$48,ROW()-3),'V_Altın'!$AC$2:$AC$48,0))</f>
        <v/>
      </c>
      <c r="T27" s="8">
        <f>INDEX('V_Altın'!S$2:S$48,MATCH(LARGE('V_Altın'!$AC$2:$AC$48,ROW()-3),'V_Altın'!$AC$2:$AC$48,0))</f>
        <v/>
      </c>
      <c r="U27" s="8">
        <f>INDEX('V_Altın'!T$2:T$48,MATCH(LARGE('V_Altın'!$AC$2:$AC$48,ROW()-3),'V_Altın'!$AC$2:$AC$48,0))</f>
        <v/>
      </c>
      <c r="V27" s="8">
        <f>INDEX('V_Altın'!U$2:U$48,MATCH(LARGE('V_Altın'!$AC$2:$AC$48,ROW()-3),'V_Altın'!$AC$2:$AC$48,0))</f>
        <v/>
      </c>
      <c r="W27" s="8">
        <f>INDEX('V_Altın'!V$2:V$48,MATCH(LARGE('V_Altın'!$AC$2:$AC$48,ROW()-3),'V_Altın'!$AC$2:$AC$48,0))</f>
        <v/>
      </c>
      <c r="X27" s="8">
        <f>INDEX('V_Altın'!W$2:W$48,MATCH(LARGE('V_Altın'!$AC$2:$AC$48,ROW()-3),'V_Altın'!$AC$2:$AC$48,0))</f>
        <v/>
      </c>
      <c r="Y27" s="8">
        <f>INDEX('V_Altın'!X$2:X$48,MATCH(LARGE('V_Altın'!$AC$2:$AC$48,ROW()-3),'V_Altın'!$AC$2:$AC$48,0))</f>
        <v/>
      </c>
      <c r="Z27" s="8">
        <f>INDEX('V_Altın'!Y$2:Y$48,MATCH(LARGE('V_Altın'!$AC$2:$AC$48,ROW()-3),'V_Altın'!$AC$2:$AC$48,0))</f>
        <v/>
      </c>
      <c r="AA27" s="8">
        <f>INDEX('V_Altın'!Z$2:Z$48,MATCH(LARGE('V_Altın'!$AC$2:$AC$48,ROW()-3),'V_Altın'!$AC$2:$AC$48,0))</f>
        <v/>
      </c>
      <c r="AB27" s="8">
        <f>INDEX('V_Altın'!AA$2:AA$48,MATCH(LARGE('V_Altın'!$AC$2:$AC$48,ROW()-3),'V_Altın'!$AC$2:$AC$48,0))</f>
        <v/>
      </c>
    </row>
    <row r="28">
      <c r="A28" t="n">
        <v>25</v>
      </c>
      <c r="B28" s="5">
        <f>INDEX('V_Altın'!A$2:A$48,MATCH(LARGE('V_Altın'!$AC$2:$AC$48,ROW()-3),'V_Altın'!$AC$2:$AC$48,0))</f>
        <v/>
      </c>
      <c r="C28" s="5">
        <f>INDEX('V_Altın'!B$2:B$48,MATCH(LARGE('V_Altın'!$AC$2:$AC$48,ROW()-3),'V_Altın'!$AC$2:$AC$48,0))</f>
        <v/>
      </c>
      <c r="D28" s="5">
        <f>INDEX('V_Altın'!C$2:C$48,MATCH(LARGE('V_Altın'!$AC$2:$AC$48,ROW()-3),'V_Altın'!$AC$2:$AC$48,0))</f>
        <v/>
      </c>
      <c r="E28" s="8">
        <f>INDEX('V_Altın'!D$2:D$48,MATCH(LARGE('V_Altın'!$AC$2:$AC$48,ROW()-3),'V_Altın'!$AC$2:$AC$48,0))</f>
        <v/>
      </c>
      <c r="F28" s="9">
        <f>INDEX('V_Altın'!E$2:E$48,MATCH(LARGE('V_Altın'!$AC$2:$AC$48,ROW()-3),'V_Altın'!$AC$2:$AC$48,0))</f>
        <v/>
      </c>
      <c r="G28" s="9">
        <f>INDEX('V_Altın'!F$2:F$48,MATCH(LARGE('V_Altın'!$AC$2:$AC$48,ROW()-3),'V_Altın'!$AC$2:$AC$48,0))</f>
        <v/>
      </c>
      <c r="H28" s="9">
        <f>INDEX('V_Altın'!G$2:G$48,MATCH(LARGE('V_Altın'!$AC$2:$AC$48,ROW()-3),'V_Altın'!$AC$2:$AC$48,0))</f>
        <v/>
      </c>
      <c r="I28" s="9">
        <f>INDEX('V_Altın'!H$2:H$48,MATCH(LARGE('V_Altın'!$AC$2:$AC$48,ROW()-3),'V_Altın'!$AC$2:$AC$48,0))</f>
        <v/>
      </c>
      <c r="J28" s="9">
        <f>INDEX('V_Altın'!I$2:I$48,MATCH(LARGE('V_Altın'!$AC$2:$AC$48,ROW()-3),'V_Altın'!$AC$2:$AC$48,0))</f>
        <v/>
      </c>
      <c r="K28" s="10">
        <f>INDEX('V_Altın'!J$2:J$48,MATCH(LARGE('V_Altın'!$AC$2:$AC$48,ROW()-3),'V_Altın'!$AC$2:$AC$48,0))</f>
        <v/>
      </c>
      <c r="L28" s="10">
        <f>INDEX('V_Altın'!K$2:K$48,MATCH(LARGE('V_Altın'!$AC$2:$AC$48,ROW()-3),'V_Altın'!$AC$2:$AC$48,0))</f>
        <v/>
      </c>
      <c r="M28" s="8">
        <f>INDEX('V_Altın'!L$2:L$48,MATCH(LARGE('V_Altın'!$AC$2:$AC$48,ROW()-3),'V_Altın'!$AC$2:$AC$48,0))</f>
        <v/>
      </c>
      <c r="N28" s="11">
        <f>INDEX('V_Altın'!M$2:M$48,MATCH(LARGE('V_Altın'!$AC$2:$AC$48,ROW()-3),'V_Altın'!$AC$2:$AC$48,0))</f>
        <v/>
      </c>
      <c r="O28" s="11">
        <f>INDEX('V_Altın'!N$2:N$48,MATCH(LARGE('V_Altın'!$AC$2:$AC$48,ROW()-3),'V_Altın'!$AC$2:$AC$48,0))</f>
        <v/>
      </c>
      <c r="P28" s="8">
        <f>INDEX('V_Altın'!O$2:O$48,MATCH(LARGE('V_Altın'!$AC$2:$AC$48,ROW()-3),'V_Altın'!$AC$2:$AC$48,0))</f>
        <v/>
      </c>
      <c r="Q28" s="9">
        <f>INDEX('V_Altın'!P$2:P$48,MATCH(LARGE('V_Altın'!$AC$2:$AC$48,ROW()-3),'V_Altın'!$AC$2:$AC$48,0))</f>
        <v/>
      </c>
      <c r="R28" s="5">
        <f>INDEX('V_Altın'!Q$2:Q$48,MATCH(LARGE('V_Altın'!$AC$2:$AC$48,ROW()-3),'V_Altın'!$AC$2:$AC$48,0))</f>
        <v/>
      </c>
      <c r="S28" s="8">
        <f>INDEX('V_Altın'!R$2:R$48,MATCH(LARGE('V_Altın'!$AC$2:$AC$48,ROW()-3),'V_Altın'!$AC$2:$AC$48,0))</f>
        <v/>
      </c>
      <c r="T28" s="8">
        <f>INDEX('V_Altın'!S$2:S$48,MATCH(LARGE('V_Altın'!$AC$2:$AC$48,ROW()-3),'V_Altın'!$AC$2:$AC$48,0))</f>
        <v/>
      </c>
      <c r="U28" s="8">
        <f>INDEX('V_Altın'!T$2:T$48,MATCH(LARGE('V_Altın'!$AC$2:$AC$48,ROW()-3),'V_Altın'!$AC$2:$AC$48,0))</f>
        <v/>
      </c>
      <c r="V28" s="8">
        <f>INDEX('V_Altın'!U$2:U$48,MATCH(LARGE('V_Altın'!$AC$2:$AC$48,ROW()-3),'V_Altın'!$AC$2:$AC$48,0))</f>
        <v/>
      </c>
      <c r="W28" s="8">
        <f>INDEX('V_Altın'!V$2:V$48,MATCH(LARGE('V_Altın'!$AC$2:$AC$48,ROW()-3),'V_Altın'!$AC$2:$AC$48,0))</f>
        <v/>
      </c>
      <c r="X28" s="8">
        <f>INDEX('V_Altın'!W$2:W$48,MATCH(LARGE('V_Altın'!$AC$2:$AC$48,ROW()-3),'V_Altın'!$AC$2:$AC$48,0))</f>
        <v/>
      </c>
      <c r="Y28" s="8">
        <f>INDEX('V_Altın'!X$2:X$48,MATCH(LARGE('V_Altın'!$AC$2:$AC$48,ROW()-3),'V_Altın'!$AC$2:$AC$48,0))</f>
        <v/>
      </c>
      <c r="Z28" s="8">
        <f>INDEX('V_Altın'!Y$2:Y$48,MATCH(LARGE('V_Altın'!$AC$2:$AC$48,ROW()-3),'V_Altın'!$AC$2:$AC$48,0))</f>
        <v/>
      </c>
      <c r="AA28" s="8">
        <f>INDEX('V_Altın'!Z$2:Z$48,MATCH(LARGE('V_Altın'!$AC$2:$AC$48,ROW()-3),'V_Altın'!$AC$2:$AC$48,0))</f>
        <v/>
      </c>
      <c r="AB28" s="8">
        <f>INDEX('V_Altın'!AA$2:AA$48,MATCH(LARGE('V_Altın'!$AC$2:$AC$48,ROW()-3),'V_Altın'!$AC$2:$AC$48,0))</f>
        <v/>
      </c>
    </row>
    <row r="29">
      <c r="A29" t="n">
        <v>26</v>
      </c>
      <c r="B29" s="5">
        <f>INDEX('V_Altın'!A$2:A$48,MATCH(LARGE('V_Altın'!$AC$2:$AC$48,ROW()-3),'V_Altın'!$AC$2:$AC$48,0))</f>
        <v/>
      </c>
      <c r="C29" s="5">
        <f>INDEX('V_Altın'!B$2:B$48,MATCH(LARGE('V_Altın'!$AC$2:$AC$48,ROW()-3),'V_Altın'!$AC$2:$AC$48,0))</f>
        <v/>
      </c>
      <c r="D29" s="5">
        <f>INDEX('V_Altın'!C$2:C$48,MATCH(LARGE('V_Altın'!$AC$2:$AC$48,ROW()-3),'V_Altın'!$AC$2:$AC$48,0))</f>
        <v/>
      </c>
      <c r="E29" s="8">
        <f>INDEX('V_Altın'!D$2:D$48,MATCH(LARGE('V_Altın'!$AC$2:$AC$48,ROW()-3),'V_Altın'!$AC$2:$AC$48,0))</f>
        <v/>
      </c>
      <c r="F29" s="9">
        <f>INDEX('V_Altın'!E$2:E$48,MATCH(LARGE('V_Altın'!$AC$2:$AC$48,ROW()-3),'V_Altın'!$AC$2:$AC$48,0))</f>
        <v/>
      </c>
      <c r="G29" s="9">
        <f>INDEX('V_Altın'!F$2:F$48,MATCH(LARGE('V_Altın'!$AC$2:$AC$48,ROW()-3),'V_Altın'!$AC$2:$AC$48,0))</f>
        <v/>
      </c>
      <c r="H29" s="9">
        <f>INDEX('V_Altın'!G$2:G$48,MATCH(LARGE('V_Altın'!$AC$2:$AC$48,ROW()-3),'V_Altın'!$AC$2:$AC$48,0))</f>
        <v/>
      </c>
      <c r="I29" s="9">
        <f>INDEX('V_Altın'!H$2:H$48,MATCH(LARGE('V_Altın'!$AC$2:$AC$48,ROW()-3),'V_Altın'!$AC$2:$AC$48,0))</f>
        <v/>
      </c>
      <c r="J29" s="9">
        <f>INDEX('V_Altın'!I$2:I$48,MATCH(LARGE('V_Altın'!$AC$2:$AC$48,ROW()-3),'V_Altın'!$AC$2:$AC$48,0))</f>
        <v/>
      </c>
      <c r="K29" s="10">
        <f>INDEX('V_Altın'!J$2:J$48,MATCH(LARGE('V_Altın'!$AC$2:$AC$48,ROW()-3),'V_Altın'!$AC$2:$AC$48,0))</f>
        <v/>
      </c>
      <c r="L29" s="10">
        <f>INDEX('V_Altın'!K$2:K$48,MATCH(LARGE('V_Altın'!$AC$2:$AC$48,ROW()-3),'V_Altın'!$AC$2:$AC$48,0))</f>
        <v/>
      </c>
      <c r="M29" s="8">
        <f>INDEX('V_Altın'!L$2:L$48,MATCH(LARGE('V_Altın'!$AC$2:$AC$48,ROW()-3),'V_Altın'!$AC$2:$AC$48,0))</f>
        <v/>
      </c>
      <c r="N29" s="11">
        <f>INDEX('V_Altın'!M$2:M$48,MATCH(LARGE('V_Altın'!$AC$2:$AC$48,ROW()-3),'V_Altın'!$AC$2:$AC$48,0))</f>
        <v/>
      </c>
      <c r="O29" s="11">
        <f>INDEX('V_Altın'!N$2:N$48,MATCH(LARGE('V_Altın'!$AC$2:$AC$48,ROW()-3),'V_Altın'!$AC$2:$AC$48,0))</f>
        <v/>
      </c>
      <c r="P29" s="8">
        <f>INDEX('V_Altın'!O$2:O$48,MATCH(LARGE('V_Altın'!$AC$2:$AC$48,ROW()-3),'V_Altın'!$AC$2:$AC$48,0))</f>
        <v/>
      </c>
      <c r="Q29" s="9">
        <f>INDEX('V_Altın'!P$2:P$48,MATCH(LARGE('V_Altın'!$AC$2:$AC$48,ROW()-3),'V_Altın'!$AC$2:$AC$48,0))</f>
        <v/>
      </c>
      <c r="R29" s="5">
        <f>INDEX('V_Altın'!Q$2:Q$48,MATCH(LARGE('V_Altın'!$AC$2:$AC$48,ROW()-3),'V_Altın'!$AC$2:$AC$48,0))</f>
        <v/>
      </c>
      <c r="S29" s="8">
        <f>INDEX('V_Altın'!R$2:R$48,MATCH(LARGE('V_Altın'!$AC$2:$AC$48,ROW()-3),'V_Altın'!$AC$2:$AC$48,0))</f>
        <v/>
      </c>
      <c r="T29" s="8">
        <f>INDEX('V_Altın'!S$2:S$48,MATCH(LARGE('V_Altın'!$AC$2:$AC$48,ROW()-3),'V_Altın'!$AC$2:$AC$48,0))</f>
        <v/>
      </c>
      <c r="U29" s="8">
        <f>INDEX('V_Altın'!T$2:T$48,MATCH(LARGE('V_Altın'!$AC$2:$AC$48,ROW()-3),'V_Altın'!$AC$2:$AC$48,0))</f>
        <v/>
      </c>
      <c r="V29" s="8">
        <f>INDEX('V_Altın'!U$2:U$48,MATCH(LARGE('V_Altın'!$AC$2:$AC$48,ROW()-3),'V_Altın'!$AC$2:$AC$48,0))</f>
        <v/>
      </c>
      <c r="W29" s="8">
        <f>INDEX('V_Altın'!V$2:V$48,MATCH(LARGE('V_Altın'!$AC$2:$AC$48,ROW()-3),'V_Altın'!$AC$2:$AC$48,0))</f>
        <v/>
      </c>
      <c r="X29" s="8">
        <f>INDEX('V_Altın'!W$2:W$48,MATCH(LARGE('V_Altın'!$AC$2:$AC$48,ROW()-3),'V_Altın'!$AC$2:$AC$48,0))</f>
        <v/>
      </c>
      <c r="Y29" s="8">
        <f>INDEX('V_Altın'!X$2:X$48,MATCH(LARGE('V_Altın'!$AC$2:$AC$48,ROW()-3),'V_Altın'!$AC$2:$AC$48,0))</f>
        <v/>
      </c>
      <c r="Z29" s="8">
        <f>INDEX('V_Altın'!Y$2:Y$48,MATCH(LARGE('V_Altın'!$AC$2:$AC$48,ROW()-3),'V_Altın'!$AC$2:$AC$48,0))</f>
        <v/>
      </c>
      <c r="AA29" s="8">
        <f>INDEX('V_Altın'!Z$2:Z$48,MATCH(LARGE('V_Altın'!$AC$2:$AC$48,ROW()-3),'V_Altın'!$AC$2:$AC$48,0))</f>
        <v/>
      </c>
      <c r="AB29" s="8">
        <f>INDEX('V_Altın'!AA$2:AA$48,MATCH(LARGE('V_Altın'!$AC$2:$AC$48,ROW()-3),'V_Altın'!$AC$2:$AC$48,0))</f>
        <v/>
      </c>
    </row>
    <row r="30">
      <c r="A30" t="n">
        <v>27</v>
      </c>
      <c r="B30" s="5">
        <f>INDEX('V_Altın'!A$2:A$48,MATCH(LARGE('V_Altın'!$AC$2:$AC$48,ROW()-3),'V_Altın'!$AC$2:$AC$48,0))</f>
        <v/>
      </c>
      <c r="C30" s="5">
        <f>INDEX('V_Altın'!B$2:B$48,MATCH(LARGE('V_Altın'!$AC$2:$AC$48,ROW()-3),'V_Altın'!$AC$2:$AC$48,0))</f>
        <v/>
      </c>
      <c r="D30" s="5">
        <f>INDEX('V_Altın'!C$2:C$48,MATCH(LARGE('V_Altın'!$AC$2:$AC$48,ROW()-3),'V_Altın'!$AC$2:$AC$48,0))</f>
        <v/>
      </c>
      <c r="E30" s="8">
        <f>INDEX('V_Altın'!D$2:D$48,MATCH(LARGE('V_Altın'!$AC$2:$AC$48,ROW()-3),'V_Altın'!$AC$2:$AC$48,0))</f>
        <v/>
      </c>
      <c r="F30" s="9">
        <f>INDEX('V_Altın'!E$2:E$48,MATCH(LARGE('V_Altın'!$AC$2:$AC$48,ROW()-3),'V_Altın'!$AC$2:$AC$48,0))</f>
        <v/>
      </c>
      <c r="G30" s="9">
        <f>INDEX('V_Altın'!F$2:F$48,MATCH(LARGE('V_Altın'!$AC$2:$AC$48,ROW()-3),'V_Altın'!$AC$2:$AC$48,0))</f>
        <v/>
      </c>
      <c r="H30" s="9">
        <f>INDEX('V_Altın'!G$2:G$48,MATCH(LARGE('V_Altın'!$AC$2:$AC$48,ROW()-3),'V_Altın'!$AC$2:$AC$48,0))</f>
        <v/>
      </c>
      <c r="I30" s="9">
        <f>INDEX('V_Altın'!H$2:H$48,MATCH(LARGE('V_Altın'!$AC$2:$AC$48,ROW()-3),'V_Altın'!$AC$2:$AC$48,0))</f>
        <v/>
      </c>
      <c r="J30" s="9">
        <f>INDEX('V_Altın'!I$2:I$48,MATCH(LARGE('V_Altın'!$AC$2:$AC$48,ROW()-3),'V_Altın'!$AC$2:$AC$48,0))</f>
        <v/>
      </c>
      <c r="K30" s="10">
        <f>INDEX('V_Altın'!J$2:J$48,MATCH(LARGE('V_Altın'!$AC$2:$AC$48,ROW()-3),'V_Altın'!$AC$2:$AC$48,0))</f>
        <v/>
      </c>
      <c r="L30" s="10">
        <f>INDEX('V_Altın'!K$2:K$48,MATCH(LARGE('V_Altın'!$AC$2:$AC$48,ROW()-3),'V_Altın'!$AC$2:$AC$48,0))</f>
        <v/>
      </c>
      <c r="M30" s="8">
        <f>INDEX('V_Altın'!L$2:L$48,MATCH(LARGE('V_Altın'!$AC$2:$AC$48,ROW()-3),'V_Altın'!$AC$2:$AC$48,0))</f>
        <v/>
      </c>
      <c r="N30" s="11">
        <f>INDEX('V_Altın'!M$2:M$48,MATCH(LARGE('V_Altın'!$AC$2:$AC$48,ROW()-3),'V_Altın'!$AC$2:$AC$48,0))</f>
        <v/>
      </c>
      <c r="O30" s="11">
        <f>INDEX('V_Altın'!N$2:N$48,MATCH(LARGE('V_Altın'!$AC$2:$AC$48,ROW()-3),'V_Altın'!$AC$2:$AC$48,0))</f>
        <v/>
      </c>
      <c r="P30" s="8">
        <f>INDEX('V_Altın'!O$2:O$48,MATCH(LARGE('V_Altın'!$AC$2:$AC$48,ROW()-3),'V_Altın'!$AC$2:$AC$48,0))</f>
        <v/>
      </c>
      <c r="Q30" s="9">
        <f>INDEX('V_Altın'!P$2:P$48,MATCH(LARGE('V_Altın'!$AC$2:$AC$48,ROW()-3),'V_Altın'!$AC$2:$AC$48,0))</f>
        <v/>
      </c>
      <c r="R30" s="5">
        <f>INDEX('V_Altın'!Q$2:Q$48,MATCH(LARGE('V_Altın'!$AC$2:$AC$48,ROW()-3),'V_Altın'!$AC$2:$AC$48,0))</f>
        <v/>
      </c>
      <c r="S30" s="8">
        <f>INDEX('V_Altın'!R$2:R$48,MATCH(LARGE('V_Altın'!$AC$2:$AC$48,ROW()-3),'V_Altın'!$AC$2:$AC$48,0))</f>
        <v/>
      </c>
      <c r="T30" s="8">
        <f>INDEX('V_Altın'!S$2:S$48,MATCH(LARGE('V_Altın'!$AC$2:$AC$48,ROW()-3),'V_Altın'!$AC$2:$AC$48,0))</f>
        <v/>
      </c>
      <c r="U30" s="8">
        <f>INDEX('V_Altın'!T$2:T$48,MATCH(LARGE('V_Altın'!$AC$2:$AC$48,ROW()-3),'V_Altın'!$AC$2:$AC$48,0))</f>
        <v/>
      </c>
      <c r="V30" s="8">
        <f>INDEX('V_Altın'!U$2:U$48,MATCH(LARGE('V_Altın'!$AC$2:$AC$48,ROW()-3),'V_Altın'!$AC$2:$AC$48,0))</f>
        <v/>
      </c>
      <c r="W30" s="8">
        <f>INDEX('V_Altın'!V$2:V$48,MATCH(LARGE('V_Altın'!$AC$2:$AC$48,ROW()-3),'V_Altın'!$AC$2:$AC$48,0))</f>
        <v/>
      </c>
      <c r="X30" s="8">
        <f>INDEX('V_Altın'!W$2:W$48,MATCH(LARGE('V_Altın'!$AC$2:$AC$48,ROW()-3),'V_Altın'!$AC$2:$AC$48,0))</f>
        <v/>
      </c>
      <c r="Y30" s="8">
        <f>INDEX('V_Altın'!X$2:X$48,MATCH(LARGE('V_Altın'!$AC$2:$AC$48,ROW()-3),'V_Altın'!$AC$2:$AC$48,0))</f>
        <v/>
      </c>
      <c r="Z30" s="8">
        <f>INDEX('V_Altın'!Y$2:Y$48,MATCH(LARGE('V_Altın'!$AC$2:$AC$48,ROW()-3),'V_Altın'!$AC$2:$AC$48,0))</f>
        <v/>
      </c>
      <c r="AA30" s="8">
        <f>INDEX('V_Altın'!Z$2:Z$48,MATCH(LARGE('V_Altın'!$AC$2:$AC$48,ROW()-3),'V_Altın'!$AC$2:$AC$48,0))</f>
        <v/>
      </c>
      <c r="AB30" s="8">
        <f>INDEX('V_Altın'!AA$2:AA$48,MATCH(LARGE('V_Altın'!$AC$2:$AC$48,ROW()-3),'V_Altın'!$AC$2:$AC$48,0))</f>
        <v/>
      </c>
    </row>
    <row r="31">
      <c r="A31" t="n">
        <v>28</v>
      </c>
      <c r="B31" s="5">
        <f>INDEX('V_Altın'!A$2:A$48,MATCH(LARGE('V_Altın'!$AC$2:$AC$48,ROW()-3),'V_Altın'!$AC$2:$AC$48,0))</f>
        <v/>
      </c>
      <c r="C31" s="5">
        <f>INDEX('V_Altın'!B$2:B$48,MATCH(LARGE('V_Altın'!$AC$2:$AC$48,ROW()-3),'V_Altın'!$AC$2:$AC$48,0))</f>
        <v/>
      </c>
      <c r="D31" s="5">
        <f>INDEX('V_Altın'!C$2:C$48,MATCH(LARGE('V_Altın'!$AC$2:$AC$48,ROW()-3),'V_Altın'!$AC$2:$AC$48,0))</f>
        <v/>
      </c>
      <c r="E31" s="8">
        <f>INDEX('V_Altın'!D$2:D$48,MATCH(LARGE('V_Altın'!$AC$2:$AC$48,ROW()-3),'V_Altın'!$AC$2:$AC$48,0))</f>
        <v/>
      </c>
      <c r="F31" s="9">
        <f>INDEX('V_Altın'!E$2:E$48,MATCH(LARGE('V_Altın'!$AC$2:$AC$48,ROW()-3),'V_Altın'!$AC$2:$AC$48,0))</f>
        <v/>
      </c>
      <c r="G31" s="9">
        <f>INDEX('V_Altın'!F$2:F$48,MATCH(LARGE('V_Altın'!$AC$2:$AC$48,ROW()-3),'V_Altın'!$AC$2:$AC$48,0))</f>
        <v/>
      </c>
      <c r="H31" s="9">
        <f>INDEX('V_Altın'!G$2:G$48,MATCH(LARGE('V_Altın'!$AC$2:$AC$48,ROW()-3),'V_Altın'!$AC$2:$AC$48,0))</f>
        <v/>
      </c>
      <c r="I31" s="9">
        <f>INDEX('V_Altın'!H$2:H$48,MATCH(LARGE('V_Altın'!$AC$2:$AC$48,ROW()-3),'V_Altın'!$AC$2:$AC$48,0))</f>
        <v/>
      </c>
      <c r="J31" s="9">
        <f>INDEX('V_Altın'!I$2:I$48,MATCH(LARGE('V_Altın'!$AC$2:$AC$48,ROW()-3),'V_Altın'!$AC$2:$AC$48,0))</f>
        <v/>
      </c>
      <c r="K31" s="10">
        <f>INDEX('V_Altın'!J$2:J$48,MATCH(LARGE('V_Altın'!$AC$2:$AC$48,ROW()-3),'V_Altın'!$AC$2:$AC$48,0))</f>
        <v/>
      </c>
      <c r="L31" s="10">
        <f>INDEX('V_Altın'!K$2:K$48,MATCH(LARGE('V_Altın'!$AC$2:$AC$48,ROW()-3),'V_Altın'!$AC$2:$AC$48,0))</f>
        <v/>
      </c>
      <c r="M31" s="8">
        <f>INDEX('V_Altın'!L$2:L$48,MATCH(LARGE('V_Altın'!$AC$2:$AC$48,ROW()-3),'V_Altın'!$AC$2:$AC$48,0))</f>
        <v/>
      </c>
      <c r="N31" s="11">
        <f>INDEX('V_Altın'!M$2:M$48,MATCH(LARGE('V_Altın'!$AC$2:$AC$48,ROW()-3),'V_Altın'!$AC$2:$AC$48,0))</f>
        <v/>
      </c>
      <c r="O31" s="11">
        <f>INDEX('V_Altın'!N$2:N$48,MATCH(LARGE('V_Altın'!$AC$2:$AC$48,ROW()-3),'V_Altın'!$AC$2:$AC$48,0))</f>
        <v/>
      </c>
      <c r="P31" s="8">
        <f>INDEX('V_Altın'!O$2:O$48,MATCH(LARGE('V_Altın'!$AC$2:$AC$48,ROW()-3),'V_Altın'!$AC$2:$AC$48,0))</f>
        <v/>
      </c>
      <c r="Q31" s="9">
        <f>INDEX('V_Altın'!P$2:P$48,MATCH(LARGE('V_Altın'!$AC$2:$AC$48,ROW()-3),'V_Altın'!$AC$2:$AC$48,0))</f>
        <v/>
      </c>
      <c r="R31" s="5">
        <f>INDEX('V_Altın'!Q$2:Q$48,MATCH(LARGE('V_Altın'!$AC$2:$AC$48,ROW()-3),'V_Altın'!$AC$2:$AC$48,0))</f>
        <v/>
      </c>
      <c r="S31" s="8">
        <f>INDEX('V_Altın'!R$2:R$48,MATCH(LARGE('V_Altın'!$AC$2:$AC$48,ROW()-3),'V_Altın'!$AC$2:$AC$48,0))</f>
        <v/>
      </c>
      <c r="T31" s="8">
        <f>INDEX('V_Altın'!S$2:S$48,MATCH(LARGE('V_Altın'!$AC$2:$AC$48,ROW()-3),'V_Altın'!$AC$2:$AC$48,0))</f>
        <v/>
      </c>
      <c r="U31" s="8">
        <f>INDEX('V_Altın'!T$2:T$48,MATCH(LARGE('V_Altın'!$AC$2:$AC$48,ROW()-3),'V_Altın'!$AC$2:$AC$48,0))</f>
        <v/>
      </c>
      <c r="V31" s="8">
        <f>INDEX('V_Altın'!U$2:U$48,MATCH(LARGE('V_Altın'!$AC$2:$AC$48,ROW()-3),'V_Altın'!$AC$2:$AC$48,0))</f>
        <v/>
      </c>
      <c r="W31" s="8">
        <f>INDEX('V_Altın'!V$2:V$48,MATCH(LARGE('V_Altın'!$AC$2:$AC$48,ROW()-3),'V_Altın'!$AC$2:$AC$48,0))</f>
        <v/>
      </c>
      <c r="X31" s="8">
        <f>INDEX('V_Altın'!W$2:W$48,MATCH(LARGE('V_Altın'!$AC$2:$AC$48,ROW()-3),'V_Altın'!$AC$2:$AC$48,0))</f>
        <v/>
      </c>
      <c r="Y31" s="8">
        <f>INDEX('V_Altın'!X$2:X$48,MATCH(LARGE('V_Altın'!$AC$2:$AC$48,ROW()-3),'V_Altın'!$AC$2:$AC$48,0))</f>
        <v/>
      </c>
      <c r="Z31" s="8">
        <f>INDEX('V_Altın'!Y$2:Y$48,MATCH(LARGE('V_Altın'!$AC$2:$AC$48,ROW()-3),'V_Altın'!$AC$2:$AC$48,0))</f>
        <v/>
      </c>
      <c r="AA31" s="8">
        <f>INDEX('V_Altın'!Z$2:Z$48,MATCH(LARGE('V_Altın'!$AC$2:$AC$48,ROW()-3),'V_Altın'!$AC$2:$AC$48,0))</f>
        <v/>
      </c>
      <c r="AB31" s="8">
        <f>INDEX('V_Altın'!AA$2:AA$48,MATCH(LARGE('V_Altın'!$AC$2:$AC$48,ROW()-3),'V_Altın'!$AC$2:$AC$48,0))</f>
        <v/>
      </c>
    </row>
    <row r="32">
      <c r="A32" t="n">
        <v>29</v>
      </c>
      <c r="B32" s="5">
        <f>INDEX('V_Altın'!A$2:A$48,MATCH(LARGE('V_Altın'!$AC$2:$AC$48,ROW()-3),'V_Altın'!$AC$2:$AC$48,0))</f>
        <v/>
      </c>
      <c r="C32" s="5">
        <f>INDEX('V_Altın'!B$2:B$48,MATCH(LARGE('V_Altın'!$AC$2:$AC$48,ROW()-3),'V_Altın'!$AC$2:$AC$48,0))</f>
        <v/>
      </c>
      <c r="D32" s="5">
        <f>INDEX('V_Altın'!C$2:C$48,MATCH(LARGE('V_Altın'!$AC$2:$AC$48,ROW()-3),'V_Altın'!$AC$2:$AC$48,0))</f>
        <v/>
      </c>
      <c r="E32" s="8">
        <f>INDEX('V_Altın'!D$2:D$48,MATCH(LARGE('V_Altın'!$AC$2:$AC$48,ROW()-3),'V_Altın'!$AC$2:$AC$48,0))</f>
        <v/>
      </c>
      <c r="F32" s="9">
        <f>INDEX('V_Altın'!E$2:E$48,MATCH(LARGE('V_Altın'!$AC$2:$AC$48,ROW()-3),'V_Altın'!$AC$2:$AC$48,0))</f>
        <v/>
      </c>
      <c r="G32" s="9">
        <f>INDEX('V_Altın'!F$2:F$48,MATCH(LARGE('V_Altın'!$AC$2:$AC$48,ROW()-3),'V_Altın'!$AC$2:$AC$48,0))</f>
        <v/>
      </c>
      <c r="H32" s="9">
        <f>INDEX('V_Altın'!G$2:G$48,MATCH(LARGE('V_Altın'!$AC$2:$AC$48,ROW()-3),'V_Altın'!$AC$2:$AC$48,0))</f>
        <v/>
      </c>
      <c r="I32" s="9">
        <f>INDEX('V_Altın'!H$2:H$48,MATCH(LARGE('V_Altın'!$AC$2:$AC$48,ROW()-3),'V_Altın'!$AC$2:$AC$48,0))</f>
        <v/>
      </c>
      <c r="J32" s="9">
        <f>INDEX('V_Altın'!I$2:I$48,MATCH(LARGE('V_Altın'!$AC$2:$AC$48,ROW()-3),'V_Altın'!$AC$2:$AC$48,0))</f>
        <v/>
      </c>
      <c r="K32" s="10">
        <f>INDEX('V_Altın'!J$2:J$48,MATCH(LARGE('V_Altın'!$AC$2:$AC$48,ROW()-3),'V_Altın'!$AC$2:$AC$48,0))</f>
        <v/>
      </c>
      <c r="L32" s="10">
        <f>INDEX('V_Altın'!K$2:K$48,MATCH(LARGE('V_Altın'!$AC$2:$AC$48,ROW()-3),'V_Altın'!$AC$2:$AC$48,0))</f>
        <v/>
      </c>
      <c r="M32" s="8">
        <f>INDEX('V_Altın'!L$2:L$48,MATCH(LARGE('V_Altın'!$AC$2:$AC$48,ROW()-3),'V_Altın'!$AC$2:$AC$48,0))</f>
        <v/>
      </c>
      <c r="N32" s="11">
        <f>INDEX('V_Altın'!M$2:M$48,MATCH(LARGE('V_Altın'!$AC$2:$AC$48,ROW()-3),'V_Altın'!$AC$2:$AC$48,0))</f>
        <v/>
      </c>
      <c r="O32" s="11">
        <f>INDEX('V_Altın'!N$2:N$48,MATCH(LARGE('V_Altın'!$AC$2:$AC$48,ROW()-3),'V_Altın'!$AC$2:$AC$48,0))</f>
        <v/>
      </c>
      <c r="P32" s="8">
        <f>INDEX('V_Altın'!O$2:O$48,MATCH(LARGE('V_Altın'!$AC$2:$AC$48,ROW()-3),'V_Altın'!$AC$2:$AC$48,0))</f>
        <v/>
      </c>
      <c r="Q32" s="9">
        <f>INDEX('V_Altın'!P$2:P$48,MATCH(LARGE('V_Altın'!$AC$2:$AC$48,ROW()-3),'V_Altın'!$AC$2:$AC$48,0))</f>
        <v/>
      </c>
      <c r="R32" s="5">
        <f>INDEX('V_Altın'!Q$2:Q$48,MATCH(LARGE('V_Altın'!$AC$2:$AC$48,ROW()-3),'V_Altın'!$AC$2:$AC$48,0))</f>
        <v/>
      </c>
      <c r="S32" s="8">
        <f>INDEX('V_Altın'!R$2:R$48,MATCH(LARGE('V_Altın'!$AC$2:$AC$48,ROW()-3),'V_Altın'!$AC$2:$AC$48,0))</f>
        <v/>
      </c>
      <c r="T32" s="8">
        <f>INDEX('V_Altın'!S$2:S$48,MATCH(LARGE('V_Altın'!$AC$2:$AC$48,ROW()-3),'V_Altın'!$AC$2:$AC$48,0))</f>
        <v/>
      </c>
      <c r="U32" s="8">
        <f>INDEX('V_Altın'!T$2:T$48,MATCH(LARGE('V_Altın'!$AC$2:$AC$48,ROW()-3),'V_Altın'!$AC$2:$AC$48,0))</f>
        <v/>
      </c>
      <c r="V32" s="8">
        <f>INDEX('V_Altın'!U$2:U$48,MATCH(LARGE('V_Altın'!$AC$2:$AC$48,ROW()-3),'V_Altın'!$AC$2:$AC$48,0))</f>
        <v/>
      </c>
      <c r="W32" s="8">
        <f>INDEX('V_Altın'!V$2:V$48,MATCH(LARGE('V_Altın'!$AC$2:$AC$48,ROW()-3),'V_Altın'!$AC$2:$AC$48,0))</f>
        <v/>
      </c>
      <c r="X32" s="8">
        <f>INDEX('V_Altın'!W$2:W$48,MATCH(LARGE('V_Altın'!$AC$2:$AC$48,ROW()-3),'V_Altın'!$AC$2:$AC$48,0))</f>
        <v/>
      </c>
      <c r="Y32" s="8">
        <f>INDEX('V_Altın'!X$2:X$48,MATCH(LARGE('V_Altın'!$AC$2:$AC$48,ROW()-3),'V_Altın'!$AC$2:$AC$48,0))</f>
        <v/>
      </c>
      <c r="Z32" s="8">
        <f>INDEX('V_Altın'!Y$2:Y$48,MATCH(LARGE('V_Altın'!$AC$2:$AC$48,ROW()-3),'V_Altın'!$AC$2:$AC$48,0))</f>
        <v/>
      </c>
      <c r="AA32" s="8">
        <f>INDEX('V_Altın'!Z$2:Z$48,MATCH(LARGE('V_Altın'!$AC$2:$AC$48,ROW()-3),'V_Altın'!$AC$2:$AC$48,0))</f>
        <v/>
      </c>
      <c r="AB32" s="8">
        <f>INDEX('V_Altın'!AA$2:AA$48,MATCH(LARGE('V_Altın'!$AC$2:$AC$48,ROW()-3),'V_Altın'!$AC$2:$AC$48,0))</f>
        <v/>
      </c>
    </row>
    <row r="33">
      <c r="A33" t="n">
        <v>30</v>
      </c>
      <c r="B33" s="5">
        <f>INDEX('V_Altın'!A$2:A$48,MATCH(LARGE('V_Altın'!$AC$2:$AC$48,ROW()-3),'V_Altın'!$AC$2:$AC$48,0))</f>
        <v/>
      </c>
      <c r="C33" s="5">
        <f>INDEX('V_Altın'!B$2:B$48,MATCH(LARGE('V_Altın'!$AC$2:$AC$48,ROW()-3),'V_Altın'!$AC$2:$AC$48,0))</f>
        <v/>
      </c>
      <c r="D33" s="5">
        <f>INDEX('V_Altın'!C$2:C$48,MATCH(LARGE('V_Altın'!$AC$2:$AC$48,ROW()-3),'V_Altın'!$AC$2:$AC$48,0))</f>
        <v/>
      </c>
      <c r="E33" s="8">
        <f>INDEX('V_Altın'!D$2:D$48,MATCH(LARGE('V_Altın'!$AC$2:$AC$48,ROW()-3),'V_Altın'!$AC$2:$AC$48,0))</f>
        <v/>
      </c>
      <c r="F33" s="9">
        <f>INDEX('V_Altın'!E$2:E$48,MATCH(LARGE('V_Altın'!$AC$2:$AC$48,ROW()-3),'V_Altın'!$AC$2:$AC$48,0))</f>
        <v/>
      </c>
      <c r="G33" s="9">
        <f>INDEX('V_Altın'!F$2:F$48,MATCH(LARGE('V_Altın'!$AC$2:$AC$48,ROW()-3),'V_Altın'!$AC$2:$AC$48,0))</f>
        <v/>
      </c>
      <c r="H33" s="9">
        <f>INDEX('V_Altın'!G$2:G$48,MATCH(LARGE('V_Altın'!$AC$2:$AC$48,ROW()-3),'V_Altın'!$AC$2:$AC$48,0))</f>
        <v/>
      </c>
      <c r="I33" s="9">
        <f>INDEX('V_Altın'!H$2:H$48,MATCH(LARGE('V_Altın'!$AC$2:$AC$48,ROW()-3),'V_Altın'!$AC$2:$AC$48,0))</f>
        <v/>
      </c>
      <c r="J33" s="9">
        <f>INDEX('V_Altın'!I$2:I$48,MATCH(LARGE('V_Altın'!$AC$2:$AC$48,ROW()-3),'V_Altın'!$AC$2:$AC$48,0))</f>
        <v/>
      </c>
      <c r="K33" s="10">
        <f>INDEX('V_Altın'!J$2:J$48,MATCH(LARGE('V_Altın'!$AC$2:$AC$48,ROW()-3),'V_Altın'!$AC$2:$AC$48,0))</f>
        <v/>
      </c>
      <c r="L33" s="10">
        <f>INDEX('V_Altın'!K$2:K$48,MATCH(LARGE('V_Altın'!$AC$2:$AC$48,ROW()-3),'V_Altın'!$AC$2:$AC$48,0))</f>
        <v/>
      </c>
      <c r="M33" s="8">
        <f>INDEX('V_Altın'!L$2:L$48,MATCH(LARGE('V_Altın'!$AC$2:$AC$48,ROW()-3),'V_Altın'!$AC$2:$AC$48,0))</f>
        <v/>
      </c>
      <c r="N33" s="11">
        <f>INDEX('V_Altın'!M$2:M$48,MATCH(LARGE('V_Altın'!$AC$2:$AC$48,ROW()-3),'V_Altın'!$AC$2:$AC$48,0))</f>
        <v/>
      </c>
      <c r="O33" s="11">
        <f>INDEX('V_Altın'!N$2:N$48,MATCH(LARGE('V_Altın'!$AC$2:$AC$48,ROW()-3),'V_Altın'!$AC$2:$AC$48,0))</f>
        <v/>
      </c>
      <c r="P33" s="8">
        <f>INDEX('V_Altın'!O$2:O$48,MATCH(LARGE('V_Altın'!$AC$2:$AC$48,ROW()-3),'V_Altın'!$AC$2:$AC$48,0))</f>
        <v/>
      </c>
      <c r="Q33" s="9">
        <f>INDEX('V_Altın'!P$2:P$48,MATCH(LARGE('V_Altın'!$AC$2:$AC$48,ROW()-3),'V_Altın'!$AC$2:$AC$48,0))</f>
        <v/>
      </c>
      <c r="R33" s="5">
        <f>INDEX('V_Altın'!Q$2:Q$48,MATCH(LARGE('V_Altın'!$AC$2:$AC$48,ROW()-3),'V_Altın'!$AC$2:$AC$48,0))</f>
        <v/>
      </c>
      <c r="S33" s="8">
        <f>INDEX('V_Altın'!R$2:R$48,MATCH(LARGE('V_Altın'!$AC$2:$AC$48,ROW()-3),'V_Altın'!$AC$2:$AC$48,0))</f>
        <v/>
      </c>
      <c r="T33" s="8">
        <f>INDEX('V_Altın'!S$2:S$48,MATCH(LARGE('V_Altın'!$AC$2:$AC$48,ROW()-3),'V_Altın'!$AC$2:$AC$48,0))</f>
        <v/>
      </c>
      <c r="U33" s="8">
        <f>INDEX('V_Altın'!T$2:T$48,MATCH(LARGE('V_Altın'!$AC$2:$AC$48,ROW()-3),'V_Altın'!$AC$2:$AC$48,0))</f>
        <v/>
      </c>
      <c r="V33" s="8">
        <f>INDEX('V_Altın'!U$2:U$48,MATCH(LARGE('V_Altın'!$AC$2:$AC$48,ROW()-3),'V_Altın'!$AC$2:$AC$48,0))</f>
        <v/>
      </c>
      <c r="W33" s="8">
        <f>INDEX('V_Altın'!V$2:V$48,MATCH(LARGE('V_Altın'!$AC$2:$AC$48,ROW()-3),'V_Altın'!$AC$2:$AC$48,0))</f>
        <v/>
      </c>
      <c r="X33" s="8">
        <f>INDEX('V_Altın'!W$2:W$48,MATCH(LARGE('V_Altın'!$AC$2:$AC$48,ROW()-3),'V_Altın'!$AC$2:$AC$48,0))</f>
        <v/>
      </c>
      <c r="Y33" s="8">
        <f>INDEX('V_Altın'!X$2:X$48,MATCH(LARGE('V_Altın'!$AC$2:$AC$48,ROW()-3),'V_Altın'!$AC$2:$AC$48,0))</f>
        <v/>
      </c>
      <c r="Z33" s="8">
        <f>INDEX('V_Altın'!Y$2:Y$48,MATCH(LARGE('V_Altın'!$AC$2:$AC$48,ROW()-3),'V_Altın'!$AC$2:$AC$48,0))</f>
        <v/>
      </c>
      <c r="AA33" s="8">
        <f>INDEX('V_Altın'!Z$2:Z$48,MATCH(LARGE('V_Altın'!$AC$2:$AC$48,ROW()-3),'V_Altın'!$AC$2:$AC$48,0))</f>
        <v/>
      </c>
      <c r="AB33" s="8">
        <f>INDEX('V_Altın'!AA$2:AA$48,MATCH(LARGE('V_Altın'!$AC$2:$AC$48,ROW()-3),'V_Altın'!$AC$2:$AC$48,0))</f>
        <v/>
      </c>
    </row>
    <row r="34">
      <c r="A34" t="n">
        <v>31</v>
      </c>
      <c r="B34" s="5">
        <f>INDEX('V_Altın'!A$2:A$48,MATCH(LARGE('V_Altın'!$AC$2:$AC$48,ROW()-3),'V_Altın'!$AC$2:$AC$48,0))</f>
        <v/>
      </c>
      <c r="C34" s="5">
        <f>INDEX('V_Altın'!B$2:B$48,MATCH(LARGE('V_Altın'!$AC$2:$AC$48,ROW()-3),'V_Altın'!$AC$2:$AC$48,0))</f>
        <v/>
      </c>
      <c r="D34" s="5">
        <f>INDEX('V_Altın'!C$2:C$48,MATCH(LARGE('V_Altın'!$AC$2:$AC$48,ROW()-3),'V_Altın'!$AC$2:$AC$48,0))</f>
        <v/>
      </c>
      <c r="E34" s="8">
        <f>INDEX('V_Altın'!D$2:D$48,MATCH(LARGE('V_Altın'!$AC$2:$AC$48,ROW()-3),'V_Altın'!$AC$2:$AC$48,0))</f>
        <v/>
      </c>
      <c r="F34" s="9">
        <f>INDEX('V_Altın'!E$2:E$48,MATCH(LARGE('V_Altın'!$AC$2:$AC$48,ROW()-3),'V_Altın'!$AC$2:$AC$48,0))</f>
        <v/>
      </c>
      <c r="G34" s="9">
        <f>INDEX('V_Altın'!F$2:F$48,MATCH(LARGE('V_Altın'!$AC$2:$AC$48,ROW()-3),'V_Altın'!$AC$2:$AC$48,0))</f>
        <v/>
      </c>
      <c r="H34" s="9">
        <f>INDEX('V_Altın'!G$2:G$48,MATCH(LARGE('V_Altın'!$AC$2:$AC$48,ROW()-3),'V_Altın'!$AC$2:$AC$48,0))</f>
        <v/>
      </c>
      <c r="I34" s="9">
        <f>INDEX('V_Altın'!H$2:H$48,MATCH(LARGE('V_Altın'!$AC$2:$AC$48,ROW()-3),'V_Altın'!$AC$2:$AC$48,0))</f>
        <v/>
      </c>
      <c r="J34" s="9">
        <f>INDEX('V_Altın'!I$2:I$48,MATCH(LARGE('V_Altın'!$AC$2:$AC$48,ROW()-3),'V_Altın'!$AC$2:$AC$48,0))</f>
        <v/>
      </c>
      <c r="K34" s="10">
        <f>INDEX('V_Altın'!J$2:J$48,MATCH(LARGE('V_Altın'!$AC$2:$AC$48,ROW()-3),'V_Altın'!$AC$2:$AC$48,0))</f>
        <v/>
      </c>
      <c r="L34" s="10">
        <f>INDEX('V_Altın'!K$2:K$48,MATCH(LARGE('V_Altın'!$AC$2:$AC$48,ROW()-3),'V_Altın'!$AC$2:$AC$48,0))</f>
        <v/>
      </c>
      <c r="M34" s="8">
        <f>INDEX('V_Altın'!L$2:L$48,MATCH(LARGE('V_Altın'!$AC$2:$AC$48,ROW()-3),'V_Altın'!$AC$2:$AC$48,0))</f>
        <v/>
      </c>
      <c r="N34" s="11">
        <f>INDEX('V_Altın'!M$2:M$48,MATCH(LARGE('V_Altın'!$AC$2:$AC$48,ROW()-3),'V_Altın'!$AC$2:$AC$48,0))</f>
        <v/>
      </c>
      <c r="O34" s="11">
        <f>INDEX('V_Altın'!N$2:N$48,MATCH(LARGE('V_Altın'!$AC$2:$AC$48,ROW()-3),'V_Altın'!$AC$2:$AC$48,0))</f>
        <v/>
      </c>
      <c r="P34" s="8">
        <f>INDEX('V_Altın'!O$2:O$48,MATCH(LARGE('V_Altın'!$AC$2:$AC$48,ROW()-3),'V_Altın'!$AC$2:$AC$48,0))</f>
        <v/>
      </c>
      <c r="Q34" s="9">
        <f>INDEX('V_Altın'!P$2:P$48,MATCH(LARGE('V_Altın'!$AC$2:$AC$48,ROW()-3),'V_Altın'!$AC$2:$AC$48,0))</f>
        <v/>
      </c>
      <c r="R34" s="5">
        <f>INDEX('V_Altın'!Q$2:Q$48,MATCH(LARGE('V_Altın'!$AC$2:$AC$48,ROW()-3),'V_Altın'!$AC$2:$AC$48,0))</f>
        <v/>
      </c>
      <c r="S34" s="8">
        <f>INDEX('V_Altın'!R$2:R$48,MATCH(LARGE('V_Altın'!$AC$2:$AC$48,ROW()-3),'V_Altın'!$AC$2:$AC$48,0))</f>
        <v/>
      </c>
      <c r="T34" s="8">
        <f>INDEX('V_Altın'!S$2:S$48,MATCH(LARGE('V_Altın'!$AC$2:$AC$48,ROW()-3),'V_Altın'!$AC$2:$AC$48,0))</f>
        <v/>
      </c>
      <c r="U34" s="8">
        <f>INDEX('V_Altın'!T$2:T$48,MATCH(LARGE('V_Altın'!$AC$2:$AC$48,ROW()-3),'V_Altın'!$AC$2:$AC$48,0))</f>
        <v/>
      </c>
      <c r="V34" s="8">
        <f>INDEX('V_Altın'!U$2:U$48,MATCH(LARGE('V_Altın'!$AC$2:$AC$48,ROW()-3),'V_Altın'!$AC$2:$AC$48,0))</f>
        <v/>
      </c>
      <c r="W34" s="8">
        <f>INDEX('V_Altın'!V$2:V$48,MATCH(LARGE('V_Altın'!$AC$2:$AC$48,ROW()-3),'V_Altın'!$AC$2:$AC$48,0))</f>
        <v/>
      </c>
      <c r="X34" s="8">
        <f>INDEX('V_Altın'!W$2:W$48,MATCH(LARGE('V_Altın'!$AC$2:$AC$48,ROW()-3),'V_Altın'!$AC$2:$AC$48,0))</f>
        <v/>
      </c>
      <c r="Y34" s="8">
        <f>INDEX('V_Altın'!X$2:X$48,MATCH(LARGE('V_Altın'!$AC$2:$AC$48,ROW()-3),'V_Altın'!$AC$2:$AC$48,0))</f>
        <v/>
      </c>
      <c r="Z34" s="8">
        <f>INDEX('V_Altın'!Y$2:Y$48,MATCH(LARGE('V_Altın'!$AC$2:$AC$48,ROW()-3),'V_Altın'!$AC$2:$AC$48,0))</f>
        <v/>
      </c>
      <c r="AA34" s="8">
        <f>INDEX('V_Altın'!Z$2:Z$48,MATCH(LARGE('V_Altın'!$AC$2:$AC$48,ROW()-3),'V_Altın'!$AC$2:$AC$48,0))</f>
        <v/>
      </c>
      <c r="AB34" s="8">
        <f>INDEX('V_Altın'!AA$2:AA$48,MATCH(LARGE('V_Altın'!$AC$2:$AC$48,ROW()-3),'V_Altın'!$AC$2:$AC$48,0))</f>
        <v/>
      </c>
    </row>
    <row r="35">
      <c r="A35" t="n">
        <v>32</v>
      </c>
      <c r="B35" s="5">
        <f>INDEX('V_Altın'!A$2:A$48,MATCH(LARGE('V_Altın'!$AC$2:$AC$48,ROW()-3),'V_Altın'!$AC$2:$AC$48,0))</f>
        <v/>
      </c>
      <c r="C35" s="5">
        <f>INDEX('V_Altın'!B$2:B$48,MATCH(LARGE('V_Altın'!$AC$2:$AC$48,ROW()-3),'V_Altın'!$AC$2:$AC$48,0))</f>
        <v/>
      </c>
      <c r="D35" s="5">
        <f>INDEX('V_Altın'!C$2:C$48,MATCH(LARGE('V_Altın'!$AC$2:$AC$48,ROW()-3),'V_Altın'!$AC$2:$AC$48,0))</f>
        <v/>
      </c>
      <c r="E35" s="8">
        <f>INDEX('V_Altın'!D$2:D$48,MATCH(LARGE('V_Altın'!$AC$2:$AC$48,ROW()-3),'V_Altın'!$AC$2:$AC$48,0))</f>
        <v/>
      </c>
      <c r="F35" s="9">
        <f>INDEX('V_Altın'!E$2:E$48,MATCH(LARGE('V_Altın'!$AC$2:$AC$48,ROW()-3),'V_Altın'!$AC$2:$AC$48,0))</f>
        <v/>
      </c>
      <c r="G35" s="9">
        <f>INDEX('V_Altın'!F$2:F$48,MATCH(LARGE('V_Altın'!$AC$2:$AC$48,ROW()-3),'V_Altın'!$AC$2:$AC$48,0))</f>
        <v/>
      </c>
      <c r="H35" s="9">
        <f>INDEX('V_Altın'!G$2:G$48,MATCH(LARGE('V_Altın'!$AC$2:$AC$48,ROW()-3),'V_Altın'!$AC$2:$AC$48,0))</f>
        <v/>
      </c>
      <c r="I35" s="9">
        <f>INDEX('V_Altın'!H$2:H$48,MATCH(LARGE('V_Altın'!$AC$2:$AC$48,ROW()-3),'V_Altın'!$AC$2:$AC$48,0))</f>
        <v/>
      </c>
      <c r="J35" s="9">
        <f>INDEX('V_Altın'!I$2:I$48,MATCH(LARGE('V_Altın'!$AC$2:$AC$48,ROW()-3),'V_Altın'!$AC$2:$AC$48,0))</f>
        <v/>
      </c>
      <c r="K35" s="10">
        <f>INDEX('V_Altın'!J$2:J$48,MATCH(LARGE('V_Altın'!$AC$2:$AC$48,ROW()-3),'V_Altın'!$AC$2:$AC$48,0))</f>
        <v/>
      </c>
      <c r="L35" s="10">
        <f>INDEX('V_Altın'!K$2:K$48,MATCH(LARGE('V_Altın'!$AC$2:$AC$48,ROW()-3),'V_Altın'!$AC$2:$AC$48,0))</f>
        <v/>
      </c>
      <c r="M35" s="8">
        <f>INDEX('V_Altın'!L$2:L$48,MATCH(LARGE('V_Altın'!$AC$2:$AC$48,ROW()-3),'V_Altın'!$AC$2:$AC$48,0))</f>
        <v/>
      </c>
      <c r="N35" s="11">
        <f>INDEX('V_Altın'!M$2:M$48,MATCH(LARGE('V_Altın'!$AC$2:$AC$48,ROW()-3),'V_Altın'!$AC$2:$AC$48,0))</f>
        <v/>
      </c>
      <c r="O35" s="11">
        <f>INDEX('V_Altın'!N$2:N$48,MATCH(LARGE('V_Altın'!$AC$2:$AC$48,ROW()-3),'V_Altın'!$AC$2:$AC$48,0))</f>
        <v/>
      </c>
      <c r="P35" s="8">
        <f>INDEX('V_Altın'!O$2:O$48,MATCH(LARGE('V_Altın'!$AC$2:$AC$48,ROW()-3),'V_Altın'!$AC$2:$AC$48,0))</f>
        <v/>
      </c>
      <c r="Q35" s="9">
        <f>INDEX('V_Altın'!P$2:P$48,MATCH(LARGE('V_Altın'!$AC$2:$AC$48,ROW()-3),'V_Altın'!$AC$2:$AC$48,0))</f>
        <v/>
      </c>
      <c r="R35" s="5">
        <f>INDEX('V_Altın'!Q$2:Q$48,MATCH(LARGE('V_Altın'!$AC$2:$AC$48,ROW()-3),'V_Altın'!$AC$2:$AC$48,0))</f>
        <v/>
      </c>
      <c r="S35" s="8">
        <f>INDEX('V_Altın'!R$2:R$48,MATCH(LARGE('V_Altın'!$AC$2:$AC$48,ROW()-3),'V_Altın'!$AC$2:$AC$48,0))</f>
        <v/>
      </c>
      <c r="T35" s="8">
        <f>INDEX('V_Altın'!S$2:S$48,MATCH(LARGE('V_Altın'!$AC$2:$AC$48,ROW()-3),'V_Altın'!$AC$2:$AC$48,0))</f>
        <v/>
      </c>
      <c r="U35" s="8">
        <f>INDEX('V_Altın'!T$2:T$48,MATCH(LARGE('V_Altın'!$AC$2:$AC$48,ROW()-3),'V_Altın'!$AC$2:$AC$48,0))</f>
        <v/>
      </c>
      <c r="V35" s="8">
        <f>INDEX('V_Altın'!U$2:U$48,MATCH(LARGE('V_Altın'!$AC$2:$AC$48,ROW()-3),'V_Altın'!$AC$2:$AC$48,0))</f>
        <v/>
      </c>
      <c r="W35" s="8">
        <f>INDEX('V_Altın'!V$2:V$48,MATCH(LARGE('V_Altın'!$AC$2:$AC$48,ROW()-3),'V_Altın'!$AC$2:$AC$48,0))</f>
        <v/>
      </c>
      <c r="X35" s="8">
        <f>INDEX('V_Altın'!W$2:W$48,MATCH(LARGE('V_Altın'!$AC$2:$AC$48,ROW()-3),'V_Altın'!$AC$2:$AC$48,0))</f>
        <v/>
      </c>
      <c r="Y35" s="8">
        <f>INDEX('V_Altın'!X$2:X$48,MATCH(LARGE('V_Altın'!$AC$2:$AC$48,ROW()-3),'V_Altın'!$AC$2:$AC$48,0))</f>
        <v/>
      </c>
      <c r="Z35" s="8">
        <f>INDEX('V_Altın'!Y$2:Y$48,MATCH(LARGE('V_Altın'!$AC$2:$AC$48,ROW()-3),'V_Altın'!$AC$2:$AC$48,0))</f>
        <v/>
      </c>
      <c r="AA35" s="8">
        <f>INDEX('V_Altın'!Z$2:Z$48,MATCH(LARGE('V_Altın'!$AC$2:$AC$48,ROW()-3),'V_Altın'!$AC$2:$AC$48,0))</f>
        <v/>
      </c>
      <c r="AB35" s="8">
        <f>INDEX('V_Altın'!AA$2:AA$48,MATCH(LARGE('V_Altın'!$AC$2:$AC$48,ROW()-3),'V_Altın'!$AC$2:$AC$48,0))</f>
        <v/>
      </c>
    </row>
    <row r="36">
      <c r="A36" t="n">
        <v>33</v>
      </c>
      <c r="B36" s="5">
        <f>INDEX('V_Altın'!A$2:A$48,MATCH(LARGE('V_Altın'!$AC$2:$AC$48,ROW()-3),'V_Altın'!$AC$2:$AC$48,0))</f>
        <v/>
      </c>
      <c r="C36" s="5">
        <f>INDEX('V_Altın'!B$2:B$48,MATCH(LARGE('V_Altın'!$AC$2:$AC$48,ROW()-3),'V_Altın'!$AC$2:$AC$48,0))</f>
        <v/>
      </c>
      <c r="D36" s="5">
        <f>INDEX('V_Altın'!C$2:C$48,MATCH(LARGE('V_Altın'!$AC$2:$AC$48,ROW()-3),'V_Altın'!$AC$2:$AC$48,0))</f>
        <v/>
      </c>
      <c r="E36" s="8">
        <f>INDEX('V_Altın'!D$2:D$48,MATCH(LARGE('V_Altın'!$AC$2:$AC$48,ROW()-3),'V_Altın'!$AC$2:$AC$48,0))</f>
        <v/>
      </c>
      <c r="F36" s="9">
        <f>INDEX('V_Altın'!E$2:E$48,MATCH(LARGE('V_Altın'!$AC$2:$AC$48,ROW()-3),'V_Altın'!$AC$2:$AC$48,0))</f>
        <v/>
      </c>
      <c r="G36" s="9">
        <f>INDEX('V_Altın'!F$2:F$48,MATCH(LARGE('V_Altın'!$AC$2:$AC$48,ROW()-3),'V_Altın'!$AC$2:$AC$48,0))</f>
        <v/>
      </c>
      <c r="H36" s="9">
        <f>INDEX('V_Altın'!G$2:G$48,MATCH(LARGE('V_Altın'!$AC$2:$AC$48,ROW()-3),'V_Altın'!$AC$2:$AC$48,0))</f>
        <v/>
      </c>
      <c r="I36" s="9">
        <f>INDEX('V_Altın'!H$2:H$48,MATCH(LARGE('V_Altın'!$AC$2:$AC$48,ROW()-3),'V_Altın'!$AC$2:$AC$48,0))</f>
        <v/>
      </c>
      <c r="J36" s="9">
        <f>INDEX('V_Altın'!I$2:I$48,MATCH(LARGE('V_Altın'!$AC$2:$AC$48,ROW()-3),'V_Altın'!$AC$2:$AC$48,0))</f>
        <v/>
      </c>
      <c r="K36" s="10">
        <f>INDEX('V_Altın'!J$2:J$48,MATCH(LARGE('V_Altın'!$AC$2:$AC$48,ROW()-3),'V_Altın'!$AC$2:$AC$48,0))</f>
        <v/>
      </c>
      <c r="L36" s="10">
        <f>INDEX('V_Altın'!K$2:K$48,MATCH(LARGE('V_Altın'!$AC$2:$AC$48,ROW()-3),'V_Altın'!$AC$2:$AC$48,0))</f>
        <v/>
      </c>
      <c r="M36" s="8">
        <f>INDEX('V_Altın'!L$2:L$48,MATCH(LARGE('V_Altın'!$AC$2:$AC$48,ROW()-3),'V_Altın'!$AC$2:$AC$48,0))</f>
        <v/>
      </c>
      <c r="N36" s="11">
        <f>INDEX('V_Altın'!M$2:M$48,MATCH(LARGE('V_Altın'!$AC$2:$AC$48,ROW()-3),'V_Altın'!$AC$2:$AC$48,0))</f>
        <v/>
      </c>
      <c r="O36" s="11">
        <f>INDEX('V_Altın'!N$2:N$48,MATCH(LARGE('V_Altın'!$AC$2:$AC$48,ROW()-3),'V_Altın'!$AC$2:$AC$48,0))</f>
        <v/>
      </c>
      <c r="P36" s="8">
        <f>INDEX('V_Altın'!O$2:O$48,MATCH(LARGE('V_Altın'!$AC$2:$AC$48,ROW()-3),'V_Altın'!$AC$2:$AC$48,0))</f>
        <v/>
      </c>
      <c r="Q36" s="9">
        <f>INDEX('V_Altın'!P$2:P$48,MATCH(LARGE('V_Altın'!$AC$2:$AC$48,ROW()-3),'V_Altın'!$AC$2:$AC$48,0))</f>
        <v/>
      </c>
      <c r="R36" s="5">
        <f>INDEX('V_Altın'!Q$2:Q$48,MATCH(LARGE('V_Altın'!$AC$2:$AC$48,ROW()-3),'V_Altın'!$AC$2:$AC$48,0))</f>
        <v/>
      </c>
      <c r="S36" s="8">
        <f>INDEX('V_Altın'!R$2:R$48,MATCH(LARGE('V_Altın'!$AC$2:$AC$48,ROW()-3),'V_Altın'!$AC$2:$AC$48,0))</f>
        <v/>
      </c>
      <c r="T36" s="8">
        <f>INDEX('V_Altın'!S$2:S$48,MATCH(LARGE('V_Altın'!$AC$2:$AC$48,ROW()-3),'V_Altın'!$AC$2:$AC$48,0))</f>
        <v/>
      </c>
      <c r="U36" s="8">
        <f>INDEX('V_Altın'!T$2:T$48,MATCH(LARGE('V_Altın'!$AC$2:$AC$48,ROW()-3),'V_Altın'!$AC$2:$AC$48,0))</f>
        <v/>
      </c>
      <c r="V36" s="8">
        <f>INDEX('V_Altın'!U$2:U$48,MATCH(LARGE('V_Altın'!$AC$2:$AC$48,ROW()-3),'V_Altın'!$AC$2:$AC$48,0))</f>
        <v/>
      </c>
      <c r="W36" s="8">
        <f>INDEX('V_Altın'!V$2:V$48,MATCH(LARGE('V_Altın'!$AC$2:$AC$48,ROW()-3),'V_Altın'!$AC$2:$AC$48,0))</f>
        <v/>
      </c>
      <c r="X36" s="8">
        <f>INDEX('V_Altın'!W$2:W$48,MATCH(LARGE('V_Altın'!$AC$2:$AC$48,ROW()-3),'V_Altın'!$AC$2:$AC$48,0))</f>
        <v/>
      </c>
      <c r="Y36" s="8">
        <f>INDEX('V_Altın'!X$2:X$48,MATCH(LARGE('V_Altın'!$AC$2:$AC$48,ROW()-3),'V_Altın'!$AC$2:$AC$48,0))</f>
        <v/>
      </c>
      <c r="Z36" s="8">
        <f>INDEX('V_Altın'!Y$2:Y$48,MATCH(LARGE('V_Altın'!$AC$2:$AC$48,ROW()-3),'V_Altın'!$AC$2:$AC$48,0))</f>
        <v/>
      </c>
      <c r="AA36" s="8">
        <f>INDEX('V_Altın'!Z$2:Z$48,MATCH(LARGE('V_Altın'!$AC$2:$AC$48,ROW()-3),'V_Altın'!$AC$2:$AC$48,0))</f>
        <v/>
      </c>
      <c r="AB36" s="8">
        <f>INDEX('V_Altın'!AA$2:AA$48,MATCH(LARGE('V_Altın'!$AC$2:$AC$48,ROW()-3),'V_Altın'!$AC$2:$AC$48,0))</f>
        <v/>
      </c>
    </row>
    <row r="37">
      <c r="A37" t="n">
        <v>34</v>
      </c>
      <c r="B37" s="5">
        <f>INDEX('V_Altın'!A$2:A$48,MATCH(LARGE('V_Altın'!$AC$2:$AC$48,ROW()-3),'V_Altın'!$AC$2:$AC$48,0))</f>
        <v/>
      </c>
      <c r="C37" s="5">
        <f>INDEX('V_Altın'!B$2:B$48,MATCH(LARGE('V_Altın'!$AC$2:$AC$48,ROW()-3),'V_Altın'!$AC$2:$AC$48,0))</f>
        <v/>
      </c>
      <c r="D37" s="5">
        <f>INDEX('V_Altın'!C$2:C$48,MATCH(LARGE('V_Altın'!$AC$2:$AC$48,ROW()-3),'V_Altın'!$AC$2:$AC$48,0))</f>
        <v/>
      </c>
      <c r="E37" s="8">
        <f>INDEX('V_Altın'!D$2:D$48,MATCH(LARGE('V_Altın'!$AC$2:$AC$48,ROW()-3),'V_Altın'!$AC$2:$AC$48,0))</f>
        <v/>
      </c>
      <c r="F37" s="9">
        <f>INDEX('V_Altın'!E$2:E$48,MATCH(LARGE('V_Altın'!$AC$2:$AC$48,ROW()-3),'V_Altın'!$AC$2:$AC$48,0))</f>
        <v/>
      </c>
      <c r="G37" s="9">
        <f>INDEX('V_Altın'!F$2:F$48,MATCH(LARGE('V_Altın'!$AC$2:$AC$48,ROW()-3),'V_Altın'!$AC$2:$AC$48,0))</f>
        <v/>
      </c>
      <c r="H37" s="9">
        <f>INDEX('V_Altın'!G$2:G$48,MATCH(LARGE('V_Altın'!$AC$2:$AC$48,ROW()-3),'V_Altın'!$AC$2:$AC$48,0))</f>
        <v/>
      </c>
      <c r="I37" s="9">
        <f>INDEX('V_Altın'!H$2:H$48,MATCH(LARGE('V_Altın'!$AC$2:$AC$48,ROW()-3),'V_Altın'!$AC$2:$AC$48,0))</f>
        <v/>
      </c>
      <c r="J37" s="9">
        <f>INDEX('V_Altın'!I$2:I$48,MATCH(LARGE('V_Altın'!$AC$2:$AC$48,ROW()-3),'V_Altın'!$AC$2:$AC$48,0))</f>
        <v/>
      </c>
      <c r="K37" s="10">
        <f>INDEX('V_Altın'!J$2:J$48,MATCH(LARGE('V_Altın'!$AC$2:$AC$48,ROW()-3),'V_Altın'!$AC$2:$AC$48,0))</f>
        <v/>
      </c>
      <c r="L37" s="10">
        <f>INDEX('V_Altın'!K$2:K$48,MATCH(LARGE('V_Altın'!$AC$2:$AC$48,ROW()-3),'V_Altın'!$AC$2:$AC$48,0))</f>
        <v/>
      </c>
      <c r="M37" s="8">
        <f>INDEX('V_Altın'!L$2:L$48,MATCH(LARGE('V_Altın'!$AC$2:$AC$48,ROW()-3),'V_Altın'!$AC$2:$AC$48,0))</f>
        <v/>
      </c>
      <c r="N37" s="11">
        <f>INDEX('V_Altın'!M$2:M$48,MATCH(LARGE('V_Altın'!$AC$2:$AC$48,ROW()-3),'V_Altın'!$AC$2:$AC$48,0))</f>
        <v/>
      </c>
      <c r="O37" s="11">
        <f>INDEX('V_Altın'!N$2:N$48,MATCH(LARGE('V_Altın'!$AC$2:$AC$48,ROW()-3),'V_Altın'!$AC$2:$AC$48,0))</f>
        <v/>
      </c>
      <c r="P37" s="8">
        <f>INDEX('V_Altın'!O$2:O$48,MATCH(LARGE('V_Altın'!$AC$2:$AC$48,ROW()-3),'V_Altın'!$AC$2:$AC$48,0))</f>
        <v/>
      </c>
      <c r="Q37" s="9">
        <f>INDEX('V_Altın'!P$2:P$48,MATCH(LARGE('V_Altın'!$AC$2:$AC$48,ROW()-3),'V_Altın'!$AC$2:$AC$48,0))</f>
        <v/>
      </c>
      <c r="R37" s="5">
        <f>INDEX('V_Altın'!Q$2:Q$48,MATCH(LARGE('V_Altın'!$AC$2:$AC$48,ROW()-3),'V_Altın'!$AC$2:$AC$48,0))</f>
        <v/>
      </c>
      <c r="S37" s="8">
        <f>INDEX('V_Altın'!R$2:R$48,MATCH(LARGE('V_Altın'!$AC$2:$AC$48,ROW()-3),'V_Altın'!$AC$2:$AC$48,0))</f>
        <v/>
      </c>
      <c r="T37" s="8">
        <f>INDEX('V_Altın'!S$2:S$48,MATCH(LARGE('V_Altın'!$AC$2:$AC$48,ROW()-3),'V_Altın'!$AC$2:$AC$48,0))</f>
        <v/>
      </c>
      <c r="U37" s="8">
        <f>INDEX('V_Altın'!T$2:T$48,MATCH(LARGE('V_Altın'!$AC$2:$AC$48,ROW()-3),'V_Altın'!$AC$2:$AC$48,0))</f>
        <v/>
      </c>
      <c r="V37" s="8">
        <f>INDEX('V_Altın'!U$2:U$48,MATCH(LARGE('V_Altın'!$AC$2:$AC$48,ROW()-3),'V_Altın'!$AC$2:$AC$48,0))</f>
        <v/>
      </c>
      <c r="W37" s="8">
        <f>INDEX('V_Altın'!V$2:V$48,MATCH(LARGE('V_Altın'!$AC$2:$AC$48,ROW()-3),'V_Altın'!$AC$2:$AC$48,0))</f>
        <v/>
      </c>
      <c r="X37" s="8">
        <f>INDEX('V_Altın'!W$2:W$48,MATCH(LARGE('V_Altın'!$AC$2:$AC$48,ROW()-3),'V_Altın'!$AC$2:$AC$48,0))</f>
        <v/>
      </c>
      <c r="Y37" s="8">
        <f>INDEX('V_Altın'!X$2:X$48,MATCH(LARGE('V_Altın'!$AC$2:$AC$48,ROW()-3),'V_Altın'!$AC$2:$AC$48,0))</f>
        <v/>
      </c>
      <c r="Z37" s="8">
        <f>INDEX('V_Altın'!Y$2:Y$48,MATCH(LARGE('V_Altın'!$AC$2:$AC$48,ROW()-3),'V_Altın'!$AC$2:$AC$48,0))</f>
        <v/>
      </c>
      <c r="AA37" s="8">
        <f>INDEX('V_Altın'!Z$2:Z$48,MATCH(LARGE('V_Altın'!$AC$2:$AC$48,ROW()-3),'V_Altın'!$AC$2:$AC$48,0))</f>
        <v/>
      </c>
      <c r="AB37" s="8">
        <f>INDEX('V_Altın'!AA$2:AA$48,MATCH(LARGE('V_Altın'!$AC$2:$AC$48,ROW()-3),'V_Altın'!$AC$2:$AC$48,0))</f>
        <v/>
      </c>
    </row>
    <row r="38">
      <c r="A38" t="n">
        <v>35</v>
      </c>
      <c r="B38" s="5">
        <f>INDEX('V_Altın'!A$2:A$48,MATCH(LARGE('V_Altın'!$AC$2:$AC$48,ROW()-3),'V_Altın'!$AC$2:$AC$48,0))</f>
        <v/>
      </c>
      <c r="C38" s="5">
        <f>INDEX('V_Altın'!B$2:B$48,MATCH(LARGE('V_Altın'!$AC$2:$AC$48,ROW()-3),'V_Altın'!$AC$2:$AC$48,0))</f>
        <v/>
      </c>
      <c r="D38" s="5">
        <f>INDEX('V_Altın'!C$2:C$48,MATCH(LARGE('V_Altın'!$AC$2:$AC$48,ROW()-3),'V_Altın'!$AC$2:$AC$48,0))</f>
        <v/>
      </c>
      <c r="E38" s="8">
        <f>INDEX('V_Altın'!D$2:D$48,MATCH(LARGE('V_Altın'!$AC$2:$AC$48,ROW()-3),'V_Altın'!$AC$2:$AC$48,0))</f>
        <v/>
      </c>
      <c r="F38" s="9">
        <f>INDEX('V_Altın'!E$2:E$48,MATCH(LARGE('V_Altın'!$AC$2:$AC$48,ROW()-3),'V_Altın'!$AC$2:$AC$48,0))</f>
        <v/>
      </c>
      <c r="G38" s="9">
        <f>INDEX('V_Altın'!F$2:F$48,MATCH(LARGE('V_Altın'!$AC$2:$AC$48,ROW()-3),'V_Altın'!$AC$2:$AC$48,0))</f>
        <v/>
      </c>
      <c r="H38" s="9">
        <f>INDEX('V_Altın'!G$2:G$48,MATCH(LARGE('V_Altın'!$AC$2:$AC$48,ROW()-3),'V_Altın'!$AC$2:$AC$48,0))</f>
        <v/>
      </c>
      <c r="I38" s="9">
        <f>INDEX('V_Altın'!H$2:H$48,MATCH(LARGE('V_Altın'!$AC$2:$AC$48,ROW()-3),'V_Altın'!$AC$2:$AC$48,0))</f>
        <v/>
      </c>
      <c r="J38" s="9">
        <f>INDEX('V_Altın'!I$2:I$48,MATCH(LARGE('V_Altın'!$AC$2:$AC$48,ROW()-3),'V_Altın'!$AC$2:$AC$48,0))</f>
        <v/>
      </c>
      <c r="K38" s="10">
        <f>INDEX('V_Altın'!J$2:J$48,MATCH(LARGE('V_Altın'!$AC$2:$AC$48,ROW()-3),'V_Altın'!$AC$2:$AC$48,0))</f>
        <v/>
      </c>
      <c r="L38" s="10">
        <f>INDEX('V_Altın'!K$2:K$48,MATCH(LARGE('V_Altın'!$AC$2:$AC$48,ROW()-3),'V_Altın'!$AC$2:$AC$48,0))</f>
        <v/>
      </c>
      <c r="M38" s="8">
        <f>INDEX('V_Altın'!L$2:L$48,MATCH(LARGE('V_Altın'!$AC$2:$AC$48,ROW()-3),'V_Altın'!$AC$2:$AC$48,0))</f>
        <v/>
      </c>
      <c r="N38" s="11">
        <f>INDEX('V_Altın'!M$2:M$48,MATCH(LARGE('V_Altın'!$AC$2:$AC$48,ROW()-3),'V_Altın'!$AC$2:$AC$48,0))</f>
        <v/>
      </c>
      <c r="O38" s="11">
        <f>INDEX('V_Altın'!N$2:N$48,MATCH(LARGE('V_Altın'!$AC$2:$AC$48,ROW()-3),'V_Altın'!$AC$2:$AC$48,0))</f>
        <v/>
      </c>
      <c r="P38" s="8">
        <f>INDEX('V_Altın'!O$2:O$48,MATCH(LARGE('V_Altın'!$AC$2:$AC$48,ROW()-3),'V_Altın'!$AC$2:$AC$48,0))</f>
        <v/>
      </c>
      <c r="Q38" s="9">
        <f>INDEX('V_Altın'!P$2:P$48,MATCH(LARGE('V_Altın'!$AC$2:$AC$48,ROW()-3),'V_Altın'!$AC$2:$AC$48,0))</f>
        <v/>
      </c>
      <c r="R38" s="5">
        <f>INDEX('V_Altın'!Q$2:Q$48,MATCH(LARGE('V_Altın'!$AC$2:$AC$48,ROW()-3),'V_Altın'!$AC$2:$AC$48,0))</f>
        <v/>
      </c>
      <c r="S38" s="8">
        <f>INDEX('V_Altın'!R$2:R$48,MATCH(LARGE('V_Altın'!$AC$2:$AC$48,ROW()-3),'V_Altın'!$AC$2:$AC$48,0))</f>
        <v/>
      </c>
      <c r="T38" s="8">
        <f>INDEX('V_Altın'!S$2:S$48,MATCH(LARGE('V_Altın'!$AC$2:$AC$48,ROW()-3),'V_Altın'!$AC$2:$AC$48,0))</f>
        <v/>
      </c>
      <c r="U38" s="8">
        <f>INDEX('V_Altın'!T$2:T$48,MATCH(LARGE('V_Altın'!$AC$2:$AC$48,ROW()-3),'V_Altın'!$AC$2:$AC$48,0))</f>
        <v/>
      </c>
      <c r="V38" s="8">
        <f>INDEX('V_Altın'!U$2:U$48,MATCH(LARGE('V_Altın'!$AC$2:$AC$48,ROW()-3),'V_Altın'!$AC$2:$AC$48,0))</f>
        <v/>
      </c>
      <c r="W38" s="8">
        <f>INDEX('V_Altın'!V$2:V$48,MATCH(LARGE('V_Altın'!$AC$2:$AC$48,ROW()-3),'V_Altın'!$AC$2:$AC$48,0))</f>
        <v/>
      </c>
      <c r="X38" s="8">
        <f>INDEX('V_Altın'!W$2:W$48,MATCH(LARGE('V_Altın'!$AC$2:$AC$48,ROW()-3),'V_Altın'!$AC$2:$AC$48,0))</f>
        <v/>
      </c>
      <c r="Y38" s="8">
        <f>INDEX('V_Altın'!X$2:X$48,MATCH(LARGE('V_Altın'!$AC$2:$AC$48,ROW()-3),'V_Altın'!$AC$2:$AC$48,0))</f>
        <v/>
      </c>
      <c r="Z38" s="8">
        <f>INDEX('V_Altın'!Y$2:Y$48,MATCH(LARGE('V_Altın'!$AC$2:$AC$48,ROW()-3),'V_Altın'!$AC$2:$AC$48,0))</f>
        <v/>
      </c>
      <c r="AA38" s="8">
        <f>INDEX('V_Altın'!Z$2:Z$48,MATCH(LARGE('V_Altın'!$AC$2:$AC$48,ROW()-3),'V_Altın'!$AC$2:$AC$48,0))</f>
        <v/>
      </c>
      <c r="AB38" s="8">
        <f>INDEX('V_Altın'!AA$2:AA$48,MATCH(LARGE('V_Altın'!$AC$2:$AC$48,ROW()-3),'V_Altın'!$AC$2:$AC$48,0))</f>
        <v/>
      </c>
    </row>
    <row r="39">
      <c r="A39" t="n">
        <v>36</v>
      </c>
      <c r="B39" s="5">
        <f>INDEX('V_Altın'!A$2:A$48,MATCH(LARGE('V_Altın'!$AC$2:$AC$48,ROW()-3),'V_Altın'!$AC$2:$AC$48,0))</f>
        <v/>
      </c>
      <c r="C39" s="5">
        <f>INDEX('V_Altın'!B$2:B$48,MATCH(LARGE('V_Altın'!$AC$2:$AC$48,ROW()-3),'V_Altın'!$AC$2:$AC$48,0))</f>
        <v/>
      </c>
      <c r="D39" s="5">
        <f>INDEX('V_Altın'!C$2:C$48,MATCH(LARGE('V_Altın'!$AC$2:$AC$48,ROW()-3),'V_Altın'!$AC$2:$AC$48,0))</f>
        <v/>
      </c>
      <c r="E39" s="8">
        <f>INDEX('V_Altın'!D$2:D$48,MATCH(LARGE('V_Altın'!$AC$2:$AC$48,ROW()-3),'V_Altın'!$AC$2:$AC$48,0))</f>
        <v/>
      </c>
      <c r="F39" s="9">
        <f>INDEX('V_Altın'!E$2:E$48,MATCH(LARGE('V_Altın'!$AC$2:$AC$48,ROW()-3),'V_Altın'!$AC$2:$AC$48,0))</f>
        <v/>
      </c>
      <c r="G39" s="9">
        <f>INDEX('V_Altın'!F$2:F$48,MATCH(LARGE('V_Altın'!$AC$2:$AC$48,ROW()-3),'V_Altın'!$AC$2:$AC$48,0))</f>
        <v/>
      </c>
      <c r="H39" s="9">
        <f>INDEX('V_Altın'!G$2:G$48,MATCH(LARGE('V_Altın'!$AC$2:$AC$48,ROW()-3),'V_Altın'!$AC$2:$AC$48,0))</f>
        <v/>
      </c>
      <c r="I39" s="9">
        <f>INDEX('V_Altın'!H$2:H$48,MATCH(LARGE('V_Altın'!$AC$2:$AC$48,ROW()-3),'V_Altın'!$AC$2:$AC$48,0))</f>
        <v/>
      </c>
      <c r="J39" s="9">
        <f>INDEX('V_Altın'!I$2:I$48,MATCH(LARGE('V_Altın'!$AC$2:$AC$48,ROW()-3),'V_Altın'!$AC$2:$AC$48,0))</f>
        <v/>
      </c>
      <c r="K39" s="10">
        <f>INDEX('V_Altın'!J$2:J$48,MATCH(LARGE('V_Altın'!$AC$2:$AC$48,ROW()-3),'V_Altın'!$AC$2:$AC$48,0))</f>
        <v/>
      </c>
      <c r="L39" s="10">
        <f>INDEX('V_Altın'!K$2:K$48,MATCH(LARGE('V_Altın'!$AC$2:$AC$48,ROW()-3),'V_Altın'!$AC$2:$AC$48,0))</f>
        <v/>
      </c>
      <c r="M39" s="8">
        <f>INDEX('V_Altın'!L$2:L$48,MATCH(LARGE('V_Altın'!$AC$2:$AC$48,ROW()-3),'V_Altın'!$AC$2:$AC$48,0))</f>
        <v/>
      </c>
      <c r="N39" s="11">
        <f>INDEX('V_Altın'!M$2:M$48,MATCH(LARGE('V_Altın'!$AC$2:$AC$48,ROW()-3),'V_Altın'!$AC$2:$AC$48,0))</f>
        <v/>
      </c>
      <c r="O39" s="11">
        <f>INDEX('V_Altın'!N$2:N$48,MATCH(LARGE('V_Altın'!$AC$2:$AC$48,ROW()-3),'V_Altın'!$AC$2:$AC$48,0))</f>
        <v/>
      </c>
      <c r="P39" s="8">
        <f>INDEX('V_Altın'!O$2:O$48,MATCH(LARGE('V_Altın'!$AC$2:$AC$48,ROW()-3),'V_Altın'!$AC$2:$AC$48,0))</f>
        <v/>
      </c>
      <c r="Q39" s="9">
        <f>INDEX('V_Altın'!P$2:P$48,MATCH(LARGE('V_Altın'!$AC$2:$AC$48,ROW()-3),'V_Altın'!$AC$2:$AC$48,0))</f>
        <v/>
      </c>
      <c r="R39" s="5">
        <f>INDEX('V_Altın'!Q$2:Q$48,MATCH(LARGE('V_Altın'!$AC$2:$AC$48,ROW()-3),'V_Altın'!$AC$2:$AC$48,0))</f>
        <v/>
      </c>
      <c r="S39" s="8">
        <f>INDEX('V_Altın'!R$2:R$48,MATCH(LARGE('V_Altın'!$AC$2:$AC$48,ROW()-3),'V_Altın'!$AC$2:$AC$48,0))</f>
        <v/>
      </c>
      <c r="T39" s="8">
        <f>INDEX('V_Altın'!S$2:S$48,MATCH(LARGE('V_Altın'!$AC$2:$AC$48,ROW()-3),'V_Altın'!$AC$2:$AC$48,0))</f>
        <v/>
      </c>
      <c r="U39" s="8">
        <f>INDEX('V_Altın'!T$2:T$48,MATCH(LARGE('V_Altın'!$AC$2:$AC$48,ROW()-3),'V_Altın'!$AC$2:$AC$48,0))</f>
        <v/>
      </c>
      <c r="V39" s="8">
        <f>INDEX('V_Altın'!U$2:U$48,MATCH(LARGE('V_Altın'!$AC$2:$AC$48,ROW()-3),'V_Altın'!$AC$2:$AC$48,0))</f>
        <v/>
      </c>
      <c r="W39" s="8">
        <f>INDEX('V_Altın'!V$2:V$48,MATCH(LARGE('V_Altın'!$AC$2:$AC$48,ROW()-3),'V_Altın'!$AC$2:$AC$48,0))</f>
        <v/>
      </c>
      <c r="X39" s="8">
        <f>INDEX('V_Altın'!W$2:W$48,MATCH(LARGE('V_Altın'!$AC$2:$AC$48,ROW()-3),'V_Altın'!$AC$2:$AC$48,0))</f>
        <v/>
      </c>
      <c r="Y39" s="8">
        <f>INDEX('V_Altın'!X$2:X$48,MATCH(LARGE('V_Altın'!$AC$2:$AC$48,ROW()-3),'V_Altın'!$AC$2:$AC$48,0))</f>
        <v/>
      </c>
      <c r="Z39" s="8">
        <f>INDEX('V_Altın'!Y$2:Y$48,MATCH(LARGE('V_Altın'!$AC$2:$AC$48,ROW()-3),'V_Altın'!$AC$2:$AC$48,0))</f>
        <v/>
      </c>
      <c r="AA39" s="8">
        <f>INDEX('V_Altın'!Z$2:Z$48,MATCH(LARGE('V_Altın'!$AC$2:$AC$48,ROW()-3),'V_Altın'!$AC$2:$AC$48,0))</f>
        <v/>
      </c>
      <c r="AB39" s="8">
        <f>INDEX('V_Altın'!AA$2:AA$48,MATCH(LARGE('V_Altın'!$AC$2:$AC$48,ROW()-3),'V_Altın'!$AC$2:$AC$48,0))</f>
        <v/>
      </c>
    </row>
    <row r="40">
      <c r="A40" t="n">
        <v>37</v>
      </c>
      <c r="B40" s="5">
        <f>INDEX('V_Altın'!A$2:A$48,MATCH(LARGE('V_Altın'!$AC$2:$AC$48,ROW()-3),'V_Altın'!$AC$2:$AC$48,0))</f>
        <v/>
      </c>
      <c r="C40" s="5">
        <f>INDEX('V_Altın'!B$2:B$48,MATCH(LARGE('V_Altın'!$AC$2:$AC$48,ROW()-3),'V_Altın'!$AC$2:$AC$48,0))</f>
        <v/>
      </c>
      <c r="D40" s="5">
        <f>INDEX('V_Altın'!C$2:C$48,MATCH(LARGE('V_Altın'!$AC$2:$AC$48,ROW()-3),'V_Altın'!$AC$2:$AC$48,0))</f>
        <v/>
      </c>
      <c r="E40" s="8">
        <f>INDEX('V_Altın'!D$2:D$48,MATCH(LARGE('V_Altın'!$AC$2:$AC$48,ROW()-3),'V_Altın'!$AC$2:$AC$48,0))</f>
        <v/>
      </c>
      <c r="F40" s="9">
        <f>INDEX('V_Altın'!E$2:E$48,MATCH(LARGE('V_Altın'!$AC$2:$AC$48,ROW()-3),'V_Altın'!$AC$2:$AC$48,0))</f>
        <v/>
      </c>
      <c r="G40" s="9">
        <f>INDEX('V_Altın'!F$2:F$48,MATCH(LARGE('V_Altın'!$AC$2:$AC$48,ROW()-3),'V_Altın'!$AC$2:$AC$48,0))</f>
        <v/>
      </c>
      <c r="H40" s="9">
        <f>INDEX('V_Altın'!G$2:G$48,MATCH(LARGE('V_Altın'!$AC$2:$AC$48,ROW()-3),'V_Altın'!$AC$2:$AC$48,0))</f>
        <v/>
      </c>
      <c r="I40" s="9">
        <f>INDEX('V_Altın'!H$2:H$48,MATCH(LARGE('V_Altın'!$AC$2:$AC$48,ROW()-3),'V_Altın'!$AC$2:$AC$48,0))</f>
        <v/>
      </c>
      <c r="J40" s="9">
        <f>INDEX('V_Altın'!I$2:I$48,MATCH(LARGE('V_Altın'!$AC$2:$AC$48,ROW()-3),'V_Altın'!$AC$2:$AC$48,0))</f>
        <v/>
      </c>
      <c r="K40" s="10">
        <f>INDEX('V_Altın'!J$2:J$48,MATCH(LARGE('V_Altın'!$AC$2:$AC$48,ROW()-3),'V_Altın'!$AC$2:$AC$48,0))</f>
        <v/>
      </c>
      <c r="L40" s="10">
        <f>INDEX('V_Altın'!K$2:K$48,MATCH(LARGE('V_Altın'!$AC$2:$AC$48,ROW()-3),'V_Altın'!$AC$2:$AC$48,0))</f>
        <v/>
      </c>
      <c r="M40" s="8">
        <f>INDEX('V_Altın'!L$2:L$48,MATCH(LARGE('V_Altın'!$AC$2:$AC$48,ROW()-3),'V_Altın'!$AC$2:$AC$48,0))</f>
        <v/>
      </c>
      <c r="N40" s="11">
        <f>INDEX('V_Altın'!M$2:M$48,MATCH(LARGE('V_Altın'!$AC$2:$AC$48,ROW()-3),'V_Altın'!$AC$2:$AC$48,0))</f>
        <v/>
      </c>
      <c r="O40" s="11">
        <f>INDEX('V_Altın'!N$2:N$48,MATCH(LARGE('V_Altın'!$AC$2:$AC$48,ROW()-3),'V_Altın'!$AC$2:$AC$48,0))</f>
        <v/>
      </c>
      <c r="P40" s="8">
        <f>INDEX('V_Altın'!O$2:O$48,MATCH(LARGE('V_Altın'!$AC$2:$AC$48,ROW()-3),'V_Altın'!$AC$2:$AC$48,0))</f>
        <v/>
      </c>
      <c r="Q40" s="9">
        <f>INDEX('V_Altın'!P$2:P$48,MATCH(LARGE('V_Altın'!$AC$2:$AC$48,ROW()-3),'V_Altın'!$AC$2:$AC$48,0))</f>
        <v/>
      </c>
      <c r="R40" s="5">
        <f>INDEX('V_Altın'!Q$2:Q$48,MATCH(LARGE('V_Altın'!$AC$2:$AC$48,ROW()-3),'V_Altın'!$AC$2:$AC$48,0))</f>
        <v/>
      </c>
      <c r="S40" s="8">
        <f>INDEX('V_Altın'!R$2:R$48,MATCH(LARGE('V_Altın'!$AC$2:$AC$48,ROW()-3),'V_Altın'!$AC$2:$AC$48,0))</f>
        <v/>
      </c>
      <c r="T40" s="8">
        <f>INDEX('V_Altın'!S$2:S$48,MATCH(LARGE('V_Altın'!$AC$2:$AC$48,ROW()-3),'V_Altın'!$AC$2:$AC$48,0))</f>
        <v/>
      </c>
      <c r="U40" s="8">
        <f>INDEX('V_Altın'!T$2:T$48,MATCH(LARGE('V_Altın'!$AC$2:$AC$48,ROW()-3),'V_Altın'!$AC$2:$AC$48,0))</f>
        <v/>
      </c>
      <c r="V40" s="8">
        <f>INDEX('V_Altın'!U$2:U$48,MATCH(LARGE('V_Altın'!$AC$2:$AC$48,ROW()-3),'V_Altın'!$AC$2:$AC$48,0))</f>
        <v/>
      </c>
      <c r="W40" s="8">
        <f>INDEX('V_Altın'!V$2:V$48,MATCH(LARGE('V_Altın'!$AC$2:$AC$48,ROW()-3),'V_Altın'!$AC$2:$AC$48,0))</f>
        <v/>
      </c>
      <c r="X40" s="8">
        <f>INDEX('V_Altın'!W$2:W$48,MATCH(LARGE('V_Altın'!$AC$2:$AC$48,ROW()-3),'V_Altın'!$AC$2:$AC$48,0))</f>
        <v/>
      </c>
      <c r="Y40" s="8">
        <f>INDEX('V_Altın'!X$2:X$48,MATCH(LARGE('V_Altın'!$AC$2:$AC$48,ROW()-3),'V_Altın'!$AC$2:$AC$48,0))</f>
        <v/>
      </c>
      <c r="Z40" s="8">
        <f>INDEX('V_Altın'!Y$2:Y$48,MATCH(LARGE('V_Altın'!$AC$2:$AC$48,ROW()-3),'V_Altın'!$AC$2:$AC$48,0))</f>
        <v/>
      </c>
      <c r="AA40" s="8">
        <f>INDEX('V_Altın'!Z$2:Z$48,MATCH(LARGE('V_Altın'!$AC$2:$AC$48,ROW()-3),'V_Altın'!$AC$2:$AC$48,0))</f>
        <v/>
      </c>
      <c r="AB40" s="8">
        <f>INDEX('V_Altın'!AA$2:AA$48,MATCH(LARGE('V_Altın'!$AC$2:$AC$48,ROW()-3),'V_Altın'!$AC$2:$AC$48,0))</f>
        <v/>
      </c>
    </row>
    <row r="41">
      <c r="A41" t="n">
        <v>38</v>
      </c>
      <c r="B41" s="5">
        <f>INDEX('V_Altın'!A$2:A$48,MATCH(LARGE('V_Altın'!$AC$2:$AC$48,ROW()-3),'V_Altın'!$AC$2:$AC$48,0))</f>
        <v/>
      </c>
      <c r="C41" s="5">
        <f>INDEX('V_Altın'!B$2:B$48,MATCH(LARGE('V_Altın'!$AC$2:$AC$48,ROW()-3),'V_Altın'!$AC$2:$AC$48,0))</f>
        <v/>
      </c>
      <c r="D41" s="5">
        <f>INDEX('V_Altın'!C$2:C$48,MATCH(LARGE('V_Altın'!$AC$2:$AC$48,ROW()-3),'V_Altın'!$AC$2:$AC$48,0))</f>
        <v/>
      </c>
      <c r="E41" s="8">
        <f>INDEX('V_Altın'!D$2:D$48,MATCH(LARGE('V_Altın'!$AC$2:$AC$48,ROW()-3),'V_Altın'!$AC$2:$AC$48,0))</f>
        <v/>
      </c>
      <c r="F41" s="9">
        <f>INDEX('V_Altın'!E$2:E$48,MATCH(LARGE('V_Altın'!$AC$2:$AC$48,ROW()-3),'V_Altın'!$AC$2:$AC$48,0))</f>
        <v/>
      </c>
      <c r="G41" s="9">
        <f>INDEX('V_Altın'!F$2:F$48,MATCH(LARGE('V_Altın'!$AC$2:$AC$48,ROW()-3),'V_Altın'!$AC$2:$AC$48,0))</f>
        <v/>
      </c>
      <c r="H41" s="9">
        <f>INDEX('V_Altın'!G$2:G$48,MATCH(LARGE('V_Altın'!$AC$2:$AC$48,ROW()-3),'V_Altın'!$AC$2:$AC$48,0))</f>
        <v/>
      </c>
      <c r="I41" s="9">
        <f>INDEX('V_Altın'!H$2:H$48,MATCH(LARGE('V_Altın'!$AC$2:$AC$48,ROW()-3),'V_Altın'!$AC$2:$AC$48,0))</f>
        <v/>
      </c>
      <c r="J41" s="9">
        <f>INDEX('V_Altın'!I$2:I$48,MATCH(LARGE('V_Altın'!$AC$2:$AC$48,ROW()-3),'V_Altın'!$AC$2:$AC$48,0))</f>
        <v/>
      </c>
      <c r="K41" s="10">
        <f>INDEX('V_Altın'!J$2:J$48,MATCH(LARGE('V_Altın'!$AC$2:$AC$48,ROW()-3),'V_Altın'!$AC$2:$AC$48,0))</f>
        <v/>
      </c>
      <c r="L41" s="10">
        <f>INDEX('V_Altın'!K$2:K$48,MATCH(LARGE('V_Altın'!$AC$2:$AC$48,ROW()-3),'V_Altın'!$AC$2:$AC$48,0))</f>
        <v/>
      </c>
      <c r="M41" s="8">
        <f>INDEX('V_Altın'!L$2:L$48,MATCH(LARGE('V_Altın'!$AC$2:$AC$48,ROW()-3),'V_Altın'!$AC$2:$AC$48,0))</f>
        <v/>
      </c>
      <c r="N41" s="11">
        <f>INDEX('V_Altın'!M$2:M$48,MATCH(LARGE('V_Altın'!$AC$2:$AC$48,ROW()-3),'V_Altın'!$AC$2:$AC$48,0))</f>
        <v/>
      </c>
      <c r="O41" s="11">
        <f>INDEX('V_Altın'!N$2:N$48,MATCH(LARGE('V_Altın'!$AC$2:$AC$48,ROW()-3),'V_Altın'!$AC$2:$AC$48,0))</f>
        <v/>
      </c>
      <c r="P41" s="8">
        <f>INDEX('V_Altın'!O$2:O$48,MATCH(LARGE('V_Altın'!$AC$2:$AC$48,ROW()-3),'V_Altın'!$AC$2:$AC$48,0))</f>
        <v/>
      </c>
      <c r="Q41" s="9">
        <f>INDEX('V_Altın'!P$2:P$48,MATCH(LARGE('V_Altın'!$AC$2:$AC$48,ROW()-3),'V_Altın'!$AC$2:$AC$48,0))</f>
        <v/>
      </c>
      <c r="R41" s="5">
        <f>INDEX('V_Altın'!Q$2:Q$48,MATCH(LARGE('V_Altın'!$AC$2:$AC$48,ROW()-3),'V_Altın'!$AC$2:$AC$48,0))</f>
        <v/>
      </c>
      <c r="S41" s="8">
        <f>INDEX('V_Altın'!R$2:R$48,MATCH(LARGE('V_Altın'!$AC$2:$AC$48,ROW()-3),'V_Altın'!$AC$2:$AC$48,0))</f>
        <v/>
      </c>
      <c r="T41" s="8">
        <f>INDEX('V_Altın'!S$2:S$48,MATCH(LARGE('V_Altın'!$AC$2:$AC$48,ROW()-3),'V_Altın'!$AC$2:$AC$48,0))</f>
        <v/>
      </c>
      <c r="U41" s="8">
        <f>INDEX('V_Altın'!T$2:T$48,MATCH(LARGE('V_Altın'!$AC$2:$AC$48,ROW()-3),'V_Altın'!$AC$2:$AC$48,0))</f>
        <v/>
      </c>
      <c r="V41" s="8">
        <f>INDEX('V_Altın'!U$2:U$48,MATCH(LARGE('V_Altın'!$AC$2:$AC$48,ROW()-3),'V_Altın'!$AC$2:$AC$48,0))</f>
        <v/>
      </c>
      <c r="W41" s="8">
        <f>INDEX('V_Altın'!V$2:V$48,MATCH(LARGE('V_Altın'!$AC$2:$AC$48,ROW()-3),'V_Altın'!$AC$2:$AC$48,0))</f>
        <v/>
      </c>
      <c r="X41" s="8">
        <f>INDEX('V_Altın'!W$2:W$48,MATCH(LARGE('V_Altın'!$AC$2:$AC$48,ROW()-3),'V_Altın'!$AC$2:$AC$48,0))</f>
        <v/>
      </c>
      <c r="Y41" s="8">
        <f>INDEX('V_Altın'!X$2:X$48,MATCH(LARGE('V_Altın'!$AC$2:$AC$48,ROW()-3),'V_Altın'!$AC$2:$AC$48,0))</f>
        <v/>
      </c>
      <c r="Z41" s="8">
        <f>INDEX('V_Altın'!Y$2:Y$48,MATCH(LARGE('V_Altın'!$AC$2:$AC$48,ROW()-3),'V_Altın'!$AC$2:$AC$48,0))</f>
        <v/>
      </c>
      <c r="AA41" s="8">
        <f>INDEX('V_Altın'!Z$2:Z$48,MATCH(LARGE('V_Altın'!$AC$2:$AC$48,ROW()-3),'V_Altın'!$AC$2:$AC$48,0))</f>
        <v/>
      </c>
      <c r="AB41" s="8">
        <f>INDEX('V_Altın'!AA$2:AA$48,MATCH(LARGE('V_Altın'!$AC$2:$AC$48,ROW()-3),'V_Altın'!$AC$2:$AC$48,0))</f>
        <v/>
      </c>
    </row>
    <row r="42">
      <c r="A42" t="n">
        <v>39</v>
      </c>
      <c r="B42" s="5">
        <f>INDEX('V_Altın'!A$2:A$48,MATCH(LARGE('V_Altın'!$AC$2:$AC$48,ROW()-3),'V_Altın'!$AC$2:$AC$48,0))</f>
        <v/>
      </c>
      <c r="C42" s="5">
        <f>INDEX('V_Altın'!B$2:B$48,MATCH(LARGE('V_Altın'!$AC$2:$AC$48,ROW()-3),'V_Altın'!$AC$2:$AC$48,0))</f>
        <v/>
      </c>
      <c r="D42" s="5">
        <f>INDEX('V_Altın'!C$2:C$48,MATCH(LARGE('V_Altın'!$AC$2:$AC$48,ROW()-3),'V_Altın'!$AC$2:$AC$48,0))</f>
        <v/>
      </c>
      <c r="E42" s="8">
        <f>INDEX('V_Altın'!D$2:D$48,MATCH(LARGE('V_Altın'!$AC$2:$AC$48,ROW()-3),'V_Altın'!$AC$2:$AC$48,0))</f>
        <v/>
      </c>
      <c r="F42" s="9">
        <f>INDEX('V_Altın'!E$2:E$48,MATCH(LARGE('V_Altın'!$AC$2:$AC$48,ROW()-3),'V_Altın'!$AC$2:$AC$48,0))</f>
        <v/>
      </c>
      <c r="G42" s="9">
        <f>INDEX('V_Altın'!F$2:F$48,MATCH(LARGE('V_Altın'!$AC$2:$AC$48,ROW()-3),'V_Altın'!$AC$2:$AC$48,0))</f>
        <v/>
      </c>
      <c r="H42" s="9">
        <f>INDEX('V_Altın'!G$2:G$48,MATCH(LARGE('V_Altın'!$AC$2:$AC$48,ROW()-3),'V_Altın'!$AC$2:$AC$48,0))</f>
        <v/>
      </c>
      <c r="I42" s="9">
        <f>INDEX('V_Altın'!H$2:H$48,MATCH(LARGE('V_Altın'!$AC$2:$AC$48,ROW()-3),'V_Altın'!$AC$2:$AC$48,0))</f>
        <v/>
      </c>
      <c r="J42" s="9">
        <f>INDEX('V_Altın'!I$2:I$48,MATCH(LARGE('V_Altın'!$AC$2:$AC$48,ROW()-3),'V_Altın'!$AC$2:$AC$48,0))</f>
        <v/>
      </c>
      <c r="K42" s="10">
        <f>INDEX('V_Altın'!J$2:J$48,MATCH(LARGE('V_Altın'!$AC$2:$AC$48,ROW()-3),'V_Altın'!$AC$2:$AC$48,0))</f>
        <v/>
      </c>
      <c r="L42" s="10">
        <f>INDEX('V_Altın'!K$2:K$48,MATCH(LARGE('V_Altın'!$AC$2:$AC$48,ROW()-3),'V_Altın'!$AC$2:$AC$48,0))</f>
        <v/>
      </c>
      <c r="M42" s="8">
        <f>INDEX('V_Altın'!L$2:L$48,MATCH(LARGE('V_Altın'!$AC$2:$AC$48,ROW()-3),'V_Altın'!$AC$2:$AC$48,0))</f>
        <v/>
      </c>
      <c r="N42" s="11">
        <f>INDEX('V_Altın'!M$2:M$48,MATCH(LARGE('V_Altın'!$AC$2:$AC$48,ROW()-3),'V_Altın'!$AC$2:$AC$48,0))</f>
        <v/>
      </c>
      <c r="O42" s="11">
        <f>INDEX('V_Altın'!N$2:N$48,MATCH(LARGE('V_Altın'!$AC$2:$AC$48,ROW()-3),'V_Altın'!$AC$2:$AC$48,0))</f>
        <v/>
      </c>
      <c r="P42" s="8">
        <f>INDEX('V_Altın'!O$2:O$48,MATCH(LARGE('V_Altın'!$AC$2:$AC$48,ROW()-3),'V_Altın'!$AC$2:$AC$48,0))</f>
        <v/>
      </c>
      <c r="Q42" s="9">
        <f>INDEX('V_Altın'!P$2:P$48,MATCH(LARGE('V_Altın'!$AC$2:$AC$48,ROW()-3),'V_Altın'!$AC$2:$AC$48,0))</f>
        <v/>
      </c>
      <c r="R42" s="5">
        <f>INDEX('V_Altın'!Q$2:Q$48,MATCH(LARGE('V_Altın'!$AC$2:$AC$48,ROW()-3),'V_Altın'!$AC$2:$AC$48,0))</f>
        <v/>
      </c>
      <c r="S42" s="8">
        <f>INDEX('V_Altın'!R$2:R$48,MATCH(LARGE('V_Altın'!$AC$2:$AC$48,ROW()-3),'V_Altın'!$AC$2:$AC$48,0))</f>
        <v/>
      </c>
      <c r="T42" s="8">
        <f>INDEX('V_Altın'!S$2:S$48,MATCH(LARGE('V_Altın'!$AC$2:$AC$48,ROW()-3),'V_Altın'!$AC$2:$AC$48,0))</f>
        <v/>
      </c>
      <c r="U42" s="8">
        <f>INDEX('V_Altın'!T$2:T$48,MATCH(LARGE('V_Altın'!$AC$2:$AC$48,ROW()-3),'V_Altın'!$AC$2:$AC$48,0))</f>
        <v/>
      </c>
      <c r="V42" s="8">
        <f>INDEX('V_Altın'!U$2:U$48,MATCH(LARGE('V_Altın'!$AC$2:$AC$48,ROW()-3),'V_Altın'!$AC$2:$AC$48,0))</f>
        <v/>
      </c>
      <c r="W42" s="8">
        <f>INDEX('V_Altın'!V$2:V$48,MATCH(LARGE('V_Altın'!$AC$2:$AC$48,ROW()-3),'V_Altın'!$AC$2:$AC$48,0))</f>
        <v/>
      </c>
      <c r="X42" s="8">
        <f>INDEX('V_Altın'!W$2:W$48,MATCH(LARGE('V_Altın'!$AC$2:$AC$48,ROW()-3),'V_Altın'!$AC$2:$AC$48,0))</f>
        <v/>
      </c>
      <c r="Y42" s="8">
        <f>INDEX('V_Altın'!X$2:X$48,MATCH(LARGE('V_Altın'!$AC$2:$AC$48,ROW()-3),'V_Altın'!$AC$2:$AC$48,0))</f>
        <v/>
      </c>
      <c r="Z42" s="8">
        <f>INDEX('V_Altın'!Y$2:Y$48,MATCH(LARGE('V_Altın'!$AC$2:$AC$48,ROW()-3),'V_Altın'!$AC$2:$AC$48,0))</f>
        <v/>
      </c>
      <c r="AA42" s="8">
        <f>INDEX('V_Altın'!Z$2:Z$48,MATCH(LARGE('V_Altın'!$AC$2:$AC$48,ROW()-3),'V_Altın'!$AC$2:$AC$48,0))</f>
        <v/>
      </c>
      <c r="AB42" s="8">
        <f>INDEX('V_Altın'!AA$2:AA$48,MATCH(LARGE('V_Altın'!$AC$2:$AC$48,ROW()-3),'V_Altın'!$AC$2:$AC$48,0))</f>
        <v/>
      </c>
    </row>
    <row r="43">
      <c r="A43" t="n">
        <v>40</v>
      </c>
      <c r="B43" s="5">
        <f>INDEX('V_Altın'!A$2:A$48,MATCH(LARGE('V_Altın'!$AC$2:$AC$48,ROW()-3),'V_Altın'!$AC$2:$AC$48,0))</f>
        <v/>
      </c>
      <c r="C43" s="5">
        <f>INDEX('V_Altın'!B$2:B$48,MATCH(LARGE('V_Altın'!$AC$2:$AC$48,ROW()-3),'V_Altın'!$AC$2:$AC$48,0))</f>
        <v/>
      </c>
      <c r="D43" s="5">
        <f>INDEX('V_Altın'!C$2:C$48,MATCH(LARGE('V_Altın'!$AC$2:$AC$48,ROW()-3),'V_Altın'!$AC$2:$AC$48,0))</f>
        <v/>
      </c>
      <c r="E43" s="8">
        <f>INDEX('V_Altın'!D$2:D$48,MATCH(LARGE('V_Altın'!$AC$2:$AC$48,ROW()-3),'V_Altın'!$AC$2:$AC$48,0))</f>
        <v/>
      </c>
      <c r="F43" s="9">
        <f>INDEX('V_Altın'!E$2:E$48,MATCH(LARGE('V_Altın'!$AC$2:$AC$48,ROW()-3),'V_Altın'!$AC$2:$AC$48,0))</f>
        <v/>
      </c>
      <c r="G43" s="9">
        <f>INDEX('V_Altın'!F$2:F$48,MATCH(LARGE('V_Altın'!$AC$2:$AC$48,ROW()-3),'V_Altın'!$AC$2:$AC$48,0))</f>
        <v/>
      </c>
      <c r="H43" s="9">
        <f>INDEX('V_Altın'!G$2:G$48,MATCH(LARGE('V_Altın'!$AC$2:$AC$48,ROW()-3),'V_Altın'!$AC$2:$AC$48,0))</f>
        <v/>
      </c>
      <c r="I43" s="9">
        <f>INDEX('V_Altın'!H$2:H$48,MATCH(LARGE('V_Altın'!$AC$2:$AC$48,ROW()-3),'V_Altın'!$AC$2:$AC$48,0))</f>
        <v/>
      </c>
      <c r="J43" s="9">
        <f>INDEX('V_Altın'!I$2:I$48,MATCH(LARGE('V_Altın'!$AC$2:$AC$48,ROW()-3),'V_Altın'!$AC$2:$AC$48,0))</f>
        <v/>
      </c>
      <c r="K43" s="10">
        <f>INDEX('V_Altın'!J$2:J$48,MATCH(LARGE('V_Altın'!$AC$2:$AC$48,ROW()-3),'V_Altın'!$AC$2:$AC$48,0))</f>
        <v/>
      </c>
      <c r="L43" s="10">
        <f>INDEX('V_Altın'!K$2:K$48,MATCH(LARGE('V_Altın'!$AC$2:$AC$48,ROW()-3),'V_Altın'!$AC$2:$AC$48,0))</f>
        <v/>
      </c>
      <c r="M43" s="8">
        <f>INDEX('V_Altın'!L$2:L$48,MATCH(LARGE('V_Altın'!$AC$2:$AC$48,ROW()-3),'V_Altın'!$AC$2:$AC$48,0))</f>
        <v/>
      </c>
      <c r="N43" s="11">
        <f>INDEX('V_Altın'!M$2:M$48,MATCH(LARGE('V_Altın'!$AC$2:$AC$48,ROW()-3),'V_Altın'!$AC$2:$AC$48,0))</f>
        <v/>
      </c>
      <c r="O43" s="11">
        <f>INDEX('V_Altın'!N$2:N$48,MATCH(LARGE('V_Altın'!$AC$2:$AC$48,ROW()-3),'V_Altın'!$AC$2:$AC$48,0))</f>
        <v/>
      </c>
      <c r="P43" s="8">
        <f>INDEX('V_Altın'!O$2:O$48,MATCH(LARGE('V_Altın'!$AC$2:$AC$48,ROW()-3),'V_Altın'!$AC$2:$AC$48,0))</f>
        <v/>
      </c>
      <c r="Q43" s="9">
        <f>INDEX('V_Altın'!P$2:P$48,MATCH(LARGE('V_Altın'!$AC$2:$AC$48,ROW()-3),'V_Altın'!$AC$2:$AC$48,0))</f>
        <v/>
      </c>
      <c r="R43" s="5">
        <f>INDEX('V_Altın'!Q$2:Q$48,MATCH(LARGE('V_Altın'!$AC$2:$AC$48,ROW()-3),'V_Altın'!$AC$2:$AC$48,0))</f>
        <v/>
      </c>
      <c r="S43" s="8">
        <f>INDEX('V_Altın'!R$2:R$48,MATCH(LARGE('V_Altın'!$AC$2:$AC$48,ROW()-3),'V_Altın'!$AC$2:$AC$48,0))</f>
        <v/>
      </c>
      <c r="T43" s="8">
        <f>INDEX('V_Altın'!S$2:S$48,MATCH(LARGE('V_Altın'!$AC$2:$AC$48,ROW()-3),'V_Altın'!$AC$2:$AC$48,0))</f>
        <v/>
      </c>
      <c r="U43" s="8">
        <f>INDEX('V_Altın'!T$2:T$48,MATCH(LARGE('V_Altın'!$AC$2:$AC$48,ROW()-3),'V_Altın'!$AC$2:$AC$48,0))</f>
        <v/>
      </c>
      <c r="V43" s="8">
        <f>INDEX('V_Altın'!U$2:U$48,MATCH(LARGE('V_Altın'!$AC$2:$AC$48,ROW()-3),'V_Altın'!$AC$2:$AC$48,0))</f>
        <v/>
      </c>
      <c r="W43" s="8">
        <f>INDEX('V_Altın'!V$2:V$48,MATCH(LARGE('V_Altın'!$AC$2:$AC$48,ROW()-3),'V_Altın'!$AC$2:$AC$48,0))</f>
        <v/>
      </c>
      <c r="X43" s="8">
        <f>INDEX('V_Altın'!W$2:W$48,MATCH(LARGE('V_Altın'!$AC$2:$AC$48,ROW()-3),'V_Altın'!$AC$2:$AC$48,0))</f>
        <v/>
      </c>
      <c r="Y43" s="8">
        <f>INDEX('V_Altın'!X$2:X$48,MATCH(LARGE('V_Altın'!$AC$2:$AC$48,ROW()-3),'V_Altın'!$AC$2:$AC$48,0))</f>
        <v/>
      </c>
      <c r="Z43" s="8">
        <f>INDEX('V_Altın'!Y$2:Y$48,MATCH(LARGE('V_Altın'!$AC$2:$AC$48,ROW()-3),'V_Altın'!$AC$2:$AC$48,0))</f>
        <v/>
      </c>
      <c r="AA43" s="8">
        <f>INDEX('V_Altın'!Z$2:Z$48,MATCH(LARGE('V_Altın'!$AC$2:$AC$48,ROW()-3),'V_Altın'!$AC$2:$AC$48,0))</f>
        <v/>
      </c>
      <c r="AB43" s="8">
        <f>INDEX('V_Altın'!AA$2:AA$48,MATCH(LARGE('V_Altın'!$AC$2:$AC$48,ROW()-3),'V_Altın'!$AC$2:$AC$48,0))</f>
        <v/>
      </c>
    </row>
    <row r="44">
      <c r="A44" t="n">
        <v>41</v>
      </c>
      <c r="B44" s="5">
        <f>INDEX('V_Altın'!A$2:A$48,MATCH(LARGE('V_Altın'!$AC$2:$AC$48,ROW()-3),'V_Altın'!$AC$2:$AC$48,0))</f>
        <v/>
      </c>
      <c r="C44" s="5">
        <f>INDEX('V_Altın'!B$2:B$48,MATCH(LARGE('V_Altın'!$AC$2:$AC$48,ROW()-3),'V_Altın'!$AC$2:$AC$48,0))</f>
        <v/>
      </c>
      <c r="D44" s="5">
        <f>INDEX('V_Altın'!C$2:C$48,MATCH(LARGE('V_Altın'!$AC$2:$AC$48,ROW()-3),'V_Altın'!$AC$2:$AC$48,0))</f>
        <v/>
      </c>
      <c r="E44" s="8">
        <f>INDEX('V_Altın'!D$2:D$48,MATCH(LARGE('V_Altın'!$AC$2:$AC$48,ROW()-3),'V_Altın'!$AC$2:$AC$48,0))</f>
        <v/>
      </c>
      <c r="F44" s="9">
        <f>INDEX('V_Altın'!E$2:E$48,MATCH(LARGE('V_Altın'!$AC$2:$AC$48,ROW()-3),'V_Altın'!$AC$2:$AC$48,0))</f>
        <v/>
      </c>
      <c r="G44" s="9">
        <f>INDEX('V_Altın'!F$2:F$48,MATCH(LARGE('V_Altın'!$AC$2:$AC$48,ROW()-3),'V_Altın'!$AC$2:$AC$48,0))</f>
        <v/>
      </c>
      <c r="H44" s="9">
        <f>INDEX('V_Altın'!G$2:G$48,MATCH(LARGE('V_Altın'!$AC$2:$AC$48,ROW()-3),'V_Altın'!$AC$2:$AC$48,0))</f>
        <v/>
      </c>
      <c r="I44" s="9">
        <f>INDEX('V_Altın'!H$2:H$48,MATCH(LARGE('V_Altın'!$AC$2:$AC$48,ROW()-3),'V_Altın'!$AC$2:$AC$48,0))</f>
        <v/>
      </c>
      <c r="J44" s="9">
        <f>INDEX('V_Altın'!I$2:I$48,MATCH(LARGE('V_Altın'!$AC$2:$AC$48,ROW()-3),'V_Altın'!$AC$2:$AC$48,0))</f>
        <v/>
      </c>
      <c r="K44" s="10">
        <f>INDEX('V_Altın'!J$2:J$48,MATCH(LARGE('V_Altın'!$AC$2:$AC$48,ROW()-3),'V_Altın'!$AC$2:$AC$48,0))</f>
        <v/>
      </c>
      <c r="L44" s="10">
        <f>INDEX('V_Altın'!K$2:K$48,MATCH(LARGE('V_Altın'!$AC$2:$AC$48,ROW()-3),'V_Altın'!$AC$2:$AC$48,0))</f>
        <v/>
      </c>
      <c r="M44" s="8">
        <f>INDEX('V_Altın'!L$2:L$48,MATCH(LARGE('V_Altın'!$AC$2:$AC$48,ROW()-3),'V_Altın'!$AC$2:$AC$48,0))</f>
        <v/>
      </c>
      <c r="N44" s="11">
        <f>INDEX('V_Altın'!M$2:M$48,MATCH(LARGE('V_Altın'!$AC$2:$AC$48,ROW()-3),'V_Altın'!$AC$2:$AC$48,0))</f>
        <v/>
      </c>
      <c r="O44" s="11">
        <f>INDEX('V_Altın'!N$2:N$48,MATCH(LARGE('V_Altın'!$AC$2:$AC$48,ROW()-3),'V_Altın'!$AC$2:$AC$48,0))</f>
        <v/>
      </c>
      <c r="P44" s="8">
        <f>INDEX('V_Altın'!O$2:O$48,MATCH(LARGE('V_Altın'!$AC$2:$AC$48,ROW()-3),'V_Altın'!$AC$2:$AC$48,0))</f>
        <v/>
      </c>
      <c r="Q44" s="9">
        <f>INDEX('V_Altın'!P$2:P$48,MATCH(LARGE('V_Altın'!$AC$2:$AC$48,ROW()-3),'V_Altın'!$AC$2:$AC$48,0))</f>
        <v/>
      </c>
      <c r="R44" s="5">
        <f>INDEX('V_Altın'!Q$2:Q$48,MATCH(LARGE('V_Altın'!$AC$2:$AC$48,ROW()-3),'V_Altın'!$AC$2:$AC$48,0))</f>
        <v/>
      </c>
      <c r="S44" s="8">
        <f>INDEX('V_Altın'!R$2:R$48,MATCH(LARGE('V_Altın'!$AC$2:$AC$48,ROW()-3),'V_Altın'!$AC$2:$AC$48,0))</f>
        <v/>
      </c>
      <c r="T44" s="8">
        <f>INDEX('V_Altın'!S$2:S$48,MATCH(LARGE('V_Altın'!$AC$2:$AC$48,ROW()-3),'V_Altın'!$AC$2:$AC$48,0))</f>
        <v/>
      </c>
      <c r="U44" s="8">
        <f>INDEX('V_Altın'!T$2:T$48,MATCH(LARGE('V_Altın'!$AC$2:$AC$48,ROW()-3),'V_Altın'!$AC$2:$AC$48,0))</f>
        <v/>
      </c>
      <c r="V44" s="8">
        <f>INDEX('V_Altın'!U$2:U$48,MATCH(LARGE('V_Altın'!$AC$2:$AC$48,ROW()-3),'V_Altın'!$AC$2:$AC$48,0))</f>
        <v/>
      </c>
      <c r="W44" s="8">
        <f>INDEX('V_Altın'!V$2:V$48,MATCH(LARGE('V_Altın'!$AC$2:$AC$48,ROW()-3),'V_Altın'!$AC$2:$AC$48,0))</f>
        <v/>
      </c>
      <c r="X44" s="8">
        <f>INDEX('V_Altın'!W$2:W$48,MATCH(LARGE('V_Altın'!$AC$2:$AC$48,ROW()-3),'V_Altın'!$AC$2:$AC$48,0))</f>
        <v/>
      </c>
      <c r="Y44" s="8">
        <f>INDEX('V_Altın'!X$2:X$48,MATCH(LARGE('V_Altın'!$AC$2:$AC$48,ROW()-3),'V_Altın'!$AC$2:$AC$48,0))</f>
        <v/>
      </c>
      <c r="Z44" s="8">
        <f>INDEX('V_Altın'!Y$2:Y$48,MATCH(LARGE('V_Altın'!$AC$2:$AC$48,ROW()-3),'V_Altın'!$AC$2:$AC$48,0))</f>
        <v/>
      </c>
      <c r="AA44" s="8">
        <f>INDEX('V_Altın'!Z$2:Z$48,MATCH(LARGE('V_Altın'!$AC$2:$AC$48,ROW()-3),'V_Altın'!$AC$2:$AC$48,0))</f>
        <v/>
      </c>
      <c r="AB44" s="8">
        <f>INDEX('V_Altın'!AA$2:AA$48,MATCH(LARGE('V_Altın'!$AC$2:$AC$48,ROW()-3),'V_Altın'!$AC$2:$AC$48,0))</f>
        <v/>
      </c>
    </row>
    <row r="45">
      <c r="A45" t="n">
        <v>42</v>
      </c>
      <c r="B45" s="5">
        <f>INDEX('V_Altın'!A$2:A$48,MATCH(LARGE('V_Altın'!$AC$2:$AC$48,ROW()-3),'V_Altın'!$AC$2:$AC$48,0))</f>
        <v/>
      </c>
      <c r="C45" s="5">
        <f>INDEX('V_Altın'!B$2:B$48,MATCH(LARGE('V_Altın'!$AC$2:$AC$48,ROW()-3),'V_Altın'!$AC$2:$AC$48,0))</f>
        <v/>
      </c>
      <c r="D45" s="5">
        <f>INDEX('V_Altın'!C$2:C$48,MATCH(LARGE('V_Altın'!$AC$2:$AC$48,ROW()-3),'V_Altın'!$AC$2:$AC$48,0))</f>
        <v/>
      </c>
      <c r="E45" s="8">
        <f>INDEX('V_Altın'!D$2:D$48,MATCH(LARGE('V_Altın'!$AC$2:$AC$48,ROW()-3),'V_Altın'!$AC$2:$AC$48,0))</f>
        <v/>
      </c>
      <c r="F45" s="9">
        <f>INDEX('V_Altın'!E$2:E$48,MATCH(LARGE('V_Altın'!$AC$2:$AC$48,ROW()-3),'V_Altın'!$AC$2:$AC$48,0))</f>
        <v/>
      </c>
      <c r="G45" s="9">
        <f>INDEX('V_Altın'!F$2:F$48,MATCH(LARGE('V_Altın'!$AC$2:$AC$48,ROW()-3),'V_Altın'!$AC$2:$AC$48,0))</f>
        <v/>
      </c>
      <c r="H45" s="9">
        <f>INDEX('V_Altın'!G$2:G$48,MATCH(LARGE('V_Altın'!$AC$2:$AC$48,ROW()-3),'V_Altın'!$AC$2:$AC$48,0))</f>
        <v/>
      </c>
      <c r="I45" s="9">
        <f>INDEX('V_Altın'!H$2:H$48,MATCH(LARGE('V_Altın'!$AC$2:$AC$48,ROW()-3),'V_Altın'!$AC$2:$AC$48,0))</f>
        <v/>
      </c>
      <c r="J45" s="9">
        <f>INDEX('V_Altın'!I$2:I$48,MATCH(LARGE('V_Altın'!$AC$2:$AC$48,ROW()-3),'V_Altın'!$AC$2:$AC$48,0))</f>
        <v/>
      </c>
      <c r="K45" s="10">
        <f>INDEX('V_Altın'!J$2:J$48,MATCH(LARGE('V_Altın'!$AC$2:$AC$48,ROW()-3),'V_Altın'!$AC$2:$AC$48,0))</f>
        <v/>
      </c>
      <c r="L45" s="10">
        <f>INDEX('V_Altın'!K$2:K$48,MATCH(LARGE('V_Altın'!$AC$2:$AC$48,ROW()-3),'V_Altın'!$AC$2:$AC$48,0))</f>
        <v/>
      </c>
      <c r="M45" s="8">
        <f>INDEX('V_Altın'!L$2:L$48,MATCH(LARGE('V_Altın'!$AC$2:$AC$48,ROW()-3),'V_Altın'!$AC$2:$AC$48,0))</f>
        <v/>
      </c>
      <c r="N45" s="11">
        <f>INDEX('V_Altın'!M$2:M$48,MATCH(LARGE('V_Altın'!$AC$2:$AC$48,ROW()-3),'V_Altın'!$AC$2:$AC$48,0))</f>
        <v/>
      </c>
      <c r="O45" s="11">
        <f>INDEX('V_Altın'!N$2:N$48,MATCH(LARGE('V_Altın'!$AC$2:$AC$48,ROW()-3),'V_Altın'!$AC$2:$AC$48,0))</f>
        <v/>
      </c>
      <c r="P45" s="8">
        <f>INDEX('V_Altın'!O$2:O$48,MATCH(LARGE('V_Altın'!$AC$2:$AC$48,ROW()-3),'V_Altın'!$AC$2:$AC$48,0))</f>
        <v/>
      </c>
      <c r="Q45" s="9">
        <f>INDEX('V_Altın'!P$2:P$48,MATCH(LARGE('V_Altın'!$AC$2:$AC$48,ROW()-3),'V_Altın'!$AC$2:$AC$48,0))</f>
        <v/>
      </c>
      <c r="R45" s="5">
        <f>INDEX('V_Altın'!Q$2:Q$48,MATCH(LARGE('V_Altın'!$AC$2:$AC$48,ROW()-3),'V_Altın'!$AC$2:$AC$48,0))</f>
        <v/>
      </c>
      <c r="S45" s="8">
        <f>INDEX('V_Altın'!R$2:R$48,MATCH(LARGE('V_Altın'!$AC$2:$AC$48,ROW()-3),'V_Altın'!$AC$2:$AC$48,0))</f>
        <v/>
      </c>
      <c r="T45" s="8">
        <f>INDEX('V_Altın'!S$2:S$48,MATCH(LARGE('V_Altın'!$AC$2:$AC$48,ROW()-3),'V_Altın'!$AC$2:$AC$48,0))</f>
        <v/>
      </c>
      <c r="U45" s="8">
        <f>INDEX('V_Altın'!T$2:T$48,MATCH(LARGE('V_Altın'!$AC$2:$AC$48,ROW()-3),'V_Altın'!$AC$2:$AC$48,0))</f>
        <v/>
      </c>
      <c r="V45" s="8">
        <f>INDEX('V_Altın'!U$2:U$48,MATCH(LARGE('V_Altın'!$AC$2:$AC$48,ROW()-3),'V_Altın'!$AC$2:$AC$48,0))</f>
        <v/>
      </c>
      <c r="W45" s="8">
        <f>INDEX('V_Altın'!V$2:V$48,MATCH(LARGE('V_Altın'!$AC$2:$AC$48,ROW()-3),'V_Altın'!$AC$2:$AC$48,0))</f>
        <v/>
      </c>
      <c r="X45" s="8">
        <f>INDEX('V_Altın'!W$2:W$48,MATCH(LARGE('V_Altın'!$AC$2:$AC$48,ROW()-3),'V_Altın'!$AC$2:$AC$48,0))</f>
        <v/>
      </c>
      <c r="Y45" s="8">
        <f>INDEX('V_Altın'!X$2:X$48,MATCH(LARGE('V_Altın'!$AC$2:$AC$48,ROW()-3),'V_Altın'!$AC$2:$AC$48,0))</f>
        <v/>
      </c>
      <c r="Z45" s="8">
        <f>INDEX('V_Altın'!Y$2:Y$48,MATCH(LARGE('V_Altın'!$AC$2:$AC$48,ROW()-3),'V_Altın'!$AC$2:$AC$48,0))</f>
        <v/>
      </c>
      <c r="AA45" s="8">
        <f>INDEX('V_Altın'!Z$2:Z$48,MATCH(LARGE('V_Altın'!$AC$2:$AC$48,ROW()-3),'V_Altın'!$AC$2:$AC$48,0))</f>
        <v/>
      </c>
      <c r="AB45" s="8">
        <f>INDEX('V_Altın'!AA$2:AA$48,MATCH(LARGE('V_Altın'!$AC$2:$AC$48,ROW()-3),'V_Altın'!$AC$2:$AC$48,0))</f>
        <v/>
      </c>
    </row>
    <row r="46">
      <c r="A46" t="n">
        <v>43</v>
      </c>
      <c r="B46" s="5">
        <f>INDEX('V_Altın'!A$2:A$48,MATCH(LARGE('V_Altın'!$AC$2:$AC$48,ROW()-3),'V_Altın'!$AC$2:$AC$48,0))</f>
        <v/>
      </c>
      <c r="C46" s="5">
        <f>INDEX('V_Altın'!B$2:B$48,MATCH(LARGE('V_Altın'!$AC$2:$AC$48,ROW()-3),'V_Altın'!$AC$2:$AC$48,0))</f>
        <v/>
      </c>
      <c r="D46" s="5">
        <f>INDEX('V_Altın'!C$2:C$48,MATCH(LARGE('V_Altın'!$AC$2:$AC$48,ROW()-3),'V_Altın'!$AC$2:$AC$48,0))</f>
        <v/>
      </c>
      <c r="E46" s="8">
        <f>INDEX('V_Altın'!D$2:D$48,MATCH(LARGE('V_Altın'!$AC$2:$AC$48,ROW()-3),'V_Altın'!$AC$2:$AC$48,0))</f>
        <v/>
      </c>
      <c r="F46" s="9">
        <f>INDEX('V_Altın'!E$2:E$48,MATCH(LARGE('V_Altın'!$AC$2:$AC$48,ROW()-3),'V_Altın'!$AC$2:$AC$48,0))</f>
        <v/>
      </c>
      <c r="G46" s="9">
        <f>INDEX('V_Altın'!F$2:F$48,MATCH(LARGE('V_Altın'!$AC$2:$AC$48,ROW()-3),'V_Altın'!$AC$2:$AC$48,0))</f>
        <v/>
      </c>
      <c r="H46" s="9">
        <f>INDEX('V_Altın'!G$2:G$48,MATCH(LARGE('V_Altın'!$AC$2:$AC$48,ROW()-3),'V_Altın'!$AC$2:$AC$48,0))</f>
        <v/>
      </c>
      <c r="I46" s="9">
        <f>INDEX('V_Altın'!H$2:H$48,MATCH(LARGE('V_Altın'!$AC$2:$AC$48,ROW()-3),'V_Altın'!$AC$2:$AC$48,0))</f>
        <v/>
      </c>
      <c r="J46" s="9">
        <f>INDEX('V_Altın'!I$2:I$48,MATCH(LARGE('V_Altın'!$AC$2:$AC$48,ROW()-3),'V_Altın'!$AC$2:$AC$48,0))</f>
        <v/>
      </c>
      <c r="K46" s="10">
        <f>INDEX('V_Altın'!J$2:J$48,MATCH(LARGE('V_Altın'!$AC$2:$AC$48,ROW()-3),'V_Altın'!$AC$2:$AC$48,0))</f>
        <v/>
      </c>
      <c r="L46" s="10">
        <f>INDEX('V_Altın'!K$2:K$48,MATCH(LARGE('V_Altın'!$AC$2:$AC$48,ROW()-3),'V_Altın'!$AC$2:$AC$48,0))</f>
        <v/>
      </c>
      <c r="M46" s="8">
        <f>INDEX('V_Altın'!L$2:L$48,MATCH(LARGE('V_Altın'!$AC$2:$AC$48,ROW()-3),'V_Altın'!$AC$2:$AC$48,0))</f>
        <v/>
      </c>
      <c r="N46" s="11">
        <f>INDEX('V_Altın'!M$2:M$48,MATCH(LARGE('V_Altın'!$AC$2:$AC$48,ROW()-3),'V_Altın'!$AC$2:$AC$48,0))</f>
        <v/>
      </c>
      <c r="O46" s="11">
        <f>INDEX('V_Altın'!N$2:N$48,MATCH(LARGE('V_Altın'!$AC$2:$AC$48,ROW()-3),'V_Altın'!$AC$2:$AC$48,0))</f>
        <v/>
      </c>
      <c r="P46" s="8">
        <f>INDEX('V_Altın'!O$2:O$48,MATCH(LARGE('V_Altın'!$AC$2:$AC$48,ROW()-3),'V_Altın'!$AC$2:$AC$48,0))</f>
        <v/>
      </c>
      <c r="Q46" s="9">
        <f>INDEX('V_Altın'!P$2:P$48,MATCH(LARGE('V_Altın'!$AC$2:$AC$48,ROW()-3),'V_Altın'!$AC$2:$AC$48,0))</f>
        <v/>
      </c>
      <c r="R46" s="5">
        <f>INDEX('V_Altın'!Q$2:Q$48,MATCH(LARGE('V_Altın'!$AC$2:$AC$48,ROW()-3),'V_Altın'!$AC$2:$AC$48,0))</f>
        <v/>
      </c>
      <c r="S46" s="8">
        <f>INDEX('V_Altın'!R$2:R$48,MATCH(LARGE('V_Altın'!$AC$2:$AC$48,ROW()-3),'V_Altın'!$AC$2:$AC$48,0))</f>
        <v/>
      </c>
      <c r="T46" s="8">
        <f>INDEX('V_Altın'!S$2:S$48,MATCH(LARGE('V_Altın'!$AC$2:$AC$48,ROW()-3),'V_Altın'!$AC$2:$AC$48,0))</f>
        <v/>
      </c>
      <c r="U46" s="8">
        <f>INDEX('V_Altın'!T$2:T$48,MATCH(LARGE('V_Altın'!$AC$2:$AC$48,ROW()-3),'V_Altın'!$AC$2:$AC$48,0))</f>
        <v/>
      </c>
      <c r="V46" s="8">
        <f>INDEX('V_Altın'!U$2:U$48,MATCH(LARGE('V_Altın'!$AC$2:$AC$48,ROW()-3),'V_Altın'!$AC$2:$AC$48,0))</f>
        <v/>
      </c>
      <c r="W46" s="8">
        <f>INDEX('V_Altın'!V$2:V$48,MATCH(LARGE('V_Altın'!$AC$2:$AC$48,ROW()-3),'V_Altın'!$AC$2:$AC$48,0))</f>
        <v/>
      </c>
      <c r="X46" s="8">
        <f>INDEX('V_Altın'!W$2:W$48,MATCH(LARGE('V_Altın'!$AC$2:$AC$48,ROW()-3),'V_Altın'!$AC$2:$AC$48,0))</f>
        <v/>
      </c>
      <c r="Y46" s="8">
        <f>INDEX('V_Altın'!X$2:X$48,MATCH(LARGE('V_Altın'!$AC$2:$AC$48,ROW()-3),'V_Altın'!$AC$2:$AC$48,0))</f>
        <v/>
      </c>
      <c r="Z46" s="8">
        <f>INDEX('V_Altın'!Y$2:Y$48,MATCH(LARGE('V_Altın'!$AC$2:$AC$48,ROW()-3),'V_Altın'!$AC$2:$AC$48,0))</f>
        <v/>
      </c>
      <c r="AA46" s="8">
        <f>INDEX('V_Altın'!Z$2:Z$48,MATCH(LARGE('V_Altın'!$AC$2:$AC$48,ROW()-3),'V_Altın'!$AC$2:$AC$48,0))</f>
        <v/>
      </c>
      <c r="AB46" s="8">
        <f>INDEX('V_Altın'!AA$2:AA$48,MATCH(LARGE('V_Altın'!$AC$2:$AC$48,ROW()-3),'V_Altın'!$AC$2:$AC$48,0))</f>
        <v/>
      </c>
    </row>
    <row r="47">
      <c r="A47" t="n">
        <v>44</v>
      </c>
      <c r="B47" s="5">
        <f>INDEX('V_Altın'!A$2:A$48,MATCH(LARGE('V_Altın'!$AC$2:$AC$48,ROW()-3),'V_Altın'!$AC$2:$AC$48,0))</f>
        <v/>
      </c>
      <c r="C47" s="5">
        <f>INDEX('V_Altın'!B$2:B$48,MATCH(LARGE('V_Altın'!$AC$2:$AC$48,ROW()-3),'V_Altın'!$AC$2:$AC$48,0))</f>
        <v/>
      </c>
      <c r="D47" s="5">
        <f>INDEX('V_Altın'!C$2:C$48,MATCH(LARGE('V_Altın'!$AC$2:$AC$48,ROW()-3),'V_Altın'!$AC$2:$AC$48,0))</f>
        <v/>
      </c>
      <c r="E47" s="8">
        <f>INDEX('V_Altın'!D$2:D$48,MATCH(LARGE('V_Altın'!$AC$2:$AC$48,ROW()-3),'V_Altın'!$AC$2:$AC$48,0))</f>
        <v/>
      </c>
      <c r="F47" s="9">
        <f>INDEX('V_Altın'!E$2:E$48,MATCH(LARGE('V_Altın'!$AC$2:$AC$48,ROW()-3),'V_Altın'!$AC$2:$AC$48,0))</f>
        <v/>
      </c>
      <c r="G47" s="9">
        <f>INDEX('V_Altın'!F$2:F$48,MATCH(LARGE('V_Altın'!$AC$2:$AC$48,ROW()-3),'V_Altın'!$AC$2:$AC$48,0))</f>
        <v/>
      </c>
      <c r="H47" s="9">
        <f>INDEX('V_Altın'!G$2:G$48,MATCH(LARGE('V_Altın'!$AC$2:$AC$48,ROW()-3),'V_Altın'!$AC$2:$AC$48,0))</f>
        <v/>
      </c>
      <c r="I47" s="9">
        <f>INDEX('V_Altın'!H$2:H$48,MATCH(LARGE('V_Altın'!$AC$2:$AC$48,ROW()-3),'V_Altın'!$AC$2:$AC$48,0))</f>
        <v/>
      </c>
      <c r="J47" s="9">
        <f>INDEX('V_Altın'!I$2:I$48,MATCH(LARGE('V_Altın'!$AC$2:$AC$48,ROW()-3),'V_Altın'!$AC$2:$AC$48,0))</f>
        <v/>
      </c>
      <c r="K47" s="10">
        <f>INDEX('V_Altın'!J$2:J$48,MATCH(LARGE('V_Altın'!$AC$2:$AC$48,ROW()-3),'V_Altın'!$AC$2:$AC$48,0))</f>
        <v/>
      </c>
      <c r="L47" s="10">
        <f>INDEX('V_Altın'!K$2:K$48,MATCH(LARGE('V_Altın'!$AC$2:$AC$48,ROW()-3),'V_Altın'!$AC$2:$AC$48,0))</f>
        <v/>
      </c>
      <c r="M47" s="8">
        <f>INDEX('V_Altın'!L$2:L$48,MATCH(LARGE('V_Altın'!$AC$2:$AC$48,ROW()-3),'V_Altın'!$AC$2:$AC$48,0))</f>
        <v/>
      </c>
      <c r="N47" s="11">
        <f>INDEX('V_Altın'!M$2:M$48,MATCH(LARGE('V_Altın'!$AC$2:$AC$48,ROW()-3),'V_Altın'!$AC$2:$AC$48,0))</f>
        <v/>
      </c>
      <c r="O47" s="11">
        <f>INDEX('V_Altın'!N$2:N$48,MATCH(LARGE('V_Altın'!$AC$2:$AC$48,ROW()-3),'V_Altın'!$AC$2:$AC$48,0))</f>
        <v/>
      </c>
      <c r="P47" s="8">
        <f>INDEX('V_Altın'!O$2:O$48,MATCH(LARGE('V_Altın'!$AC$2:$AC$48,ROW()-3),'V_Altın'!$AC$2:$AC$48,0))</f>
        <v/>
      </c>
      <c r="Q47" s="9">
        <f>INDEX('V_Altın'!P$2:P$48,MATCH(LARGE('V_Altın'!$AC$2:$AC$48,ROW()-3),'V_Altın'!$AC$2:$AC$48,0))</f>
        <v/>
      </c>
      <c r="R47" s="5">
        <f>INDEX('V_Altın'!Q$2:Q$48,MATCH(LARGE('V_Altın'!$AC$2:$AC$48,ROW()-3),'V_Altın'!$AC$2:$AC$48,0))</f>
        <v/>
      </c>
      <c r="S47" s="8">
        <f>INDEX('V_Altın'!R$2:R$48,MATCH(LARGE('V_Altın'!$AC$2:$AC$48,ROW()-3),'V_Altın'!$AC$2:$AC$48,0))</f>
        <v/>
      </c>
      <c r="T47" s="8">
        <f>INDEX('V_Altın'!S$2:S$48,MATCH(LARGE('V_Altın'!$AC$2:$AC$48,ROW()-3),'V_Altın'!$AC$2:$AC$48,0))</f>
        <v/>
      </c>
      <c r="U47" s="8">
        <f>INDEX('V_Altın'!T$2:T$48,MATCH(LARGE('V_Altın'!$AC$2:$AC$48,ROW()-3),'V_Altın'!$AC$2:$AC$48,0))</f>
        <v/>
      </c>
      <c r="V47" s="8">
        <f>INDEX('V_Altın'!U$2:U$48,MATCH(LARGE('V_Altın'!$AC$2:$AC$48,ROW()-3),'V_Altın'!$AC$2:$AC$48,0))</f>
        <v/>
      </c>
      <c r="W47" s="8">
        <f>INDEX('V_Altın'!V$2:V$48,MATCH(LARGE('V_Altın'!$AC$2:$AC$48,ROW()-3),'V_Altın'!$AC$2:$AC$48,0))</f>
        <v/>
      </c>
      <c r="X47" s="8">
        <f>INDEX('V_Altın'!W$2:W$48,MATCH(LARGE('V_Altın'!$AC$2:$AC$48,ROW()-3),'V_Altın'!$AC$2:$AC$48,0))</f>
        <v/>
      </c>
      <c r="Y47" s="8">
        <f>INDEX('V_Altın'!X$2:X$48,MATCH(LARGE('V_Altın'!$AC$2:$AC$48,ROW()-3),'V_Altın'!$AC$2:$AC$48,0))</f>
        <v/>
      </c>
      <c r="Z47" s="8">
        <f>INDEX('V_Altın'!Y$2:Y$48,MATCH(LARGE('V_Altın'!$AC$2:$AC$48,ROW()-3),'V_Altın'!$AC$2:$AC$48,0))</f>
        <v/>
      </c>
      <c r="AA47" s="8">
        <f>INDEX('V_Altın'!Z$2:Z$48,MATCH(LARGE('V_Altın'!$AC$2:$AC$48,ROW()-3),'V_Altın'!$AC$2:$AC$48,0))</f>
        <v/>
      </c>
      <c r="AB47" s="8">
        <f>INDEX('V_Altın'!AA$2:AA$48,MATCH(LARGE('V_Altın'!$AC$2:$AC$48,ROW()-3),'V_Altın'!$AC$2:$AC$48,0))</f>
        <v/>
      </c>
    </row>
    <row r="48">
      <c r="A48" t="n">
        <v>45</v>
      </c>
      <c r="B48" s="5">
        <f>INDEX('V_Altın'!A$2:A$48,MATCH(LARGE('V_Altın'!$AC$2:$AC$48,ROW()-3),'V_Altın'!$AC$2:$AC$48,0))</f>
        <v/>
      </c>
      <c r="C48" s="5">
        <f>INDEX('V_Altın'!B$2:B$48,MATCH(LARGE('V_Altın'!$AC$2:$AC$48,ROW()-3),'V_Altın'!$AC$2:$AC$48,0))</f>
        <v/>
      </c>
      <c r="D48" s="5">
        <f>INDEX('V_Altın'!C$2:C$48,MATCH(LARGE('V_Altın'!$AC$2:$AC$48,ROW()-3),'V_Altın'!$AC$2:$AC$48,0))</f>
        <v/>
      </c>
      <c r="E48" s="8">
        <f>INDEX('V_Altın'!D$2:D$48,MATCH(LARGE('V_Altın'!$AC$2:$AC$48,ROW()-3),'V_Altın'!$AC$2:$AC$48,0))</f>
        <v/>
      </c>
      <c r="F48" s="9">
        <f>INDEX('V_Altın'!E$2:E$48,MATCH(LARGE('V_Altın'!$AC$2:$AC$48,ROW()-3),'V_Altın'!$AC$2:$AC$48,0))</f>
        <v/>
      </c>
      <c r="G48" s="9">
        <f>INDEX('V_Altın'!F$2:F$48,MATCH(LARGE('V_Altın'!$AC$2:$AC$48,ROW()-3),'V_Altın'!$AC$2:$AC$48,0))</f>
        <v/>
      </c>
      <c r="H48" s="9">
        <f>INDEX('V_Altın'!G$2:G$48,MATCH(LARGE('V_Altın'!$AC$2:$AC$48,ROW()-3),'V_Altın'!$AC$2:$AC$48,0))</f>
        <v/>
      </c>
      <c r="I48" s="9">
        <f>INDEX('V_Altın'!H$2:H$48,MATCH(LARGE('V_Altın'!$AC$2:$AC$48,ROW()-3),'V_Altın'!$AC$2:$AC$48,0))</f>
        <v/>
      </c>
      <c r="J48" s="9">
        <f>INDEX('V_Altın'!I$2:I$48,MATCH(LARGE('V_Altın'!$AC$2:$AC$48,ROW()-3),'V_Altın'!$AC$2:$AC$48,0))</f>
        <v/>
      </c>
      <c r="K48" s="10">
        <f>INDEX('V_Altın'!J$2:J$48,MATCH(LARGE('V_Altın'!$AC$2:$AC$48,ROW()-3),'V_Altın'!$AC$2:$AC$48,0))</f>
        <v/>
      </c>
      <c r="L48" s="10">
        <f>INDEX('V_Altın'!K$2:K$48,MATCH(LARGE('V_Altın'!$AC$2:$AC$48,ROW()-3),'V_Altın'!$AC$2:$AC$48,0))</f>
        <v/>
      </c>
      <c r="M48" s="8">
        <f>INDEX('V_Altın'!L$2:L$48,MATCH(LARGE('V_Altın'!$AC$2:$AC$48,ROW()-3),'V_Altın'!$AC$2:$AC$48,0))</f>
        <v/>
      </c>
      <c r="N48" s="11">
        <f>INDEX('V_Altın'!M$2:M$48,MATCH(LARGE('V_Altın'!$AC$2:$AC$48,ROW()-3),'V_Altın'!$AC$2:$AC$48,0))</f>
        <v/>
      </c>
      <c r="O48" s="11">
        <f>INDEX('V_Altın'!N$2:N$48,MATCH(LARGE('V_Altın'!$AC$2:$AC$48,ROW()-3),'V_Altın'!$AC$2:$AC$48,0))</f>
        <v/>
      </c>
      <c r="P48" s="8">
        <f>INDEX('V_Altın'!O$2:O$48,MATCH(LARGE('V_Altın'!$AC$2:$AC$48,ROW()-3),'V_Altın'!$AC$2:$AC$48,0))</f>
        <v/>
      </c>
      <c r="Q48" s="9">
        <f>INDEX('V_Altın'!P$2:P$48,MATCH(LARGE('V_Altın'!$AC$2:$AC$48,ROW()-3),'V_Altın'!$AC$2:$AC$48,0))</f>
        <v/>
      </c>
      <c r="R48" s="5">
        <f>INDEX('V_Altın'!Q$2:Q$48,MATCH(LARGE('V_Altın'!$AC$2:$AC$48,ROW()-3),'V_Altın'!$AC$2:$AC$48,0))</f>
        <v/>
      </c>
      <c r="S48" s="8">
        <f>INDEX('V_Altın'!R$2:R$48,MATCH(LARGE('V_Altın'!$AC$2:$AC$48,ROW()-3),'V_Altın'!$AC$2:$AC$48,0))</f>
        <v/>
      </c>
      <c r="T48" s="8">
        <f>INDEX('V_Altın'!S$2:S$48,MATCH(LARGE('V_Altın'!$AC$2:$AC$48,ROW()-3),'V_Altın'!$AC$2:$AC$48,0))</f>
        <v/>
      </c>
      <c r="U48" s="8">
        <f>INDEX('V_Altın'!T$2:T$48,MATCH(LARGE('V_Altın'!$AC$2:$AC$48,ROW()-3),'V_Altın'!$AC$2:$AC$48,0))</f>
        <v/>
      </c>
      <c r="V48" s="8">
        <f>INDEX('V_Altın'!U$2:U$48,MATCH(LARGE('V_Altın'!$AC$2:$AC$48,ROW()-3),'V_Altın'!$AC$2:$AC$48,0))</f>
        <v/>
      </c>
      <c r="W48" s="8">
        <f>INDEX('V_Altın'!V$2:V$48,MATCH(LARGE('V_Altın'!$AC$2:$AC$48,ROW()-3),'V_Altın'!$AC$2:$AC$48,0))</f>
        <v/>
      </c>
      <c r="X48" s="8">
        <f>INDEX('V_Altın'!W$2:W$48,MATCH(LARGE('V_Altın'!$AC$2:$AC$48,ROW()-3),'V_Altın'!$AC$2:$AC$48,0))</f>
        <v/>
      </c>
      <c r="Y48" s="8">
        <f>INDEX('V_Altın'!X$2:X$48,MATCH(LARGE('V_Altın'!$AC$2:$AC$48,ROW()-3),'V_Altın'!$AC$2:$AC$48,0))</f>
        <v/>
      </c>
      <c r="Z48" s="8">
        <f>INDEX('V_Altın'!Y$2:Y$48,MATCH(LARGE('V_Altın'!$AC$2:$AC$48,ROW()-3),'V_Altın'!$AC$2:$AC$48,0))</f>
        <v/>
      </c>
      <c r="AA48" s="8">
        <f>INDEX('V_Altın'!Z$2:Z$48,MATCH(LARGE('V_Altın'!$AC$2:$AC$48,ROW()-3),'V_Altın'!$AC$2:$AC$48,0))</f>
        <v/>
      </c>
      <c r="AB48" s="8">
        <f>INDEX('V_Altın'!AA$2:AA$48,MATCH(LARGE('V_Altın'!$AC$2:$AC$48,ROW()-3),'V_Altın'!$AC$2:$AC$48,0))</f>
        <v/>
      </c>
    </row>
    <row r="49">
      <c r="A49" t="n">
        <v>46</v>
      </c>
      <c r="B49" s="5">
        <f>INDEX('V_Altın'!A$2:A$48,MATCH(LARGE('V_Altın'!$AC$2:$AC$48,ROW()-3),'V_Altın'!$AC$2:$AC$48,0))</f>
        <v/>
      </c>
      <c r="C49" s="5">
        <f>INDEX('V_Altın'!B$2:B$48,MATCH(LARGE('V_Altın'!$AC$2:$AC$48,ROW()-3),'V_Altın'!$AC$2:$AC$48,0))</f>
        <v/>
      </c>
      <c r="D49" s="5">
        <f>INDEX('V_Altın'!C$2:C$48,MATCH(LARGE('V_Altın'!$AC$2:$AC$48,ROW()-3),'V_Altın'!$AC$2:$AC$48,0))</f>
        <v/>
      </c>
      <c r="E49" s="8">
        <f>INDEX('V_Altın'!D$2:D$48,MATCH(LARGE('V_Altın'!$AC$2:$AC$48,ROW()-3),'V_Altın'!$AC$2:$AC$48,0))</f>
        <v/>
      </c>
      <c r="F49" s="9">
        <f>INDEX('V_Altın'!E$2:E$48,MATCH(LARGE('V_Altın'!$AC$2:$AC$48,ROW()-3),'V_Altın'!$AC$2:$AC$48,0))</f>
        <v/>
      </c>
      <c r="G49" s="9">
        <f>INDEX('V_Altın'!F$2:F$48,MATCH(LARGE('V_Altın'!$AC$2:$AC$48,ROW()-3),'V_Altın'!$AC$2:$AC$48,0))</f>
        <v/>
      </c>
      <c r="H49" s="9">
        <f>INDEX('V_Altın'!G$2:G$48,MATCH(LARGE('V_Altın'!$AC$2:$AC$48,ROW()-3),'V_Altın'!$AC$2:$AC$48,0))</f>
        <v/>
      </c>
      <c r="I49" s="9">
        <f>INDEX('V_Altın'!H$2:H$48,MATCH(LARGE('V_Altın'!$AC$2:$AC$48,ROW()-3),'V_Altın'!$AC$2:$AC$48,0))</f>
        <v/>
      </c>
      <c r="J49" s="9">
        <f>INDEX('V_Altın'!I$2:I$48,MATCH(LARGE('V_Altın'!$AC$2:$AC$48,ROW()-3),'V_Altın'!$AC$2:$AC$48,0))</f>
        <v/>
      </c>
      <c r="K49" s="10">
        <f>INDEX('V_Altın'!J$2:J$48,MATCH(LARGE('V_Altın'!$AC$2:$AC$48,ROW()-3),'V_Altın'!$AC$2:$AC$48,0))</f>
        <v/>
      </c>
      <c r="L49" s="10">
        <f>INDEX('V_Altın'!K$2:K$48,MATCH(LARGE('V_Altın'!$AC$2:$AC$48,ROW()-3),'V_Altın'!$AC$2:$AC$48,0))</f>
        <v/>
      </c>
      <c r="M49" s="8">
        <f>INDEX('V_Altın'!L$2:L$48,MATCH(LARGE('V_Altın'!$AC$2:$AC$48,ROW()-3),'V_Altın'!$AC$2:$AC$48,0))</f>
        <v/>
      </c>
      <c r="N49" s="11">
        <f>INDEX('V_Altın'!M$2:M$48,MATCH(LARGE('V_Altın'!$AC$2:$AC$48,ROW()-3),'V_Altın'!$AC$2:$AC$48,0))</f>
        <v/>
      </c>
      <c r="O49" s="11">
        <f>INDEX('V_Altın'!N$2:N$48,MATCH(LARGE('V_Altın'!$AC$2:$AC$48,ROW()-3),'V_Altın'!$AC$2:$AC$48,0))</f>
        <v/>
      </c>
      <c r="P49" s="8">
        <f>INDEX('V_Altın'!O$2:O$48,MATCH(LARGE('V_Altın'!$AC$2:$AC$48,ROW()-3),'V_Altın'!$AC$2:$AC$48,0))</f>
        <v/>
      </c>
      <c r="Q49" s="9">
        <f>INDEX('V_Altın'!P$2:P$48,MATCH(LARGE('V_Altın'!$AC$2:$AC$48,ROW()-3),'V_Altın'!$AC$2:$AC$48,0))</f>
        <v/>
      </c>
      <c r="R49" s="5">
        <f>INDEX('V_Altın'!Q$2:Q$48,MATCH(LARGE('V_Altın'!$AC$2:$AC$48,ROW()-3),'V_Altın'!$AC$2:$AC$48,0))</f>
        <v/>
      </c>
      <c r="S49" s="8">
        <f>INDEX('V_Altın'!R$2:R$48,MATCH(LARGE('V_Altın'!$AC$2:$AC$48,ROW()-3),'V_Altın'!$AC$2:$AC$48,0))</f>
        <v/>
      </c>
      <c r="T49" s="8">
        <f>INDEX('V_Altın'!S$2:S$48,MATCH(LARGE('V_Altın'!$AC$2:$AC$48,ROW()-3),'V_Altın'!$AC$2:$AC$48,0))</f>
        <v/>
      </c>
      <c r="U49" s="8">
        <f>INDEX('V_Altın'!T$2:T$48,MATCH(LARGE('V_Altın'!$AC$2:$AC$48,ROW()-3),'V_Altın'!$AC$2:$AC$48,0))</f>
        <v/>
      </c>
      <c r="V49" s="8">
        <f>INDEX('V_Altın'!U$2:U$48,MATCH(LARGE('V_Altın'!$AC$2:$AC$48,ROW()-3),'V_Altın'!$AC$2:$AC$48,0))</f>
        <v/>
      </c>
      <c r="W49" s="8">
        <f>INDEX('V_Altın'!V$2:V$48,MATCH(LARGE('V_Altın'!$AC$2:$AC$48,ROW()-3),'V_Altın'!$AC$2:$AC$48,0))</f>
        <v/>
      </c>
      <c r="X49" s="8">
        <f>INDEX('V_Altın'!W$2:W$48,MATCH(LARGE('V_Altın'!$AC$2:$AC$48,ROW()-3),'V_Altın'!$AC$2:$AC$48,0))</f>
        <v/>
      </c>
      <c r="Y49" s="8">
        <f>INDEX('V_Altın'!X$2:X$48,MATCH(LARGE('V_Altın'!$AC$2:$AC$48,ROW()-3),'V_Altın'!$AC$2:$AC$48,0))</f>
        <v/>
      </c>
      <c r="Z49" s="8">
        <f>INDEX('V_Altın'!Y$2:Y$48,MATCH(LARGE('V_Altın'!$AC$2:$AC$48,ROW()-3),'V_Altın'!$AC$2:$AC$48,0))</f>
        <v/>
      </c>
      <c r="AA49" s="8">
        <f>INDEX('V_Altın'!Z$2:Z$48,MATCH(LARGE('V_Altın'!$AC$2:$AC$48,ROW()-3),'V_Altın'!$AC$2:$AC$48,0))</f>
        <v/>
      </c>
      <c r="AB49" s="8">
        <f>INDEX('V_Altın'!AA$2:AA$48,MATCH(LARGE('V_Altın'!$AC$2:$AC$48,ROW()-3),'V_Altın'!$AC$2:$AC$48,0))</f>
        <v/>
      </c>
    </row>
    <row r="50">
      <c r="A50" t="n">
        <v>47</v>
      </c>
      <c r="B50" s="5">
        <f>INDEX('V_Altın'!A$2:A$48,MATCH(LARGE('V_Altın'!$AC$2:$AC$48,ROW()-3),'V_Altın'!$AC$2:$AC$48,0))</f>
        <v/>
      </c>
      <c r="C50" s="5">
        <f>INDEX('V_Altın'!B$2:B$48,MATCH(LARGE('V_Altın'!$AC$2:$AC$48,ROW()-3),'V_Altın'!$AC$2:$AC$48,0))</f>
        <v/>
      </c>
      <c r="D50" s="5">
        <f>INDEX('V_Altın'!C$2:C$48,MATCH(LARGE('V_Altın'!$AC$2:$AC$48,ROW()-3),'V_Altın'!$AC$2:$AC$48,0))</f>
        <v/>
      </c>
      <c r="E50" s="8">
        <f>INDEX('V_Altın'!D$2:D$48,MATCH(LARGE('V_Altın'!$AC$2:$AC$48,ROW()-3),'V_Altın'!$AC$2:$AC$48,0))</f>
        <v/>
      </c>
      <c r="F50" s="9">
        <f>INDEX('V_Altın'!E$2:E$48,MATCH(LARGE('V_Altın'!$AC$2:$AC$48,ROW()-3),'V_Altın'!$AC$2:$AC$48,0))</f>
        <v/>
      </c>
      <c r="G50" s="9">
        <f>INDEX('V_Altın'!F$2:F$48,MATCH(LARGE('V_Altın'!$AC$2:$AC$48,ROW()-3),'V_Altın'!$AC$2:$AC$48,0))</f>
        <v/>
      </c>
      <c r="H50" s="9">
        <f>INDEX('V_Altın'!G$2:G$48,MATCH(LARGE('V_Altın'!$AC$2:$AC$48,ROW()-3),'V_Altın'!$AC$2:$AC$48,0))</f>
        <v/>
      </c>
      <c r="I50" s="9">
        <f>INDEX('V_Altın'!H$2:H$48,MATCH(LARGE('V_Altın'!$AC$2:$AC$48,ROW()-3),'V_Altın'!$AC$2:$AC$48,0))</f>
        <v/>
      </c>
      <c r="J50" s="9">
        <f>INDEX('V_Altın'!I$2:I$48,MATCH(LARGE('V_Altın'!$AC$2:$AC$48,ROW()-3),'V_Altın'!$AC$2:$AC$48,0))</f>
        <v/>
      </c>
      <c r="K50" s="10">
        <f>INDEX('V_Altın'!J$2:J$48,MATCH(LARGE('V_Altın'!$AC$2:$AC$48,ROW()-3),'V_Altın'!$AC$2:$AC$48,0))</f>
        <v/>
      </c>
      <c r="L50" s="10">
        <f>INDEX('V_Altın'!K$2:K$48,MATCH(LARGE('V_Altın'!$AC$2:$AC$48,ROW()-3),'V_Altın'!$AC$2:$AC$48,0))</f>
        <v/>
      </c>
      <c r="M50" s="8">
        <f>INDEX('V_Altın'!L$2:L$48,MATCH(LARGE('V_Altın'!$AC$2:$AC$48,ROW()-3),'V_Altın'!$AC$2:$AC$48,0))</f>
        <v/>
      </c>
      <c r="N50" s="11">
        <f>INDEX('V_Altın'!M$2:M$48,MATCH(LARGE('V_Altın'!$AC$2:$AC$48,ROW()-3),'V_Altın'!$AC$2:$AC$48,0))</f>
        <v/>
      </c>
      <c r="O50" s="11">
        <f>INDEX('V_Altın'!N$2:N$48,MATCH(LARGE('V_Altın'!$AC$2:$AC$48,ROW()-3),'V_Altın'!$AC$2:$AC$48,0))</f>
        <v/>
      </c>
      <c r="P50" s="8">
        <f>INDEX('V_Altın'!O$2:O$48,MATCH(LARGE('V_Altın'!$AC$2:$AC$48,ROW()-3),'V_Altın'!$AC$2:$AC$48,0))</f>
        <v/>
      </c>
      <c r="Q50" s="9">
        <f>INDEX('V_Altın'!P$2:P$48,MATCH(LARGE('V_Altın'!$AC$2:$AC$48,ROW()-3),'V_Altın'!$AC$2:$AC$48,0))</f>
        <v/>
      </c>
      <c r="R50" s="5">
        <f>INDEX('V_Altın'!Q$2:Q$48,MATCH(LARGE('V_Altın'!$AC$2:$AC$48,ROW()-3),'V_Altın'!$AC$2:$AC$48,0))</f>
        <v/>
      </c>
      <c r="S50" s="8">
        <f>INDEX('V_Altın'!R$2:R$48,MATCH(LARGE('V_Altın'!$AC$2:$AC$48,ROW()-3),'V_Altın'!$AC$2:$AC$48,0))</f>
        <v/>
      </c>
      <c r="T50" s="8">
        <f>INDEX('V_Altın'!S$2:S$48,MATCH(LARGE('V_Altın'!$AC$2:$AC$48,ROW()-3),'V_Altın'!$AC$2:$AC$48,0))</f>
        <v/>
      </c>
      <c r="U50" s="8">
        <f>INDEX('V_Altın'!T$2:T$48,MATCH(LARGE('V_Altın'!$AC$2:$AC$48,ROW()-3),'V_Altın'!$AC$2:$AC$48,0))</f>
        <v/>
      </c>
      <c r="V50" s="8">
        <f>INDEX('V_Altın'!U$2:U$48,MATCH(LARGE('V_Altın'!$AC$2:$AC$48,ROW()-3),'V_Altın'!$AC$2:$AC$48,0))</f>
        <v/>
      </c>
      <c r="W50" s="8">
        <f>INDEX('V_Altın'!V$2:V$48,MATCH(LARGE('V_Altın'!$AC$2:$AC$48,ROW()-3),'V_Altın'!$AC$2:$AC$48,0))</f>
        <v/>
      </c>
      <c r="X50" s="8">
        <f>INDEX('V_Altın'!W$2:W$48,MATCH(LARGE('V_Altın'!$AC$2:$AC$48,ROW()-3),'V_Altın'!$AC$2:$AC$48,0))</f>
        <v/>
      </c>
      <c r="Y50" s="8">
        <f>INDEX('V_Altın'!X$2:X$48,MATCH(LARGE('V_Altın'!$AC$2:$AC$48,ROW()-3),'V_Altın'!$AC$2:$AC$48,0))</f>
        <v/>
      </c>
      <c r="Z50" s="8">
        <f>INDEX('V_Altın'!Y$2:Y$48,MATCH(LARGE('V_Altın'!$AC$2:$AC$48,ROW()-3),'V_Altın'!$AC$2:$AC$48,0))</f>
        <v/>
      </c>
      <c r="AA50" s="8">
        <f>INDEX('V_Altın'!Z$2:Z$48,MATCH(LARGE('V_Altın'!$AC$2:$AC$48,ROW()-3),'V_Altın'!$AC$2:$AC$48,0))</f>
        <v/>
      </c>
      <c r="AB50" s="8">
        <f>INDEX('V_Altın'!AA$2:AA$48,MATCH(LARGE('V_Altın'!$AC$2:$AC$48,ROW()-3),'V_Altın'!$AC$2:$AC$48,0))</f>
        <v/>
      </c>
    </row>
  </sheetData>
  <conditionalFormatting sqref="B4:AB50">
    <cfRule type="expression" priority="1" dxfId="0">
      <formula>OR($B4="BAI",$B4="BHI",$B4="BIS",$B4="BSD",$B4="BTE",$B4="BTK",$B4="BV1",$B4="BVD",$B4="BVF",$B4="BVV",$B4="BVZ",$B4="MTD",$B4="RUT",$B4="SPR")</formula>
    </cfRule>
  </conditionalFormatting>
  <dataValidations count="1">
    <dataValidation sqref="E2" showDropDown="0" showInputMessage="0" showErrorMessage="0" allowBlank="0" type="list">
      <formula1>"Günlük%,Haftalık,Aylık,Yılbaşına Göre,Yıllık"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 Kodu</t>
        </is>
      </c>
      <c r="B1" t="inlineStr">
        <is>
          <t>RUT Fonları</t>
        </is>
      </c>
      <c r="C1" t="inlineStr">
        <is>
          <t>Yönetici</t>
        </is>
      </c>
      <c r="D1" t="inlineStr">
        <is>
          <t>FYÜ%</t>
        </is>
      </c>
      <c r="E1" t="inlineStr">
        <is>
          <t>Günlük%</t>
        </is>
      </c>
      <c r="F1" t="inlineStr">
        <is>
          <t>Haftalık</t>
        </is>
      </c>
      <c r="G1" t="inlineStr">
        <is>
          <t>Aylık</t>
        </is>
      </c>
      <c r="H1" t="inlineStr">
        <is>
          <t>Yılbaşına Göre</t>
        </is>
      </c>
      <c r="I1" t="inlineStr">
        <is>
          <t>Yıllık</t>
        </is>
      </c>
      <c r="J1" t="inlineStr">
        <is>
          <t>Yatırımcı Sayısı T-30</t>
        </is>
      </c>
      <c r="K1" t="inlineStr">
        <is>
          <t>Yatırımcı Sayısı T-1</t>
        </is>
      </c>
      <c r="L1" t="inlineStr">
        <is>
          <t>YS Değişim</t>
        </is>
      </c>
      <c r="M1" t="inlineStr">
        <is>
          <t>Önceki Ay FTD</t>
        </is>
      </c>
      <c r="N1" t="inlineStr">
        <is>
          <t>T-1 FTD</t>
        </is>
      </c>
      <c r="O1" t="inlineStr">
        <is>
          <t>FTD Değişim</t>
        </is>
      </c>
      <c r="P1" t="inlineStr">
        <is>
          <t>Standart Sapma (Aylık)</t>
        </is>
      </c>
      <c r="Q1" t="inlineStr">
        <is>
          <t>TEFAS Durumu</t>
        </is>
      </c>
      <c r="R1" t="inlineStr">
        <is>
          <t>Yabancı Hisse Oranı</t>
        </is>
      </c>
      <c r="S1" t="inlineStr">
        <is>
          <t>Yabancı Borsa Yatırım Fonları</t>
        </is>
      </c>
      <c r="T1" t="inlineStr">
        <is>
          <t>Mevduat (TL)</t>
        </is>
      </c>
      <c r="U1" t="inlineStr">
        <is>
          <t>Vadeli İşlemler Nakit Teminatları</t>
        </is>
      </c>
      <c r="V1" t="inlineStr">
        <is>
          <t>Ters Repo Oranı</t>
        </is>
      </c>
      <c r="W1" t="inlineStr">
        <is>
          <t>Hisse Oranı</t>
        </is>
      </c>
      <c r="X1" t="inlineStr">
        <is>
          <t>Para Piyasaları Oranı</t>
        </is>
      </c>
      <c r="Y1" t="inlineStr">
        <is>
          <t>Yatırım Fonları Katılma Payları</t>
        </is>
      </c>
      <c r="Z1" t="inlineStr">
        <is>
          <t>Özel Tahvil/Bono Oranı</t>
        </is>
      </c>
      <c r="AA1" t="inlineStr">
        <is>
          <t>Finansman Bonosu Oranı</t>
        </is>
      </c>
      <c r="AB1" t="inlineStr">
        <is>
          <t>Diğer Oran</t>
        </is>
      </c>
      <c r="AC1" t="inlineStr">
        <is>
          <t>Toplam</t>
        </is>
      </c>
    </row>
    <row r="2">
      <c r="A2" t="inlineStr">
        <is>
          <t>DTZ</t>
        </is>
      </c>
      <c r="B2" t="inlineStr">
        <is>
          <t>AK Portföy Robotik Teknolojiler Değişken Fon</t>
        </is>
      </c>
      <c r="C2" t="inlineStr">
        <is>
          <t>AK Portföy</t>
        </is>
      </c>
      <c r="D2" t="n">
        <v>0.029</v>
      </c>
      <c r="E2" t="n">
        <v>0.3408108467135129</v>
      </c>
      <c r="F2" t="n">
        <v>1.24816167730939</v>
      </c>
      <c r="G2" t="n">
        <v>-1.629237776640857</v>
      </c>
      <c r="H2" t="n">
        <v>25.49400038922818</v>
      </c>
      <c r="I2" t="n">
        <v>43.93334384065226</v>
      </c>
      <c r="J2" t="n">
        <v>7786</v>
      </c>
      <c r="K2" t="n">
        <v>7564</v>
      </c>
      <c r="L2" t="n">
        <v>-0.02851271512971998</v>
      </c>
      <c r="M2" t="n">
        <v>391566042.26</v>
      </c>
      <c r="N2" t="n">
        <v>467629432.11</v>
      </c>
      <c r="O2" t="n">
        <v>0.1942543061471451</v>
      </c>
      <c r="P2" t="n">
        <v>0.9805893371614131</v>
      </c>
      <c r="Q2" t="inlineStr">
        <is>
          <t>Görüyor</t>
        </is>
      </c>
      <c r="R2" t="n">
        <v>0.636</v>
      </c>
      <c r="S2" t="n">
        <v>0</v>
      </c>
      <c r="T2" t="n">
        <v>0</v>
      </c>
      <c r="U2" t="n">
        <v>0</v>
      </c>
      <c r="V2" t="n">
        <v>0.0622</v>
      </c>
      <c r="W2" t="n">
        <v>0.2482</v>
      </c>
      <c r="X2" t="n">
        <v>0.0019</v>
      </c>
      <c r="Y2" t="n">
        <v>0.0517</v>
      </c>
      <c r="Z2" t="n">
        <v>0</v>
      </c>
      <c r="AA2" t="n">
        <v>0</v>
      </c>
      <c r="AB2" t="n">
        <v>0</v>
      </c>
      <c r="AC2" t="n">
        <v>1</v>
      </c>
      <c r="AE2">
        <f>IF(ISNUMBER(INDEX($A$2:$AC$10,1,MATCH('RUT'!$E$2,$A$1:$AC$1,0))),INDEX($A$2:$AC$10,1,MATCH('RUT'!$E$2,$A$1:$AC$1,0)),-1E+9)-ROW()/1E+7</f>
        <v/>
      </c>
    </row>
    <row r="3">
      <c r="A3" t="inlineStr">
        <is>
          <t>JET</t>
        </is>
      </c>
      <c r="B3" t="inlineStr">
        <is>
          <t>Ata Portföy Havacılık VE Savunma Teknolojileri Değişken Fon</t>
        </is>
      </c>
      <c r="C3" t="inlineStr">
        <is>
          <t>Ata Portföy</t>
        </is>
      </c>
      <c r="D3" t="n">
        <v>0.025</v>
      </c>
      <c r="E3" t="n">
        <v>-0.1432980449403543</v>
      </c>
      <c r="F3" t="n">
        <v>-0.8435180798989417</v>
      </c>
      <c r="G3" t="n">
        <v>-2.707980028569834</v>
      </c>
      <c r="H3" t="n">
        <v>13.32918762081992</v>
      </c>
      <c r="I3" t="n">
        <v>25.79726054996197</v>
      </c>
      <c r="J3" t="n">
        <v>18413</v>
      </c>
      <c r="K3" t="n">
        <v>17755</v>
      </c>
      <c r="L3" t="n">
        <v>-0.03573562157171561</v>
      </c>
      <c r="M3" t="n">
        <v>591160884.3</v>
      </c>
      <c r="N3" t="n">
        <v>524521736.9</v>
      </c>
      <c r="O3" t="n">
        <v>-0.1127259079039171</v>
      </c>
      <c r="P3" t="n">
        <v>1.374166737798423</v>
      </c>
      <c r="Q3" t="inlineStr">
        <is>
          <t>Görüyor</t>
        </is>
      </c>
      <c r="R3" t="n">
        <v>0.7048000000000001</v>
      </c>
      <c r="S3" t="n">
        <v>0</v>
      </c>
      <c r="T3" t="n">
        <v>0</v>
      </c>
      <c r="U3" t="n">
        <v>0</v>
      </c>
      <c r="V3" t="n">
        <v>0</v>
      </c>
      <c r="W3" t="n">
        <v>0.2353</v>
      </c>
      <c r="X3" t="n">
        <v>0</v>
      </c>
      <c r="Y3" t="n">
        <v>0.0599</v>
      </c>
      <c r="Z3" t="n">
        <v>0</v>
      </c>
      <c r="AA3" t="n">
        <v>0</v>
      </c>
      <c r="AB3" t="n">
        <v>0</v>
      </c>
      <c r="AC3" t="n">
        <v>1</v>
      </c>
      <c r="AE3">
        <f>IF(ISNUMBER(INDEX($A$2:$AC$10,2,MATCH('RUT'!$E$2,$A$1:$AC$1,0))),INDEX($A$2:$AC$10,2,MATCH('RUT'!$E$2,$A$1:$AC$1,0)),-1E+9)-ROW()/1E+7</f>
        <v/>
      </c>
    </row>
    <row r="4">
      <c r="A4" t="inlineStr">
        <is>
          <t>KIB</t>
        </is>
      </c>
      <c r="B4" t="inlineStr">
        <is>
          <t>Trıve Portföy Robotik Teknolojileri Değişken Fon</t>
        </is>
      </c>
      <c r="C4" t="inlineStr">
        <is>
          <t>Trıve Portföy</t>
        </is>
      </c>
      <c r="D4" t="n">
        <v>0.025</v>
      </c>
      <c r="E4" t="n">
        <v>-0.4296516546011708</v>
      </c>
      <c r="F4" t="n">
        <v>2.980495840955832</v>
      </c>
      <c r="G4" t="n">
        <v>0.2728285976186351</v>
      </c>
      <c r="H4" t="n">
        <v>14.7907849567821</v>
      </c>
      <c r="I4" t="n">
        <v>35.2995604904002</v>
      </c>
      <c r="J4" t="n">
        <v>1026</v>
      </c>
      <c r="K4" t="n">
        <v>1025</v>
      </c>
      <c r="L4" t="n">
        <v>-0.0009746588693957392</v>
      </c>
      <c r="M4" t="n">
        <v>11016125.33</v>
      </c>
      <c r="N4" t="n">
        <v>10586398.94</v>
      </c>
      <c r="O4" t="n">
        <v>-0.03900885085518546</v>
      </c>
      <c r="P4" t="n">
        <v>0.8516069831469637</v>
      </c>
      <c r="Q4" t="inlineStr">
        <is>
          <t>Görüyor</t>
        </is>
      </c>
      <c r="R4" t="n">
        <v>0.5412</v>
      </c>
      <c r="S4" t="n">
        <v>0</v>
      </c>
      <c r="T4" t="n">
        <v>0</v>
      </c>
      <c r="U4" t="n">
        <v>0</v>
      </c>
      <c r="V4" t="n">
        <v>0</v>
      </c>
      <c r="W4" t="n">
        <v>0.3795</v>
      </c>
      <c r="X4" t="n">
        <v>0.0311</v>
      </c>
      <c r="Y4" t="n">
        <v>0</v>
      </c>
      <c r="Z4" t="n">
        <v>0</v>
      </c>
      <c r="AA4" t="n">
        <v>0.0482</v>
      </c>
      <c r="AB4" t="n">
        <v>0</v>
      </c>
      <c r="AC4" t="n">
        <v>1</v>
      </c>
      <c r="AE4">
        <f>IF(ISNUMBER(INDEX($A$2:$AC$10,3,MATCH('RUT'!$E$2,$A$1:$AC$1,0))),INDEX($A$2:$AC$10,3,MATCH('RUT'!$E$2,$A$1:$AC$1,0)),-1E+9)-ROW()/1E+7</f>
        <v/>
      </c>
    </row>
    <row r="5">
      <c r="A5" t="inlineStr">
        <is>
          <t>GPT</t>
        </is>
      </c>
      <c r="B5" t="inlineStr">
        <is>
          <t>Aktif Portföy Robotik Teknolojileri Değişken Fon</t>
        </is>
      </c>
      <c r="C5" t="inlineStr">
        <is>
          <t>Aktif Portföy</t>
        </is>
      </c>
      <c r="D5" t="n">
        <v>0.02</v>
      </c>
      <c r="E5" t="n">
        <v>-0.4789605026005006</v>
      </c>
      <c r="F5" t="n">
        <v>-0.3549337961900934</v>
      </c>
      <c r="G5" t="n">
        <v>-3.332389696889748</v>
      </c>
      <c r="H5" t="n">
        <v>37.88018009969272</v>
      </c>
      <c r="I5" t="n">
        <v>68.6715679480377</v>
      </c>
      <c r="J5" t="n">
        <v>3345</v>
      </c>
      <c r="K5" t="n">
        <v>3330</v>
      </c>
      <c r="L5" t="n">
        <v>-0.004484304932735439</v>
      </c>
      <c r="M5" t="n">
        <v>121956183.07</v>
      </c>
      <c r="N5" t="n">
        <v>111987552.51</v>
      </c>
      <c r="O5" t="n">
        <v>-0.0817394437006792</v>
      </c>
      <c r="P5" t="n">
        <v>1.136927625600713</v>
      </c>
      <c r="Q5" t="inlineStr">
        <is>
          <t>Görüyor</t>
        </is>
      </c>
      <c r="R5" t="n">
        <v>0.6859000000000001</v>
      </c>
      <c r="S5" t="n">
        <v>0</v>
      </c>
      <c r="T5" t="n">
        <v>0</v>
      </c>
      <c r="U5" t="n">
        <v>0</v>
      </c>
      <c r="V5" t="n">
        <v>0</v>
      </c>
      <c r="W5" t="n">
        <v>0.3114</v>
      </c>
      <c r="X5" t="n">
        <v>0</v>
      </c>
      <c r="Y5" t="n">
        <v>0.0027</v>
      </c>
      <c r="Z5" t="n">
        <v>0</v>
      </c>
      <c r="AA5" t="n">
        <v>0</v>
      </c>
      <c r="AB5" t="n">
        <v>0</v>
      </c>
      <c r="AC5" t="n">
        <v>1</v>
      </c>
      <c r="AE5">
        <f>IF(ISNUMBER(INDEX($A$2:$AC$10,4,MATCH('RUT'!$E$2,$A$1:$AC$1,0))),INDEX($A$2:$AC$10,4,MATCH('RUT'!$E$2,$A$1:$AC$1,0)),-1E+9)-ROW()/1E+7</f>
        <v/>
      </c>
    </row>
    <row r="6">
      <c r="A6" t="inlineStr">
        <is>
          <t>IRO</t>
        </is>
      </c>
      <c r="B6" t="inlineStr">
        <is>
          <t>İstanbul Portföy Robotik Teknolojileri Serbest Fon</t>
        </is>
      </c>
      <c r="C6" t="inlineStr">
        <is>
          <t>İstanbul Portföy</t>
        </is>
      </c>
      <c r="D6" t="n">
        <v>0.03150315</v>
      </c>
      <c r="E6" t="n">
        <v>-0.8110831234257043</v>
      </c>
      <c r="F6" t="n">
        <v>-1.696502923773036</v>
      </c>
      <c r="G6" t="n">
        <v>1.136006446763527</v>
      </c>
      <c r="H6" t="n">
        <v>26.56203282319714</v>
      </c>
      <c r="I6" t="n">
        <v>43.6825180883492</v>
      </c>
      <c r="J6" t="n">
        <v>45</v>
      </c>
      <c r="K6" t="n">
        <v>110</v>
      </c>
      <c r="L6" t="n">
        <v>1.444444444444445</v>
      </c>
      <c r="M6" t="n">
        <v>16373641.49</v>
      </c>
      <c r="N6" t="n">
        <v>42878151.53</v>
      </c>
      <c r="O6" t="n">
        <v>1.618730326799161</v>
      </c>
      <c r="P6" t="n">
        <v>2.618526529146594</v>
      </c>
      <c r="Q6" t="inlineStr">
        <is>
          <t>Görüyor</t>
        </is>
      </c>
      <c r="R6" t="n">
        <v>0.4849</v>
      </c>
      <c r="S6" t="n">
        <v>0</v>
      </c>
      <c r="T6" t="n">
        <v>0.2641</v>
      </c>
      <c r="U6" t="n">
        <v>0</v>
      </c>
      <c r="V6" t="n">
        <v>0</v>
      </c>
      <c r="W6" t="n">
        <v>0.1252</v>
      </c>
      <c r="X6" t="n">
        <v>0</v>
      </c>
      <c r="Y6" t="n">
        <v>0.1258</v>
      </c>
      <c r="Z6" t="n">
        <v>0</v>
      </c>
      <c r="AA6" t="n">
        <v>0</v>
      </c>
      <c r="AB6" t="n">
        <v>0</v>
      </c>
      <c r="AC6" t="n">
        <v>1</v>
      </c>
      <c r="AE6">
        <f>IF(ISNUMBER(INDEX($A$2:$AC$10,5,MATCH('RUT'!$E$2,$A$1:$AC$1,0))),INDEX($A$2:$AC$10,5,MATCH('RUT'!$E$2,$A$1:$AC$1,0)),-1E+9)-ROW()/1E+7</f>
        <v/>
      </c>
    </row>
    <row r="7">
      <c r="A7" t="inlineStr">
        <is>
          <t>RBL</t>
        </is>
      </c>
      <c r="B7" t="inlineStr">
        <is>
          <t>Qnb Portföy Robotik VE Blockchain Teknolojileri Serbest Fon</t>
        </is>
      </c>
      <c r="C7" t="inlineStr">
        <is>
          <t>Qnb Portföy</t>
        </is>
      </c>
      <c r="D7" t="n">
        <v>0.0275</v>
      </c>
      <c r="E7" t="n">
        <v>-1.315967197298595</v>
      </c>
      <c r="F7" t="n">
        <v>-2.816586540342425</v>
      </c>
      <c r="G7" t="n">
        <v>-7.100013516711834</v>
      </c>
      <c r="H7" t="n">
        <v>23.23972560506717</v>
      </c>
      <c r="I7" t="n">
        <v>40.83069980351788</v>
      </c>
      <c r="J7" t="n">
        <v>912</v>
      </c>
      <c r="K7" t="n">
        <v>881</v>
      </c>
      <c r="L7" t="n">
        <v>-0.03399122807017541</v>
      </c>
      <c r="M7" t="n">
        <v>375205556.05</v>
      </c>
      <c r="N7" t="n">
        <v>337139333.17</v>
      </c>
      <c r="O7" t="n">
        <v>-0.1014543155510397</v>
      </c>
      <c r="P7" t="n">
        <v>1.329954836719951</v>
      </c>
      <c r="Q7" t="inlineStr">
        <is>
          <t>Görüyor</t>
        </is>
      </c>
      <c r="R7" t="n">
        <v>0.5537</v>
      </c>
      <c r="S7" t="n">
        <v>0.2408</v>
      </c>
      <c r="T7" t="n">
        <v>0</v>
      </c>
      <c r="U7" t="n">
        <v>0</v>
      </c>
      <c r="V7" t="n">
        <v>0.0451</v>
      </c>
      <c r="W7" t="n">
        <v>0.1018</v>
      </c>
      <c r="X7" t="n">
        <v>0.0153</v>
      </c>
      <c r="Y7" t="n">
        <v>0.0433</v>
      </c>
      <c r="Z7" t="n">
        <v>0</v>
      </c>
      <c r="AA7" t="n">
        <v>0</v>
      </c>
      <c r="AB7" t="n">
        <v>0</v>
      </c>
      <c r="AC7" t="n">
        <v>1</v>
      </c>
      <c r="AE7">
        <f>IF(ISNUMBER(INDEX($A$2:$AC$10,6,MATCH('RUT'!$E$2,$A$1:$AC$1,0))),INDEX($A$2:$AC$10,6,MATCH('RUT'!$E$2,$A$1:$AC$1,0)),-1E+9)-ROW()/1E+7</f>
        <v/>
      </c>
    </row>
    <row r="8">
      <c r="A8" t="inlineStr">
        <is>
          <t>RUT</t>
        </is>
      </c>
      <c r="B8" t="inlineStr">
        <is>
          <t>BV Portföy Robotik VE Uzay Teknolojileri Değişken Fon</t>
        </is>
      </c>
      <c r="C8" t="inlineStr">
        <is>
          <t>BV Portföy</t>
        </is>
      </c>
      <c r="D8" t="n">
        <v>0.025</v>
      </c>
      <c r="E8" t="n">
        <v>-1.585420056088205</v>
      </c>
      <c r="F8" t="n">
        <v>-2.917096114519424</v>
      </c>
      <c r="G8" t="n">
        <v>-5.790878887498452</v>
      </c>
      <c r="H8" t="n">
        <v>26.02780528337547</v>
      </c>
      <c r="I8" t="n">
        <v>49.09019991106129</v>
      </c>
      <c r="J8" t="n">
        <v>4776</v>
      </c>
      <c r="K8" t="n">
        <v>4820</v>
      </c>
      <c r="L8" t="n">
        <v>0.009212730318257867</v>
      </c>
      <c r="M8" t="n">
        <v>157183008.18</v>
      </c>
      <c r="N8" t="n">
        <v>166740838.17</v>
      </c>
      <c r="O8" t="n">
        <v>0.0608070178874216</v>
      </c>
      <c r="P8" t="n">
        <v>1.228453487164884</v>
      </c>
      <c r="Q8" t="inlineStr">
        <is>
          <t>Görüyor</t>
        </is>
      </c>
      <c r="R8" t="n">
        <v>0.6731999999999999</v>
      </c>
      <c r="S8" t="n">
        <v>0</v>
      </c>
      <c r="T8" t="n">
        <v>0</v>
      </c>
      <c r="U8" t="n">
        <v>0.0001</v>
      </c>
      <c r="V8" t="n">
        <v>0</v>
      </c>
      <c r="W8" t="n">
        <v>0.1586</v>
      </c>
      <c r="X8" t="n">
        <v>0</v>
      </c>
      <c r="Y8" t="n">
        <v>0.1267</v>
      </c>
      <c r="Z8" t="n">
        <v>0</v>
      </c>
      <c r="AA8" t="n">
        <v>0</v>
      </c>
      <c r="AB8" t="n">
        <v>0</v>
      </c>
      <c r="AC8" t="n">
        <v>0.9585999999999999</v>
      </c>
      <c r="AE8">
        <f>IF(ISNUMBER(INDEX($A$2:$AC$10,7,MATCH('RUT'!$E$2,$A$1:$AC$1,0))),INDEX($A$2:$AC$10,7,MATCH('RUT'!$E$2,$A$1:$AC$1,0)),-1E+9)-ROW()/1E+7</f>
        <v/>
      </c>
    </row>
    <row r="9">
      <c r="A9" t="inlineStr">
        <is>
          <t>YJK</t>
        </is>
      </c>
      <c r="B9" t="inlineStr">
        <is>
          <t>Yapı Kredi Portföy Robotik VE Yarı İletken Teknolojileri Fon Sepeti Fonu</t>
        </is>
      </c>
      <c r="C9" t="inlineStr">
        <is>
          <t>Yapı Kredi Portföy</t>
        </is>
      </c>
      <c r="D9" t="n">
        <v>0.025</v>
      </c>
      <c r="E9" t="n">
        <v>-2.022702147359967</v>
      </c>
      <c r="F9" t="n">
        <v>-3.269290173281281</v>
      </c>
      <c r="G9" t="n">
        <v>-5.65897072610454</v>
      </c>
      <c r="H9" t="n">
        <v>41.90619125816528</v>
      </c>
      <c r="I9" t="n">
        <v>74.62130245930896</v>
      </c>
      <c r="J9" t="n">
        <v>13571</v>
      </c>
      <c r="K9" t="n">
        <v>14289</v>
      </c>
      <c r="L9" t="n">
        <v>0.0529069339031758</v>
      </c>
      <c r="M9" t="n">
        <v>1134745793.44</v>
      </c>
      <c r="N9" t="n">
        <v>1056431290.11</v>
      </c>
      <c r="O9" t="n">
        <v>-0.06901501973634849</v>
      </c>
      <c r="P9" t="n">
        <v>1.635167912102341</v>
      </c>
      <c r="Q9" t="inlineStr">
        <is>
          <t>Görüyor</t>
        </is>
      </c>
      <c r="R9" t="n">
        <v>0</v>
      </c>
      <c r="S9" t="n">
        <v>0.6631999999999999</v>
      </c>
      <c r="T9" t="n">
        <v>0</v>
      </c>
      <c r="U9" t="n">
        <v>0.0005</v>
      </c>
      <c r="V9" t="n">
        <v>0.0074</v>
      </c>
      <c r="W9" t="n">
        <v>0</v>
      </c>
      <c r="X9" t="n">
        <v>0</v>
      </c>
      <c r="Y9" t="n">
        <v>0.3289</v>
      </c>
      <c r="Z9" t="n">
        <v>0</v>
      </c>
      <c r="AA9" t="n">
        <v>0</v>
      </c>
      <c r="AB9" t="n">
        <v>0</v>
      </c>
      <c r="AC9" t="n">
        <v>0.9999999999999999</v>
      </c>
      <c r="AE9">
        <f>IF(ISNUMBER(INDEX($A$2:$AC$10,8,MATCH('RUT'!$E$2,$A$1:$AC$1,0))),INDEX($A$2:$AC$10,8,MATCH('RUT'!$E$2,$A$1:$AC$1,0)),-1E+9)-ROW()/1E+7</f>
        <v/>
      </c>
    </row>
    <row r="10">
      <c r="A10" t="inlineStr">
        <is>
          <t>RTG</t>
        </is>
      </c>
      <c r="B10" t="inlineStr">
        <is>
          <t>Ata Portföy Robotik Teknolojileri Değişken Fon</t>
        </is>
      </c>
      <c r="C10" t="inlineStr">
        <is>
          <t>Ata Portföy</t>
        </is>
      </c>
      <c r="D10" t="n">
        <v>0.025</v>
      </c>
      <c r="E10" t="n">
        <v>-2.068524741752586</v>
      </c>
      <c r="F10" t="n">
        <v>-3.040591506518198</v>
      </c>
      <c r="G10" t="n">
        <v>-7.187109446511986</v>
      </c>
      <c r="H10" t="n">
        <v>37.15166219409083</v>
      </c>
      <c r="I10" t="n">
        <v>65.88484465835352</v>
      </c>
      <c r="J10" t="n">
        <v>5327</v>
      </c>
      <c r="K10" t="n">
        <v>5229</v>
      </c>
      <c r="L10" t="n">
        <v>-0.01839684625492777</v>
      </c>
      <c r="M10" t="n">
        <v>293423037.57</v>
      </c>
      <c r="N10" t="n">
        <v>265077655.52</v>
      </c>
      <c r="O10" t="n">
        <v>-0.09660244227837023</v>
      </c>
      <c r="P10" t="n">
        <v>1.96980911604351</v>
      </c>
      <c r="Q10" t="inlineStr">
        <is>
          <t>Görüyor</t>
        </is>
      </c>
      <c r="R10" t="n">
        <v>0.6415000000000001</v>
      </c>
      <c r="S10" t="n">
        <v>0</v>
      </c>
      <c r="T10" t="n">
        <v>0</v>
      </c>
      <c r="U10" t="n">
        <v>0.0126</v>
      </c>
      <c r="V10" t="n">
        <v>0</v>
      </c>
      <c r="W10" t="n">
        <v>0.2274</v>
      </c>
      <c r="X10" t="n">
        <v>0</v>
      </c>
      <c r="Y10" t="n">
        <v>0.1185</v>
      </c>
      <c r="Z10" t="n">
        <v>0</v>
      </c>
      <c r="AA10" t="n">
        <v>0</v>
      </c>
      <c r="AB10" t="n">
        <v>0</v>
      </c>
      <c r="AC10" t="n">
        <v>1</v>
      </c>
      <c r="AE10">
        <f>IF(ISNUMBER(INDEX($A$2:$AC$10,9,MATCH('RUT'!$E$2,$A$1:$AC$1,0))),INDEX($A$2:$AC$10,9,MATCH('RUT'!$E$2,$A$1:$AC$1,0)),-1E+9)-ROW()/1E+7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D12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2" max="2"/>
    <col width="68" customWidth="1" min="3" max="3"/>
    <col width="2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>
      <c r="F1" s="6" t="n">
        <v>46219</v>
      </c>
      <c r="G1" s="6" t="n">
        <v>46213</v>
      </c>
      <c r="H1" s="6" t="n">
        <v>46190</v>
      </c>
      <c r="I1" s="6" t="n">
        <v>46022</v>
      </c>
      <c r="J1" s="6" t="n">
        <v>45855</v>
      </c>
    </row>
    <row r="2">
      <c r="B2" s="3" t="inlineStr">
        <is>
          <t>T-1: 17.07.2026</t>
        </is>
      </c>
      <c r="D2" s="7" t="inlineStr">
        <is>
          <t>Sırala:</t>
        </is>
      </c>
      <c r="E2" s="2" t="inlineStr">
        <is>
          <t>Günlük%</t>
        </is>
      </c>
    </row>
    <row r="3">
      <c r="B3" s="4" t="inlineStr">
        <is>
          <t>Fon Kodu</t>
        </is>
      </c>
      <c r="C3" s="4" t="inlineStr">
        <is>
          <t>RUT Fonları</t>
        </is>
      </c>
      <c r="D3" s="4" t="inlineStr">
        <is>
          <t>Yönetici</t>
        </is>
      </c>
      <c r="E3" s="4" t="inlineStr">
        <is>
          <t>FYÜ%</t>
        </is>
      </c>
      <c r="F3" s="4" t="inlineStr">
        <is>
          <t>Günlük%</t>
        </is>
      </c>
      <c r="G3" s="4" t="inlineStr">
        <is>
          <t>Haftalık</t>
        </is>
      </c>
      <c r="H3" s="4" t="inlineStr">
        <is>
          <t>Aylık</t>
        </is>
      </c>
      <c r="I3" s="4" t="inlineStr">
        <is>
          <t>Yılbaşına Göre</t>
        </is>
      </c>
      <c r="J3" s="4" t="inlineStr">
        <is>
          <t>Yıllık</t>
        </is>
      </c>
      <c r="K3" s="4" t="inlineStr">
        <is>
          <t>Yatırımcı Sayısı T-30</t>
        </is>
      </c>
      <c r="L3" s="4" t="inlineStr">
        <is>
          <t>Yatırımcı Sayısı T-1</t>
        </is>
      </c>
      <c r="M3" s="4" t="inlineStr">
        <is>
          <t>YS Değişim</t>
        </is>
      </c>
      <c r="N3" s="4" t="inlineStr">
        <is>
          <t>Önceki Ay FTD</t>
        </is>
      </c>
      <c r="O3" s="4" t="inlineStr">
        <is>
          <t>T-1 FTD</t>
        </is>
      </c>
      <c r="P3" s="4" t="inlineStr">
        <is>
          <t>FTD Değişim</t>
        </is>
      </c>
      <c r="Q3" s="4" t="inlineStr">
        <is>
          <t>Standart Sapma (Aylık)</t>
        </is>
      </c>
      <c r="R3" s="4" t="inlineStr">
        <is>
          <t>TEFAS Durumu</t>
        </is>
      </c>
      <c r="S3" s="4" t="inlineStr">
        <is>
          <t>Yabancı Hisse Oranı</t>
        </is>
      </c>
      <c r="T3" s="4" t="inlineStr">
        <is>
          <t>Yabancı Borsa Yatırım Fonları</t>
        </is>
      </c>
      <c r="U3" s="4" t="inlineStr">
        <is>
          <t>Mevduat (TL)</t>
        </is>
      </c>
      <c r="V3" s="4" t="inlineStr">
        <is>
          <t>Vadeli İşlemler Nakit Teminatları</t>
        </is>
      </c>
      <c r="W3" s="4" t="inlineStr">
        <is>
          <t>Ters Repo Oranı</t>
        </is>
      </c>
      <c r="X3" s="4" t="inlineStr">
        <is>
          <t>Hisse Oranı</t>
        </is>
      </c>
      <c r="Y3" s="4" t="inlineStr">
        <is>
          <t>Para Piyasaları Oranı</t>
        </is>
      </c>
      <c r="Z3" s="4" t="inlineStr">
        <is>
          <t>Yatırım Fonları Katılma Payları</t>
        </is>
      </c>
      <c r="AA3" s="4" t="inlineStr">
        <is>
          <t>Özel Tahvil/Bono Oranı</t>
        </is>
      </c>
      <c r="AB3" s="4" t="inlineStr">
        <is>
          <t>Finansman Bonosu Oranı</t>
        </is>
      </c>
      <c r="AC3" s="4" t="inlineStr">
        <is>
          <t>Diğer Oran</t>
        </is>
      </c>
      <c r="AD3" s="4" t="inlineStr">
        <is>
          <t>Toplam</t>
        </is>
      </c>
    </row>
    <row r="4">
      <c r="A4" t="n">
        <v>1</v>
      </c>
      <c r="B4" s="5">
        <f>INDEX('V_RUT'!A$2:A$10,MATCH(LARGE('V_RUT'!$AE$2:$AE$10,ROW()-3),'V_RUT'!$AE$2:$AE$10,0))</f>
        <v/>
      </c>
      <c r="C4" s="5">
        <f>INDEX('V_RUT'!B$2:B$10,MATCH(LARGE('V_RUT'!$AE$2:$AE$10,ROW()-3),'V_RUT'!$AE$2:$AE$10,0))</f>
        <v/>
      </c>
      <c r="D4" s="5">
        <f>INDEX('V_RUT'!C$2:C$10,MATCH(LARGE('V_RUT'!$AE$2:$AE$10,ROW()-3),'V_RUT'!$AE$2:$AE$10,0))</f>
        <v/>
      </c>
      <c r="E4" s="8">
        <f>INDEX('V_RUT'!D$2:D$10,MATCH(LARGE('V_RUT'!$AE$2:$AE$10,ROW()-3),'V_RUT'!$AE$2:$AE$10,0))</f>
        <v/>
      </c>
      <c r="F4" s="9">
        <f>INDEX('V_RUT'!E$2:E$10,MATCH(LARGE('V_RUT'!$AE$2:$AE$10,ROW()-3),'V_RUT'!$AE$2:$AE$10,0))</f>
        <v/>
      </c>
      <c r="G4" s="9">
        <f>INDEX('V_RUT'!F$2:F$10,MATCH(LARGE('V_RUT'!$AE$2:$AE$10,ROW()-3),'V_RUT'!$AE$2:$AE$10,0))</f>
        <v/>
      </c>
      <c r="H4" s="9">
        <f>INDEX('V_RUT'!G$2:G$10,MATCH(LARGE('V_RUT'!$AE$2:$AE$10,ROW()-3),'V_RUT'!$AE$2:$AE$10,0))</f>
        <v/>
      </c>
      <c r="I4" s="9">
        <f>INDEX('V_RUT'!H$2:H$10,MATCH(LARGE('V_RUT'!$AE$2:$AE$10,ROW()-3),'V_RUT'!$AE$2:$AE$10,0))</f>
        <v/>
      </c>
      <c r="J4" s="9">
        <f>INDEX('V_RUT'!I$2:I$10,MATCH(LARGE('V_RUT'!$AE$2:$AE$10,ROW()-3),'V_RUT'!$AE$2:$AE$10,0))</f>
        <v/>
      </c>
      <c r="K4" s="10">
        <f>INDEX('V_RUT'!J$2:J$10,MATCH(LARGE('V_RUT'!$AE$2:$AE$10,ROW()-3),'V_RUT'!$AE$2:$AE$10,0))</f>
        <v/>
      </c>
      <c r="L4" s="10">
        <f>INDEX('V_RUT'!K$2:K$10,MATCH(LARGE('V_RUT'!$AE$2:$AE$10,ROW()-3),'V_RUT'!$AE$2:$AE$10,0))</f>
        <v/>
      </c>
      <c r="M4" s="8">
        <f>INDEX('V_RUT'!L$2:L$10,MATCH(LARGE('V_RUT'!$AE$2:$AE$10,ROW()-3),'V_RUT'!$AE$2:$AE$10,0))</f>
        <v/>
      </c>
      <c r="N4" s="11">
        <f>INDEX('V_RUT'!M$2:M$10,MATCH(LARGE('V_RUT'!$AE$2:$AE$10,ROW()-3),'V_RUT'!$AE$2:$AE$10,0))</f>
        <v/>
      </c>
      <c r="O4" s="11">
        <f>INDEX('V_RUT'!N$2:N$10,MATCH(LARGE('V_RUT'!$AE$2:$AE$10,ROW()-3),'V_RUT'!$AE$2:$AE$10,0))</f>
        <v/>
      </c>
      <c r="P4" s="8">
        <f>INDEX('V_RUT'!O$2:O$10,MATCH(LARGE('V_RUT'!$AE$2:$AE$10,ROW()-3),'V_RUT'!$AE$2:$AE$10,0))</f>
        <v/>
      </c>
      <c r="Q4" s="9">
        <f>INDEX('V_RUT'!P$2:P$10,MATCH(LARGE('V_RUT'!$AE$2:$AE$10,ROW()-3),'V_RUT'!$AE$2:$AE$10,0))</f>
        <v/>
      </c>
      <c r="R4" s="5">
        <f>INDEX('V_RUT'!Q$2:Q$10,MATCH(LARGE('V_RUT'!$AE$2:$AE$10,ROW()-3),'V_RUT'!$AE$2:$AE$10,0))</f>
        <v/>
      </c>
      <c r="S4" s="8">
        <f>INDEX('V_RUT'!R$2:R$10,MATCH(LARGE('V_RUT'!$AE$2:$AE$10,ROW()-3),'V_RUT'!$AE$2:$AE$10,0))</f>
        <v/>
      </c>
      <c r="T4" s="8">
        <f>INDEX('V_RUT'!S$2:S$10,MATCH(LARGE('V_RUT'!$AE$2:$AE$10,ROW()-3),'V_RUT'!$AE$2:$AE$10,0))</f>
        <v/>
      </c>
      <c r="U4" s="8">
        <f>INDEX('V_RUT'!T$2:T$10,MATCH(LARGE('V_RUT'!$AE$2:$AE$10,ROW()-3),'V_RUT'!$AE$2:$AE$10,0))</f>
        <v/>
      </c>
      <c r="V4" s="8">
        <f>INDEX('V_RUT'!U$2:U$10,MATCH(LARGE('V_RUT'!$AE$2:$AE$10,ROW()-3),'V_RUT'!$AE$2:$AE$10,0))</f>
        <v/>
      </c>
      <c r="W4" s="8">
        <f>INDEX('V_RUT'!V$2:V$10,MATCH(LARGE('V_RUT'!$AE$2:$AE$10,ROW()-3),'V_RUT'!$AE$2:$AE$10,0))</f>
        <v/>
      </c>
      <c r="X4" s="8">
        <f>INDEX('V_RUT'!W$2:W$10,MATCH(LARGE('V_RUT'!$AE$2:$AE$10,ROW()-3),'V_RUT'!$AE$2:$AE$10,0))</f>
        <v/>
      </c>
      <c r="Y4" s="8">
        <f>INDEX('V_RUT'!X$2:X$10,MATCH(LARGE('V_RUT'!$AE$2:$AE$10,ROW()-3),'V_RUT'!$AE$2:$AE$10,0))</f>
        <v/>
      </c>
      <c r="Z4" s="8">
        <f>INDEX('V_RUT'!Y$2:Y$10,MATCH(LARGE('V_RUT'!$AE$2:$AE$10,ROW()-3),'V_RUT'!$AE$2:$AE$10,0))</f>
        <v/>
      </c>
      <c r="AA4" s="8">
        <f>INDEX('V_RUT'!Z$2:Z$10,MATCH(LARGE('V_RUT'!$AE$2:$AE$10,ROW()-3),'V_RUT'!$AE$2:$AE$10,0))</f>
        <v/>
      </c>
      <c r="AB4" s="8">
        <f>INDEX('V_RUT'!AA$2:AA$10,MATCH(LARGE('V_RUT'!$AE$2:$AE$10,ROW()-3),'V_RUT'!$AE$2:$AE$10,0))</f>
        <v/>
      </c>
      <c r="AC4" s="8">
        <f>INDEX('V_RUT'!AB$2:AB$10,MATCH(LARGE('V_RUT'!$AE$2:$AE$10,ROW()-3),'V_RUT'!$AE$2:$AE$10,0))</f>
        <v/>
      </c>
      <c r="AD4" s="8">
        <f>INDEX('V_RUT'!AC$2:AC$10,MATCH(LARGE('V_RUT'!$AE$2:$AE$10,ROW()-3),'V_RUT'!$AE$2:$AE$10,0))</f>
        <v/>
      </c>
    </row>
    <row r="5">
      <c r="A5" t="n">
        <v>2</v>
      </c>
      <c r="B5" s="5">
        <f>INDEX('V_RUT'!A$2:A$10,MATCH(LARGE('V_RUT'!$AE$2:$AE$10,ROW()-3),'V_RUT'!$AE$2:$AE$10,0))</f>
        <v/>
      </c>
      <c r="C5" s="5">
        <f>INDEX('V_RUT'!B$2:B$10,MATCH(LARGE('V_RUT'!$AE$2:$AE$10,ROW()-3),'V_RUT'!$AE$2:$AE$10,0))</f>
        <v/>
      </c>
      <c r="D5" s="5">
        <f>INDEX('V_RUT'!C$2:C$10,MATCH(LARGE('V_RUT'!$AE$2:$AE$10,ROW()-3),'V_RUT'!$AE$2:$AE$10,0))</f>
        <v/>
      </c>
      <c r="E5" s="8">
        <f>INDEX('V_RUT'!D$2:D$10,MATCH(LARGE('V_RUT'!$AE$2:$AE$10,ROW()-3),'V_RUT'!$AE$2:$AE$10,0))</f>
        <v/>
      </c>
      <c r="F5" s="9">
        <f>INDEX('V_RUT'!E$2:E$10,MATCH(LARGE('V_RUT'!$AE$2:$AE$10,ROW()-3),'V_RUT'!$AE$2:$AE$10,0))</f>
        <v/>
      </c>
      <c r="G5" s="9">
        <f>INDEX('V_RUT'!F$2:F$10,MATCH(LARGE('V_RUT'!$AE$2:$AE$10,ROW()-3),'V_RUT'!$AE$2:$AE$10,0))</f>
        <v/>
      </c>
      <c r="H5" s="9">
        <f>INDEX('V_RUT'!G$2:G$10,MATCH(LARGE('V_RUT'!$AE$2:$AE$10,ROW()-3),'V_RUT'!$AE$2:$AE$10,0))</f>
        <v/>
      </c>
      <c r="I5" s="9">
        <f>INDEX('V_RUT'!H$2:H$10,MATCH(LARGE('V_RUT'!$AE$2:$AE$10,ROW()-3),'V_RUT'!$AE$2:$AE$10,0))</f>
        <v/>
      </c>
      <c r="J5" s="9">
        <f>INDEX('V_RUT'!I$2:I$10,MATCH(LARGE('V_RUT'!$AE$2:$AE$10,ROW()-3),'V_RUT'!$AE$2:$AE$10,0))</f>
        <v/>
      </c>
      <c r="K5" s="10">
        <f>INDEX('V_RUT'!J$2:J$10,MATCH(LARGE('V_RUT'!$AE$2:$AE$10,ROW()-3),'V_RUT'!$AE$2:$AE$10,0))</f>
        <v/>
      </c>
      <c r="L5" s="10">
        <f>INDEX('V_RUT'!K$2:K$10,MATCH(LARGE('V_RUT'!$AE$2:$AE$10,ROW()-3),'V_RUT'!$AE$2:$AE$10,0))</f>
        <v/>
      </c>
      <c r="M5" s="8">
        <f>INDEX('V_RUT'!L$2:L$10,MATCH(LARGE('V_RUT'!$AE$2:$AE$10,ROW()-3),'V_RUT'!$AE$2:$AE$10,0))</f>
        <v/>
      </c>
      <c r="N5" s="11">
        <f>INDEX('V_RUT'!M$2:M$10,MATCH(LARGE('V_RUT'!$AE$2:$AE$10,ROW()-3),'V_RUT'!$AE$2:$AE$10,0))</f>
        <v/>
      </c>
      <c r="O5" s="11">
        <f>INDEX('V_RUT'!N$2:N$10,MATCH(LARGE('V_RUT'!$AE$2:$AE$10,ROW()-3),'V_RUT'!$AE$2:$AE$10,0))</f>
        <v/>
      </c>
      <c r="P5" s="8">
        <f>INDEX('V_RUT'!O$2:O$10,MATCH(LARGE('V_RUT'!$AE$2:$AE$10,ROW()-3),'V_RUT'!$AE$2:$AE$10,0))</f>
        <v/>
      </c>
      <c r="Q5" s="9">
        <f>INDEX('V_RUT'!P$2:P$10,MATCH(LARGE('V_RUT'!$AE$2:$AE$10,ROW()-3),'V_RUT'!$AE$2:$AE$10,0))</f>
        <v/>
      </c>
      <c r="R5" s="5">
        <f>INDEX('V_RUT'!Q$2:Q$10,MATCH(LARGE('V_RUT'!$AE$2:$AE$10,ROW()-3),'V_RUT'!$AE$2:$AE$10,0))</f>
        <v/>
      </c>
      <c r="S5" s="8">
        <f>INDEX('V_RUT'!R$2:R$10,MATCH(LARGE('V_RUT'!$AE$2:$AE$10,ROW()-3),'V_RUT'!$AE$2:$AE$10,0))</f>
        <v/>
      </c>
      <c r="T5" s="8">
        <f>INDEX('V_RUT'!S$2:S$10,MATCH(LARGE('V_RUT'!$AE$2:$AE$10,ROW()-3),'V_RUT'!$AE$2:$AE$10,0))</f>
        <v/>
      </c>
      <c r="U5" s="8">
        <f>INDEX('V_RUT'!T$2:T$10,MATCH(LARGE('V_RUT'!$AE$2:$AE$10,ROW()-3),'V_RUT'!$AE$2:$AE$10,0))</f>
        <v/>
      </c>
      <c r="V5" s="8">
        <f>INDEX('V_RUT'!U$2:U$10,MATCH(LARGE('V_RUT'!$AE$2:$AE$10,ROW()-3),'V_RUT'!$AE$2:$AE$10,0))</f>
        <v/>
      </c>
      <c r="W5" s="8">
        <f>INDEX('V_RUT'!V$2:V$10,MATCH(LARGE('V_RUT'!$AE$2:$AE$10,ROW()-3),'V_RUT'!$AE$2:$AE$10,0))</f>
        <v/>
      </c>
      <c r="X5" s="8">
        <f>INDEX('V_RUT'!W$2:W$10,MATCH(LARGE('V_RUT'!$AE$2:$AE$10,ROW()-3),'V_RUT'!$AE$2:$AE$10,0))</f>
        <v/>
      </c>
      <c r="Y5" s="8">
        <f>INDEX('V_RUT'!X$2:X$10,MATCH(LARGE('V_RUT'!$AE$2:$AE$10,ROW()-3),'V_RUT'!$AE$2:$AE$10,0))</f>
        <v/>
      </c>
      <c r="Z5" s="8">
        <f>INDEX('V_RUT'!Y$2:Y$10,MATCH(LARGE('V_RUT'!$AE$2:$AE$10,ROW()-3),'V_RUT'!$AE$2:$AE$10,0))</f>
        <v/>
      </c>
      <c r="AA5" s="8">
        <f>INDEX('V_RUT'!Z$2:Z$10,MATCH(LARGE('V_RUT'!$AE$2:$AE$10,ROW()-3),'V_RUT'!$AE$2:$AE$10,0))</f>
        <v/>
      </c>
      <c r="AB5" s="8">
        <f>INDEX('V_RUT'!AA$2:AA$10,MATCH(LARGE('V_RUT'!$AE$2:$AE$10,ROW()-3),'V_RUT'!$AE$2:$AE$10,0))</f>
        <v/>
      </c>
      <c r="AC5" s="8">
        <f>INDEX('V_RUT'!AB$2:AB$10,MATCH(LARGE('V_RUT'!$AE$2:$AE$10,ROW()-3),'V_RUT'!$AE$2:$AE$10,0))</f>
        <v/>
      </c>
      <c r="AD5" s="8">
        <f>INDEX('V_RUT'!AC$2:AC$10,MATCH(LARGE('V_RUT'!$AE$2:$AE$10,ROW()-3),'V_RUT'!$AE$2:$AE$10,0))</f>
        <v/>
      </c>
    </row>
    <row r="6">
      <c r="A6" t="n">
        <v>3</v>
      </c>
      <c r="B6" s="5">
        <f>INDEX('V_RUT'!A$2:A$10,MATCH(LARGE('V_RUT'!$AE$2:$AE$10,ROW()-3),'V_RUT'!$AE$2:$AE$10,0))</f>
        <v/>
      </c>
      <c r="C6" s="5">
        <f>INDEX('V_RUT'!B$2:B$10,MATCH(LARGE('V_RUT'!$AE$2:$AE$10,ROW()-3),'V_RUT'!$AE$2:$AE$10,0))</f>
        <v/>
      </c>
      <c r="D6" s="5">
        <f>INDEX('V_RUT'!C$2:C$10,MATCH(LARGE('V_RUT'!$AE$2:$AE$10,ROW()-3),'V_RUT'!$AE$2:$AE$10,0))</f>
        <v/>
      </c>
      <c r="E6" s="8">
        <f>INDEX('V_RUT'!D$2:D$10,MATCH(LARGE('V_RUT'!$AE$2:$AE$10,ROW()-3),'V_RUT'!$AE$2:$AE$10,0))</f>
        <v/>
      </c>
      <c r="F6" s="9">
        <f>INDEX('V_RUT'!E$2:E$10,MATCH(LARGE('V_RUT'!$AE$2:$AE$10,ROW()-3),'V_RUT'!$AE$2:$AE$10,0))</f>
        <v/>
      </c>
      <c r="G6" s="9">
        <f>INDEX('V_RUT'!F$2:F$10,MATCH(LARGE('V_RUT'!$AE$2:$AE$10,ROW()-3),'V_RUT'!$AE$2:$AE$10,0))</f>
        <v/>
      </c>
      <c r="H6" s="9">
        <f>INDEX('V_RUT'!G$2:G$10,MATCH(LARGE('V_RUT'!$AE$2:$AE$10,ROW()-3),'V_RUT'!$AE$2:$AE$10,0))</f>
        <v/>
      </c>
      <c r="I6" s="9">
        <f>INDEX('V_RUT'!H$2:H$10,MATCH(LARGE('V_RUT'!$AE$2:$AE$10,ROW()-3),'V_RUT'!$AE$2:$AE$10,0))</f>
        <v/>
      </c>
      <c r="J6" s="9">
        <f>INDEX('V_RUT'!I$2:I$10,MATCH(LARGE('V_RUT'!$AE$2:$AE$10,ROW()-3),'V_RUT'!$AE$2:$AE$10,0))</f>
        <v/>
      </c>
      <c r="K6" s="10">
        <f>INDEX('V_RUT'!J$2:J$10,MATCH(LARGE('V_RUT'!$AE$2:$AE$10,ROW()-3),'V_RUT'!$AE$2:$AE$10,0))</f>
        <v/>
      </c>
      <c r="L6" s="10">
        <f>INDEX('V_RUT'!K$2:K$10,MATCH(LARGE('V_RUT'!$AE$2:$AE$10,ROW()-3),'V_RUT'!$AE$2:$AE$10,0))</f>
        <v/>
      </c>
      <c r="M6" s="8">
        <f>INDEX('V_RUT'!L$2:L$10,MATCH(LARGE('V_RUT'!$AE$2:$AE$10,ROW()-3),'V_RUT'!$AE$2:$AE$10,0))</f>
        <v/>
      </c>
      <c r="N6" s="11">
        <f>INDEX('V_RUT'!M$2:M$10,MATCH(LARGE('V_RUT'!$AE$2:$AE$10,ROW()-3),'V_RUT'!$AE$2:$AE$10,0))</f>
        <v/>
      </c>
      <c r="O6" s="11">
        <f>INDEX('V_RUT'!N$2:N$10,MATCH(LARGE('V_RUT'!$AE$2:$AE$10,ROW()-3),'V_RUT'!$AE$2:$AE$10,0))</f>
        <v/>
      </c>
      <c r="P6" s="8">
        <f>INDEX('V_RUT'!O$2:O$10,MATCH(LARGE('V_RUT'!$AE$2:$AE$10,ROW()-3),'V_RUT'!$AE$2:$AE$10,0))</f>
        <v/>
      </c>
      <c r="Q6" s="9">
        <f>INDEX('V_RUT'!P$2:P$10,MATCH(LARGE('V_RUT'!$AE$2:$AE$10,ROW()-3),'V_RUT'!$AE$2:$AE$10,0))</f>
        <v/>
      </c>
      <c r="R6" s="5">
        <f>INDEX('V_RUT'!Q$2:Q$10,MATCH(LARGE('V_RUT'!$AE$2:$AE$10,ROW()-3),'V_RUT'!$AE$2:$AE$10,0))</f>
        <v/>
      </c>
      <c r="S6" s="8">
        <f>INDEX('V_RUT'!R$2:R$10,MATCH(LARGE('V_RUT'!$AE$2:$AE$10,ROW()-3),'V_RUT'!$AE$2:$AE$10,0))</f>
        <v/>
      </c>
      <c r="T6" s="8">
        <f>INDEX('V_RUT'!S$2:S$10,MATCH(LARGE('V_RUT'!$AE$2:$AE$10,ROW()-3),'V_RUT'!$AE$2:$AE$10,0))</f>
        <v/>
      </c>
      <c r="U6" s="8">
        <f>INDEX('V_RUT'!T$2:T$10,MATCH(LARGE('V_RUT'!$AE$2:$AE$10,ROW()-3),'V_RUT'!$AE$2:$AE$10,0))</f>
        <v/>
      </c>
      <c r="V6" s="8">
        <f>INDEX('V_RUT'!U$2:U$10,MATCH(LARGE('V_RUT'!$AE$2:$AE$10,ROW()-3),'V_RUT'!$AE$2:$AE$10,0))</f>
        <v/>
      </c>
      <c r="W6" s="8">
        <f>INDEX('V_RUT'!V$2:V$10,MATCH(LARGE('V_RUT'!$AE$2:$AE$10,ROW()-3),'V_RUT'!$AE$2:$AE$10,0))</f>
        <v/>
      </c>
      <c r="X6" s="8">
        <f>INDEX('V_RUT'!W$2:W$10,MATCH(LARGE('V_RUT'!$AE$2:$AE$10,ROW()-3),'V_RUT'!$AE$2:$AE$10,0))</f>
        <v/>
      </c>
      <c r="Y6" s="8">
        <f>INDEX('V_RUT'!X$2:X$10,MATCH(LARGE('V_RUT'!$AE$2:$AE$10,ROW()-3),'V_RUT'!$AE$2:$AE$10,0))</f>
        <v/>
      </c>
      <c r="Z6" s="8">
        <f>INDEX('V_RUT'!Y$2:Y$10,MATCH(LARGE('V_RUT'!$AE$2:$AE$10,ROW()-3),'V_RUT'!$AE$2:$AE$10,0))</f>
        <v/>
      </c>
      <c r="AA6" s="8">
        <f>INDEX('V_RUT'!Z$2:Z$10,MATCH(LARGE('V_RUT'!$AE$2:$AE$10,ROW()-3),'V_RUT'!$AE$2:$AE$10,0))</f>
        <v/>
      </c>
      <c r="AB6" s="8">
        <f>INDEX('V_RUT'!AA$2:AA$10,MATCH(LARGE('V_RUT'!$AE$2:$AE$10,ROW()-3),'V_RUT'!$AE$2:$AE$10,0))</f>
        <v/>
      </c>
      <c r="AC6" s="8">
        <f>INDEX('V_RUT'!AB$2:AB$10,MATCH(LARGE('V_RUT'!$AE$2:$AE$10,ROW()-3),'V_RUT'!$AE$2:$AE$10,0))</f>
        <v/>
      </c>
      <c r="AD6" s="8">
        <f>INDEX('V_RUT'!AC$2:AC$10,MATCH(LARGE('V_RUT'!$AE$2:$AE$10,ROW()-3),'V_RUT'!$AE$2:$AE$10,0))</f>
        <v/>
      </c>
    </row>
    <row r="7">
      <c r="A7" t="n">
        <v>4</v>
      </c>
      <c r="B7" s="5">
        <f>INDEX('V_RUT'!A$2:A$10,MATCH(LARGE('V_RUT'!$AE$2:$AE$10,ROW()-3),'V_RUT'!$AE$2:$AE$10,0))</f>
        <v/>
      </c>
      <c r="C7" s="5">
        <f>INDEX('V_RUT'!B$2:B$10,MATCH(LARGE('V_RUT'!$AE$2:$AE$10,ROW()-3),'V_RUT'!$AE$2:$AE$10,0))</f>
        <v/>
      </c>
      <c r="D7" s="5">
        <f>INDEX('V_RUT'!C$2:C$10,MATCH(LARGE('V_RUT'!$AE$2:$AE$10,ROW()-3),'V_RUT'!$AE$2:$AE$10,0))</f>
        <v/>
      </c>
      <c r="E7" s="8">
        <f>INDEX('V_RUT'!D$2:D$10,MATCH(LARGE('V_RUT'!$AE$2:$AE$10,ROW()-3),'V_RUT'!$AE$2:$AE$10,0))</f>
        <v/>
      </c>
      <c r="F7" s="9">
        <f>INDEX('V_RUT'!E$2:E$10,MATCH(LARGE('V_RUT'!$AE$2:$AE$10,ROW()-3),'V_RUT'!$AE$2:$AE$10,0))</f>
        <v/>
      </c>
      <c r="G7" s="9">
        <f>INDEX('V_RUT'!F$2:F$10,MATCH(LARGE('V_RUT'!$AE$2:$AE$10,ROW()-3),'V_RUT'!$AE$2:$AE$10,0))</f>
        <v/>
      </c>
      <c r="H7" s="9">
        <f>INDEX('V_RUT'!G$2:G$10,MATCH(LARGE('V_RUT'!$AE$2:$AE$10,ROW()-3),'V_RUT'!$AE$2:$AE$10,0))</f>
        <v/>
      </c>
      <c r="I7" s="9">
        <f>INDEX('V_RUT'!H$2:H$10,MATCH(LARGE('V_RUT'!$AE$2:$AE$10,ROW()-3),'V_RUT'!$AE$2:$AE$10,0))</f>
        <v/>
      </c>
      <c r="J7" s="9">
        <f>INDEX('V_RUT'!I$2:I$10,MATCH(LARGE('V_RUT'!$AE$2:$AE$10,ROW()-3),'V_RUT'!$AE$2:$AE$10,0))</f>
        <v/>
      </c>
      <c r="K7" s="10">
        <f>INDEX('V_RUT'!J$2:J$10,MATCH(LARGE('V_RUT'!$AE$2:$AE$10,ROW()-3),'V_RUT'!$AE$2:$AE$10,0))</f>
        <v/>
      </c>
      <c r="L7" s="10">
        <f>INDEX('V_RUT'!K$2:K$10,MATCH(LARGE('V_RUT'!$AE$2:$AE$10,ROW()-3),'V_RUT'!$AE$2:$AE$10,0))</f>
        <v/>
      </c>
      <c r="M7" s="8">
        <f>INDEX('V_RUT'!L$2:L$10,MATCH(LARGE('V_RUT'!$AE$2:$AE$10,ROW()-3),'V_RUT'!$AE$2:$AE$10,0))</f>
        <v/>
      </c>
      <c r="N7" s="11">
        <f>INDEX('V_RUT'!M$2:M$10,MATCH(LARGE('V_RUT'!$AE$2:$AE$10,ROW()-3),'V_RUT'!$AE$2:$AE$10,0))</f>
        <v/>
      </c>
      <c r="O7" s="11">
        <f>INDEX('V_RUT'!N$2:N$10,MATCH(LARGE('V_RUT'!$AE$2:$AE$10,ROW()-3),'V_RUT'!$AE$2:$AE$10,0))</f>
        <v/>
      </c>
      <c r="P7" s="8">
        <f>INDEX('V_RUT'!O$2:O$10,MATCH(LARGE('V_RUT'!$AE$2:$AE$10,ROW()-3),'V_RUT'!$AE$2:$AE$10,0))</f>
        <v/>
      </c>
      <c r="Q7" s="9">
        <f>INDEX('V_RUT'!P$2:P$10,MATCH(LARGE('V_RUT'!$AE$2:$AE$10,ROW()-3),'V_RUT'!$AE$2:$AE$10,0))</f>
        <v/>
      </c>
      <c r="R7" s="5">
        <f>INDEX('V_RUT'!Q$2:Q$10,MATCH(LARGE('V_RUT'!$AE$2:$AE$10,ROW()-3),'V_RUT'!$AE$2:$AE$10,0))</f>
        <v/>
      </c>
      <c r="S7" s="8">
        <f>INDEX('V_RUT'!R$2:R$10,MATCH(LARGE('V_RUT'!$AE$2:$AE$10,ROW()-3),'V_RUT'!$AE$2:$AE$10,0))</f>
        <v/>
      </c>
      <c r="T7" s="8">
        <f>INDEX('V_RUT'!S$2:S$10,MATCH(LARGE('V_RUT'!$AE$2:$AE$10,ROW()-3),'V_RUT'!$AE$2:$AE$10,0))</f>
        <v/>
      </c>
      <c r="U7" s="8">
        <f>INDEX('V_RUT'!T$2:T$10,MATCH(LARGE('V_RUT'!$AE$2:$AE$10,ROW()-3),'V_RUT'!$AE$2:$AE$10,0))</f>
        <v/>
      </c>
      <c r="V7" s="8">
        <f>INDEX('V_RUT'!U$2:U$10,MATCH(LARGE('V_RUT'!$AE$2:$AE$10,ROW()-3),'V_RUT'!$AE$2:$AE$10,0))</f>
        <v/>
      </c>
      <c r="W7" s="8">
        <f>INDEX('V_RUT'!V$2:V$10,MATCH(LARGE('V_RUT'!$AE$2:$AE$10,ROW()-3),'V_RUT'!$AE$2:$AE$10,0))</f>
        <v/>
      </c>
      <c r="X7" s="8">
        <f>INDEX('V_RUT'!W$2:W$10,MATCH(LARGE('V_RUT'!$AE$2:$AE$10,ROW()-3),'V_RUT'!$AE$2:$AE$10,0))</f>
        <v/>
      </c>
      <c r="Y7" s="8">
        <f>INDEX('V_RUT'!X$2:X$10,MATCH(LARGE('V_RUT'!$AE$2:$AE$10,ROW()-3),'V_RUT'!$AE$2:$AE$10,0))</f>
        <v/>
      </c>
      <c r="Z7" s="8">
        <f>INDEX('V_RUT'!Y$2:Y$10,MATCH(LARGE('V_RUT'!$AE$2:$AE$10,ROW()-3),'V_RUT'!$AE$2:$AE$10,0))</f>
        <v/>
      </c>
      <c r="AA7" s="8">
        <f>INDEX('V_RUT'!Z$2:Z$10,MATCH(LARGE('V_RUT'!$AE$2:$AE$10,ROW()-3),'V_RUT'!$AE$2:$AE$10,0))</f>
        <v/>
      </c>
      <c r="AB7" s="8">
        <f>INDEX('V_RUT'!AA$2:AA$10,MATCH(LARGE('V_RUT'!$AE$2:$AE$10,ROW()-3),'V_RUT'!$AE$2:$AE$10,0))</f>
        <v/>
      </c>
      <c r="AC7" s="8">
        <f>INDEX('V_RUT'!AB$2:AB$10,MATCH(LARGE('V_RUT'!$AE$2:$AE$10,ROW()-3),'V_RUT'!$AE$2:$AE$10,0))</f>
        <v/>
      </c>
      <c r="AD7" s="8">
        <f>INDEX('V_RUT'!AC$2:AC$10,MATCH(LARGE('V_RUT'!$AE$2:$AE$10,ROW()-3),'V_RUT'!$AE$2:$AE$10,0))</f>
        <v/>
      </c>
    </row>
    <row r="8">
      <c r="A8" t="n">
        <v>5</v>
      </c>
      <c r="B8" s="5">
        <f>INDEX('V_RUT'!A$2:A$10,MATCH(LARGE('V_RUT'!$AE$2:$AE$10,ROW()-3),'V_RUT'!$AE$2:$AE$10,0))</f>
        <v/>
      </c>
      <c r="C8" s="5">
        <f>INDEX('V_RUT'!B$2:B$10,MATCH(LARGE('V_RUT'!$AE$2:$AE$10,ROW()-3),'V_RUT'!$AE$2:$AE$10,0))</f>
        <v/>
      </c>
      <c r="D8" s="5">
        <f>INDEX('V_RUT'!C$2:C$10,MATCH(LARGE('V_RUT'!$AE$2:$AE$10,ROW()-3),'V_RUT'!$AE$2:$AE$10,0))</f>
        <v/>
      </c>
      <c r="E8" s="8">
        <f>INDEX('V_RUT'!D$2:D$10,MATCH(LARGE('V_RUT'!$AE$2:$AE$10,ROW()-3),'V_RUT'!$AE$2:$AE$10,0))</f>
        <v/>
      </c>
      <c r="F8" s="9">
        <f>INDEX('V_RUT'!E$2:E$10,MATCH(LARGE('V_RUT'!$AE$2:$AE$10,ROW()-3),'V_RUT'!$AE$2:$AE$10,0))</f>
        <v/>
      </c>
      <c r="G8" s="9">
        <f>INDEX('V_RUT'!F$2:F$10,MATCH(LARGE('V_RUT'!$AE$2:$AE$10,ROW()-3),'V_RUT'!$AE$2:$AE$10,0))</f>
        <v/>
      </c>
      <c r="H8" s="9">
        <f>INDEX('V_RUT'!G$2:G$10,MATCH(LARGE('V_RUT'!$AE$2:$AE$10,ROW()-3),'V_RUT'!$AE$2:$AE$10,0))</f>
        <v/>
      </c>
      <c r="I8" s="9">
        <f>INDEX('V_RUT'!H$2:H$10,MATCH(LARGE('V_RUT'!$AE$2:$AE$10,ROW()-3),'V_RUT'!$AE$2:$AE$10,0))</f>
        <v/>
      </c>
      <c r="J8" s="9">
        <f>INDEX('V_RUT'!I$2:I$10,MATCH(LARGE('V_RUT'!$AE$2:$AE$10,ROW()-3),'V_RUT'!$AE$2:$AE$10,0))</f>
        <v/>
      </c>
      <c r="K8" s="10">
        <f>INDEX('V_RUT'!J$2:J$10,MATCH(LARGE('V_RUT'!$AE$2:$AE$10,ROW()-3),'V_RUT'!$AE$2:$AE$10,0))</f>
        <v/>
      </c>
      <c r="L8" s="10">
        <f>INDEX('V_RUT'!K$2:K$10,MATCH(LARGE('V_RUT'!$AE$2:$AE$10,ROW()-3),'V_RUT'!$AE$2:$AE$10,0))</f>
        <v/>
      </c>
      <c r="M8" s="8">
        <f>INDEX('V_RUT'!L$2:L$10,MATCH(LARGE('V_RUT'!$AE$2:$AE$10,ROW()-3),'V_RUT'!$AE$2:$AE$10,0))</f>
        <v/>
      </c>
      <c r="N8" s="11">
        <f>INDEX('V_RUT'!M$2:M$10,MATCH(LARGE('V_RUT'!$AE$2:$AE$10,ROW()-3),'V_RUT'!$AE$2:$AE$10,0))</f>
        <v/>
      </c>
      <c r="O8" s="11">
        <f>INDEX('V_RUT'!N$2:N$10,MATCH(LARGE('V_RUT'!$AE$2:$AE$10,ROW()-3),'V_RUT'!$AE$2:$AE$10,0))</f>
        <v/>
      </c>
      <c r="P8" s="8">
        <f>INDEX('V_RUT'!O$2:O$10,MATCH(LARGE('V_RUT'!$AE$2:$AE$10,ROW()-3),'V_RUT'!$AE$2:$AE$10,0))</f>
        <v/>
      </c>
      <c r="Q8" s="9">
        <f>INDEX('V_RUT'!P$2:P$10,MATCH(LARGE('V_RUT'!$AE$2:$AE$10,ROW()-3),'V_RUT'!$AE$2:$AE$10,0))</f>
        <v/>
      </c>
      <c r="R8" s="5">
        <f>INDEX('V_RUT'!Q$2:Q$10,MATCH(LARGE('V_RUT'!$AE$2:$AE$10,ROW()-3),'V_RUT'!$AE$2:$AE$10,0))</f>
        <v/>
      </c>
      <c r="S8" s="8">
        <f>INDEX('V_RUT'!R$2:R$10,MATCH(LARGE('V_RUT'!$AE$2:$AE$10,ROW()-3),'V_RUT'!$AE$2:$AE$10,0))</f>
        <v/>
      </c>
      <c r="T8" s="8">
        <f>INDEX('V_RUT'!S$2:S$10,MATCH(LARGE('V_RUT'!$AE$2:$AE$10,ROW()-3),'V_RUT'!$AE$2:$AE$10,0))</f>
        <v/>
      </c>
      <c r="U8" s="8">
        <f>INDEX('V_RUT'!T$2:T$10,MATCH(LARGE('V_RUT'!$AE$2:$AE$10,ROW()-3),'V_RUT'!$AE$2:$AE$10,0))</f>
        <v/>
      </c>
      <c r="V8" s="8">
        <f>INDEX('V_RUT'!U$2:U$10,MATCH(LARGE('V_RUT'!$AE$2:$AE$10,ROW()-3),'V_RUT'!$AE$2:$AE$10,0))</f>
        <v/>
      </c>
      <c r="W8" s="8">
        <f>INDEX('V_RUT'!V$2:V$10,MATCH(LARGE('V_RUT'!$AE$2:$AE$10,ROW()-3),'V_RUT'!$AE$2:$AE$10,0))</f>
        <v/>
      </c>
      <c r="X8" s="8">
        <f>INDEX('V_RUT'!W$2:W$10,MATCH(LARGE('V_RUT'!$AE$2:$AE$10,ROW()-3),'V_RUT'!$AE$2:$AE$10,0))</f>
        <v/>
      </c>
      <c r="Y8" s="8">
        <f>INDEX('V_RUT'!X$2:X$10,MATCH(LARGE('V_RUT'!$AE$2:$AE$10,ROW()-3),'V_RUT'!$AE$2:$AE$10,0))</f>
        <v/>
      </c>
      <c r="Z8" s="8">
        <f>INDEX('V_RUT'!Y$2:Y$10,MATCH(LARGE('V_RUT'!$AE$2:$AE$10,ROW()-3),'V_RUT'!$AE$2:$AE$10,0))</f>
        <v/>
      </c>
      <c r="AA8" s="8">
        <f>INDEX('V_RUT'!Z$2:Z$10,MATCH(LARGE('V_RUT'!$AE$2:$AE$10,ROW()-3),'V_RUT'!$AE$2:$AE$10,0))</f>
        <v/>
      </c>
      <c r="AB8" s="8">
        <f>INDEX('V_RUT'!AA$2:AA$10,MATCH(LARGE('V_RUT'!$AE$2:$AE$10,ROW()-3),'V_RUT'!$AE$2:$AE$10,0))</f>
        <v/>
      </c>
      <c r="AC8" s="8">
        <f>INDEX('V_RUT'!AB$2:AB$10,MATCH(LARGE('V_RUT'!$AE$2:$AE$10,ROW()-3),'V_RUT'!$AE$2:$AE$10,0))</f>
        <v/>
      </c>
      <c r="AD8" s="8">
        <f>INDEX('V_RUT'!AC$2:AC$10,MATCH(LARGE('V_RUT'!$AE$2:$AE$10,ROW()-3),'V_RUT'!$AE$2:$AE$10,0))</f>
        <v/>
      </c>
    </row>
    <row r="9">
      <c r="A9" t="n">
        <v>6</v>
      </c>
      <c r="B9" s="5">
        <f>INDEX('V_RUT'!A$2:A$10,MATCH(LARGE('V_RUT'!$AE$2:$AE$10,ROW()-3),'V_RUT'!$AE$2:$AE$10,0))</f>
        <v/>
      </c>
      <c r="C9" s="5">
        <f>INDEX('V_RUT'!B$2:B$10,MATCH(LARGE('V_RUT'!$AE$2:$AE$10,ROW()-3),'V_RUT'!$AE$2:$AE$10,0))</f>
        <v/>
      </c>
      <c r="D9" s="5">
        <f>INDEX('V_RUT'!C$2:C$10,MATCH(LARGE('V_RUT'!$AE$2:$AE$10,ROW()-3),'V_RUT'!$AE$2:$AE$10,0))</f>
        <v/>
      </c>
      <c r="E9" s="8">
        <f>INDEX('V_RUT'!D$2:D$10,MATCH(LARGE('V_RUT'!$AE$2:$AE$10,ROW()-3),'V_RUT'!$AE$2:$AE$10,0))</f>
        <v/>
      </c>
      <c r="F9" s="9">
        <f>INDEX('V_RUT'!E$2:E$10,MATCH(LARGE('V_RUT'!$AE$2:$AE$10,ROW()-3),'V_RUT'!$AE$2:$AE$10,0))</f>
        <v/>
      </c>
      <c r="G9" s="9">
        <f>INDEX('V_RUT'!F$2:F$10,MATCH(LARGE('V_RUT'!$AE$2:$AE$10,ROW()-3),'V_RUT'!$AE$2:$AE$10,0))</f>
        <v/>
      </c>
      <c r="H9" s="9">
        <f>INDEX('V_RUT'!G$2:G$10,MATCH(LARGE('V_RUT'!$AE$2:$AE$10,ROW()-3),'V_RUT'!$AE$2:$AE$10,0))</f>
        <v/>
      </c>
      <c r="I9" s="9">
        <f>INDEX('V_RUT'!H$2:H$10,MATCH(LARGE('V_RUT'!$AE$2:$AE$10,ROW()-3),'V_RUT'!$AE$2:$AE$10,0))</f>
        <v/>
      </c>
      <c r="J9" s="9">
        <f>INDEX('V_RUT'!I$2:I$10,MATCH(LARGE('V_RUT'!$AE$2:$AE$10,ROW()-3),'V_RUT'!$AE$2:$AE$10,0))</f>
        <v/>
      </c>
      <c r="K9" s="10">
        <f>INDEX('V_RUT'!J$2:J$10,MATCH(LARGE('V_RUT'!$AE$2:$AE$10,ROW()-3),'V_RUT'!$AE$2:$AE$10,0))</f>
        <v/>
      </c>
      <c r="L9" s="10">
        <f>INDEX('V_RUT'!K$2:K$10,MATCH(LARGE('V_RUT'!$AE$2:$AE$10,ROW()-3),'V_RUT'!$AE$2:$AE$10,0))</f>
        <v/>
      </c>
      <c r="M9" s="8">
        <f>INDEX('V_RUT'!L$2:L$10,MATCH(LARGE('V_RUT'!$AE$2:$AE$10,ROW()-3),'V_RUT'!$AE$2:$AE$10,0))</f>
        <v/>
      </c>
      <c r="N9" s="11">
        <f>INDEX('V_RUT'!M$2:M$10,MATCH(LARGE('V_RUT'!$AE$2:$AE$10,ROW()-3),'V_RUT'!$AE$2:$AE$10,0))</f>
        <v/>
      </c>
      <c r="O9" s="11">
        <f>INDEX('V_RUT'!N$2:N$10,MATCH(LARGE('V_RUT'!$AE$2:$AE$10,ROW()-3),'V_RUT'!$AE$2:$AE$10,0))</f>
        <v/>
      </c>
      <c r="P9" s="8">
        <f>INDEX('V_RUT'!O$2:O$10,MATCH(LARGE('V_RUT'!$AE$2:$AE$10,ROW()-3),'V_RUT'!$AE$2:$AE$10,0))</f>
        <v/>
      </c>
      <c r="Q9" s="9">
        <f>INDEX('V_RUT'!P$2:P$10,MATCH(LARGE('V_RUT'!$AE$2:$AE$10,ROW()-3),'V_RUT'!$AE$2:$AE$10,0))</f>
        <v/>
      </c>
      <c r="R9" s="5">
        <f>INDEX('V_RUT'!Q$2:Q$10,MATCH(LARGE('V_RUT'!$AE$2:$AE$10,ROW()-3),'V_RUT'!$AE$2:$AE$10,0))</f>
        <v/>
      </c>
      <c r="S9" s="8">
        <f>INDEX('V_RUT'!R$2:R$10,MATCH(LARGE('V_RUT'!$AE$2:$AE$10,ROW()-3),'V_RUT'!$AE$2:$AE$10,0))</f>
        <v/>
      </c>
      <c r="T9" s="8">
        <f>INDEX('V_RUT'!S$2:S$10,MATCH(LARGE('V_RUT'!$AE$2:$AE$10,ROW()-3),'V_RUT'!$AE$2:$AE$10,0))</f>
        <v/>
      </c>
      <c r="U9" s="8">
        <f>INDEX('V_RUT'!T$2:T$10,MATCH(LARGE('V_RUT'!$AE$2:$AE$10,ROW()-3),'V_RUT'!$AE$2:$AE$10,0))</f>
        <v/>
      </c>
      <c r="V9" s="8">
        <f>INDEX('V_RUT'!U$2:U$10,MATCH(LARGE('V_RUT'!$AE$2:$AE$10,ROW()-3),'V_RUT'!$AE$2:$AE$10,0))</f>
        <v/>
      </c>
      <c r="W9" s="8">
        <f>INDEX('V_RUT'!V$2:V$10,MATCH(LARGE('V_RUT'!$AE$2:$AE$10,ROW()-3),'V_RUT'!$AE$2:$AE$10,0))</f>
        <v/>
      </c>
      <c r="X9" s="8">
        <f>INDEX('V_RUT'!W$2:W$10,MATCH(LARGE('V_RUT'!$AE$2:$AE$10,ROW()-3),'V_RUT'!$AE$2:$AE$10,0))</f>
        <v/>
      </c>
      <c r="Y9" s="8">
        <f>INDEX('V_RUT'!X$2:X$10,MATCH(LARGE('V_RUT'!$AE$2:$AE$10,ROW()-3),'V_RUT'!$AE$2:$AE$10,0))</f>
        <v/>
      </c>
      <c r="Z9" s="8">
        <f>INDEX('V_RUT'!Y$2:Y$10,MATCH(LARGE('V_RUT'!$AE$2:$AE$10,ROW()-3),'V_RUT'!$AE$2:$AE$10,0))</f>
        <v/>
      </c>
      <c r="AA9" s="8">
        <f>INDEX('V_RUT'!Z$2:Z$10,MATCH(LARGE('V_RUT'!$AE$2:$AE$10,ROW()-3),'V_RUT'!$AE$2:$AE$10,0))</f>
        <v/>
      </c>
      <c r="AB9" s="8">
        <f>INDEX('V_RUT'!AA$2:AA$10,MATCH(LARGE('V_RUT'!$AE$2:$AE$10,ROW()-3),'V_RUT'!$AE$2:$AE$10,0))</f>
        <v/>
      </c>
      <c r="AC9" s="8">
        <f>INDEX('V_RUT'!AB$2:AB$10,MATCH(LARGE('V_RUT'!$AE$2:$AE$10,ROW()-3),'V_RUT'!$AE$2:$AE$10,0))</f>
        <v/>
      </c>
      <c r="AD9" s="8">
        <f>INDEX('V_RUT'!AC$2:AC$10,MATCH(LARGE('V_RUT'!$AE$2:$AE$10,ROW()-3),'V_RUT'!$AE$2:$AE$10,0))</f>
        <v/>
      </c>
    </row>
    <row r="10">
      <c r="A10" t="n">
        <v>7</v>
      </c>
      <c r="B10" s="5">
        <f>INDEX('V_RUT'!A$2:A$10,MATCH(LARGE('V_RUT'!$AE$2:$AE$10,ROW()-3),'V_RUT'!$AE$2:$AE$10,0))</f>
        <v/>
      </c>
      <c r="C10" s="5">
        <f>INDEX('V_RUT'!B$2:B$10,MATCH(LARGE('V_RUT'!$AE$2:$AE$10,ROW()-3),'V_RUT'!$AE$2:$AE$10,0))</f>
        <v/>
      </c>
      <c r="D10" s="5">
        <f>INDEX('V_RUT'!C$2:C$10,MATCH(LARGE('V_RUT'!$AE$2:$AE$10,ROW()-3),'V_RUT'!$AE$2:$AE$10,0))</f>
        <v/>
      </c>
      <c r="E10" s="8">
        <f>INDEX('V_RUT'!D$2:D$10,MATCH(LARGE('V_RUT'!$AE$2:$AE$10,ROW()-3),'V_RUT'!$AE$2:$AE$10,0))</f>
        <v/>
      </c>
      <c r="F10" s="9">
        <f>INDEX('V_RUT'!E$2:E$10,MATCH(LARGE('V_RUT'!$AE$2:$AE$10,ROW()-3),'V_RUT'!$AE$2:$AE$10,0))</f>
        <v/>
      </c>
      <c r="G10" s="9">
        <f>INDEX('V_RUT'!F$2:F$10,MATCH(LARGE('V_RUT'!$AE$2:$AE$10,ROW()-3),'V_RUT'!$AE$2:$AE$10,0))</f>
        <v/>
      </c>
      <c r="H10" s="9">
        <f>INDEX('V_RUT'!G$2:G$10,MATCH(LARGE('V_RUT'!$AE$2:$AE$10,ROW()-3),'V_RUT'!$AE$2:$AE$10,0))</f>
        <v/>
      </c>
      <c r="I10" s="9">
        <f>INDEX('V_RUT'!H$2:H$10,MATCH(LARGE('V_RUT'!$AE$2:$AE$10,ROW()-3),'V_RUT'!$AE$2:$AE$10,0))</f>
        <v/>
      </c>
      <c r="J10" s="9">
        <f>INDEX('V_RUT'!I$2:I$10,MATCH(LARGE('V_RUT'!$AE$2:$AE$10,ROW()-3),'V_RUT'!$AE$2:$AE$10,0))</f>
        <v/>
      </c>
      <c r="K10" s="10">
        <f>INDEX('V_RUT'!J$2:J$10,MATCH(LARGE('V_RUT'!$AE$2:$AE$10,ROW()-3),'V_RUT'!$AE$2:$AE$10,0))</f>
        <v/>
      </c>
      <c r="L10" s="10">
        <f>INDEX('V_RUT'!K$2:K$10,MATCH(LARGE('V_RUT'!$AE$2:$AE$10,ROW()-3),'V_RUT'!$AE$2:$AE$10,0))</f>
        <v/>
      </c>
      <c r="M10" s="8">
        <f>INDEX('V_RUT'!L$2:L$10,MATCH(LARGE('V_RUT'!$AE$2:$AE$10,ROW()-3),'V_RUT'!$AE$2:$AE$10,0))</f>
        <v/>
      </c>
      <c r="N10" s="11">
        <f>INDEX('V_RUT'!M$2:M$10,MATCH(LARGE('V_RUT'!$AE$2:$AE$10,ROW()-3),'V_RUT'!$AE$2:$AE$10,0))</f>
        <v/>
      </c>
      <c r="O10" s="11">
        <f>INDEX('V_RUT'!N$2:N$10,MATCH(LARGE('V_RUT'!$AE$2:$AE$10,ROW()-3),'V_RUT'!$AE$2:$AE$10,0))</f>
        <v/>
      </c>
      <c r="P10" s="8">
        <f>INDEX('V_RUT'!O$2:O$10,MATCH(LARGE('V_RUT'!$AE$2:$AE$10,ROW()-3),'V_RUT'!$AE$2:$AE$10,0))</f>
        <v/>
      </c>
      <c r="Q10" s="9">
        <f>INDEX('V_RUT'!P$2:P$10,MATCH(LARGE('V_RUT'!$AE$2:$AE$10,ROW()-3),'V_RUT'!$AE$2:$AE$10,0))</f>
        <v/>
      </c>
      <c r="R10" s="5">
        <f>INDEX('V_RUT'!Q$2:Q$10,MATCH(LARGE('V_RUT'!$AE$2:$AE$10,ROW()-3),'V_RUT'!$AE$2:$AE$10,0))</f>
        <v/>
      </c>
      <c r="S10" s="8">
        <f>INDEX('V_RUT'!R$2:R$10,MATCH(LARGE('V_RUT'!$AE$2:$AE$10,ROW()-3),'V_RUT'!$AE$2:$AE$10,0))</f>
        <v/>
      </c>
      <c r="T10" s="8">
        <f>INDEX('V_RUT'!S$2:S$10,MATCH(LARGE('V_RUT'!$AE$2:$AE$10,ROW()-3),'V_RUT'!$AE$2:$AE$10,0))</f>
        <v/>
      </c>
      <c r="U10" s="8">
        <f>INDEX('V_RUT'!T$2:T$10,MATCH(LARGE('V_RUT'!$AE$2:$AE$10,ROW()-3),'V_RUT'!$AE$2:$AE$10,0))</f>
        <v/>
      </c>
      <c r="V10" s="8">
        <f>INDEX('V_RUT'!U$2:U$10,MATCH(LARGE('V_RUT'!$AE$2:$AE$10,ROW()-3),'V_RUT'!$AE$2:$AE$10,0))</f>
        <v/>
      </c>
      <c r="W10" s="8">
        <f>INDEX('V_RUT'!V$2:V$10,MATCH(LARGE('V_RUT'!$AE$2:$AE$10,ROW()-3),'V_RUT'!$AE$2:$AE$10,0))</f>
        <v/>
      </c>
      <c r="X10" s="8">
        <f>INDEX('V_RUT'!W$2:W$10,MATCH(LARGE('V_RUT'!$AE$2:$AE$10,ROW()-3),'V_RUT'!$AE$2:$AE$10,0))</f>
        <v/>
      </c>
      <c r="Y10" s="8">
        <f>INDEX('V_RUT'!X$2:X$10,MATCH(LARGE('V_RUT'!$AE$2:$AE$10,ROW()-3),'V_RUT'!$AE$2:$AE$10,0))</f>
        <v/>
      </c>
      <c r="Z10" s="8">
        <f>INDEX('V_RUT'!Y$2:Y$10,MATCH(LARGE('V_RUT'!$AE$2:$AE$10,ROW()-3),'V_RUT'!$AE$2:$AE$10,0))</f>
        <v/>
      </c>
      <c r="AA10" s="8">
        <f>INDEX('V_RUT'!Z$2:Z$10,MATCH(LARGE('V_RUT'!$AE$2:$AE$10,ROW()-3),'V_RUT'!$AE$2:$AE$10,0))</f>
        <v/>
      </c>
      <c r="AB10" s="8">
        <f>INDEX('V_RUT'!AA$2:AA$10,MATCH(LARGE('V_RUT'!$AE$2:$AE$10,ROW()-3),'V_RUT'!$AE$2:$AE$10,0))</f>
        <v/>
      </c>
      <c r="AC10" s="8">
        <f>INDEX('V_RUT'!AB$2:AB$10,MATCH(LARGE('V_RUT'!$AE$2:$AE$10,ROW()-3),'V_RUT'!$AE$2:$AE$10,0))</f>
        <v/>
      </c>
      <c r="AD10" s="8">
        <f>INDEX('V_RUT'!AC$2:AC$10,MATCH(LARGE('V_RUT'!$AE$2:$AE$10,ROW()-3),'V_RUT'!$AE$2:$AE$10,0))</f>
        <v/>
      </c>
    </row>
    <row r="11">
      <c r="A11" t="n">
        <v>8</v>
      </c>
      <c r="B11" s="5">
        <f>INDEX('V_RUT'!A$2:A$10,MATCH(LARGE('V_RUT'!$AE$2:$AE$10,ROW()-3),'V_RUT'!$AE$2:$AE$10,0))</f>
        <v/>
      </c>
      <c r="C11" s="5">
        <f>INDEX('V_RUT'!B$2:B$10,MATCH(LARGE('V_RUT'!$AE$2:$AE$10,ROW()-3),'V_RUT'!$AE$2:$AE$10,0))</f>
        <v/>
      </c>
      <c r="D11" s="5">
        <f>INDEX('V_RUT'!C$2:C$10,MATCH(LARGE('V_RUT'!$AE$2:$AE$10,ROW()-3),'V_RUT'!$AE$2:$AE$10,0))</f>
        <v/>
      </c>
      <c r="E11" s="8">
        <f>INDEX('V_RUT'!D$2:D$10,MATCH(LARGE('V_RUT'!$AE$2:$AE$10,ROW()-3),'V_RUT'!$AE$2:$AE$10,0))</f>
        <v/>
      </c>
      <c r="F11" s="9">
        <f>INDEX('V_RUT'!E$2:E$10,MATCH(LARGE('V_RUT'!$AE$2:$AE$10,ROW()-3),'V_RUT'!$AE$2:$AE$10,0))</f>
        <v/>
      </c>
      <c r="G11" s="9">
        <f>INDEX('V_RUT'!F$2:F$10,MATCH(LARGE('V_RUT'!$AE$2:$AE$10,ROW()-3),'V_RUT'!$AE$2:$AE$10,0))</f>
        <v/>
      </c>
      <c r="H11" s="9">
        <f>INDEX('V_RUT'!G$2:G$10,MATCH(LARGE('V_RUT'!$AE$2:$AE$10,ROW()-3),'V_RUT'!$AE$2:$AE$10,0))</f>
        <v/>
      </c>
      <c r="I11" s="9">
        <f>INDEX('V_RUT'!H$2:H$10,MATCH(LARGE('V_RUT'!$AE$2:$AE$10,ROW()-3),'V_RUT'!$AE$2:$AE$10,0))</f>
        <v/>
      </c>
      <c r="J11" s="9">
        <f>INDEX('V_RUT'!I$2:I$10,MATCH(LARGE('V_RUT'!$AE$2:$AE$10,ROW()-3),'V_RUT'!$AE$2:$AE$10,0))</f>
        <v/>
      </c>
      <c r="K11" s="10">
        <f>INDEX('V_RUT'!J$2:J$10,MATCH(LARGE('V_RUT'!$AE$2:$AE$10,ROW()-3),'V_RUT'!$AE$2:$AE$10,0))</f>
        <v/>
      </c>
      <c r="L11" s="10">
        <f>INDEX('V_RUT'!K$2:K$10,MATCH(LARGE('V_RUT'!$AE$2:$AE$10,ROW()-3),'V_RUT'!$AE$2:$AE$10,0))</f>
        <v/>
      </c>
      <c r="M11" s="8">
        <f>INDEX('V_RUT'!L$2:L$10,MATCH(LARGE('V_RUT'!$AE$2:$AE$10,ROW()-3),'V_RUT'!$AE$2:$AE$10,0))</f>
        <v/>
      </c>
      <c r="N11" s="11">
        <f>INDEX('V_RUT'!M$2:M$10,MATCH(LARGE('V_RUT'!$AE$2:$AE$10,ROW()-3),'V_RUT'!$AE$2:$AE$10,0))</f>
        <v/>
      </c>
      <c r="O11" s="11">
        <f>INDEX('V_RUT'!N$2:N$10,MATCH(LARGE('V_RUT'!$AE$2:$AE$10,ROW()-3),'V_RUT'!$AE$2:$AE$10,0))</f>
        <v/>
      </c>
      <c r="P11" s="8">
        <f>INDEX('V_RUT'!O$2:O$10,MATCH(LARGE('V_RUT'!$AE$2:$AE$10,ROW()-3),'V_RUT'!$AE$2:$AE$10,0))</f>
        <v/>
      </c>
      <c r="Q11" s="9">
        <f>INDEX('V_RUT'!P$2:P$10,MATCH(LARGE('V_RUT'!$AE$2:$AE$10,ROW()-3),'V_RUT'!$AE$2:$AE$10,0))</f>
        <v/>
      </c>
      <c r="R11" s="5">
        <f>INDEX('V_RUT'!Q$2:Q$10,MATCH(LARGE('V_RUT'!$AE$2:$AE$10,ROW()-3),'V_RUT'!$AE$2:$AE$10,0))</f>
        <v/>
      </c>
      <c r="S11" s="8">
        <f>INDEX('V_RUT'!R$2:R$10,MATCH(LARGE('V_RUT'!$AE$2:$AE$10,ROW()-3),'V_RUT'!$AE$2:$AE$10,0))</f>
        <v/>
      </c>
      <c r="T11" s="8">
        <f>INDEX('V_RUT'!S$2:S$10,MATCH(LARGE('V_RUT'!$AE$2:$AE$10,ROW()-3),'V_RUT'!$AE$2:$AE$10,0))</f>
        <v/>
      </c>
      <c r="U11" s="8">
        <f>INDEX('V_RUT'!T$2:T$10,MATCH(LARGE('V_RUT'!$AE$2:$AE$10,ROW()-3),'V_RUT'!$AE$2:$AE$10,0))</f>
        <v/>
      </c>
      <c r="V11" s="8">
        <f>INDEX('V_RUT'!U$2:U$10,MATCH(LARGE('V_RUT'!$AE$2:$AE$10,ROW()-3),'V_RUT'!$AE$2:$AE$10,0))</f>
        <v/>
      </c>
      <c r="W11" s="8">
        <f>INDEX('V_RUT'!V$2:V$10,MATCH(LARGE('V_RUT'!$AE$2:$AE$10,ROW()-3),'V_RUT'!$AE$2:$AE$10,0))</f>
        <v/>
      </c>
      <c r="X11" s="8">
        <f>INDEX('V_RUT'!W$2:W$10,MATCH(LARGE('V_RUT'!$AE$2:$AE$10,ROW()-3),'V_RUT'!$AE$2:$AE$10,0))</f>
        <v/>
      </c>
      <c r="Y11" s="8">
        <f>INDEX('V_RUT'!X$2:X$10,MATCH(LARGE('V_RUT'!$AE$2:$AE$10,ROW()-3),'V_RUT'!$AE$2:$AE$10,0))</f>
        <v/>
      </c>
      <c r="Z11" s="8">
        <f>INDEX('V_RUT'!Y$2:Y$10,MATCH(LARGE('V_RUT'!$AE$2:$AE$10,ROW()-3),'V_RUT'!$AE$2:$AE$10,0))</f>
        <v/>
      </c>
      <c r="AA11" s="8">
        <f>INDEX('V_RUT'!Z$2:Z$10,MATCH(LARGE('V_RUT'!$AE$2:$AE$10,ROW()-3),'V_RUT'!$AE$2:$AE$10,0))</f>
        <v/>
      </c>
      <c r="AB11" s="8">
        <f>INDEX('V_RUT'!AA$2:AA$10,MATCH(LARGE('V_RUT'!$AE$2:$AE$10,ROW()-3),'V_RUT'!$AE$2:$AE$10,0))</f>
        <v/>
      </c>
      <c r="AC11" s="8">
        <f>INDEX('V_RUT'!AB$2:AB$10,MATCH(LARGE('V_RUT'!$AE$2:$AE$10,ROW()-3),'V_RUT'!$AE$2:$AE$10,0))</f>
        <v/>
      </c>
      <c r="AD11" s="8">
        <f>INDEX('V_RUT'!AC$2:AC$10,MATCH(LARGE('V_RUT'!$AE$2:$AE$10,ROW()-3),'V_RUT'!$AE$2:$AE$10,0))</f>
        <v/>
      </c>
    </row>
    <row r="12">
      <c r="A12" t="n">
        <v>9</v>
      </c>
      <c r="B12" s="5">
        <f>INDEX('V_RUT'!A$2:A$10,MATCH(LARGE('V_RUT'!$AE$2:$AE$10,ROW()-3),'V_RUT'!$AE$2:$AE$10,0))</f>
        <v/>
      </c>
      <c r="C12" s="5">
        <f>INDEX('V_RUT'!B$2:B$10,MATCH(LARGE('V_RUT'!$AE$2:$AE$10,ROW()-3),'V_RUT'!$AE$2:$AE$10,0))</f>
        <v/>
      </c>
      <c r="D12" s="5">
        <f>INDEX('V_RUT'!C$2:C$10,MATCH(LARGE('V_RUT'!$AE$2:$AE$10,ROW()-3),'V_RUT'!$AE$2:$AE$10,0))</f>
        <v/>
      </c>
      <c r="E12" s="8">
        <f>INDEX('V_RUT'!D$2:D$10,MATCH(LARGE('V_RUT'!$AE$2:$AE$10,ROW()-3),'V_RUT'!$AE$2:$AE$10,0))</f>
        <v/>
      </c>
      <c r="F12" s="9">
        <f>INDEX('V_RUT'!E$2:E$10,MATCH(LARGE('V_RUT'!$AE$2:$AE$10,ROW()-3),'V_RUT'!$AE$2:$AE$10,0))</f>
        <v/>
      </c>
      <c r="G12" s="9">
        <f>INDEX('V_RUT'!F$2:F$10,MATCH(LARGE('V_RUT'!$AE$2:$AE$10,ROW()-3),'V_RUT'!$AE$2:$AE$10,0))</f>
        <v/>
      </c>
      <c r="H12" s="9">
        <f>INDEX('V_RUT'!G$2:G$10,MATCH(LARGE('V_RUT'!$AE$2:$AE$10,ROW()-3),'V_RUT'!$AE$2:$AE$10,0))</f>
        <v/>
      </c>
      <c r="I12" s="9">
        <f>INDEX('V_RUT'!H$2:H$10,MATCH(LARGE('V_RUT'!$AE$2:$AE$10,ROW()-3),'V_RUT'!$AE$2:$AE$10,0))</f>
        <v/>
      </c>
      <c r="J12" s="9">
        <f>INDEX('V_RUT'!I$2:I$10,MATCH(LARGE('V_RUT'!$AE$2:$AE$10,ROW()-3),'V_RUT'!$AE$2:$AE$10,0))</f>
        <v/>
      </c>
      <c r="K12" s="10">
        <f>INDEX('V_RUT'!J$2:J$10,MATCH(LARGE('V_RUT'!$AE$2:$AE$10,ROW()-3),'V_RUT'!$AE$2:$AE$10,0))</f>
        <v/>
      </c>
      <c r="L12" s="10">
        <f>INDEX('V_RUT'!K$2:K$10,MATCH(LARGE('V_RUT'!$AE$2:$AE$10,ROW()-3),'V_RUT'!$AE$2:$AE$10,0))</f>
        <v/>
      </c>
      <c r="M12" s="8">
        <f>INDEX('V_RUT'!L$2:L$10,MATCH(LARGE('V_RUT'!$AE$2:$AE$10,ROW()-3),'V_RUT'!$AE$2:$AE$10,0))</f>
        <v/>
      </c>
      <c r="N12" s="11">
        <f>INDEX('V_RUT'!M$2:M$10,MATCH(LARGE('V_RUT'!$AE$2:$AE$10,ROW()-3),'V_RUT'!$AE$2:$AE$10,0))</f>
        <v/>
      </c>
      <c r="O12" s="11">
        <f>INDEX('V_RUT'!N$2:N$10,MATCH(LARGE('V_RUT'!$AE$2:$AE$10,ROW()-3),'V_RUT'!$AE$2:$AE$10,0))</f>
        <v/>
      </c>
      <c r="P12" s="8">
        <f>INDEX('V_RUT'!O$2:O$10,MATCH(LARGE('V_RUT'!$AE$2:$AE$10,ROW()-3),'V_RUT'!$AE$2:$AE$10,0))</f>
        <v/>
      </c>
      <c r="Q12" s="9">
        <f>INDEX('V_RUT'!P$2:P$10,MATCH(LARGE('V_RUT'!$AE$2:$AE$10,ROW()-3),'V_RUT'!$AE$2:$AE$10,0))</f>
        <v/>
      </c>
      <c r="R12" s="5">
        <f>INDEX('V_RUT'!Q$2:Q$10,MATCH(LARGE('V_RUT'!$AE$2:$AE$10,ROW()-3),'V_RUT'!$AE$2:$AE$10,0))</f>
        <v/>
      </c>
      <c r="S12" s="8">
        <f>INDEX('V_RUT'!R$2:R$10,MATCH(LARGE('V_RUT'!$AE$2:$AE$10,ROW()-3),'V_RUT'!$AE$2:$AE$10,0))</f>
        <v/>
      </c>
      <c r="T12" s="8">
        <f>INDEX('V_RUT'!S$2:S$10,MATCH(LARGE('V_RUT'!$AE$2:$AE$10,ROW()-3),'V_RUT'!$AE$2:$AE$10,0))</f>
        <v/>
      </c>
      <c r="U12" s="8">
        <f>INDEX('V_RUT'!T$2:T$10,MATCH(LARGE('V_RUT'!$AE$2:$AE$10,ROW()-3),'V_RUT'!$AE$2:$AE$10,0))</f>
        <v/>
      </c>
      <c r="V12" s="8">
        <f>INDEX('V_RUT'!U$2:U$10,MATCH(LARGE('V_RUT'!$AE$2:$AE$10,ROW()-3),'V_RUT'!$AE$2:$AE$10,0))</f>
        <v/>
      </c>
      <c r="W12" s="8">
        <f>INDEX('V_RUT'!V$2:V$10,MATCH(LARGE('V_RUT'!$AE$2:$AE$10,ROW()-3),'V_RUT'!$AE$2:$AE$10,0))</f>
        <v/>
      </c>
      <c r="X12" s="8">
        <f>INDEX('V_RUT'!W$2:W$10,MATCH(LARGE('V_RUT'!$AE$2:$AE$10,ROW()-3),'V_RUT'!$AE$2:$AE$10,0))</f>
        <v/>
      </c>
      <c r="Y12" s="8">
        <f>INDEX('V_RUT'!X$2:X$10,MATCH(LARGE('V_RUT'!$AE$2:$AE$10,ROW()-3),'V_RUT'!$AE$2:$AE$10,0))</f>
        <v/>
      </c>
      <c r="Z12" s="8">
        <f>INDEX('V_RUT'!Y$2:Y$10,MATCH(LARGE('V_RUT'!$AE$2:$AE$10,ROW()-3),'V_RUT'!$AE$2:$AE$10,0))</f>
        <v/>
      </c>
      <c r="AA12" s="8">
        <f>INDEX('V_RUT'!Z$2:Z$10,MATCH(LARGE('V_RUT'!$AE$2:$AE$10,ROW()-3),'V_RUT'!$AE$2:$AE$10,0))</f>
        <v/>
      </c>
      <c r="AB12" s="8">
        <f>INDEX('V_RUT'!AA$2:AA$10,MATCH(LARGE('V_RUT'!$AE$2:$AE$10,ROW()-3),'V_RUT'!$AE$2:$AE$10,0))</f>
        <v/>
      </c>
      <c r="AC12" s="8">
        <f>INDEX('V_RUT'!AB$2:AB$10,MATCH(LARGE('V_RUT'!$AE$2:$AE$10,ROW()-3),'V_RUT'!$AE$2:$AE$10,0))</f>
        <v/>
      </c>
      <c r="AD12" s="8">
        <f>INDEX('V_RUT'!AC$2:AC$10,MATCH(LARGE('V_RUT'!$AE$2:$AE$10,ROW()-3),'V_RUT'!$AE$2:$AE$10,0))</f>
        <v/>
      </c>
    </row>
  </sheetData>
  <conditionalFormatting sqref="B4:AD12">
    <cfRule type="expression" priority="1" dxfId="0">
      <formula>OR($B4="BAI",$B4="BHI",$B4="BIS",$B4="BSD",$B4="BTE",$B4="BTK",$B4="BV1",$B4="BVD",$B4="BVF",$B4="BVV",$B4="BVZ",$B4="MTD",$B4="RUT",$B4="SPR")</formula>
    </cfRule>
  </conditionalFormatting>
  <dataValidations count="1">
    <dataValidation sqref="E2" showDropDown="0" showInputMessage="0" showErrorMessage="0" allowBlank="0" type="list">
      <formula1>"Günlük%,Haftalık,Aylık,Yılbaşına Göre,Yıllık"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 Kodu</t>
        </is>
      </c>
      <c r="B1" t="inlineStr">
        <is>
          <t>Oyun Fonları</t>
        </is>
      </c>
      <c r="C1" t="inlineStr">
        <is>
          <t>Yönetici</t>
        </is>
      </c>
      <c r="D1" t="inlineStr">
        <is>
          <t>FYÜ%</t>
        </is>
      </c>
      <c r="E1" t="inlineStr">
        <is>
          <t>Günlük%</t>
        </is>
      </c>
      <c r="F1" t="inlineStr">
        <is>
          <t>Haftalık</t>
        </is>
      </c>
      <c r="G1" t="inlineStr">
        <is>
          <t>Aylık</t>
        </is>
      </c>
      <c r="H1" t="inlineStr">
        <is>
          <t>Yılbaşına Göre</t>
        </is>
      </c>
      <c r="I1" t="inlineStr">
        <is>
          <t>Yıllık</t>
        </is>
      </c>
      <c r="J1" t="inlineStr">
        <is>
          <t>Yatırımcı Sayısı T-30</t>
        </is>
      </c>
      <c r="K1" t="inlineStr">
        <is>
          <t>Yatırımcı Sayısı T-1</t>
        </is>
      </c>
      <c r="L1" t="inlineStr">
        <is>
          <t>YS Değişim</t>
        </is>
      </c>
      <c r="M1" t="inlineStr">
        <is>
          <t>Önceki Ay FTD</t>
        </is>
      </c>
      <c r="N1" t="inlineStr">
        <is>
          <t>T-1 FTD</t>
        </is>
      </c>
      <c r="O1" t="inlineStr">
        <is>
          <t>FTD Değişim</t>
        </is>
      </c>
      <c r="P1" t="inlineStr">
        <is>
          <t>Standart Sapma (Aylık)</t>
        </is>
      </c>
      <c r="Q1" t="inlineStr">
        <is>
          <t>TEFAS Durumu</t>
        </is>
      </c>
      <c r="R1" t="inlineStr">
        <is>
          <t>Yabancı Hisse Oranı</t>
        </is>
      </c>
      <c r="S1" t="inlineStr">
        <is>
          <t>Yabancı Borsa Yatırım Fonları</t>
        </is>
      </c>
      <c r="T1" t="inlineStr">
        <is>
          <t>Mevduat (TL)</t>
        </is>
      </c>
      <c r="U1" t="inlineStr">
        <is>
          <t>Vadeli İşlemler Nakit Teminatları</t>
        </is>
      </c>
      <c r="V1" t="inlineStr">
        <is>
          <t>Ters Repo Oranı</t>
        </is>
      </c>
      <c r="W1" t="inlineStr">
        <is>
          <t>Hisse Oranı</t>
        </is>
      </c>
      <c r="X1" t="inlineStr">
        <is>
          <t>Para Piyasaları Oranı</t>
        </is>
      </c>
      <c r="Y1" t="inlineStr">
        <is>
          <t>Yatırım Fonları Katılma Payları</t>
        </is>
      </c>
      <c r="Z1" t="inlineStr">
        <is>
          <t>Özel Tahvil/Bono Oranı</t>
        </is>
      </c>
      <c r="AA1" t="inlineStr">
        <is>
          <t>Finansman Bonosu Oranı</t>
        </is>
      </c>
      <c r="AB1" t="inlineStr">
        <is>
          <t>Diğer Oran</t>
        </is>
      </c>
      <c r="AC1" t="inlineStr">
        <is>
          <t>Toplam</t>
        </is>
      </c>
    </row>
    <row r="2">
      <c r="A2" t="inlineStr">
        <is>
          <t>IJB</t>
        </is>
      </c>
      <c r="B2" t="inlineStr">
        <is>
          <t>İŞ Portföy Dijital Oyun Sektörü Karma Fon</t>
        </is>
      </c>
      <c r="C2" t="inlineStr">
        <is>
          <t>İŞ Portföy</t>
        </is>
      </c>
      <c r="D2" t="n">
        <v>0.0275</v>
      </c>
      <c r="E2" t="n">
        <v>0.9029737815348771</v>
      </c>
      <c r="F2" t="n">
        <v>0.4092836073265049</v>
      </c>
      <c r="G2" t="n">
        <v>3.660555045758618</v>
      </c>
      <c r="H2" t="n">
        <v>3.341222738140237</v>
      </c>
      <c r="I2" t="n">
        <v>12.02958682262383</v>
      </c>
      <c r="J2" t="n">
        <v>6954</v>
      </c>
      <c r="K2" t="n">
        <v>6710</v>
      </c>
      <c r="L2" t="n">
        <v>-0.03508771929824561</v>
      </c>
      <c r="M2" t="n">
        <v>183929926.66</v>
      </c>
      <c r="N2" t="n">
        <v>181220269.96</v>
      </c>
      <c r="O2" t="n">
        <v>-0.01473200554800891</v>
      </c>
      <c r="P2" t="n">
        <v>0.8345198947445435</v>
      </c>
      <c r="Q2" t="inlineStr">
        <is>
          <t>Görüyor</t>
        </is>
      </c>
      <c r="R2" t="n">
        <v>0.6768000000000001</v>
      </c>
      <c r="S2" t="n">
        <v>0.0034</v>
      </c>
      <c r="T2" t="n">
        <v>0</v>
      </c>
      <c r="U2" t="n">
        <v>0.0029</v>
      </c>
      <c r="V2" t="n">
        <v>0.0005</v>
      </c>
      <c r="W2" t="n">
        <v>0.0859</v>
      </c>
      <c r="X2" t="n">
        <v>0</v>
      </c>
      <c r="Y2" t="n">
        <v>0.0069</v>
      </c>
      <c r="Z2" t="n">
        <v>0.0964</v>
      </c>
      <c r="AA2" t="n">
        <v>0.1272</v>
      </c>
      <c r="AB2" t="n">
        <v>0</v>
      </c>
      <c r="AC2" t="n">
        <v>1</v>
      </c>
      <c r="AE2">
        <f>IF(ISNUMBER(INDEX($A$2:$AC$3,1,MATCH('Oyun'!$E$2,$A$1:$AC$1,0))),INDEX($A$2:$AC$3,1,MATCH('Oyun'!$E$2,$A$1:$AC$1,0)),-1E+9)-ROW()/1E+7</f>
        <v/>
      </c>
    </row>
    <row r="3">
      <c r="A3" t="inlineStr">
        <is>
          <t>BTE</t>
        </is>
      </c>
      <c r="B3" t="inlineStr">
        <is>
          <t>BV Portföy Oyun VE Teknoloji Değişken Fon</t>
        </is>
      </c>
      <c r="C3" t="inlineStr">
        <is>
          <t>BV Portföy</t>
        </is>
      </c>
      <c r="D3" t="n">
        <v>0.025</v>
      </c>
      <c r="E3" t="n">
        <v>-0.09366892485584977</v>
      </c>
      <c r="F3" t="n">
        <v>-1.584668589525728</v>
      </c>
      <c r="G3" t="n">
        <v>0.3348867673777622</v>
      </c>
      <c r="H3" t="n">
        <v>23.6104785533322</v>
      </c>
      <c r="I3" t="n">
        <v>46.94403982848498</v>
      </c>
      <c r="J3" t="n">
        <v>986</v>
      </c>
      <c r="K3" t="n">
        <v>980</v>
      </c>
      <c r="L3" t="n">
        <v>-0.006085192697768749</v>
      </c>
      <c r="M3" t="n">
        <v>248696957.21</v>
      </c>
      <c r="N3" t="n">
        <v>254083387.29</v>
      </c>
      <c r="O3" t="n">
        <v>0.02165860869560898</v>
      </c>
      <c r="P3" t="n">
        <v>1.068602816597896</v>
      </c>
      <c r="Q3" t="inlineStr">
        <is>
          <t>Görüyor</t>
        </is>
      </c>
      <c r="R3" t="n">
        <v>0.6999</v>
      </c>
      <c r="S3" t="n">
        <v>0</v>
      </c>
      <c r="T3" t="n">
        <v>0</v>
      </c>
      <c r="U3" t="n">
        <v>0</v>
      </c>
      <c r="V3" t="n">
        <v>0</v>
      </c>
      <c r="W3" t="n">
        <v>0.1406</v>
      </c>
      <c r="X3" t="n">
        <v>0</v>
      </c>
      <c r="Y3" t="n">
        <v>0.1163</v>
      </c>
      <c r="Z3" t="n">
        <v>0</v>
      </c>
      <c r="AA3" t="n">
        <v>0</v>
      </c>
      <c r="AB3" t="n">
        <v>0</v>
      </c>
      <c r="AC3" t="n">
        <v>0.9568</v>
      </c>
      <c r="AE3">
        <f>IF(ISNUMBER(INDEX($A$2:$AC$3,2,MATCH('Oyun'!$E$2,$A$1:$AC$1,0))),INDEX($A$2:$AC$3,2,MATCH('Oyun'!$E$2,$A$1:$AC$1,0)),-1E+9)-ROW()/1E+7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D5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2" max="2"/>
    <col width="68" customWidth="1" min="3" max="3"/>
    <col width="2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>
      <c r="F1" s="6" t="n">
        <v>46219</v>
      </c>
      <c r="G1" s="6" t="n">
        <v>46213</v>
      </c>
      <c r="H1" s="6" t="n">
        <v>46190</v>
      </c>
      <c r="I1" s="6" t="n">
        <v>46022</v>
      </c>
      <c r="J1" s="6" t="n">
        <v>45855</v>
      </c>
    </row>
    <row r="2">
      <c r="B2" s="3" t="inlineStr">
        <is>
          <t>T-1: 17.07.2026</t>
        </is>
      </c>
      <c r="D2" s="7" t="inlineStr">
        <is>
          <t>Sırala:</t>
        </is>
      </c>
      <c r="E2" s="2" t="inlineStr">
        <is>
          <t>Günlük%</t>
        </is>
      </c>
    </row>
    <row r="3">
      <c r="B3" s="4" t="inlineStr">
        <is>
          <t>Fon Kodu</t>
        </is>
      </c>
      <c r="C3" s="4" t="inlineStr">
        <is>
          <t>Oyun Fonları</t>
        </is>
      </c>
      <c r="D3" s="4" t="inlineStr">
        <is>
          <t>Yönetici</t>
        </is>
      </c>
      <c r="E3" s="4" t="inlineStr">
        <is>
          <t>FYÜ%</t>
        </is>
      </c>
      <c r="F3" s="4" t="inlineStr">
        <is>
          <t>Günlük%</t>
        </is>
      </c>
      <c r="G3" s="4" t="inlineStr">
        <is>
          <t>Haftalık</t>
        </is>
      </c>
      <c r="H3" s="4" t="inlineStr">
        <is>
          <t>Aylık</t>
        </is>
      </c>
      <c r="I3" s="4" t="inlineStr">
        <is>
          <t>Yılbaşına Göre</t>
        </is>
      </c>
      <c r="J3" s="4" t="inlineStr">
        <is>
          <t>Yıllık</t>
        </is>
      </c>
      <c r="K3" s="4" t="inlineStr">
        <is>
          <t>Yatırımcı Sayısı T-30</t>
        </is>
      </c>
      <c r="L3" s="4" t="inlineStr">
        <is>
          <t>Yatırımcı Sayısı T-1</t>
        </is>
      </c>
      <c r="M3" s="4" t="inlineStr">
        <is>
          <t>YS Değişim</t>
        </is>
      </c>
      <c r="N3" s="4" t="inlineStr">
        <is>
          <t>Önceki Ay FTD</t>
        </is>
      </c>
      <c r="O3" s="4" t="inlineStr">
        <is>
          <t>T-1 FTD</t>
        </is>
      </c>
      <c r="P3" s="4" t="inlineStr">
        <is>
          <t>FTD Değişim</t>
        </is>
      </c>
      <c r="Q3" s="4" t="inlineStr">
        <is>
          <t>Standart Sapma (Aylık)</t>
        </is>
      </c>
      <c r="R3" s="4" t="inlineStr">
        <is>
          <t>TEFAS Durumu</t>
        </is>
      </c>
      <c r="S3" s="4" t="inlineStr">
        <is>
          <t>Yabancı Hisse Oranı</t>
        </is>
      </c>
      <c r="T3" s="4" t="inlineStr">
        <is>
          <t>Yabancı Borsa Yatırım Fonları</t>
        </is>
      </c>
      <c r="U3" s="4" t="inlineStr">
        <is>
          <t>Mevduat (TL)</t>
        </is>
      </c>
      <c r="V3" s="4" t="inlineStr">
        <is>
          <t>Vadeli İşlemler Nakit Teminatları</t>
        </is>
      </c>
      <c r="W3" s="4" t="inlineStr">
        <is>
          <t>Ters Repo Oranı</t>
        </is>
      </c>
      <c r="X3" s="4" t="inlineStr">
        <is>
          <t>Hisse Oranı</t>
        </is>
      </c>
      <c r="Y3" s="4" t="inlineStr">
        <is>
          <t>Para Piyasaları Oranı</t>
        </is>
      </c>
      <c r="Z3" s="4" t="inlineStr">
        <is>
          <t>Yatırım Fonları Katılma Payları</t>
        </is>
      </c>
      <c r="AA3" s="4" t="inlineStr">
        <is>
          <t>Özel Tahvil/Bono Oranı</t>
        </is>
      </c>
      <c r="AB3" s="4" t="inlineStr">
        <is>
          <t>Finansman Bonosu Oranı</t>
        </is>
      </c>
      <c r="AC3" s="4" t="inlineStr">
        <is>
          <t>Diğer Oran</t>
        </is>
      </c>
      <c r="AD3" s="4" t="inlineStr">
        <is>
          <t>Toplam</t>
        </is>
      </c>
    </row>
    <row r="4">
      <c r="A4" t="n">
        <v>1</v>
      </c>
      <c r="B4" s="5">
        <f>INDEX('V_Oyun'!A$2:A$3,MATCH(LARGE('V_Oyun'!$AE$2:$AE$3,ROW()-3),'V_Oyun'!$AE$2:$AE$3,0))</f>
        <v/>
      </c>
      <c r="C4" s="5">
        <f>INDEX('V_Oyun'!B$2:B$3,MATCH(LARGE('V_Oyun'!$AE$2:$AE$3,ROW()-3),'V_Oyun'!$AE$2:$AE$3,0))</f>
        <v/>
      </c>
      <c r="D4" s="5">
        <f>INDEX('V_Oyun'!C$2:C$3,MATCH(LARGE('V_Oyun'!$AE$2:$AE$3,ROW()-3),'V_Oyun'!$AE$2:$AE$3,0))</f>
        <v/>
      </c>
      <c r="E4" s="8">
        <f>INDEX('V_Oyun'!D$2:D$3,MATCH(LARGE('V_Oyun'!$AE$2:$AE$3,ROW()-3),'V_Oyun'!$AE$2:$AE$3,0))</f>
        <v/>
      </c>
      <c r="F4" s="9">
        <f>INDEX('V_Oyun'!E$2:E$3,MATCH(LARGE('V_Oyun'!$AE$2:$AE$3,ROW()-3),'V_Oyun'!$AE$2:$AE$3,0))</f>
        <v/>
      </c>
      <c r="G4" s="9">
        <f>INDEX('V_Oyun'!F$2:F$3,MATCH(LARGE('V_Oyun'!$AE$2:$AE$3,ROW()-3),'V_Oyun'!$AE$2:$AE$3,0))</f>
        <v/>
      </c>
      <c r="H4" s="9">
        <f>INDEX('V_Oyun'!G$2:G$3,MATCH(LARGE('V_Oyun'!$AE$2:$AE$3,ROW()-3),'V_Oyun'!$AE$2:$AE$3,0))</f>
        <v/>
      </c>
      <c r="I4" s="9">
        <f>INDEX('V_Oyun'!H$2:H$3,MATCH(LARGE('V_Oyun'!$AE$2:$AE$3,ROW()-3),'V_Oyun'!$AE$2:$AE$3,0))</f>
        <v/>
      </c>
      <c r="J4" s="9">
        <f>INDEX('V_Oyun'!I$2:I$3,MATCH(LARGE('V_Oyun'!$AE$2:$AE$3,ROW()-3),'V_Oyun'!$AE$2:$AE$3,0))</f>
        <v/>
      </c>
      <c r="K4" s="10">
        <f>INDEX('V_Oyun'!J$2:J$3,MATCH(LARGE('V_Oyun'!$AE$2:$AE$3,ROW()-3),'V_Oyun'!$AE$2:$AE$3,0))</f>
        <v/>
      </c>
      <c r="L4" s="10">
        <f>INDEX('V_Oyun'!K$2:K$3,MATCH(LARGE('V_Oyun'!$AE$2:$AE$3,ROW()-3),'V_Oyun'!$AE$2:$AE$3,0))</f>
        <v/>
      </c>
      <c r="M4" s="8">
        <f>INDEX('V_Oyun'!L$2:L$3,MATCH(LARGE('V_Oyun'!$AE$2:$AE$3,ROW()-3),'V_Oyun'!$AE$2:$AE$3,0))</f>
        <v/>
      </c>
      <c r="N4" s="11">
        <f>INDEX('V_Oyun'!M$2:M$3,MATCH(LARGE('V_Oyun'!$AE$2:$AE$3,ROW()-3),'V_Oyun'!$AE$2:$AE$3,0))</f>
        <v/>
      </c>
      <c r="O4" s="11">
        <f>INDEX('V_Oyun'!N$2:N$3,MATCH(LARGE('V_Oyun'!$AE$2:$AE$3,ROW()-3),'V_Oyun'!$AE$2:$AE$3,0))</f>
        <v/>
      </c>
      <c r="P4" s="8">
        <f>INDEX('V_Oyun'!O$2:O$3,MATCH(LARGE('V_Oyun'!$AE$2:$AE$3,ROW()-3),'V_Oyun'!$AE$2:$AE$3,0))</f>
        <v/>
      </c>
      <c r="Q4" s="9">
        <f>INDEX('V_Oyun'!P$2:P$3,MATCH(LARGE('V_Oyun'!$AE$2:$AE$3,ROW()-3),'V_Oyun'!$AE$2:$AE$3,0))</f>
        <v/>
      </c>
      <c r="R4" s="5">
        <f>INDEX('V_Oyun'!Q$2:Q$3,MATCH(LARGE('V_Oyun'!$AE$2:$AE$3,ROW()-3),'V_Oyun'!$AE$2:$AE$3,0))</f>
        <v/>
      </c>
      <c r="S4" s="8">
        <f>INDEX('V_Oyun'!R$2:R$3,MATCH(LARGE('V_Oyun'!$AE$2:$AE$3,ROW()-3),'V_Oyun'!$AE$2:$AE$3,0))</f>
        <v/>
      </c>
      <c r="T4" s="8">
        <f>INDEX('V_Oyun'!S$2:S$3,MATCH(LARGE('V_Oyun'!$AE$2:$AE$3,ROW()-3),'V_Oyun'!$AE$2:$AE$3,0))</f>
        <v/>
      </c>
      <c r="U4" s="8">
        <f>INDEX('V_Oyun'!T$2:T$3,MATCH(LARGE('V_Oyun'!$AE$2:$AE$3,ROW()-3),'V_Oyun'!$AE$2:$AE$3,0))</f>
        <v/>
      </c>
      <c r="V4" s="8">
        <f>INDEX('V_Oyun'!U$2:U$3,MATCH(LARGE('V_Oyun'!$AE$2:$AE$3,ROW()-3),'V_Oyun'!$AE$2:$AE$3,0))</f>
        <v/>
      </c>
      <c r="W4" s="8">
        <f>INDEX('V_Oyun'!V$2:V$3,MATCH(LARGE('V_Oyun'!$AE$2:$AE$3,ROW()-3),'V_Oyun'!$AE$2:$AE$3,0))</f>
        <v/>
      </c>
      <c r="X4" s="8">
        <f>INDEX('V_Oyun'!W$2:W$3,MATCH(LARGE('V_Oyun'!$AE$2:$AE$3,ROW()-3),'V_Oyun'!$AE$2:$AE$3,0))</f>
        <v/>
      </c>
      <c r="Y4" s="8">
        <f>INDEX('V_Oyun'!X$2:X$3,MATCH(LARGE('V_Oyun'!$AE$2:$AE$3,ROW()-3),'V_Oyun'!$AE$2:$AE$3,0))</f>
        <v/>
      </c>
      <c r="Z4" s="8">
        <f>INDEX('V_Oyun'!Y$2:Y$3,MATCH(LARGE('V_Oyun'!$AE$2:$AE$3,ROW()-3),'V_Oyun'!$AE$2:$AE$3,0))</f>
        <v/>
      </c>
      <c r="AA4" s="8">
        <f>INDEX('V_Oyun'!Z$2:Z$3,MATCH(LARGE('V_Oyun'!$AE$2:$AE$3,ROW()-3),'V_Oyun'!$AE$2:$AE$3,0))</f>
        <v/>
      </c>
      <c r="AB4" s="8">
        <f>INDEX('V_Oyun'!AA$2:AA$3,MATCH(LARGE('V_Oyun'!$AE$2:$AE$3,ROW()-3),'V_Oyun'!$AE$2:$AE$3,0))</f>
        <v/>
      </c>
      <c r="AC4" s="8">
        <f>INDEX('V_Oyun'!AB$2:AB$3,MATCH(LARGE('V_Oyun'!$AE$2:$AE$3,ROW()-3),'V_Oyun'!$AE$2:$AE$3,0))</f>
        <v/>
      </c>
      <c r="AD4" s="8">
        <f>INDEX('V_Oyun'!AC$2:AC$3,MATCH(LARGE('V_Oyun'!$AE$2:$AE$3,ROW()-3),'V_Oyun'!$AE$2:$AE$3,0))</f>
        <v/>
      </c>
    </row>
    <row r="5">
      <c r="A5" t="n">
        <v>2</v>
      </c>
      <c r="B5" s="5">
        <f>INDEX('V_Oyun'!A$2:A$3,MATCH(LARGE('V_Oyun'!$AE$2:$AE$3,ROW()-3),'V_Oyun'!$AE$2:$AE$3,0))</f>
        <v/>
      </c>
      <c r="C5" s="5">
        <f>INDEX('V_Oyun'!B$2:B$3,MATCH(LARGE('V_Oyun'!$AE$2:$AE$3,ROW()-3),'V_Oyun'!$AE$2:$AE$3,0))</f>
        <v/>
      </c>
      <c r="D5" s="5">
        <f>INDEX('V_Oyun'!C$2:C$3,MATCH(LARGE('V_Oyun'!$AE$2:$AE$3,ROW()-3),'V_Oyun'!$AE$2:$AE$3,0))</f>
        <v/>
      </c>
      <c r="E5" s="8">
        <f>INDEX('V_Oyun'!D$2:D$3,MATCH(LARGE('V_Oyun'!$AE$2:$AE$3,ROW()-3),'V_Oyun'!$AE$2:$AE$3,0))</f>
        <v/>
      </c>
      <c r="F5" s="9">
        <f>INDEX('V_Oyun'!E$2:E$3,MATCH(LARGE('V_Oyun'!$AE$2:$AE$3,ROW()-3),'V_Oyun'!$AE$2:$AE$3,0))</f>
        <v/>
      </c>
      <c r="G5" s="9">
        <f>INDEX('V_Oyun'!F$2:F$3,MATCH(LARGE('V_Oyun'!$AE$2:$AE$3,ROW()-3),'V_Oyun'!$AE$2:$AE$3,0))</f>
        <v/>
      </c>
      <c r="H5" s="9">
        <f>INDEX('V_Oyun'!G$2:G$3,MATCH(LARGE('V_Oyun'!$AE$2:$AE$3,ROW()-3),'V_Oyun'!$AE$2:$AE$3,0))</f>
        <v/>
      </c>
      <c r="I5" s="9">
        <f>INDEX('V_Oyun'!H$2:H$3,MATCH(LARGE('V_Oyun'!$AE$2:$AE$3,ROW()-3),'V_Oyun'!$AE$2:$AE$3,0))</f>
        <v/>
      </c>
      <c r="J5" s="9">
        <f>INDEX('V_Oyun'!I$2:I$3,MATCH(LARGE('V_Oyun'!$AE$2:$AE$3,ROW()-3),'V_Oyun'!$AE$2:$AE$3,0))</f>
        <v/>
      </c>
      <c r="K5" s="10">
        <f>INDEX('V_Oyun'!J$2:J$3,MATCH(LARGE('V_Oyun'!$AE$2:$AE$3,ROW()-3),'V_Oyun'!$AE$2:$AE$3,0))</f>
        <v/>
      </c>
      <c r="L5" s="10">
        <f>INDEX('V_Oyun'!K$2:K$3,MATCH(LARGE('V_Oyun'!$AE$2:$AE$3,ROW()-3),'V_Oyun'!$AE$2:$AE$3,0))</f>
        <v/>
      </c>
      <c r="M5" s="8">
        <f>INDEX('V_Oyun'!L$2:L$3,MATCH(LARGE('V_Oyun'!$AE$2:$AE$3,ROW()-3),'V_Oyun'!$AE$2:$AE$3,0))</f>
        <v/>
      </c>
      <c r="N5" s="11">
        <f>INDEX('V_Oyun'!M$2:M$3,MATCH(LARGE('V_Oyun'!$AE$2:$AE$3,ROW()-3),'V_Oyun'!$AE$2:$AE$3,0))</f>
        <v/>
      </c>
      <c r="O5" s="11">
        <f>INDEX('V_Oyun'!N$2:N$3,MATCH(LARGE('V_Oyun'!$AE$2:$AE$3,ROW()-3),'V_Oyun'!$AE$2:$AE$3,0))</f>
        <v/>
      </c>
      <c r="P5" s="8">
        <f>INDEX('V_Oyun'!O$2:O$3,MATCH(LARGE('V_Oyun'!$AE$2:$AE$3,ROW()-3),'V_Oyun'!$AE$2:$AE$3,0))</f>
        <v/>
      </c>
      <c r="Q5" s="9">
        <f>INDEX('V_Oyun'!P$2:P$3,MATCH(LARGE('V_Oyun'!$AE$2:$AE$3,ROW()-3),'V_Oyun'!$AE$2:$AE$3,0))</f>
        <v/>
      </c>
      <c r="R5" s="5">
        <f>INDEX('V_Oyun'!Q$2:Q$3,MATCH(LARGE('V_Oyun'!$AE$2:$AE$3,ROW()-3),'V_Oyun'!$AE$2:$AE$3,0))</f>
        <v/>
      </c>
      <c r="S5" s="8">
        <f>INDEX('V_Oyun'!R$2:R$3,MATCH(LARGE('V_Oyun'!$AE$2:$AE$3,ROW()-3),'V_Oyun'!$AE$2:$AE$3,0))</f>
        <v/>
      </c>
      <c r="T5" s="8">
        <f>INDEX('V_Oyun'!S$2:S$3,MATCH(LARGE('V_Oyun'!$AE$2:$AE$3,ROW()-3),'V_Oyun'!$AE$2:$AE$3,0))</f>
        <v/>
      </c>
      <c r="U5" s="8">
        <f>INDEX('V_Oyun'!T$2:T$3,MATCH(LARGE('V_Oyun'!$AE$2:$AE$3,ROW()-3),'V_Oyun'!$AE$2:$AE$3,0))</f>
        <v/>
      </c>
      <c r="V5" s="8">
        <f>INDEX('V_Oyun'!U$2:U$3,MATCH(LARGE('V_Oyun'!$AE$2:$AE$3,ROW()-3),'V_Oyun'!$AE$2:$AE$3,0))</f>
        <v/>
      </c>
      <c r="W5" s="8">
        <f>INDEX('V_Oyun'!V$2:V$3,MATCH(LARGE('V_Oyun'!$AE$2:$AE$3,ROW()-3),'V_Oyun'!$AE$2:$AE$3,0))</f>
        <v/>
      </c>
      <c r="X5" s="8">
        <f>INDEX('V_Oyun'!W$2:W$3,MATCH(LARGE('V_Oyun'!$AE$2:$AE$3,ROW()-3),'V_Oyun'!$AE$2:$AE$3,0))</f>
        <v/>
      </c>
      <c r="Y5" s="8">
        <f>INDEX('V_Oyun'!X$2:X$3,MATCH(LARGE('V_Oyun'!$AE$2:$AE$3,ROW()-3),'V_Oyun'!$AE$2:$AE$3,0))</f>
        <v/>
      </c>
      <c r="Z5" s="8">
        <f>INDEX('V_Oyun'!Y$2:Y$3,MATCH(LARGE('V_Oyun'!$AE$2:$AE$3,ROW()-3),'V_Oyun'!$AE$2:$AE$3,0))</f>
        <v/>
      </c>
      <c r="AA5" s="8">
        <f>INDEX('V_Oyun'!Z$2:Z$3,MATCH(LARGE('V_Oyun'!$AE$2:$AE$3,ROW()-3),'V_Oyun'!$AE$2:$AE$3,0))</f>
        <v/>
      </c>
      <c r="AB5" s="8">
        <f>INDEX('V_Oyun'!AA$2:AA$3,MATCH(LARGE('V_Oyun'!$AE$2:$AE$3,ROW()-3),'V_Oyun'!$AE$2:$AE$3,0))</f>
        <v/>
      </c>
      <c r="AC5" s="8">
        <f>INDEX('V_Oyun'!AB$2:AB$3,MATCH(LARGE('V_Oyun'!$AE$2:$AE$3,ROW()-3),'V_Oyun'!$AE$2:$AE$3,0))</f>
        <v/>
      </c>
      <c r="AD5" s="8">
        <f>INDEX('V_Oyun'!AC$2:AC$3,MATCH(LARGE('V_Oyun'!$AE$2:$AE$3,ROW()-3),'V_Oyun'!$AE$2:$AE$3,0))</f>
        <v/>
      </c>
    </row>
  </sheetData>
  <conditionalFormatting sqref="B4:AD5">
    <cfRule type="expression" priority="1" dxfId="0">
      <formula>OR($B4="BAI",$B4="BHI",$B4="BIS",$B4="BSD",$B4="BTE",$B4="BTK",$B4="BV1",$B4="BVD",$B4="BVF",$B4="BVV",$B4="BVZ",$B4="MTD",$B4="RUT",$B4="SPR")</formula>
    </cfRule>
  </conditionalFormatting>
  <dataValidations count="1">
    <dataValidation sqref="E2" showDropDown="0" showInputMessage="0" showErrorMessage="0" allowBlank="0" type="list">
      <formula1>"Günlük%,Haftalık,Aylık,Yılbaşına Göre,Yıllık"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E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 Kodu</t>
        </is>
      </c>
      <c r="B1" t="inlineStr">
        <is>
          <t>Teknoloji Fonları</t>
        </is>
      </c>
      <c r="C1" t="inlineStr">
        <is>
          <t>Yönetici</t>
        </is>
      </c>
      <c r="D1" t="inlineStr">
        <is>
          <t>FYÜ%</t>
        </is>
      </c>
      <c r="E1" t="inlineStr">
        <is>
          <t>Günlük%</t>
        </is>
      </c>
      <c r="F1" t="inlineStr">
        <is>
          <t>Haftalık</t>
        </is>
      </c>
      <c r="G1" t="inlineStr">
        <is>
          <t>Aylık</t>
        </is>
      </c>
      <c r="H1" t="inlineStr">
        <is>
          <t>Yılbaşına Göre</t>
        </is>
      </c>
      <c r="I1" t="inlineStr">
        <is>
          <t>Yıllık</t>
        </is>
      </c>
      <c r="J1" t="inlineStr">
        <is>
          <t>Yatırımcı Sayısı T-30</t>
        </is>
      </c>
      <c r="K1" t="inlineStr">
        <is>
          <t>Yatırımcı Sayısı T-1</t>
        </is>
      </c>
      <c r="L1" t="inlineStr">
        <is>
          <t>YS Değişim</t>
        </is>
      </c>
      <c r="M1" t="inlineStr">
        <is>
          <t>Önceki Ay FTD</t>
        </is>
      </c>
      <c r="N1" t="inlineStr">
        <is>
          <t>T-1 FTD</t>
        </is>
      </c>
      <c r="O1" t="inlineStr">
        <is>
          <t>FTD Değişim</t>
        </is>
      </c>
      <c r="P1" t="inlineStr">
        <is>
          <t>Standart Sapma (Aylık)</t>
        </is>
      </c>
      <c r="Q1" t="inlineStr">
        <is>
          <t>TEFAS Durumu</t>
        </is>
      </c>
      <c r="R1" t="inlineStr">
        <is>
          <t>Yabancı Hisse Oranı</t>
        </is>
      </c>
      <c r="S1" t="inlineStr">
        <is>
          <t>Yabancı Borsa Yatırım Fonları</t>
        </is>
      </c>
      <c r="T1" t="inlineStr">
        <is>
          <t>Mevduat (TL)</t>
        </is>
      </c>
      <c r="U1" t="inlineStr">
        <is>
          <t>Vadeli İşlemler Nakit Teminatları</t>
        </is>
      </c>
      <c r="V1" t="inlineStr">
        <is>
          <t>Ters Repo Oranı</t>
        </is>
      </c>
      <c r="W1" t="inlineStr">
        <is>
          <t>Hisse Oranı</t>
        </is>
      </c>
      <c r="X1" t="inlineStr">
        <is>
          <t>Para Piyasaları Oranı</t>
        </is>
      </c>
      <c r="Y1" t="inlineStr">
        <is>
          <t>Yatırım Fonları Katılma Payları</t>
        </is>
      </c>
      <c r="Z1" t="inlineStr">
        <is>
          <t>Özel Tahvil/Bono Oranı</t>
        </is>
      </c>
      <c r="AA1" t="inlineStr">
        <is>
          <t>Finansman Bonosu Oranı</t>
        </is>
      </c>
      <c r="AB1" t="inlineStr">
        <is>
          <t>Diğer Oran</t>
        </is>
      </c>
      <c r="AC1" t="inlineStr">
        <is>
          <t>Toplam</t>
        </is>
      </c>
    </row>
    <row r="2">
      <c r="A2" t="inlineStr">
        <is>
          <t>ITP</t>
        </is>
      </c>
      <c r="B2" t="inlineStr">
        <is>
          <t>İŞ Portföy Teknoloji Karma Fon</t>
        </is>
      </c>
      <c r="C2" t="inlineStr">
        <is>
          <t>İŞ Portföy</t>
        </is>
      </c>
      <c r="D2" t="n">
        <v>0.0275</v>
      </c>
      <c r="E2" t="n">
        <v>-0.3033961867487389</v>
      </c>
      <c r="F2" t="n">
        <v>-0.2444287324683936</v>
      </c>
      <c r="G2" t="n">
        <v>-0.7160059185413847</v>
      </c>
      <c r="H2" t="n">
        <v>28.76386326252072</v>
      </c>
      <c r="I2" t="n">
        <v>52.3916749499844</v>
      </c>
      <c r="J2" t="n">
        <v>11616</v>
      </c>
      <c r="K2" t="n">
        <v>11492</v>
      </c>
      <c r="L2" t="n">
        <v>-0.01067493112947659</v>
      </c>
      <c r="M2" t="n">
        <v>1052000268.87</v>
      </c>
      <c r="N2" t="n">
        <v>1015896417.59</v>
      </c>
      <c r="O2" t="n">
        <v>-0.0343192414948531</v>
      </c>
      <c r="P2" t="n">
        <v>0.8591538998303285</v>
      </c>
      <c r="Q2" t="inlineStr">
        <is>
          <t>Görüyor</t>
        </is>
      </c>
      <c r="R2" t="n">
        <v>0.6844</v>
      </c>
      <c r="S2" t="n">
        <v>0</v>
      </c>
      <c r="T2" t="n">
        <v>0</v>
      </c>
      <c r="U2" t="n">
        <v>0.0022</v>
      </c>
      <c r="V2" t="n">
        <v>0.0227</v>
      </c>
      <c r="W2" t="n">
        <v>0.0727</v>
      </c>
      <c r="X2" t="n">
        <v>0</v>
      </c>
      <c r="Y2" t="n">
        <v>0.0035</v>
      </c>
      <c r="Z2" t="n">
        <v>0.0231</v>
      </c>
      <c r="AA2" t="n">
        <v>0.1765</v>
      </c>
      <c r="AB2" t="n">
        <v>0</v>
      </c>
      <c r="AC2" t="n">
        <v>0.9851</v>
      </c>
      <c r="AE2">
        <f>IF(ISNUMBER(INDEX($A$2:$AC$19,1,MATCH('Teknoloji'!$E$2,$A$1:$AC$1,0))),INDEX($A$2:$AC$19,1,MATCH('Teknoloji'!$E$2,$A$1:$AC$1,0)),-1E+9)-ROW()/1E+7</f>
        <v/>
      </c>
    </row>
    <row r="3">
      <c r="A3" t="inlineStr">
        <is>
          <t>HTJ</t>
        </is>
      </c>
      <c r="B3" t="inlineStr">
        <is>
          <t>Hedef Portföy Teknoloji Değişken Fon</t>
        </is>
      </c>
      <c r="C3" t="inlineStr">
        <is>
          <t>Hedef Portföy</t>
        </is>
      </c>
      <c r="D3" t="n">
        <v>0.0295</v>
      </c>
      <c r="E3" t="n">
        <v>-0.6409747782497033</v>
      </c>
      <c r="F3" t="n">
        <v>-0.2581363896450695</v>
      </c>
      <c r="G3" t="n">
        <v>-0.7602672742191618</v>
      </c>
      <c r="H3" t="n">
        <v>21.99971766259088</v>
      </c>
      <c r="I3" t="n">
        <v>43.86257507610185</v>
      </c>
      <c r="J3" t="n">
        <v>247</v>
      </c>
      <c r="K3" t="n">
        <v>218</v>
      </c>
      <c r="L3" t="n">
        <v>-0.1174089068825911</v>
      </c>
      <c r="M3" t="n">
        <v>19561081.2</v>
      </c>
      <c r="N3" t="n">
        <v>21786828.36</v>
      </c>
      <c r="O3" t="n">
        <v>0.1137844650427606</v>
      </c>
      <c r="P3" t="n">
        <v>0.9514020444379259</v>
      </c>
      <c r="Q3" t="inlineStr">
        <is>
          <t>Görüyor</t>
        </is>
      </c>
      <c r="R3" t="n">
        <v>0.6214999999999999</v>
      </c>
      <c r="S3" t="n">
        <v>0.014</v>
      </c>
      <c r="T3" t="n">
        <v>0</v>
      </c>
      <c r="U3" t="n">
        <v>0.0545</v>
      </c>
      <c r="V3" t="n">
        <v>0</v>
      </c>
      <c r="W3" t="n">
        <v>0.2474</v>
      </c>
      <c r="X3" t="n">
        <v>0</v>
      </c>
      <c r="Y3" t="n">
        <v>0.0626</v>
      </c>
      <c r="Z3" t="n">
        <v>0</v>
      </c>
      <c r="AA3" t="n">
        <v>0</v>
      </c>
      <c r="AB3" t="n">
        <v>0</v>
      </c>
      <c r="AC3" t="n">
        <v>0.9999999999999999</v>
      </c>
      <c r="AE3">
        <f>IF(ISNUMBER(INDEX($A$2:$AC$19,2,MATCH('Teknoloji'!$E$2,$A$1:$AC$1,0))),INDEX($A$2:$AC$19,2,MATCH('Teknoloji'!$E$2,$A$1:$AC$1,0)),-1E+9)-ROW()/1E+7</f>
        <v/>
      </c>
    </row>
    <row r="4">
      <c r="A4" t="inlineStr">
        <is>
          <t>FBZ</t>
        </is>
      </c>
      <c r="B4" t="inlineStr">
        <is>
          <t>Fiba Portföy Teknoloji Serbest Fon</t>
        </is>
      </c>
      <c r="C4" t="inlineStr">
        <is>
          <t>Fiba Portföy</t>
        </is>
      </c>
      <c r="D4" t="n">
        <v>0.0255</v>
      </c>
      <c r="E4" t="n">
        <v>-0.7944516422707215</v>
      </c>
      <c r="F4" t="n">
        <v>-1.183116690641994</v>
      </c>
      <c r="G4" t="n">
        <v>-3.380115382390969</v>
      </c>
      <c r="H4" t="n">
        <v>21.52244009233037</v>
      </c>
      <c r="I4" t="n">
        <v>48.40215837078669</v>
      </c>
      <c r="J4" t="n">
        <v>440</v>
      </c>
      <c r="K4" t="n">
        <v>403</v>
      </c>
      <c r="L4" t="n">
        <v>-0.08409090909090911</v>
      </c>
      <c r="M4" t="n">
        <v>422352016.69</v>
      </c>
      <c r="N4" t="n">
        <v>262451805.1</v>
      </c>
      <c r="O4" t="n">
        <v>-0.3785946444464697</v>
      </c>
      <c r="P4" t="n">
        <v>0.9073741695710174</v>
      </c>
      <c r="Q4" t="inlineStr">
        <is>
          <t>Görüyor</t>
        </is>
      </c>
      <c r="R4" t="n">
        <v>0.708</v>
      </c>
      <c r="S4" t="n">
        <v>0</v>
      </c>
      <c r="T4" t="n">
        <v>0.0126</v>
      </c>
      <c r="U4" t="n">
        <v>0</v>
      </c>
      <c r="V4" t="n">
        <v>0</v>
      </c>
      <c r="W4" t="n">
        <v>0.0076</v>
      </c>
      <c r="X4" t="n">
        <v>0.05230000000000001</v>
      </c>
      <c r="Y4" t="n">
        <v>0.2098</v>
      </c>
      <c r="Z4" t="n">
        <v>0</v>
      </c>
      <c r="AA4" t="n">
        <v>0</v>
      </c>
      <c r="AB4" t="n">
        <v>0</v>
      </c>
      <c r="AC4" t="n">
        <v>0.9903</v>
      </c>
      <c r="AE4">
        <f>IF(ISNUMBER(INDEX($A$2:$AC$19,3,MATCH('Teknoloji'!$E$2,$A$1:$AC$1,0))),INDEX($A$2:$AC$19,3,MATCH('Teknoloji'!$E$2,$A$1:$AC$1,0)),-1E+9)-ROW()/1E+7</f>
        <v/>
      </c>
    </row>
    <row r="5">
      <c r="A5" t="inlineStr">
        <is>
          <t>AFT</t>
        </is>
      </c>
      <c r="B5" t="inlineStr">
        <is>
          <t>AK Portföy Yeni Teknolojiler Yabancı Hisse Senedi Fonu</t>
        </is>
      </c>
      <c r="C5" t="inlineStr">
        <is>
          <t>AK Portföy</t>
        </is>
      </c>
      <c r="D5" t="n">
        <v>0.029</v>
      </c>
      <c r="E5" t="n">
        <v>-0.9163724018795283</v>
      </c>
      <c r="F5" t="n">
        <v>-1.300461820001519</v>
      </c>
      <c r="G5" t="n">
        <v>-3.721456066622886</v>
      </c>
      <c r="H5" t="n">
        <v>10.35903150831854</v>
      </c>
      <c r="I5" t="n">
        <v>47.41620697692488</v>
      </c>
      <c r="J5" t="n">
        <v>144090</v>
      </c>
      <c r="K5" t="n">
        <v>139926</v>
      </c>
      <c r="L5" t="n">
        <v>-0.0288986050385176</v>
      </c>
      <c r="M5" t="n">
        <v>21232400173.87</v>
      </c>
      <c r="N5" t="n">
        <v>19251901076.6</v>
      </c>
      <c r="O5" t="n">
        <v>-0.09327721223469276</v>
      </c>
      <c r="P5" t="n">
        <v>1.254597387117162</v>
      </c>
      <c r="Q5" t="inlineStr">
        <is>
          <t>Görüyor</t>
        </is>
      </c>
      <c r="R5" t="n">
        <v>0.9543</v>
      </c>
      <c r="S5" t="n">
        <v>0</v>
      </c>
      <c r="T5" t="n">
        <v>0</v>
      </c>
      <c r="U5" t="n">
        <v>0</v>
      </c>
      <c r="V5" t="n">
        <v>0.0399</v>
      </c>
      <c r="W5" t="n">
        <v>0</v>
      </c>
      <c r="X5" t="n">
        <v>0</v>
      </c>
      <c r="Y5" t="n">
        <v>0.0058</v>
      </c>
      <c r="Z5" t="n">
        <v>0</v>
      </c>
      <c r="AA5" t="n">
        <v>0</v>
      </c>
      <c r="AB5" t="n">
        <v>0</v>
      </c>
      <c r="AC5" t="n">
        <v>1</v>
      </c>
      <c r="AE5">
        <f>IF(ISNUMBER(INDEX($A$2:$AC$19,4,MATCH('Teknoloji'!$E$2,$A$1:$AC$1,0))),INDEX($A$2:$AC$19,4,MATCH('Teknoloji'!$E$2,$A$1:$AC$1,0)),-1E+9)-ROW()/1E+7</f>
        <v/>
      </c>
    </row>
    <row r="6">
      <c r="A6" t="inlineStr">
        <is>
          <t>BVV</t>
        </is>
      </c>
      <c r="B6" t="inlineStr">
        <is>
          <t>BV Portföy Teknoloji Değişken Fon</t>
        </is>
      </c>
      <c r="C6" t="inlineStr">
        <is>
          <t>BV Portföy</t>
        </is>
      </c>
      <c r="D6" t="n">
        <v>0.025</v>
      </c>
      <c r="E6" t="n">
        <v>-1.205675334255119</v>
      </c>
      <c r="F6" t="n">
        <v>-2.189916320154595</v>
      </c>
      <c r="G6" t="n">
        <v>-4.79644899813243</v>
      </c>
      <c r="H6" t="n">
        <v>49.20893638509219</v>
      </c>
      <c r="I6" t="n">
        <v>85.31057213062149</v>
      </c>
      <c r="J6" t="n">
        <v>1092</v>
      </c>
      <c r="K6" t="n">
        <v>1058</v>
      </c>
      <c r="L6" t="n">
        <v>-0.03113553113553114</v>
      </c>
      <c r="M6" t="n">
        <v>164062224.34</v>
      </c>
      <c r="N6" t="n">
        <v>171419421.95</v>
      </c>
      <c r="O6" t="n">
        <v>0.04484394649406331</v>
      </c>
      <c r="P6" t="n">
        <v>1.671222327318879</v>
      </c>
      <c r="Q6" t="inlineStr">
        <is>
          <t>Görüyor</t>
        </is>
      </c>
      <c r="R6" t="n">
        <v>0.7056999999999999</v>
      </c>
      <c r="S6" t="n">
        <v>0</v>
      </c>
      <c r="T6" t="n">
        <v>0</v>
      </c>
      <c r="U6" t="n">
        <v>0</v>
      </c>
      <c r="V6" t="n">
        <v>0</v>
      </c>
      <c r="W6" t="n">
        <v>0.147</v>
      </c>
      <c r="X6" t="n">
        <v>0</v>
      </c>
      <c r="Y6" t="n">
        <v>0.1029</v>
      </c>
      <c r="Z6" t="n">
        <v>0</v>
      </c>
      <c r="AA6" t="n">
        <v>0</v>
      </c>
      <c r="AB6" t="n">
        <v>0</v>
      </c>
      <c r="AC6" t="n">
        <v>0.9555999999999999</v>
      </c>
      <c r="AE6">
        <f>IF(ISNUMBER(INDEX($A$2:$AC$19,5,MATCH('Teknoloji'!$E$2,$A$1:$AC$1,0))),INDEX($A$2:$AC$19,5,MATCH('Teknoloji'!$E$2,$A$1:$AC$1,0)),-1E+9)-ROW()/1E+7</f>
        <v/>
      </c>
    </row>
    <row r="7">
      <c r="A7" t="inlineStr">
        <is>
          <t>HOA</t>
        </is>
      </c>
      <c r="B7" t="inlineStr">
        <is>
          <t>Hsbc Portföy Teknoloji Değişken Fon</t>
        </is>
      </c>
      <c r="C7" t="inlineStr">
        <is>
          <t>Hsbc Portföy</t>
        </is>
      </c>
      <c r="D7" t="n">
        <v>0.01752</v>
      </c>
      <c r="E7" t="n">
        <v>-1.24648153415724</v>
      </c>
      <c r="F7" t="n">
        <v>-1.822517674369517</v>
      </c>
      <c r="G7" t="n">
        <v>-5.268323674468423</v>
      </c>
      <c r="H7" t="n">
        <v>22.94238900634249</v>
      </c>
      <c r="I7" t="n">
        <v>47.22148381625084</v>
      </c>
      <c r="J7" t="n">
        <v>3451</v>
      </c>
      <c r="K7" t="n">
        <v>3443</v>
      </c>
      <c r="L7" t="n">
        <v>-0.002318168646769037</v>
      </c>
      <c r="M7" t="n">
        <v>2281246181.32</v>
      </c>
      <c r="N7" t="n">
        <v>1892689169.24</v>
      </c>
      <c r="O7" t="n">
        <v>-0.1703266465766395</v>
      </c>
      <c r="P7" t="n">
        <v>1.308139838661249</v>
      </c>
      <c r="Q7" t="inlineStr">
        <is>
          <t>Görüyor</t>
        </is>
      </c>
      <c r="R7" t="n">
        <v>0.6301</v>
      </c>
      <c r="S7" t="n">
        <v>0.076</v>
      </c>
      <c r="T7" t="n">
        <v>0</v>
      </c>
      <c r="U7" t="n">
        <v>0.021</v>
      </c>
      <c r="V7" t="n">
        <v>0</v>
      </c>
      <c r="W7" t="n">
        <v>0.1371</v>
      </c>
      <c r="X7" t="n">
        <v>0.004500000000000001</v>
      </c>
      <c r="Y7" t="n">
        <v>0.0378</v>
      </c>
      <c r="Z7" t="n">
        <v>0.0553</v>
      </c>
      <c r="AA7" t="n">
        <v>0.0246</v>
      </c>
      <c r="AB7" t="n">
        <v>0.0029</v>
      </c>
      <c r="AC7" t="n">
        <v>0.9893</v>
      </c>
      <c r="AE7">
        <f>IF(ISNUMBER(INDEX($A$2:$AC$19,6,MATCH('Teknoloji'!$E$2,$A$1:$AC$1,0))),INDEX($A$2:$AC$19,6,MATCH('Teknoloji'!$E$2,$A$1:$AC$1,0)),-1E+9)-ROW()/1E+7</f>
        <v/>
      </c>
    </row>
    <row r="8">
      <c r="A8" t="inlineStr">
        <is>
          <t>OJT</t>
        </is>
      </c>
      <c r="B8" t="inlineStr">
        <is>
          <t>Qnb Portföy Teknoloji Fon Sepeti Fonu</t>
        </is>
      </c>
      <c r="C8" t="inlineStr">
        <is>
          <t>Qnb Portföy</t>
        </is>
      </c>
      <c r="D8" t="n">
        <v>0.0295</v>
      </c>
      <c r="E8" t="n">
        <v>-1.313741712715366</v>
      </c>
      <c r="F8" t="n">
        <v>-1.865399652184097</v>
      </c>
      <c r="G8" t="n">
        <v>-4.807428011506487</v>
      </c>
      <c r="H8" t="n">
        <v>34.05257910365043</v>
      </c>
      <c r="I8" t="n">
        <v>58.99984906816022</v>
      </c>
      <c r="J8" t="n">
        <v>11595</v>
      </c>
      <c r="K8" t="n">
        <v>11403</v>
      </c>
      <c r="L8" t="n">
        <v>-0.01655886157826647</v>
      </c>
      <c r="M8" t="n">
        <v>4822332587.42</v>
      </c>
      <c r="N8" t="n">
        <v>4620154753.41</v>
      </c>
      <c r="O8" t="n">
        <v>-0.04192531940609423</v>
      </c>
      <c r="P8" t="n">
        <v>1.34456916733297</v>
      </c>
      <c r="Q8" t="inlineStr">
        <is>
          <t>Görüyor</t>
        </is>
      </c>
      <c r="R8" t="n">
        <v>0.6804000000000001</v>
      </c>
      <c r="S8" t="n">
        <v>0.09820000000000001</v>
      </c>
      <c r="T8" t="n">
        <v>0</v>
      </c>
      <c r="U8" t="n">
        <v>0</v>
      </c>
      <c r="V8" t="n">
        <v>0.0435</v>
      </c>
      <c r="W8" t="n">
        <v>0.1244</v>
      </c>
      <c r="X8" t="n">
        <v>0.0103</v>
      </c>
      <c r="Y8" t="n">
        <v>0.0432</v>
      </c>
      <c r="Z8" t="n">
        <v>0</v>
      </c>
      <c r="AA8" t="n">
        <v>0</v>
      </c>
      <c r="AB8" t="n">
        <v>0</v>
      </c>
      <c r="AC8" t="n">
        <v>1</v>
      </c>
      <c r="AE8">
        <f>IF(ISNUMBER(INDEX($A$2:$AC$19,7,MATCH('Teknoloji'!$E$2,$A$1:$AC$1,0))),INDEX($A$2:$AC$19,7,MATCH('Teknoloji'!$E$2,$A$1:$AC$1,0)),-1E+9)-ROW()/1E+7</f>
        <v/>
      </c>
    </row>
    <row r="9">
      <c r="A9" t="inlineStr">
        <is>
          <t>TFF</t>
        </is>
      </c>
      <c r="B9" t="inlineStr">
        <is>
          <t>Teb Portföy Amerika Teknoloji Yabancı Byf Fon Sepeti Fonu</t>
        </is>
      </c>
      <c r="C9" t="inlineStr">
        <is>
          <t>Teb Portföy</t>
        </is>
      </c>
      <c r="D9" t="n">
        <v>0.021</v>
      </c>
      <c r="E9" t="n">
        <v>-1.402214494706522</v>
      </c>
      <c r="F9" t="n">
        <v>-1.70239007969305</v>
      </c>
      <c r="G9" t="n">
        <v>-3.331977701102284</v>
      </c>
      <c r="H9" t="n">
        <v>29.98329670566926</v>
      </c>
      <c r="I9" t="n">
        <v>49.97368082227351</v>
      </c>
      <c r="J9" t="n">
        <v>9084</v>
      </c>
      <c r="K9" t="n">
        <v>8928</v>
      </c>
      <c r="L9" t="n">
        <v>-0.0171730515191546</v>
      </c>
      <c r="M9" t="n">
        <v>1401898855.86</v>
      </c>
      <c r="N9" t="n">
        <v>1370161338.84</v>
      </c>
      <c r="O9" t="n">
        <v>-0.02263894922756782</v>
      </c>
      <c r="P9" t="n">
        <v>1.475893874152244</v>
      </c>
      <c r="Q9" t="inlineStr">
        <is>
          <t>Görüyor</t>
        </is>
      </c>
      <c r="R9" t="n">
        <v>0</v>
      </c>
      <c r="S9" t="n">
        <v>0.9682999999999999</v>
      </c>
      <c r="T9" t="n">
        <v>0.0277</v>
      </c>
      <c r="U9" t="n">
        <v>0</v>
      </c>
      <c r="V9" t="n">
        <v>0</v>
      </c>
      <c r="W9" t="n">
        <v>0</v>
      </c>
      <c r="X9" t="n">
        <v>0.004</v>
      </c>
      <c r="Y9" t="n">
        <v>0</v>
      </c>
      <c r="Z9" t="n">
        <v>0</v>
      </c>
      <c r="AA9" t="n">
        <v>0</v>
      </c>
      <c r="AB9" t="n">
        <v>0</v>
      </c>
      <c r="AC9" t="n">
        <v>0.9999999999999999</v>
      </c>
      <c r="AE9">
        <f>IF(ISNUMBER(INDEX($A$2:$AC$19,8,MATCH('Teknoloji'!$E$2,$A$1:$AC$1,0))),INDEX($A$2:$AC$19,8,MATCH('Teknoloji'!$E$2,$A$1:$AC$1,0)),-1E+9)-ROW()/1E+7</f>
        <v/>
      </c>
    </row>
    <row r="10">
      <c r="A10" t="inlineStr">
        <is>
          <t>CPU</t>
        </is>
      </c>
      <c r="B10" t="inlineStr">
        <is>
          <t>Aktif Portföy Teknoloji Katılım Fonu</t>
        </is>
      </c>
      <c r="C10" t="inlineStr">
        <is>
          <t>Aktif Portföy</t>
        </is>
      </c>
      <c r="D10" t="n">
        <v>0.02</v>
      </c>
      <c r="E10" t="n">
        <v>-1.450286306152015</v>
      </c>
      <c r="F10" t="n">
        <v>-2.038647340427369</v>
      </c>
      <c r="G10" t="n">
        <v>-3.415202821148555</v>
      </c>
      <c r="H10" t="n">
        <v>50.25271187829392</v>
      </c>
      <c r="I10" t="n">
        <v>90.16802036035097</v>
      </c>
      <c r="J10" t="n">
        <v>16618</v>
      </c>
      <c r="K10" t="n">
        <v>17042</v>
      </c>
      <c r="L10" t="n">
        <v>0.02551450234685282</v>
      </c>
      <c r="M10" t="n">
        <v>1685402624.95</v>
      </c>
      <c r="N10" t="n">
        <v>1536643616.58</v>
      </c>
      <c r="O10" t="n">
        <v>-0.08826318777948583</v>
      </c>
      <c r="P10" t="n">
        <v>1.40311975700846</v>
      </c>
      <c r="Q10" t="inlineStr">
        <is>
          <t>Görüyor</t>
        </is>
      </c>
      <c r="R10" t="n">
        <v>0.6446999999999999</v>
      </c>
      <c r="S10" t="n">
        <v>0</v>
      </c>
      <c r="T10" t="n">
        <v>0</v>
      </c>
      <c r="U10" t="n">
        <v>0</v>
      </c>
      <c r="V10" t="n">
        <v>0</v>
      </c>
      <c r="W10" t="n">
        <v>0.2554</v>
      </c>
      <c r="X10" t="n">
        <v>0</v>
      </c>
      <c r="Y10" t="n">
        <v>0.0999</v>
      </c>
      <c r="Z10" t="n">
        <v>0</v>
      </c>
      <c r="AA10" t="n">
        <v>0</v>
      </c>
      <c r="AB10" t="n">
        <v>0</v>
      </c>
      <c r="AC10" t="n">
        <v>1</v>
      </c>
      <c r="AE10">
        <f>IF(ISNUMBER(INDEX($A$2:$AC$19,9,MATCH('Teknoloji'!$E$2,$A$1:$AC$1,0))),INDEX($A$2:$AC$19,9,MATCH('Teknoloji'!$E$2,$A$1:$AC$1,0)),-1E+9)-ROW()/1E+7</f>
        <v/>
      </c>
    </row>
    <row r="11">
      <c r="A11" t="inlineStr">
        <is>
          <t>TEJ</t>
        </is>
      </c>
      <c r="B11" t="inlineStr">
        <is>
          <t>Azimut Portföy Teknoloji Fon Sepeti Fonu</t>
        </is>
      </c>
      <c r="C11" t="inlineStr">
        <is>
          <t>Azimut Portföy</t>
        </is>
      </c>
      <c r="D11" t="n">
        <v>0.02835</v>
      </c>
      <c r="E11" t="n">
        <v>-1.46963130862714</v>
      </c>
      <c r="F11" t="n">
        <v>-2.891560033089224</v>
      </c>
      <c r="G11" t="n">
        <v>-5.339589971694592</v>
      </c>
      <c r="H11" t="n">
        <v>37.78477895760186</v>
      </c>
      <c r="I11" t="n">
        <v>65.50879994889323</v>
      </c>
      <c r="J11" t="n">
        <v>1355</v>
      </c>
      <c r="K11" t="n">
        <v>1327</v>
      </c>
      <c r="L11" t="n">
        <v>-0.02066420664206647</v>
      </c>
      <c r="M11" t="n">
        <v>687996297.62</v>
      </c>
      <c r="N11" t="n">
        <v>680093842.4</v>
      </c>
      <c r="O11" t="n">
        <v>-0.01148618858464379</v>
      </c>
      <c r="P11" t="n">
        <v>1.379345800049414</v>
      </c>
      <c r="Q11" t="inlineStr">
        <is>
          <t>Görüyor</t>
        </is>
      </c>
      <c r="R11" t="n">
        <v>0</v>
      </c>
      <c r="S11" t="n">
        <v>0.7591</v>
      </c>
      <c r="T11" t="n">
        <v>0</v>
      </c>
      <c r="U11" t="n">
        <v>0</v>
      </c>
      <c r="V11" t="n">
        <v>0</v>
      </c>
      <c r="W11" t="n">
        <v>0.07099999999999999</v>
      </c>
      <c r="X11" t="n">
        <v>0</v>
      </c>
      <c r="Y11" t="n">
        <v>0.1699</v>
      </c>
      <c r="Z11" t="n">
        <v>0</v>
      </c>
      <c r="AA11" t="n">
        <v>0</v>
      </c>
      <c r="AB11" t="n">
        <v>0</v>
      </c>
      <c r="AC11" t="n">
        <v>1</v>
      </c>
      <c r="AE11">
        <f>IF(ISNUMBER(INDEX($A$2:$AC$19,10,MATCH('Teknoloji'!$E$2,$A$1:$AC$1,0))),INDEX($A$2:$AC$19,10,MATCH('Teknoloji'!$E$2,$A$1:$AC$1,0)),-1E+9)-ROW()/1E+7</f>
        <v/>
      </c>
    </row>
    <row r="12">
      <c r="A12" t="inlineStr">
        <is>
          <t>BTK</t>
        </is>
      </c>
      <c r="B12" t="inlineStr">
        <is>
          <t>BV Portföy Teknoloji Katılım Fonu</t>
        </is>
      </c>
      <c r="C12" t="inlineStr">
        <is>
          <t>BV Portföy</t>
        </is>
      </c>
      <c r="D12" t="n">
        <v>0.02</v>
      </c>
      <c r="E12" t="n">
        <v>-1.56644526999612</v>
      </c>
      <c r="F12" t="n">
        <v>-3.371104886275234</v>
      </c>
      <c r="G12" t="n">
        <v>-7.40179685788055</v>
      </c>
      <c r="H12" t="n">
        <v>48.20004841295103</v>
      </c>
      <c r="I12" t="inlineStr">
        <is>
          <t>-</t>
        </is>
      </c>
      <c r="J12" t="n">
        <v>2111</v>
      </c>
      <c r="K12" t="n">
        <v>2106</v>
      </c>
      <c r="L12" t="n">
        <v>-0.002368545712932213</v>
      </c>
      <c r="M12" t="n">
        <v>326324162.08</v>
      </c>
      <c r="N12" t="n">
        <v>303772274.43</v>
      </c>
      <c r="O12" t="n">
        <v>-0.06910885024956037</v>
      </c>
      <c r="P12" t="n">
        <v>1.635663120060489</v>
      </c>
      <c r="Q12" t="inlineStr">
        <is>
          <t>Görüyor</t>
        </is>
      </c>
      <c r="R12" t="n">
        <v>0.7067</v>
      </c>
      <c r="S12" t="n">
        <v>0</v>
      </c>
      <c r="T12" t="n">
        <v>0</v>
      </c>
      <c r="U12" t="n">
        <v>0</v>
      </c>
      <c r="V12" t="n">
        <v>0</v>
      </c>
      <c r="W12" t="n">
        <v>0.1897</v>
      </c>
      <c r="X12" t="n">
        <v>0</v>
      </c>
      <c r="Y12" t="n">
        <v>0.08169999999999999</v>
      </c>
      <c r="Z12" t="n">
        <v>0</v>
      </c>
      <c r="AA12" t="n">
        <v>0</v>
      </c>
      <c r="AB12" t="n">
        <v>0.0178</v>
      </c>
      <c r="AC12" t="n">
        <v>0.9959</v>
      </c>
      <c r="AE12">
        <f>IF(ISNUMBER(INDEX($A$2:$AC$19,11,MATCH('Teknoloji'!$E$2,$A$1:$AC$1,0))),INDEX($A$2:$AC$19,11,MATCH('Teknoloji'!$E$2,$A$1:$AC$1,0)),-1E+9)-ROW()/1E+7</f>
        <v/>
      </c>
    </row>
    <row r="13">
      <c r="A13" t="inlineStr">
        <is>
          <t>IRT</t>
        </is>
      </c>
      <c r="B13" t="inlineStr">
        <is>
          <t>Inveo Portföy Teknoloji Değişken Fon</t>
        </is>
      </c>
      <c r="C13" t="inlineStr">
        <is>
          <t>Inveo Portföy</t>
        </is>
      </c>
      <c r="D13" t="n">
        <v>0.0195</v>
      </c>
      <c r="E13" t="n">
        <v>-1.663841645091813</v>
      </c>
      <c r="F13" t="n">
        <v>-2.348159032053287</v>
      </c>
      <c r="G13" t="n">
        <v>-6.839480834397349</v>
      </c>
      <c r="H13" t="n">
        <v>38.13721695871948</v>
      </c>
      <c r="I13" t="n">
        <v>76.78760995823714</v>
      </c>
      <c r="J13" t="n">
        <v>1555</v>
      </c>
      <c r="K13" t="n">
        <v>1568</v>
      </c>
      <c r="L13" t="n">
        <v>0.008360128617363349</v>
      </c>
      <c r="M13" t="n">
        <v>136866124.6</v>
      </c>
      <c r="N13" t="n">
        <v>127701915.59</v>
      </c>
      <c r="O13" t="n">
        <v>-0.06695746691727389</v>
      </c>
      <c r="P13" t="n">
        <v>1.426109229759924</v>
      </c>
      <c r="Q13" t="inlineStr">
        <is>
          <t>Görüyor</t>
        </is>
      </c>
      <c r="R13" t="n">
        <v>0.5613</v>
      </c>
      <c r="S13" t="n">
        <v>0.1591</v>
      </c>
      <c r="T13" t="n">
        <v>0</v>
      </c>
      <c r="U13" t="n">
        <v>0</v>
      </c>
      <c r="V13" t="n">
        <v>0</v>
      </c>
      <c r="W13" t="n">
        <v>0.2773</v>
      </c>
      <c r="X13" t="n">
        <v>0</v>
      </c>
      <c r="Y13" t="n">
        <v>0.0023</v>
      </c>
      <c r="Z13" t="n">
        <v>0</v>
      </c>
      <c r="AA13" t="n">
        <v>0</v>
      </c>
      <c r="AB13" t="n">
        <v>0</v>
      </c>
      <c r="AC13" t="n">
        <v>1</v>
      </c>
      <c r="AE13">
        <f>IF(ISNUMBER(INDEX($A$2:$AC$19,12,MATCH('Teknoloji'!$E$2,$A$1:$AC$1,0))),INDEX($A$2:$AC$19,12,MATCH('Teknoloji'!$E$2,$A$1:$AC$1,0)),-1E+9)-ROW()/1E+7</f>
        <v/>
      </c>
    </row>
    <row r="14">
      <c r="A14" t="inlineStr">
        <is>
          <t>KTJ</t>
        </is>
      </c>
      <c r="B14" t="inlineStr">
        <is>
          <t>Kuveyt Türk Portföy Teknoloji Katılım Fonu</t>
        </is>
      </c>
      <c r="C14" t="inlineStr">
        <is>
          <t>Kuveyt Türk Portföy</t>
        </is>
      </c>
      <c r="D14" t="n">
        <v>0.024</v>
      </c>
      <c r="E14" t="n">
        <v>-1.941802767695866</v>
      </c>
      <c r="F14" t="n">
        <v>-2.308848938892338</v>
      </c>
      <c r="G14" t="n">
        <v>-2.238043162205539</v>
      </c>
      <c r="H14" t="n">
        <v>43.69854735711665</v>
      </c>
      <c r="I14" t="n">
        <v>68.59407250400518</v>
      </c>
      <c r="J14" t="n">
        <v>16525</v>
      </c>
      <c r="K14" t="n">
        <v>18858</v>
      </c>
      <c r="L14" t="n">
        <v>0.1411800302571862</v>
      </c>
      <c r="M14" t="n">
        <v>1367117320.93</v>
      </c>
      <c r="N14" t="n">
        <v>1600925208.98</v>
      </c>
      <c r="O14" t="n">
        <v>0.1710225482996215</v>
      </c>
      <c r="P14" t="n">
        <v>1.979265524000738</v>
      </c>
      <c r="Q14" t="inlineStr">
        <is>
          <t>Görüyor</t>
        </is>
      </c>
      <c r="R14" t="n">
        <v>0.7369</v>
      </c>
      <c r="S14" t="n">
        <v>0</v>
      </c>
      <c r="T14" t="n">
        <v>0</v>
      </c>
      <c r="U14" t="n">
        <v>0</v>
      </c>
      <c r="V14" t="n">
        <v>0</v>
      </c>
      <c r="W14" t="n">
        <v>0.09710000000000001</v>
      </c>
      <c r="X14" t="n">
        <v>0</v>
      </c>
      <c r="Y14" t="n">
        <v>0.0416</v>
      </c>
      <c r="Z14" t="n">
        <v>0</v>
      </c>
      <c r="AA14" t="n">
        <v>0</v>
      </c>
      <c r="AB14" t="n">
        <v>0</v>
      </c>
      <c r="AC14" t="n">
        <v>0.8756</v>
      </c>
      <c r="AE14">
        <f>IF(ISNUMBER(INDEX($A$2:$AC$19,13,MATCH('Teknoloji'!$E$2,$A$1:$AC$1,0))),INDEX($A$2:$AC$19,13,MATCH('Teknoloji'!$E$2,$A$1:$AC$1,0)),-1E+9)-ROW()/1E+7</f>
        <v/>
      </c>
    </row>
    <row r="15">
      <c r="A15" t="inlineStr">
        <is>
          <t>RTD</t>
        </is>
      </c>
      <c r="B15" t="inlineStr">
        <is>
          <t>Re-pıe Portföy Teknoloji Değişken Fon</t>
        </is>
      </c>
      <c r="C15" t="inlineStr">
        <is>
          <t>Re-pıe Portföy</t>
        </is>
      </c>
      <c r="D15" t="n">
        <v>0.025</v>
      </c>
      <c r="E15" t="n">
        <v>-2.435573461392038</v>
      </c>
      <c r="F15" t="n">
        <v>-3.860909771634025</v>
      </c>
      <c r="G15" t="n">
        <v>-7.685064115473095</v>
      </c>
      <c r="H15" t="n">
        <v>39.12617257546624</v>
      </c>
      <c r="I15" t="n">
        <v>59.10379299247592</v>
      </c>
      <c r="J15" t="n">
        <v>449</v>
      </c>
      <c r="K15" t="n">
        <v>419</v>
      </c>
      <c r="L15" t="n">
        <v>-0.06681514476614703</v>
      </c>
      <c r="M15" t="n">
        <v>29506728.77</v>
      </c>
      <c r="N15" t="n">
        <v>25876566.54</v>
      </c>
      <c r="O15" t="n">
        <v>-0.1230282847785841</v>
      </c>
      <c r="P15" t="n">
        <v>1.931270049047353</v>
      </c>
      <c r="Q15" t="inlineStr">
        <is>
          <t>Görüyor</t>
        </is>
      </c>
      <c r="R15" t="n">
        <v>0.6295000000000001</v>
      </c>
      <c r="S15" t="n">
        <v>0</v>
      </c>
      <c r="T15" t="n">
        <v>0</v>
      </c>
      <c r="U15" t="n">
        <v>0</v>
      </c>
      <c r="V15" t="n">
        <v>0</v>
      </c>
      <c r="W15" t="n">
        <v>0.3255</v>
      </c>
      <c r="X15" t="n">
        <v>0</v>
      </c>
      <c r="Y15" t="n">
        <v>0.045</v>
      </c>
      <c r="Z15" t="n">
        <v>0</v>
      </c>
      <c r="AA15" t="n">
        <v>0</v>
      </c>
      <c r="AB15" t="n">
        <v>0</v>
      </c>
      <c r="AC15" t="n">
        <v>1</v>
      </c>
      <c r="AE15">
        <f>IF(ISNUMBER(INDEX($A$2:$AC$19,14,MATCH('Teknoloji'!$E$2,$A$1:$AC$1,0))),INDEX($A$2:$AC$19,14,MATCH('Teknoloji'!$E$2,$A$1:$AC$1,0)),-1E+9)-ROW()/1E+7</f>
        <v/>
      </c>
    </row>
    <row r="16">
      <c r="A16" t="inlineStr">
        <is>
          <t>GUH</t>
        </is>
      </c>
      <c r="B16" t="inlineStr">
        <is>
          <t>Garanti Portföy Yabancı Teknoloji Hisse Senedi Fonu</t>
        </is>
      </c>
      <c r="C16" t="inlineStr">
        <is>
          <t>Garanti Portföy</t>
        </is>
      </c>
      <c r="D16" t="n">
        <v>0.03</v>
      </c>
      <c r="E16" t="n">
        <v>-2.439953327609368</v>
      </c>
      <c r="F16" t="n">
        <v>-2.921466954957797</v>
      </c>
      <c r="G16" t="n">
        <v>-4.857526858634698</v>
      </c>
      <c r="H16" t="n">
        <v>40.15655639192865</v>
      </c>
      <c r="I16" t="n">
        <v>80.2685639436024</v>
      </c>
      <c r="J16" t="n">
        <v>38095</v>
      </c>
      <c r="K16" t="n">
        <v>38830</v>
      </c>
      <c r="L16" t="n">
        <v>0.01929387058669119</v>
      </c>
      <c r="M16" t="n">
        <v>4920143048.88</v>
      </c>
      <c r="N16" t="n">
        <v>4589429812</v>
      </c>
      <c r="O16" t="n">
        <v>-0.06721618326834666</v>
      </c>
      <c r="P16" t="n">
        <v>2.135695615060224</v>
      </c>
      <c r="Q16" t="inlineStr">
        <is>
          <t>Görüyor</t>
        </is>
      </c>
      <c r="R16" t="n">
        <v>0.9434999999999999</v>
      </c>
      <c r="S16" t="n">
        <v>0</v>
      </c>
      <c r="T16" t="n">
        <v>0</v>
      </c>
      <c r="U16" t="n">
        <v>0.0204</v>
      </c>
      <c r="V16" t="n">
        <v>0.0259</v>
      </c>
      <c r="W16" t="n">
        <v>0</v>
      </c>
      <c r="X16" t="n">
        <v>0.0086</v>
      </c>
      <c r="Y16" t="n">
        <v>0</v>
      </c>
      <c r="Z16" t="n">
        <v>0</v>
      </c>
      <c r="AA16" t="n">
        <v>0</v>
      </c>
      <c r="AB16" t="n">
        <v>0</v>
      </c>
      <c r="AC16" t="n">
        <v>0.9983999999999998</v>
      </c>
      <c r="AE16">
        <f>IF(ISNUMBER(INDEX($A$2:$AC$19,15,MATCH('Teknoloji'!$E$2,$A$1:$AC$1,0))),INDEX($A$2:$AC$19,15,MATCH('Teknoloji'!$E$2,$A$1:$AC$1,0)),-1E+9)-ROW()/1E+7</f>
        <v/>
      </c>
    </row>
    <row r="17">
      <c r="A17" t="inlineStr">
        <is>
          <t>MTD</t>
        </is>
      </c>
      <c r="B17" t="inlineStr">
        <is>
          <t>BV Portföy Malzeme Teknolojileri Değişken Fon</t>
        </is>
      </c>
      <c r="C17" t="inlineStr">
        <is>
          <t>BV Portföy</t>
        </is>
      </c>
      <c r="D17" t="n">
        <v>0.025</v>
      </c>
      <c r="E17" t="n">
        <v>-2.470985505401413</v>
      </c>
      <c r="F17" t="n">
        <v>-1.607436441427978</v>
      </c>
      <c r="G17" t="n">
        <v>-8.350958021290722</v>
      </c>
      <c r="H17" t="n">
        <v>11.86341368446471</v>
      </c>
      <c r="I17" t="inlineStr">
        <is>
          <t>-</t>
        </is>
      </c>
      <c r="J17" t="n">
        <v>1865</v>
      </c>
      <c r="K17" t="n">
        <v>1615</v>
      </c>
      <c r="L17" t="n">
        <v>-0.1340482573726541</v>
      </c>
      <c r="M17" t="n">
        <v>175637645.67</v>
      </c>
      <c r="N17" t="n">
        <v>146799506.09</v>
      </c>
      <c r="O17" t="n">
        <v>-0.1641911076067545</v>
      </c>
      <c r="P17" t="n">
        <v>1.383000898482216</v>
      </c>
      <c r="Q17" t="inlineStr">
        <is>
          <t>Görüyor</t>
        </is>
      </c>
      <c r="R17" t="n">
        <v>0.6804000000000001</v>
      </c>
      <c r="S17" t="n">
        <v>0</v>
      </c>
      <c r="T17" t="n">
        <v>0</v>
      </c>
      <c r="U17" t="n">
        <v>0.0001</v>
      </c>
      <c r="V17" t="n">
        <v>0</v>
      </c>
      <c r="W17" t="n">
        <v>0.3014</v>
      </c>
      <c r="X17" t="n">
        <v>0</v>
      </c>
      <c r="Y17" t="n">
        <v>0.0181</v>
      </c>
      <c r="Z17" t="n">
        <v>0</v>
      </c>
      <c r="AA17" t="n">
        <v>0</v>
      </c>
      <c r="AB17" t="n">
        <v>0</v>
      </c>
      <c r="AC17" t="n">
        <v>1</v>
      </c>
      <c r="AE17">
        <f>IF(ISNUMBER(INDEX($A$2:$AC$19,16,MATCH('Teknoloji'!$E$2,$A$1:$AC$1,0))),INDEX($A$2:$AC$19,16,MATCH('Teknoloji'!$E$2,$A$1:$AC$1,0)),-1E+9)-ROW()/1E+7</f>
        <v/>
      </c>
    </row>
    <row r="18">
      <c r="A18" t="inlineStr">
        <is>
          <t>YAY</t>
        </is>
      </c>
      <c r="B18" t="inlineStr">
        <is>
          <t>Yapı Kredi Portföy Yabancı Teknoloji Sektörü Hisse Senedi Fonu</t>
        </is>
      </c>
      <c r="C18" t="inlineStr">
        <is>
          <t>Yapı Kredi Portföy</t>
        </is>
      </c>
      <c r="D18" t="n">
        <v>0.032485</v>
      </c>
      <c r="E18" t="n">
        <v>-3.677435189487921</v>
      </c>
      <c r="F18" t="n">
        <v>-5.511913141827307</v>
      </c>
      <c r="G18" t="n">
        <v>-6.443397541888873</v>
      </c>
      <c r="H18" t="n">
        <v>37.26424473759482</v>
      </c>
      <c r="I18" t="n">
        <v>78.61219655804952</v>
      </c>
      <c r="J18" t="n">
        <v>42869</v>
      </c>
      <c r="K18" t="n">
        <v>44088</v>
      </c>
      <c r="L18" t="n">
        <v>0.028435466187688</v>
      </c>
      <c r="M18" t="n">
        <v>13874095801.6</v>
      </c>
      <c r="N18" t="n">
        <v>12976257491.87</v>
      </c>
      <c r="O18" t="n">
        <v>-0.06471328456781</v>
      </c>
      <c r="P18" t="n">
        <v>2.026228904843706</v>
      </c>
      <c r="Q18" t="inlineStr">
        <is>
          <t>Görüyor</t>
        </is>
      </c>
      <c r="R18" t="n">
        <v>0.9677</v>
      </c>
      <c r="S18" t="n">
        <v>0.0104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0.0182</v>
      </c>
      <c r="Z18" t="n">
        <v>0</v>
      </c>
      <c r="AA18" t="n">
        <v>0</v>
      </c>
      <c r="AB18" t="n">
        <v>0</v>
      </c>
      <c r="AC18" t="n">
        <v>0.9963</v>
      </c>
      <c r="AE18">
        <f>IF(ISNUMBER(INDEX($A$2:$AC$19,17,MATCH('Teknoloji'!$E$2,$A$1:$AC$1,0))),INDEX($A$2:$AC$19,17,MATCH('Teknoloji'!$E$2,$A$1:$AC$1,0)),-1E+9)-ROW()/1E+7</f>
        <v/>
      </c>
    </row>
    <row r="19">
      <c r="A19" t="inlineStr">
        <is>
          <t>NTI</t>
        </is>
      </c>
      <c r="B19" t="inlineStr">
        <is>
          <t>Neo Portföy Teknoloji VE İnovasyon Değişken Fon</t>
        </is>
      </c>
      <c r="C19" t="inlineStr">
        <is>
          <t>Neo Portföy</t>
        </is>
      </c>
      <c r="D19" t="n">
        <v>0.0225</v>
      </c>
      <c r="E19" t="n">
        <v>-3.937033478497221</v>
      </c>
      <c r="F19" t="n">
        <v>-5.638159064405023</v>
      </c>
      <c r="G19" t="n">
        <v>-12.5733226049438</v>
      </c>
      <c r="H19" t="n">
        <v>36.90670537365506</v>
      </c>
      <c r="I19" t="n">
        <v>56.64664703722488</v>
      </c>
      <c r="J19" t="n">
        <v>2038</v>
      </c>
      <c r="K19" t="n">
        <v>1986</v>
      </c>
      <c r="L19" t="n">
        <v>-0.02551521099116782</v>
      </c>
      <c r="M19" t="n">
        <v>465948825.81</v>
      </c>
      <c r="N19" t="n">
        <v>401290333.93</v>
      </c>
      <c r="O19" t="n">
        <v>-0.1387673673554138</v>
      </c>
      <c r="P19" t="n">
        <v>2.227795679956198</v>
      </c>
      <c r="Q19" t="inlineStr">
        <is>
          <t>Görüyor</t>
        </is>
      </c>
      <c r="R19" t="n">
        <v>0.7578</v>
      </c>
      <c r="S19" t="n">
        <v>0</v>
      </c>
      <c r="T19" t="n">
        <v>0</v>
      </c>
      <c r="U19" t="n">
        <v>0.0168</v>
      </c>
      <c r="V19" t="n">
        <v>0</v>
      </c>
      <c r="W19" t="n">
        <v>0.0433</v>
      </c>
      <c r="X19" t="n">
        <v>0</v>
      </c>
      <c r="Y19" t="n">
        <v>0.1821</v>
      </c>
      <c r="Z19" t="n">
        <v>0</v>
      </c>
      <c r="AA19" t="n">
        <v>0</v>
      </c>
      <c r="AB19" t="n">
        <v>0</v>
      </c>
      <c r="AC19" t="n">
        <v>1</v>
      </c>
      <c r="AE19">
        <f>IF(ISNUMBER(INDEX($A$2:$AC$19,18,MATCH('Teknoloji'!$E$2,$A$1:$AC$1,0))),INDEX($A$2:$AC$19,18,MATCH('Teknoloji'!$E$2,$A$1:$AC$1,0)),-1E+9)-ROW()/1E+7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D21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2" max="2"/>
    <col width="68" customWidth="1" min="3" max="3"/>
    <col width="2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>
      <c r="F1" s="6" t="n">
        <v>46219</v>
      </c>
      <c r="G1" s="6" t="n">
        <v>46213</v>
      </c>
      <c r="H1" s="6" t="n">
        <v>46190</v>
      </c>
      <c r="I1" s="6" t="n">
        <v>46022</v>
      </c>
      <c r="J1" s="6" t="n">
        <v>45855</v>
      </c>
    </row>
    <row r="2">
      <c r="B2" s="3" t="inlineStr">
        <is>
          <t>T-1: 17.07.2026</t>
        </is>
      </c>
      <c r="D2" s="7" t="inlineStr">
        <is>
          <t>Sırala:</t>
        </is>
      </c>
      <c r="E2" s="2" t="inlineStr">
        <is>
          <t>Günlük%</t>
        </is>
      </c>
    </row>
    <row r="3">
      <c r="B3" s="4" t="inlineStr">
        <is>
          <t>Fon Kodu</t>
        </is>
      </c>
      <c r="C3" s="4" t="inlineStr">
        <is>
          <t>Teknoloji Fonları</t>
        </is>
      </c>
      <c r="D3" s="4" t="inlineStr">
        <is>
          <t>Yönetici</t>
        </is>
      </c>
      <c r="E3" s="4" t="inlineStr">
        <is>
          <t>FYÜ%</t>
        </is>
      </c>
      <c r="F3" s="4" t="inlineStr">
        <is>
          <t>Günlük%</t>
        </is>
      </c>
      <c r="G3" s="4" t="inlineStr">
        <is>
          <t>Haftalık</t>
        </is>
      </c>
      <c r="H3" s="4" t="inlineStr">
        <is>
          <t>Aylık</t>
        </is>
      </c>
      <c r="I3" s="4" t="inlineStr">
        <is>
          <t>Yılbaşına Göre</t>
        </is>
      </c>
      <c r="J3" s="4" t="inlineStr">
        <is>
          <t>Yıllık</t>
        </is>
      </c>
      <c r="K3" s="4" t="inlineStr">
        <is>
          <t>Yatırımcı Sayısı T-30</t>
        </is>
      </c>
      <c r="L3" s="4" t="inlineStr">
        <is>
          <t>Yatırımcı Sayısı T-1</t>
        </is>
      </c>
      <c r="M3" s="4" t="inlineStr">
        <is>
          <t>YS Değişim</t>
        </is>
      </c>
      <c r="N3" s="4" t="inlineStr">
        <is>
          <t>Önceki Ay FTD</t>
        </is>
      </c>
      <c r="O3" s="4" t="inlineStr">
        <is>
          <t>T-1 FTD</t>
        </is>
      </c>
      <c r="P3" s="4" t="inlineStr">
        <is>
          <t>FTD Değişim</t>
        </is>
      </c>
      <c r="Q3" s="4" t="inlineStr">
        <is>
          <t>Standart Sapma (Aylık)</t>
        </is>
      </c>
      <c r="R3" s="4" t="inlineStr">
        <is>
          <t>TEFAS Durumu</t>
        </is>
      </c>
      <c r="S3" s="4" t="inlineStr">
        <is>
          <t>Yabancı Hisse Oranı</t>
        </is>
      </c>
      <c r="T3" s="4" t="inlineStr">
        <is>
          <t>Yabancı Borsa Yatırım Fonları</t>
        </is>
      </c>
      <c r="U3" s="4" t="inlineStr">
        <is>
          <t>Mevduat (TL)</t>
        </is>
      </c>
      <c r="V3" s="4" t="inlineStr">
        <is>
          <t>Vadeli İşlemler Nakit Teminatları</t>
        </is>
      </c>
      <c r="W3" s="4" t="inlineStr">
        <is>
          <t>Ters Repo Oranı</t>
        </is>
      </c>
      <c r="X3" s="4" t="inlineStr">
        <is>
          <t>Hisse Oranı</t>
        </is>
      </c>
      <c r="Y3" s="4" t="inlineStr">
        <is>
          <t>Para Piyasaları Oranı</t>
        </is>
      </c>
      <c r="Z3" s="4" t="inlineStr">
        <is>
          <t>Yatırım Fonları Katılma Payları</t>
        </is>
      </c>
      <c r="AA3" s="4" t="inlineStr">
        <is>
          <t>Özel Tahvil/Bono Oranı</t>
        </is>
      </c>
      <c r="AB3" s="4" t="inlineStr">
        <is>
          <t>Finansman Bonosu Oranı</t>
        </is>
      </c>
      <c r="AC3" s="4" t="inlineStr">
        <is>
          <t>Diğer Oran</t>
        </is>
      </c>
      <c r="AD3" s="4" t="inlineStr">
        <is>
          <t>Toplam</t>
        </is>
      </c>
    </row>
    <row r="4">
      <c r="A4" t="n">
        <v>1</v>
      </c>
      <c r="B4" s="5">
        <f>INDEX('V_Teknoloji'!A$2:A$19,MATCH(LARGE('V_Teknoloji'!$AE$2:$AE$19,ROW()-3),'V_Teknoloji'!$AE$2:$AE$19,0))</f>
        <v/>
      </c>
      <c r="C4" s="5">
        <f>INDEX('V_Teknoloji'!B$2:B$19,MATCH(LARGE('V_Teknoloji'!$AE$2:$AE$19,ROW()-3),'V_Teknoloji'!$AE$2:$AE$19,0))</f>
        <v/>
      </c>
      <c r="D4" s="5">
        <f>INDEX('V_Teknoloji'!C$2:C$19,MATCH(LARGE('V_Teknoloji'!$AE$2:$AE$19,ROW()-3),'V_Teknoloji'!$AE$2:$AE$19,0))</f>
        <v/>
      </c>
      <c r="E4" s="8">
        <f>INDEX('V_Teknoloji'!D$2:D$19,MATCH(LARGE('V_Teknoloji'!$AE$2:$AE$19,ROW()-3),'V_Teknoloji'!$AE$2:$AE$19,0))</f>
        <v/>
      </c>
      <c r="F4" s="9">
        <f>INDEX('V_Teknoloji'!E$2:E$19,MATCH(LARGE('V_Teknoloji'!$AE$2:$AE$19,ROW()-3),'V_Teknoloji'!$AE$2:$AE$19,0))</f>
        <v/>
      </c>
      <c r="G4" s="9">
        <f>INDEX('V_Teknoloji'!F$2:F$19,MATCH(LARGE('V_Teknoloji'!$AE$2:$AE$19,ROW()-3),'V_Teknoloji'!$AE$2:$AE$19,0))</f>
        <v/>
      </c>
      <c r="H4" s="9">
        <f>INDEX('V_Teknoloji'!G$2:G$19,MATCH(LARGE('V_Teknoloji'!$AE$2:$AE$19,ROW()-3),'V_Teknoloji'!$AE$2:$AE$19,0))</f>
        <v/>
      </c>
      <c r="I4" s="9">
        <f>INDEX('V_Teknoloji'!H$2:H$19,MATCH(LARGE('V_Teknoloji'!$AE$2:$AE$19,ROW()-3),'V_Teknoloji'!$AE$2:$AE$19,0))</f>
        <v/>
      </c>
      <c r="J4" s="9">
        <f>INDEX('V_Teknoloji'!I$2:I$19,MATCH(LARGE('V_Teknoloji'!$AE$2:$AE$19,ROW()-3),'V_Teknoloji'!$AE$2:$AE$19,0))</f>
        <v/>
      </c>
      <c r="K4" s="10">
        <f>INDEX('V_Teknoloji'!J$2:J$19,MATCH(LARGE('V_Teknoloji'!$AE$2:$AE$19,ROW()-3),'V_Teknoloji'!$AE$2:$AE$19,0))</f>
        <v/>
      </c>
      <c r="L4" s="10">
        <f>INDEX('V_Teknoloji'!K$2:K$19,MATCH(LARGE('V_Teknoloji'!$AE$2:$AE$19,ROW()-3),'V_Teknoloji'!$AE$2:$AE$19,0))</f>
        <v/>
      </c>
      <c r="M4" s="8">
        <f>INDEX('V_Teknoloji'!L$2:L$19,MATCH(LARGE('V_Teknoloji'!$AE$2:$AE$19,ROW()-3),'V_Teknoloji'!$AE$2:$AE$19,0))</f>
        <v/>
      </c>
      <c r="N4" s="11">
        <f>INDEX('V_Teknoloji'!M$2:M$19,MATCH(LARGE('V_Teknoloji'!$AE$2:$AE$19,ROW()-3),'V_Teknoloji'!$AE$2:$AE$19,0))</f>
        <v/>
      </c>
      <c r="O4" s="11">
        <f>INDEX('V_Teknoloji'!N$2:N$19,MATCH(LARGE('V_Teknoloji'!$AE$2:$AE$19,ROW()-3),'V_Teknoloji'!$AE$2:$AE$19,0))</f>
        <v/>
      </c>
      <c r="P4" s="8">
        <f>INDEX('V_Teknoloji'!O$2:O$19,MATCH(LARGE('V_Teknoloji'!$AE$2:$AE$19,ROW()-3),'V_Teknoloji'!$AE$2:$AE$19,0))</f>
        <v/>
      </c>
      <c r="Q4" s="9">
        <f>INDEX('V_Teknoloji'!P$2:P$19,MATCH(LARGE('V_Teknoloji'!$AE$2:$AE$19,ROW()-3),'V_Teknoloji'!$AE$2:$AE$19,0))</f>
        <v/>
      </c>
      <c r="R4" s="5">
        <f>INDEX('V_Teknoloji'!Q$2:Q$19,MATCH(LARGE('V_Teknoloji'!$AE$2:$AE$19,ROW()-3),'V_Teknoloji'!$AE$2:$AE$19,0))</f>
        <v/>
      </c>
      <c r="S4" s="8">
        <f>INDEX('V_Teknoloji'!R$2:R$19,MATCH(LARGE('V_Teknoloji'!$AE$2:$AE$19,ROW()-3),'V_Teknoloji'!$AE$2:$AE$19,0))</f>
        <v/>
      </c>
      <c r="T4" s="8">
        <f>INDEX('V_Teknoloji'!S$2:S$19,MATCH(LARGE('V_Teknoloji'!$AE$2:$AE$19,ROW()-3),'V_Teknoloji'!$AE$2:$AE$19,0))</f>
        <v/>
      </c>
      <c r="U4" s="8">
        <f>INDEX('V_Teknoloji'!T$2:T$19,MATCH(LARGE('V_Teknoloji'!$AE$2:$AE$19,ROW()-3),'V_Teknoloji'!$AE$2:$AE$19,0))</f>
        <v/>
      </c>
      <c r="V4" s="8">
        <f>INDEX('V_Teknoloji'!U$2:U$19,MATCH(LARGE('V_Teknoloji'!$AE$2:$AE$19,ROW()-3),'V_Teknoloji'!$AE$2:$AE$19,0))</f>
        <v/>
      </c>
      <c r="W4" s="8">
        <f>INDEX('V_Teknoloji'!V$2:V$19,MATCH(LARGE('V_Teknoloji'!$AE$2:$AE$19,ROW()-3),'V_Teknoloji'!$AE$2:$AE$19,0))</f>
        <v/>
      </c>
      <c r="X4" s="8">
        <f>INDEX('V_Teknoloji'!W$2:W$19,MATCH(LARGE('V_Teknoloji'!$AE$2:$AE$19,ROW()-3),'V_Teknoloji'!$AE$2:$AE$19,0))</f>
        <v/>
      </c>
      <c r="Y4" s="8">
        <f>INDEX('V_Teknoloji'!X$2:X$19,MATCH(LARGE('V_Teknoloji'!$AE$2:$AE$19,ROW()-3),'V_Teknoloji'!$AE$2:$AE$19,0))</f>
        <v/>
      </c>
      <c r="Z4" s="8">
        <f>INDEX('V_Teknoloji'!Y$2:Y$19,MATCH(LARGE('V_Teknoloji'!$AE$2:$AE$19,ROW()-3),'V_Teknoloji'!$AE$2:$AE$19,0))</f>
        <v/>
      </c>
      <c r="AA4" s="8">
        <f>INDEX('V_Teknoloji'!Z$2:Z$19,MATCH(LARGE('V_Teknoloji'!$AE$2:$AE$19,ROW()-3),'V_Teknoloji'!$AE$2:$AE$19,0))</f>
        <v/>
      </c>
      <c r="AB4" s="8">
        <f>INDEX('V_Teknoloji'!AA$2:AA$19,MATCH(LARGE('V_Teknoloji'!$AE$2:$AE$19,ROW()-3),'V_Teknoloji'!$AE$2:$AE$19,0))</f>
        <v/>
      </c>
      <c r="AC4" s="8">
        <f>INDEX('V_Teknoloji'!AB$2:AB$19,MATCH(LARGE('V_Teknoloji'!$AE$2:$AE$19,ROW()-3),'V_Teknoloji'!$AE$2:$AE$19,0))</f>
        <v/>
      </c>
      <c r="AD4" s="8">
        <f>INDEX('V_Teknoloji'!AC$2:AC$19,MATCH(LARGE('V_Teknoloji'!$AE$2:$AE$19,ROW()-3),'V_Teknoloji'!$AE$2:$AE$19,0))</f>
        <v/>
      </c>
    </row>
    <row r="5">
      <c r="A5" t="n">
        <v>2</v>
      </c>
      <c r="B5" s="5">
        <f>INDEX('V_Teknoloji'!A$2:A$19,MATCH(LARGE('V_Teknoloji'!$AE$2:$AE$19,ROW()-3),'V_Teknoloji'!$AE$2:$AE$19,0))</f>
        <v/>
      </c>
      <c r="C5" s="5">
        <f>INDEX('V_Teknoloji'!B$2:B$19,MATCH(LARGE('V_Teknoloji'!$AE$2:$AE$19,ROW()-3),'V_Teknoloji'!$AE$2:$AE$19,0))</f>
        <v/>
      </c>
      <c r="D5" s="5">
        <f>INDEX('V_Teknoloji'!C$2:C$19,MATCH(LARGE('V_Teknoloji'!$AE$2:$AE$19,ROW()-3),'V_Teknoloji'!$AE$2:$AE$19,0))</f>
        <v/>
      </c>
      <c r="E5" s="8">
        <f>INDEX('V_Teknoloji'!D$2:D$19,MATCH(LARGE('V_Teknoloji'!$AE$2:$AE$19,ROW()-3),'V_Teknoloji'!$AE$2:$AE$19,0))</f>
        <v/>
      </c>
      <c r="F5" s="9">
        <f>INDEX('V_Teknoloji'!E$2:E$19,MATCH(LARGE('V_Teknoloji'!$AE$2:$AE$19,ROW()-3),'V_Teknoloji'!$AE$2:$AE$19,0))</f>
        <v/>
      </c>
      <c r="G5" s="9">
        <f>INDEX('V_Teknoloji'!F$2:F$19,MATCH(LARGE('V_Teknoloji'!$AE$2:$AE$19,ROW()-3),'V_Teknoloji'!$AE$2:$AE$19,0))</f>
        <v/>
      </c>
      <c r="H5" s="9">
        <f>INDEX('V_Teknoloji'!G$2:G$19,MATCH(LARGE('V_Teknoloji'!$AE$2:$AE$19,ROW()-3),'V_Teknoloji'!$AE$2:$AE$19,0))</f>
        <v/>
      </c>
      <c r="I5" s="9">
        <f>INDEX('V_Teknoloji'!H$2:H$19,MATCH(LARGE('V_Teknoloji'!$AE$2:$AE$19,ROW()-3),'V_Teknoloji'!$AE$2:$AE$19,0))</f>
        <v/>
      </c>
      <c r="J5" s="9">
        <f>INDEX('V_Teknoloji'!I$2:I$19,MATCH(LARGE('V_Teknoloji'!$AE$2:$AE$19,ROW()-3),'V_Teknoloji'!$AE$2:$AE$19,0))</f>
        <v/>
      </c>
      <c r="K5" s="10">
        <f>INDEX('V_Teknoloji'!J$2:J$19,MATCH(LARGE('V_Teknoloji'!$AE$2:$AE$19,ROW()-3),'V_Teknoloji'!$AE$2:$AE$19,0))</f>
        <v/>
      </c>
      <c r="L5" s="10">
        <f>INDEX('V_Teknoloji'!K$2:K$19,MATCH(LARGE('V_Teknoloji'!$AE$2:$AE$19,ROW()-3),'V_Teknoloji'!$AE$2:$AE$19,0))</f>
        <v/>
      </c>
      <c r="M5" s="8">
        <f>INDEX('V_Teknoloji'!L$2:L$19,MATCH(LARGE('V_Teknoloji'!$AE$2:$AE$19,ROW()-3),'V_Teknoloji'!$AE$2:$AE$19,0))</f>
        <v/>
      </c>
      <c r="N5" s="11">
        <f>INDEX('V_Teknoloji'!M$2:M$19,MATCH(LARGE('V_Teknoloji'!$AE$2:$AE$19,ROW()-3),'V_Teknoloji'!$AE$2:$AE$19,0))</f>
        <v/>
      </c>
      <c r="O5" s="11">
        <f>INDEX('V_Teknoloji'!N$2:N$19,MATCH(LARGE('V_Teknoloji'!$AE$2:$AE$19,ROW()-3),'V_Teknoloji'!$AE$2:$AE$19,0))</f>
        <v/>
      </c>
      <c r="P5" s="8">
        <f>INDEX('V_Teknoloji'!O$2:O$19,MATCH(LARGE('V_Teknoloji'!$AE$2:$AE$19,ROW()-3),'V_Teknoloji'!$AE$2:$AE$19,0))</f>
        <v/>
      </c>
      <c r="Q5" s="9">
        <f>INDEX('V_Teknoloji'!P$2:P$19,MATCH(LARGE('V_Teknoloji'!$AE$2:$AE$19,ROW()-3),'V_Teknoloji'!$AE$2:$AE$19,0))</f>
        <v/>
      </c>
      <c r="R5" s="5">
        <f>INDEX('V_Teknoloji'!Q$2:Q$19,MATCH(LARGE('V_Teknoloji'!$AE$2:$AE$19,ROW()-3),'V_Teknoloji'!$AE$2:$AE$19,0))</f>
        <v/>
      </c>
      <c r="S5" s="8">
        <f>INDEX('V_Teknoloji'!R$2:R$19,MATCH(LARGE('V_Teknoloji'!$AE$2:$AE$19,ROW()-3),'V_Teknoloji'!$AE$2:$AE$19,0))</f>
        <v/>
      </c>
      <c r="T5" s="8">
        <f>INDEX('V_Teknoloji'!S$2:S$19,MATCH(LARGE('V_Teknoloji'!$AE$2:$AE$19,ROW()-3),'V_Teknoloji'!$AE$2:$AE$19,0))</f>
        <v/>
      </c>
      <c r="U5" s="8">
        <f>INDEX('V_Teknoloji'!T$2:T$19,MATCH(LARGE('V_Teknoloji'!$AE$2:$AE$19,ROW()-3),'V_Teknoloji'!$AE$2:$AE$19,0))</f>
        <v/>
      </c>
      <c r="V5" s="8">
        <f>INDEX('V_Teknoloji'!U$2:U$19,MATCH(LARGE('V_Teknoloji'!$AE$2:$AE$19,ROW()-3),'V_Teknoloji'!$AE$2:$AE$19,0))</f>
        <v/>
      </c>
      <c r="W5" s="8">
        <f>INDEX('V_Teknoloji'!V$2:V$19,MATCH(LARGE('V_Teknoloji'!$AE$2:$AE$19,ROW()-3),'V_Teknoloji'!$AE$2:$AE$19,0))</f>
        <v/>
      </c>
      <c r="X5" s="8">
        <f>INDEX('V_Teknoloji'!W$2:W$19,MATCH(LARGE('V_Teknoloji'!$AE$2:$AE$19,ROW()-3),'V_Teknoloji'!$AE$2:$AE$19,0))</f>
        <v/>
      </c>
      <c r="Y5" s="8">
        <f>INDEX('V_Teknoloji'!X$2:X$19,MATCH(LARGE('V_Teknoloji'!$AE$2:$AE$19,ROW()-3),'V_Teknoloji'!$AE$2:$AE$19,0))</f>
        <v/>
      </c>
      <c r="Z5" s="8">
        <f>INDEX('V_Teknoloji'!Y$2:Y$19,MATCH(LARGE('V_Teknoloji'!$AE$2:$AE$19,ROW()-3),'V_Teknoloji'!$AE$2:$AE$19,0))</f>
        <v/>
      </c>
      <c r="AA5" s="8">
        <f>INDEX('V_Teknoloji'!Z$2:Z$19,MATCH(LARGE('V_Teknoloji'!$AE$2:$AE$19,ROW()-3),'V_Teknoloji'!$AE$2:$AE$19,0))</f>
        <v/>
      </c>
      <c r="AB5" s="8">
        <f>INDEX('V_Teknoloji'!AA$2:AA$19,MATCH(LARGE('V_Teknoloji'!$AE$2:$AE$19,ROW()-3),'V_Teknoloji'!$AE$2:$AE$19,0))</f>
        <v/>
      </c>
      <c r="AC5" s="8">
        <f>INDEX('V_Teknoloji'!AB$2:AB$19,MATCH(LARGE('V_Teknoloji'!$AE$2:$AE$19,ROW()-3),'V_Teknoloji'!$AE$2:$AE$19,0))</f>
        <v/>
      </c>
      <c r="AD5" s="8">
        <f>INDEX('V_Teknoloji'!AC$2:AC$19,MATCH(LARGE('V_Teknoloji'!$AE$2:$AE$19,ROW()-3),'V_Teknoloji'!$AE$2:$AE$19,0))</f>
        <v/>
      </c>
    </row>
    <row r="6">
      <c r="A6" t="n">
        <v>3</v>
      </c>
      <c r="B6" s="5">
        <f>INDEX('V_Teknoloji'!A$2:A$19,MATCH(LARGE('V_Teknoloji'!$AE$2:$AE$19,ROW()-3),'V_Teknoloji'!$AE$2:$AE$19,0))</f>
        <v/>
      </c>
      <c r="C6" s="5">
        <f>INDEX('V_Teknoloji'!B$2:B$19,MATCH(LARGE('V_Teknoloji'!$AE$2:$AE$19,ROW()-3),'V_Teknoloji'!$AE$2:$AE$19,0))</f>
        <v/>
      </c>
      <c r="D6" s="5">
        <f>INDEX('V_Teknoloji'!C$2:C$19,MATCH(LARGE('V_Teknoloji'!$AE$2:$AE$19,ROW()-3),'V_Teknoloji'!$AE$2:$AE$19,0))</f>
        <v/>
      </c>
      <c r="E6" s="8">
        <f>INDEX('V_Teknoloji'!D$2:D$19,MATCH(LARGE('V_Teknoloji'!$AE$2:$AE$19,ROW()-3),'V_Teknoloji'!$AE$2:$AE$19,0))</f>
        <v/>
      </c>
      <c r="F6" s="9">
        <f>INDEX('V_Teknoloji'!E$2:E$19,MATCH(LARGE('V_Teknoloji'!$AE$2:$AE$19,ROW()-3),'V_Teknoloji'!$AE$2:$AE$19,0))</f>
        <v/>
      </c>
      <c r="G6" s="9">
        <f>INDEX('V_Teknoloji'!F$2:F$19,MATCH(LARGE('V_Teknoloji'!$AE$2:$AE$19,ROW()-3),'V_Teknoloji'!$AE$2:$AE$19,0))</f>
        <v/>
      </c>
      <c r="H6" s="9">
        <f>INDEX('V_Teknoloji'!G$2:G$19,MATCH(LARGE('V_Teknoloji'!$AE$2:$AE$19,ROW()-3),'V_Teknoloji'!$AE$2:$AE$19,0))</f>
        <v/>
      </c>
      <c r="I6" s="9">
        <f>INDEX('V_Teknoloji'!H$2:H$19,MATCH(LARGE('V_Teknoloji'!$AE$2:$AE$19,ROW()-3),'V_Teknoloji'!$AE$2:$AE$19,0))</f>
        <v/>
      </c>
      <c r="J6" s="9">
        <f>INDEX('V_Teknoloji'!I$2:I$19,MATCH(LARGE('V_Teknoloji'!$AE$2:$AE$19,ROW()-3),'V_Teknoloji'!$AE$2:$AE$19,0))</f>
        <v/>
      </c>
      <c r="K6" s="10">
        <f>INDEX('V_Teknoloji'!J$2:J$19,MATCH(LARGE('V_Teknoloji'!$AE$2:$AE$19,ROW()-3),'V_Teknoloji'!$AE$2:$AE$19,0))</f>
        <v/>
      </c>
      <c r="L6" s="10">
        <f>INDEX('V_Teknoloji'!K$2:K$19,MATCH(LARGE('V_Teknoloji'!$AE$2:$AE$19,ROW()-3),'V_Teknoloji'!$AE$2:$AE$19,0))</f>
        <v/>
      </c>
      <c r="M6" s="8">
        <f>INDEX('V_Teknoloji'!L$2:L$19,MATCH(LARGE('V_Teknoloji'!$AE$2:$AE$19,ROW()-3),'V_Teknoloji'!$AE$2:$AE$19,0))</f>
        <v/>
      </c>
      <c r="N6" s="11">
        <f>INDEX('V_Teknoloji'!M$2:M$19,MATCH(LARGE('V_Teknoloji'!$AE$2:$AE$19,ROW()-3),'V_Teknoloji'!$AE$2:$AE$19,0))</f>
        <v/>
      </c>
      <c r="O6" s="11">
        <f>INDEX('V_Teknoloji'!N$2:N$19,MATCH(LARGE('V_Teknoloji'!$AE$2:$AE$19,ROW()-3),'V_Teknoloji'!$AE$2:$AE$19,0))</f>
        <v/>
      </c>
      <c r="P6" s="8">
        <f>INDEX('V_Teknoloji'!O$2:O$19,MATCH(LARGE('V_Teknoloji'!$AE$2:$AE$19,ROW()-3),'V_Teknoloji'!$AE$2:$AE$19,0))</f>
        <v/>
      </c>
      <c r="Q6" s="9">
        <f>INDEX('V_Teknoloji'!P$2:P$19,MATCH(LARGE('V_Teknoloji'!$AE$2:$AE$19,ROW()-3),'V_Teknoloji'!$AE$2:$AE$19,0))</f>
        <v/>
      </c>
      <c r="R6" s="5">
        <f>INDEX('V_Teknoloji'!Q$2:Q$19,MATCH(LARGE('V_Teknoloji'!$AE$2:$AE$19,ROW()-3),'V_Teknoloji'!$AE$2:$AE$19,0))</f>
        <v/>
      </c>
      <c r="S6" s="8">
        <f>INDEX('V_Teknoloji'!R$2:R$19,MATCH(LARGE('V_Teknoloji'!$AE$2:$AE$19,ROW()-3),'V_Teknoloji'!$AE$2:$AE$19,0))</f>
        <v/>
      </c>
      <c r="T6" s="8">
        <f>INDEX('V_Teknoloji'!S$2:S$19,MATCH(LARGE('V_Teknoloji'!$AE$2:$AE$19,ROW()-3),'V_Teknoloji'!$AE$2:$AE$19,0))</f>
        <v/>
      </c>
      <c r="U6" s="8">
        <f>INDEX('V_Teknoloji'!T$2:T$19,MATCH(LARGE('V_Teknoloji'!$AE$2:$AE$19,ROW()-3),'V_Teknoloji'!$AE$2:$AE$19,0))</f>
        <v/>
      </c>
      <c r="V6" s="8">
        <f>INDEX('V_Teknoloji'!U$2:U$19,MATCH(LARGE('V_Teknoloji'!$AE$2:$AE$19,ROW()-3),'V_Teknoloji'!$AE$2:$AE$19,0))</f>
        <v/>
      </c>
      <c r="W6" s="8">
        <f>INDEX('V_Teknoloji'!V$2:V$19,MATCH(LARGE('V_Teknoloji'!$AE$2:$AE$19,ROW()-3),'V_Teknoloji'!$AE$2:$AE$19,0))</f>
        <v/>
      </c>
      <c r="X6" s="8">
        <f>INDEX('V_Teknoloji'!W$2:W$19,MATCH(LARGE('V_Teknoloji'!$AE$2:$AE$19,ROW()-3),'V_Teknoloji'!$AE$2:$AE$19,0))</f>
        <v/>
      </c>
      <c r="Y6" s="8">
        <f>INDEX('V_Teknoloji'!X$2:X$19,MATCH(LARGE('V_Teknoloji'!$AE$2:$AE$19,ROW()-3),'V_Teknoloji'!$AE$2:$AE$19,0))</f>
        <v/>
      </c>
      <c r="Z6" s="8">
        <f>INDEX('V_Teknoloji'!Y$2:Y$19,MATCH(LARGE('V_Teknoloji'!$AE$2:$AE$19,ROW()-3),'V_Teknoloji'!$AE$2:$AE$19,0))</f>
        <v/>
      </c>
      <c r="AA6" s="8">
        <f>INDEX('V_Teknoloji'!Z$2:Z$19,MATCH(LARGE('V_Teknoloji'!$AE$2:$AE$19,ROW()-3),'V_Teknoloji'!$AE$2:$AE$19,0))</f>
        <v/>
      </c>
      <c r="AB6" s="8">
        <f>INDEX('V_Teknoloji'!AA$2:AA$19,MATCH(LARGE('V_Teknoloji'!$AE$2:$AE$19,ROW()-3),'V_Teknoloji'!$AE$2:$AE$19,0))</f>
        <v/>
      </c>
      <c r="AC6" s="8">
        <f>INDEX('V_Teknoloji'!AB$2:AB$19,MATCH(LARGE('V_Teknoloji'!$AE$2:$AE$19,ROW()-3),'V_Teknoloji'!$AE$2:$AE$19,0))</f>
        <v/>
      </c>
      <c r="AD6" s="8">
        <f>INDEX('V_Teknoloji'!AC$2:AC$19,MATCH(LARGE('V_Teknoloji'!$AE$2:$AE$19,ROW()-3),'V_Teknoloji'!$AE$2:$AE$19,0))</f>
        <v/>
      </c>
    </row>
    <row r="7">
      <c r="A7" t="n">
        <v>4</v>
      </c>
      <c r="B7" s="5">
        <f>INDEX('V_Teknoloji'!A$2:A$19,MATCH(LARGE('V_Teknoloji'!$AE$2:$AE$19,ROW()-3),'V_Teknoloji'!$AE$2:$AE$19,0))</f>
        <v/>
      </c>
      <c r="C7" s="5">
        <f>INDEX('V_Teknoloji'!B$2:B$19,MATCH(LARGE('V_Teknoloji'!$AE$2:$AE$19,ROW()-3),'V_Teknoloji'!$AE$2:$AE$19,0))</f>
        <v/>
      </c>
      <c r="D7" s="5">
        <f>INDEX('V_Teknoloji'!C$2:C$19,MATCH(LARGE('V_Teknoloji'!$AE$2:$AE$19,ROW()-3),'V_Teknoloji'!$AE$2:$AE$19,0))</f>
        <v/>
      </c>
      <c r="E7" s="8">
        <f>INDEX('V_Teknoloji'!D$2:D$19,MATCH(LARGE('V_Teknoloji'!$AE$2:$AE$19,ROW()-3),'V_Teknoloji'!$AE$2:$AE$19,0))</f>
        <v/>
      </c>
      <c r="F7" s="9">
        <f>INDEX('V_Teknoloji'!E$2:E$19,MATCH(LARGE('V_Teknoloji'!$AE$2:$AE$19,ROW()-3),'V_Teknoloji'!$AE$2:$AE$19,0))</f>
        <v/>
      </c>
      <c r="G7" s="9">
        <f>INDEX('V_Teknoloji'!F$2:F$19,MATCH(LARGE('V_Teknoloji'!$AE$2:$AE$19,ROW()-3),'V_Teknoloji'!$AE$2:$AE$19,0))</f>
        <v/>
      </c>
      <c r="H7" s="9">
        <f>INDEX('V_Teknoloji'!G$2:G$19,MATCH(LARGE('V_Teknoloji'!$AE$2:$AE$19,ROW()-3),'V_Teknoloji'!$AE$2:$AE$19,0))</f>
        <v/>
      </c>
      <c r="I7" s="9">
        <f>INDEX('V_Teknoloji'!H$2:H$19,MATCH(LARGE('V_Teknoloji'!$AE$2:$AE$19,ROW()-3),'V_Teknoloji'!$AE$2:$AE$19,0))</f>
        <v/>
      </c>
      <c r="J7" s="9">
        <f>INDEX('V_Teknoloji'!I$2:I$19,MATCH(LARGE('V_Teknoloji'!$AE$2:$AE$19,ROW()-3),'V_Teknoloji'!$AE$2:$AE$19,0))</f>
        <v/>
      </c>
      <c r="K7" s="10">
        <f>INDEX('V_Teknoloji'!J$2:J$19,MATCH(LARGE('V_Teknoloji'!$AE$2:$AE$19,ROW()-3),'V_Teknoloji'!$AE$2:$AE$19,0))</f>
        <v/>
      </c>
      <c r="L7" s="10">
        <f>INDEX('V_Teknoloji'!K$2:K$19,MATCH(LARGE('V_Teknoloji'!$AE$2:$AE$19,ROW()-3),'V_Teknoloji'!$AE$2:$AE$19,0))</f>
        <v/>
      </c>
      <c r="M7" s="8">
        <f>INDEX('V_Teknoloji'!L$2:L$19,MATCH(LARGE('V_Teknoloji'!$AE$2:$AE$19,ROW()-3),'V_Teknoloji'!$AE$2:$AE$19,0))</f>
        <v/>
      </c>
      <c r="N7" s="11">
        <f>INDEX('V_Teknoloji'!M$2:M$19,MATCH(LARGE('V_Teknoloji'!$AE$2:$AE$19,ROW()-3),'V_Teknoloji'!$AE$2:$AE$19,0))</f>
        <v/>
      </c>
      <c r="O7" s="11">
        <f>INDEX('V_Teknoloji'!N$2:N$19,MATCH(LARGE('V_Teknoloji'!$AE$2:$AE$19,ROW()-3),'V_Teknoloji'!$AE$2:$AE$19,0))</f>
        <v/>
      </c>
      <c r="P7" s="8">
        <f>INDEX('V_Teknoloji'!O$2:O$19,MATCH(LARGE('V_Teknoloji'!$AE$2:$AE$19,ROW()-3),'V_Teknoloji'!$AE$2:$AE$19,0))</f>
        <v/>
      </c>
      <c r="Q7" s="9">
        <f>INDEX('V_Teknoloji'!P$2:P$19,MATCH(LARGE('V_Teknoloji'!$AE$2:$AE$19,ROW()-3),'V_Teknoloji'!$AE$2:$AE$19,0))</f>
        <v/>
      </c>
      <c r="R7" s="5">
        <f>INDEX('V_Teknoloji'!Q$2:Q$19,MATCH(LARGE('V_Teknoloji'!$AE$2:$AE$19,ROW()-3),'V_Teknoloji'!$AE$2:$AE$19,0))</f>
        <v/>
      </c>
      <c r="S7" s="8">
        <f>INDEX('V_Teknoloji'!R$2:R$19,MATCH(LARGE('V_Teknoloji'!$AE$2:$AE$19,ROW()-3),'V_Teknoloji'!$AE$2:$AE$19,0))</f>
        <v/>
      </c>
      <c r="T7" s="8">
        <f>INDEX('V_Teknoloji'!S$2:S$19,MATCH(LARGE('V_Teknoloji'!$AE$2:$AE$19,ROW()-3),'V_Teknoloji'!$AE$2:$AE$19,0))</f>
        <v/>
      </c>
      <c r="U7" s="8">
        <f>INDEX('V_Teknoloji'!T$2:T$19,MATCH(LARGE('V_Teknoloji'!$AE$2:$AE$19,ROW()-3),'V_Teknoloji'!$AE$2:$AE$19,0))</f>
        <v/>
      </c>
      <c r="V7" s="8">
        <f>INDEX('V_Teknoloji'!U$2:U$19,MATCH(LARGE('V_Teknoloji'!$AE$2:$AE$19,ROW()-3),'V_Teknoloji'!$AE$2:$AE$19,0))</f>
        <v/>
      </c>
      <c r="W7" s="8">
        <f>INDEX('V_Teknoloji'!V$2:V$19,MATCH(LARGE('V_Teknoloji'!$AE$2:$AE$19,ROW()-3),'V_Teknoloji'!$AE$2:$AE$19,0))</f>
        <v/>
      </c>
      <c r="X7" s="8">
        <f>INDEX('V_Teknoloji'!W$2:W$19,MATCH(LARGE('V_Teknoloji'!$AE$2:$AE$19,ROW()-3),'V_Teknoloji'!$AE$2:$AE$19,0))</f>
        <v/>
      </c>
      <c r="Y7" s="8">
        <f>INDEX('V_Teknoloji'!X$2:X$19,MATCH(LARGE('V_Teknoloji'!$AE$2:$AE$19,ROW()-3),'V_Teknoloji'!$AE$2:$AE$19,0))</f>
        <v/>
      </c>
      <c r="Z7" s="8">
        <f>INDEX('V_Teknoloji'!Y$2:Y$19,MATCH(LARGE('V_Teknoloji'!$AE$2:$AE$19,ROW()-3),'V_Teknoloji'!$AE$2:$AE$19,0))</f>
        <v/>
      </c>
      <c r="AA7" s="8">
        <f>INDEX('V_Teknoloji'!Z$2:Z$19,MATCH(LARGE('V_Teknoloji'!$AE$2:$AE$19,ROW()-3),'V_Teknoloji'!$AE$2:$AE$19,0))</f>
        <v/>
      </c>
      <c r="AB7" s="8">
        <f>INDEX('V_Teknoloji'!AA$2:AA$19,MATCH(LARGE('V_Teknoloji'!$AE$2:$AE$19,ROW()-3),'V_Teknoloji'!$AE$2:$AE$19,0))</f>
        <v/>
      </c>
      <c r="AC7" s="8">
        <f>INDEX('V_Teknoloji'!AB$2:AB$19,MATCH(LARGE('V_Teknoloji'!$AE$2:$AE$19,ROW()-3),'V_Teknoloji'!$AE$2:$AE$19,0))</f>
        <v/>
      </c>
      <c r="AD7" s="8">
        <f>INDEX('V_Teknoloji'!AC$2:AC$19,MATCH(LARGE('V_Teknoloji'!$AE$2:$AE$19,ROW()-3),'V_Teknoloji'!$AE$2:$AE$19,0))</f>
        <v/>
      </c>
    </row>
    <row r="8">
      <c r="A8" t="n">
        <v>5</v>
      </c>
      <c r="B8" s="5">
        <f>INDEX('V_Teknoloji'!A$2:A$19,MATCH(LARGE('V_Teknoloji'!$AE$2:$AE$19,ROW()-3),'V_Teknoloji'!$AE$2:$AE$19,0))</f>
        <v/>
      </c>
      <c r="C8" s="5">
        <f>INDEX('V_Teknoloji'!B$2:B$19,MATCH(LARGE('V_Teknoloji'!$AE$2:$AE$19,ROW()-3),'V_Teknoloji'!$AE$2:$AE$19,0))</f>
        <v/>
      </c>
      <c r="D8" s="5">
        <f>INDEX('V_Teknoloji'!C$2:C$19,MATCH(LARGE('V_Teknoloji'!$AE$2:$AE$19,ROW()-3),'V_Teknoloji'!$AE$2:$AE$19,0))</f>
        <v/>
      </c>
      <c r="E8" s="8">
        <f>INDEX('V_Teknoloji'!D$2:D$19,MATCH(LARGE('V_Teknoloji'!$AE$2:$AE$19,ROW()-3),'V_Teknoloji'!$AE$2:$AE$19,0))</f>
        <v/>
      </c>
      <c r="F8" s="9">
        <f>INDEX('V_Teknoloji'!E$2:E$19,MATCH(LARGE('V_Teknoloji'!$AE$2:$AE$19,ROW()-3),'V_Teknoloji'!$AE$2:$AE$19,0))</f>
        <v/>
      </c>
      <c r="G8" s="9">
        <f>INDEX('V_Teknoloji'!F$2:F$19,MATCH(LARGE('V_Teknoloji'!$AE$2:$AE$19,ROW()-3),'V_Teknoloji'!$AE$2:$AE$19,0))</f>
        <v/>
      </c>
      <c r="H8" s="9">
        <f>INDEX('V_Teknoloji'!G$2:G$19,MATCH(LARGE('V_Teknoloji'!$AE$2:$AE$19,ROW()-3),'V_Teknoloji'!$AE$2:$AE$19,0))</f>
        <v/>
      </c>
      <c r="I8" s="9">
        <f>INDEX('V_Teknoloji'!H$2:H$19,MATCH(LARGE('V_Teknoloji'!$AE$2:$AE$19,ROW()-3),'V_Teknoloji'!$AE$2:$AE$19,0))</f>
        <v/>
      </c>
      <c r="J8" s="9">
        <f>INDEX('V_Teknoloji'!I$2:I$19,MATCH(LARGE('V_Teknoloji'!$AE$2:$AE$19,ROW()-3),'V_Teknoloji'!$AE$2:$AE$19,0))</f>
        <v/>
      </c>
      <c r="K8" s="10">
        <f>INDEX('V_Teknoloji'!J$2:J$19,MATCH(LARGE('V_Teknoloji'!$AE$2:$AE$19,ROW()-3),'V_Teknoloji'!$AE$2:$AE$19,0))</f>
        <v/>
      </c>
      <c r="L8" s="10">
        <f>INDEX('V_Teknoloji'!K$2:K$19,MATCH(LARGE('V_Teknoloji'!$AE$2:$AE$19,ROW()-3),'V_Teknoloji'!$AE$2:$AE$19,0))</f>
        <v/>
      </c>
      <c r="M8" s="8">
        <f>INDEX('V_Teknoloji'!L$2:L$19,MATCH(LARGE('V_Teknoloji'!$AE$2:$AE$19,ROW()-3),'V_Teknoloji'!$AE$2:$AE$19,0))</f>
        <v/>
      </c>
      <c r="N8" s="11">
        <f>INDEX('V_Teknoloji'!M$2:M$19,MATCH(LARGE('V_Teknoloji'!$AE$2:$AE$19,ROW()-3),'V_Teknoloji'!$AE$2:$AE$19,0))</f>
        <v/>
      </c>
      <c r="O8" s="11">
        <f>INDEX('V_Teknoloji'!N$2:N$19,MATCH(LARGE('V_Teknoloji'!$AE$2:$AE$19,ROW()-3),'V_Teknoloji'!$AE$2:$AE$19,0))</f>
        <v/>
      </c>
      <c r="P8" s="8">
        <f>INDEX('V_Teknoloji'!O$2:O$19,MATCH(LARGE('V_Teknoloji'!$AE$2:$AE$19,ROW()-3),'V_Teknoloji'!$AE$2:$AE$19,0))</f>
        <v/>
      </c>
      <c r="Q8" s="9">
        <f>INDEX('V_Teknoloji'!P$2:P$19,MATCH(LARGE('V_Teknoloji'!$AE$2:$AE$19,ROW()-3),'V_Teknoloji'!$AE$2:$AE$19,0))</f>
        <v/>
      </c>
      <c r="R8" s="5">
        <f>INDEX('V_Teknoloji'!Q$2:Q$19,MATCH(LARGE('V_Teknoloji'!$AE$2:$AE$19,ROW()-3),'V_Teknoloji'!$AE$2:$AE$19,0))</f>
        <v/>
      </c>
      <c r="S8" s="8">
        <f>INDEX('V_Teknoloji'!R$2:R$19,MATCH(LARGE('V_Teknoloji'!$AE$2:$AE$19,ROW()-3),'V_Teknoloji'!$AE$2:$AE$19,0))</f>
        <v/>
      </c>
      <c r="T8" s="8">
        <f>INDEX('V_Teknoloji'!S$2:S$19,MATCH(LARGE('V_Teknoloji'!$AE$2:$AE$19,ROW()-3),'V_Teknoloji'!$AE$2:$AE$19,0))</f>
        <v/>
      </c>
      <c r="U8" s="8">
        <f>INDEX('V_Teknoloji'!T$2:T$19,MATCH(LARGE('V_Teknoloji'!$AE$2:$AE$19,ROW()-3),'V_Teknoloji'!$AE$2:$AE$19,0))</f>
        <v/>
      </c>
      <c r="V8" s="8">
        <f>INDEX('V_Teknoloji'!U$2:U$19,MATCH(LARGE('V_Teknoloji'!$AE$2:$AE$19,ROW()-3),'V_Teknoloji'!$AE$2:$AE$19,0))</f>
        <v/>
      </c>
      <c r="W8" s="8">
        <f>INDEX('V_Teknoloji'!V$2:V$19,MATCH(LARGE('V_Teknoloji'!$AE$2:$AE$19,ROW()-3),'V_Teknoloji'!$AE$2:$AE$19,0))</f>
        <v/>
      </c>
      <c r="X8" s="8">
        <f>INDEX('V_Teknoloji'!W$2:W$19,MATCH(LARGE('V_Teknoloji'!$AE$2:$AE$19,ROW()-3),'V_Teknoloji'!$AE$2:$AE$19,0))</f>
        <v/>
      </c>
      <c r="Y8" s="8">
        <f>INDEX('V_Teknoloji'!X$2:X$19,MATCH(LARGE('V_Teknoloji'!$AE$2:$AE$19,ROW()-3),'V_Teknoloji'!$AE$2:$AE$19,0))</f>
        <v/>
      </c>
      <c r="Z8" s="8">
        <f>INDEX('V_Teknoloji'!Y$2:Y$19,MATCH(LARGE('V_Teknoloji'!$AE$2:$AE$19,ROW()-3),'V_Teknoloji'!$AE$2:$AE$19,0))</f>
        <v/>
      </c>
      <c r="AA8" s="8">
        <f>INDEX('V_Teknoloji'!Z$2:Z$19,MATCH(LARGE('V_Teknoloji'!$AE$2:$AE$19,ROW()-3),'V_Teknoloji'!$AE$2:$AE$19,0))</f>
        <v/>
      </c>
      <c r="AB8" s="8">
        <f>INDEX('V_Teknoloji'!AA$2:AA$19,MATCH(LARGE('V_Teknoloji'!$AE$2:$AE$19,ROW()-3),'V_Teknoloji'!$AE$2:$AE$19,0))</f>
        <v/>
      </c>
      <c r="AC8" s="8">
        <f>INDEX('V_Teknoloji'!AB$2:AB$19,MATCH(LARGE('V_Teknoloji'!$AE$2:$AE$19,ROW()-3),'V_Teknoloji'!$AE$2:$AE$19,0))</f>
        <v/>
      </c>
      <c r="AD8" s="8">
        <f>INDEX('V_Teknoloji'!AC$2:AC$19,MATCH(LARGE('V_Teknoloji'!$AE$2:$AE$19,ROW()-3),'V_Teknoloji'!$AE$2:$AE$19,0))</f>
        <v/>
      </c>
    </row>
    <row r="9">
      <c r="A9" t="n">
        <v>6</v>
      </c>
      <c r="B9" s="5">
        <f>INDEX('V_Teknoloji'!A$2:A$19,MATCH(LARGE('V_Teknoloji'!$AE$2:$AE$19,ROW()-3),'V_Teknoloji'!$AE$2:$AE$19,0))</f>
        <v/>
      </c>
      <c r="C9" s="5">
        <f>INDEX('V_Teknoloji'!B$2:B$19,MATCH(LARGE('V_Teknoloji'!$AE$2:$AE$19,ROW()-3),'V_Teknoloji'!$AE$2:$AE$19,0))</f>
        <v/>
      </c>
      <c r="D9" s="5">
        <f>INDEX('V_Teknoloji'!C$2:C$19,MATCH(LARGE('V_Teknoloji'!$AE$2:$AE$19,ROW()-3),'V_Teknoloji'!$AE$2:$AE$19,0))</f>
        <v/>
      </c>
      <c r="E9" s="8">
        <f>INDEX('V_Teknoloji'!D$2:D$19,MATCH(LARGE('V_Teknoloji'!$AE$2:$AE$19,ROW()-3),'V_Teknoloji'!$AE$2:$AE$19,0))</f>
        <v/>
      </c>
      <c r="F9" s="9">
        <f>INDEX('V_Teknoloji'!E$2:E$19,MATCH(LARGE('V_Teknoloji'!$AE$2:$AE$19,ROW()-3),'V_Teknoloji'!$AE$2:$AE$19,0))</f>
        <v/>
      </c>
      <c r="G9" s="9">
        <f>INDEX('V_Teknoloji'!F$2:F$19,MATCH(LARGE('V_Teknoloji'!$AE$2:$AE$19,ROW()-3),'V_Teknoloji'!$AE$2:$AE$19,0))</f>
        <v/>
      </c>
      <c r="H9" s="9">
        <f>INDEX('V_Teknoloji'!G$2:G$19,MATCH(LARGE('V_Teknoloji'!$AE$2:$AE$19,ROW()-3),'V_Teknoloji'!$AE$2:$AE$19,0))</f>
        <v/>
      </c>
      <c r="I9" s="9">
        <f>INDEX('V_Teknoloji'!H$2:H$19,MATCH(LARGE('V_Teknoloji'!$AE$2:$AE$19,ROW()-3),'V_Teknoloji'!$AE$2:$AE$19,0))</f>
        <v/>
      </c>
      <c r="J9" s="9">
        <f>INDEX('V_Teknoloji'!I$2:I$19,MATCH(LARGE('V_Teknoloji'!$AE$2:$AE$19,ROW()-3),'V_Teknoloji'!$AE$2:$AE$19,0))</f>
        <v/>
      </c>
      <c r="K9" s="10">
        <f>INDEX('V_Teknoloji'!J$2:J$19,MATCH(LARGE('V_Teknoloji'!$AE$2:$AE$19,ROW()-3),'V_Teknoloji'!$AE$2:$AE$19,0))</f>
        <v/>
      </c>
      <c r="L9" s="10">
        <f>INDEX('V_Teknoloji'!K$2:K$19,MATCH(LARGE('V_Teknoloji'!$AE$2:$AE$19,ROW()-3),'V_Teknoloji'!$AE$2:$AE$19,0))</f>
        <v/>
      </c>
      <c r="M9" s="8">
        <f>INDEX('V_Teknoloji'!L$2:L$19,MATCH(LARGE('V_Teknoloji'!$AE$2:$AE$19,ROW()-3),'V_Teknoloji'!$AE$2:$AE$19,0))</f>
        <v/>
      </c>
      <c r="N9" s="11">
        <f>INDEX('V_Teknoloji'!M$2:M$19,MATCH(LARGE('V_Teknoloji'!$AE$2:$AE$19,ROW()-3),'V_Teknoloji'!$AE$2:$AE$19,0))</f>
        <v/>
      </c>
      <c r="O9" s="11">
        <f>INDEX('V_Teknoloji'!N$2:N$19,MATCH(LARGE('V_Teknoloji'!$AE$2:$AE$19,ROW()-3),'V_Teknoloji'!$AE$2:$AE$19,0))</f>
        <v/>
      </c>
      <c r="P9" s="8">
        <f>INDEX('V_Teknoloji'!O$2:O$19,MATCH(LARGE('V_Teknoloji'!$AE$2:$AE$19,ROW()-3),'V_Teknoloji'!$AE$2:$AE$19,0))</f>
        <v/>
      </c>
      <c r="Q9" s="9">
        <f>INDEX('V_Teknoloji'!P$2:P$19,MATCH(LARGE('V_Teknoloji'!$AE$2:$AE$19,ROW()-3),'V_Teknoloji'!$AE$2:$AE$19,0))</f>
        <v/>
      </c>
      <c r="R9" s="5">
        <f>INDEX('V_Teknoloji'!Q$2:Q$19,MATCH(LARGE('V_Teknoloji'!$AE$2:$AE$19,ROW()-3),'V_Teknoloji'!$AE$2:$AE$19,0))</f>
        <v/>
      </c>
      <c r="S9" s="8">
        <f>INDEX('V_Teknoloji'!R$2:R$19,MATCH(LARGE('V_Teknoloji'!$AE$2:$AE$19,ROW()-3),'V_Teknoloji'!$AE$2:$AE$19,0))</f>
        <v/>
      </c>
      <c r="T9" s="8">
        <f>INDEX('V_Teknoloji'!S$2:S$19,MATCH(LARGE('V_Teknoloji'!$AE$2:$AE$19,ROW()-3),'V_Teknoloji'!$AE$2:$AE$19,0))</f>
        <v/>
      </c>
      <c r="U9" s="8">
        <f>INDEX('V_Teknoloji'!T$2:T$19,MATCH(LARGE('V_Teknoloji'!$AE$2:$AE$19,ROW()-3),'V_Teknoloji'!$AE$2:$AE$19,0))</f>
        <v/>
      </c>
      <c r="V9" s="8">
        <f>INDEX('V_Teknoloji'!U$2:U$19,MATCH(LARGE('V_Teknoloji'!$AE$2:$AE$19,ROW()-3),'V_Teknoloji'!$AE$2:$AE$19,0))</f>
        <v/>
      </c>
      <c r="W9" s="8">
        <f>INDEX('V_Teknoloji'!V$2:V$19,MATCH(LARGE('V_Teknoloji'!$AE$2:$AE$19,ROW()-3),'V_Teknoloji'!$AE$2:$AE$19,0))</f>
        <v/>
      </c>
      <c r="X9" s="8">
        <f>INDEX('V_Teknoloji'!W$2:W$19,MATCH(LARGE('V_Teknoloji'!$AE$2:$AE$19,ROW()-3),'V_Teknoloji'!$AE$2:$AE$19,0))</f>
        <v/>
      </c>
      <c r="Y9" s="8">
        <f>INDEX('V_Teknoloji'!X$2:X$19,MATCH(LARGE('V_Teknoloji'!$AE$2:$AE$19,ROW()-3),'V_Teknoloji'!$AE$2:$AE$19,0))</f>
        <v/>
      </c>
      <c r="Z9" s="8">
        <f>INDEX('V_Teknoloji'!Y$2:Y$19,MATCH(LARGE('V_Teknoloji'!$AE$2:$AE$19,ROW()-3),'V_Teknoloji'!$AE$2:$AE$19,0))</f>
        <v/>
      </c>
      <c r="AA9" s="8">
        <f>INDEX('V_Teknoloji'!Z$2:Z$19,MATCH(LARGE('V_Teknoloji'!$AE$2:$AE$19,ROW()-3),'V_Teknoloji'!$AE$2:$AE$19,0))</f>
        <v/>
      </c>
      <c r="AB9" s="8">
        <f>INDEX('V_Teknoloji'!AA$2:AA$19,MATCH(LARGE('V_Teknoloji'!$AE$2:$AE$19,ROW()-3),'V_Teknoloji'!$AE$2:$AE$19,0))</f>
        <v/>
      </c>
      <c r="AC9" s="8">
        <f>INDEX('V_Teknoloji'!AB$2:AB$19,MATCH(LARGE('V_Teknoloji'!$AE$2:$AE$19,ROW()-3),'V_Teknoloji'!$AE$2:$AE$19,0))</f>
        <v/>
      </c>
      <c r="AD9" s="8">
        <f>INDEX('V_Teknoloji'!AC$2:AC$19,MATCH(LARGE('V_Teknoloji'!$AE$2:$AE$19,ROW()-3),'V_Teknoloji'!$AE$2:$AE$19,0))</f>
        <v/>
      </c>
    </row>
    <row r="10">
      <c r="A10" t="n">
        <v>7</v>
      </c>
      <c r="B10" s="5">
        <f>INDEX('V_Teknoloji'!A$2:A$19,MATCH(LARGE('V_Teknoloji'!$AE$2:$AE$19,ROW()-3),'V_Teknoloji'!$AE$2:$AE$19,0))</f>
        <v/>
      </c>
      <c r="C10" s="5">
        <f>INDEX('V_Teknoloji'!B$2:B$19,MATCH(LARGE('V_Teknoloji'!$AE$2:$AE$19,ROW()-3),'V_Teknoloji'!$AE$2:$AE$19,0))</f>
        <v/>
      </c>
      <c r="D10" s="5">
        <f>INDEX('V_Teknoloji'!C$2:C$19,MATCH(LARGE('V_Teknoloji'!$AE$2:$AE$19,ROW()-3),'V_Teknoloji'!$AE$2:$AE$19,0))</f>
        <v/>
      </c>
      <c r="E10" s="8">
        <f>INDEX('V_Teknoloji'!D$2:D$19,MATCH(LARGE('V_Teknoloji'!$AE$2:$AE$19,ROW()-3),'V_Teknoloji'!$AE$2:$AE$19,0))</f>
        <v/>
      </c>
      <c r="F10" s="9">
        <f>INDEX('V_Teknoloji'!E$2:E$19,MATCH(LARGE('V_Teknoloji'!$AE$2:$AE$19,ROW()-3),'V_Teknoloji'!$AE$2:$AE$19,0))</f>
        <v/>
      </c>
      <c r="G10" s="9">
        <f>INDEX('V_Teknoloji'!F$2:F$19,MATCH(LARGE('V_Teknoloji'!$AE$2:$AE$19,ROW()-3),'V_Teknoloji'!$AE$2:$AE$19,0))</f>
        <v/>
      </c>
      <c r="H10" s="9">
        <f>INDEX('V_Teknoloji'!G$2:G$19,MATCH(LARGE('V_Teknoloji'!$AE$2:$AE$19,ROW()-3),'V_Teknoloji'!$AE$2:$AE$19,0))</f>
        <v/>
      </c>
      <c r="I10" s="9">
        <f>INDEX('V_Teknoloji'!H$2:H$19,MATCH(LARGE('V_Teknoloji'!$AE$2:$AE$19,ROW()-3),'V_Teknoloji'!$AE$2:$AE$19,0))</f>
        <v/>
      </c>
      <c r="J10" s="9">
        <f>INDEX('V_Teknoloji'!I$2:I$19,MATCH(LARGE('V_Teknoloji'!$AE$2:$AE$19,ROW()-3),'V_Teknoloji'!$AE$2:$AE$19,0))</f>
        <v/>
      </c>
      <c r="K10" s="10">
        <f>INDEX('V_Teknoloji'!J$2:J$19,MATCH(LARGE('V_Teknoloji'!$AE$2:$AE$19,ROW()-3),'V_Teknoloji'!$AE$2:$AE$19,0))</f>
        <v/>
      </c>
      <c r="L10" s="10">
        <f>INDEX('V_Teknoloji'!K$2:K$19,MATCH(LARGE('V_Teknoloji'!$AE$2:$AE$19,ROW()-3),'V_Teknoloji'!$AE$2:$AE$19,0))</f>
        <v/>
      </c>
      <c r="M10" s="8">
        <f>INDEX('V_Teknoloji'!L$2:L$19,MATCH(LARGE('V_Teknoloji'!$AE$2:$AE$19,ROW()-3),'V_Teknoloji'!$AE$2:$AE$19,0))</f>
        <v/>
      </c>
      <c r="N10" s="11">
        <f>INDEX('V_Teknoloji'!M$2:M$19,MATCH(LARGE('V_Teknoloji'!$AE$2:$AE$19,ROW()-3),'V_Teknoloji'!$AE$2:$AE$19,0))</f>
        <v/>
      </c>
      <c r="O10" s="11">
        <f>INDEX('V_Teknoloji'!N$2:N$19,MATCH(LARGE('V_Teknoloji'!$AE$2:$AE$19,ROW()-3),'V_Teknoloji'!$AE$2:$AE$19,0))</f>
        <v/>
      </c>
      <c r="P10" s="8">
        <f>INDEX('V_Teknoloji'!O$2:O$19,MATCH(LARGE('V_Teknoloji'!$AE$2:$AE$19,ROW()-3),'V_Teknoloji'!$AE$2:$AE$19,0))</f>
        <v/>
      </c>
      <c r="Q10" s="9">
        <f>INDEX('V_Teknoloji'!P$2:P$19,MATCH(LARGE('V_Teknoloji'!$AE$2:$AE$19,ROW()-3),'V_Teknoloji'!$AE$2:$AE$19,0))</f>
        <v/>
      </c>
      <c r="R10" s="5">
        <f>INDEX('V_Teknoloji'!Q$2:Q$19,MATCH(LARGE('V_Teknoloji'!$AE$2:$AE$19,ROW()-3),'V_Teknoloji'!$AE$2:$AE$19,0))</f>
        <v/>
      </c>
      <c r="S10" s="8">
        <f>INDEX('V_Teknoloji'!R$2:R$19,MATCH(LARGE('V_Teknoloji'!$AE$2:$AE$19,ROW()-3),'V_Teknoloji'!$AE$2:$AE$19,0))</f>
        <v/>
      </c>
      <c r="T10" s="8">
        <f>INDEX('V_Teknoloji'!S$2:S$19,MATCH(LARGE('V_Teknoloji'!$AE$2:$AE$19,ROW()-3),'V_Teknoloji'!$AE$2:$AE$19,0))</f>
        <v/>
      </c>
      <c r="U10" s="8">
        <f>INDEX('V_Teknoloji'!T$2:T$19,MATCH(LARGE('V_Teknoloji'!$AE$2:$AE$19,ROW()-3),'V_Teknoloji'!$AE$2:$AE$19,0))</f>
        <v/>
      </c>
      <c r="V10" s="8">
        <f>INDEX('V_Teknoloji'!U$2:U$19,MATCH(LARGE('V_Teknoloji'!$AE$2:$AE$19,ROW()-3),'V_Teknoloji'!$AE$2:$AE$19,0))</f>
        <v/>
      </c>
      <c r="W10" s="8">
        <f>INDEX('V_Teknoloji'!V$2:V$19,MATCH(LARGE('V_Teknoloji'!$AE$2:$AE$19,ROW()-3),'V_Teknoloji'!$AE$2:$AE$19,0))</f>
        <v/>
      </c>
      <c r="X10" s="8">
        <f>INDEX('V_Teknoloji'!W$2:W$19,MATCH(LARGE('V_Teknoloji'!$AE$2:$AE$19,ROW()-3),'V_Teknoloji'!$AE$2:$AE$19,0))</f>
        <v/>
      </c>
      <c r="Y10" s="8">
        <f>INDEX('V_Teknoloji'!X$2:X$19,MATCH(LARGE('V_Teknoloji'!$AE$2:$AE$19,ROW()-3),'V_Teknoloji'!$AE$2:$AE$19,0))</f>
        <v/>
      </c>
      <c r="Z10" s="8">
        <f>INDEX('V_Teknoloji'!Y$2:Y$19,MATCH(LARGE('V_Teknoloji'!$AE$2:$AE$19,ROW()-3),'V_Teknoloji'!$AE$2:$AE$19,0))</f>
        <v/>
      </c>
      <c r="AA10" s="8">
        <f>INDEX('V_Teknoloji'!Z$2:Z$19,MATCH(LARGE('V_Teknoloji'!$AE$2:$AE$19,ROW()-3),'V_Teknoloji'!$AE$2:$AE$19,0))</f>
        <v/>
      </c>
      <c r="AB10" s="8">
        <f>INDEX('V_Teknoloji'!AA$2:AA$19,MATCH(LARGE('V_Teknoloji'!$AE$2:$AE$19,ROW()-3),'V_Teknoloji'!$AE$2:$AE$19,0))</f>
        <v/>
      </c>
      <c r="AC10" s="8">
        <f>INDEX('V_Teknoloji'!AB$2:AB$19,MATCH(LARGE('V_Teknoloji'!$AE$2:$AE$19,ROW()-3),'V_Teknoloji'!$AE$2:$AE$19,0))</f>
        <v/>
      </c>
      <c r="AD10" s="8">
        <f>INDEX('V_Teknoloji'!AC$2:AC$19,MATCH(LARGE('V_Teknoloji'!$AE$2:$AE$19,ROW()-3),'V_Teknoloji'!$AE$2:$AE$19,0))</f>
        <v/>
      </c>
    </row>
    <row r="11">
      <c r="A11" t="n">
        <v>8</v>
      </c>
      <c r="B11" s="5">
        <f>INDEX('V_Teknoloji'!A$2:A$19,MATCH(LARGE('V_Teknoloji'!$AE$2:$AE$19,ROW()-3),'V_Teknoloji'!$AE$2:$AE$19,0))</f>
        <v/>
      </c>
      <c r="C11" s="5">
        <f>INDEX('V_Teknoloji'!B$2:B$19,MATCH(LARGE('V_Teknoloji'!$AE$2:$AE$19,ROW()-3),'V_Teknoloji'!$AE$2:$AE$19,0))</f>
        <v/>
      </c>
      <c r="D11" s="5">
        <f>INDEX('V_Teknoloji'!C$2:C$19,MATCH(LARGE('V_Teknoloji'!$AE$2:$AE$19,ROW()-3),'V_Teknoloji'!$AE$2:$AE$19,0))</f>
        <v/>
      </c>
      <c r="E11" s="8">
        <f>INDEX('V_Teknoloji'!D$2:D$19,MATCH(LARGE('V_Teknoloji'!$AE$2:$AE$19,ROW()-3),'V_Teknoloji'!$AE$2:$AE$19,0))</f>
        <v/>
      </c>
      <c r="F11" s="9">
        <f>INDEX('V_Teknoloji'!E$2:E$19,MATCH(LARGE('V_Teknoloji'!$AE$2:$AE$19,ROW()-3),'V_Teknoloji'!$AE$2:$AE$19,0))</f>
        <v/>
      </c>
      <c r="G11" s="9">
        <f>INDEX('V_Teknoloji'!F$2:F$19,MATCH(LARGE('V_Teknoloji'!$AE$2:$AE$19,ROW()-3),'V_Teknoloji'!$AE$2:$AE$19,0))</f>
        <v/>
      </c>
      <c r="H11" s="9">
        <f>INDEX('V_Teknoloji'!G$2:G$19,MATCH(LARGE('V_Teknoloji'!$AE$2:$AE$19,ROW()-3),'V_Teknoloji'!$AE$2:$AE$19,0))</f>
        <v/>
      </c>
      <c r="I11" s="9">
        <f>INDEX('V_Teknoloji'!H$2:H$19,MATCH(LARGE('V_Teknoloji'!$AE$2:$AE$19,ROW()-3),'V_Teknoloji'!$AE$2:$AE$19,0))</f>
        <v/>
      </c>
      <c r="J11" s="9">
        <f>INDEX('V_Teknoloji'!I$2:I$19,MATCH(LARGE('V_Teknoloji'!$AE$2:$AE$19,ROW()-3),'V_Teknoloji'!$AE$2:$AE$19,0))</f>
        <v/>
      </c>
      <c r="K11" s="10">
        <f>INDEX('V_Teknoloji'!J$2:J$19,MATCH(LARGE('V_Teknoloji'!$AE$2:$AE$19,ROW()-3),'V_Teknoloji'!$AE$2:$AE$19,0))</f>
        <v/>
      </c>
      <c r="L11" s="10">
        <f>INDEX('V_Teknoloji'!K$2:K$19,MATCH(LARGE('V_Teknoloji'!$AE$2:$AE$19,ROW()-3),'V_Teknoloji'!$AE$2:$AE$19,0))</f>
        <v/>
      </c>
      <c r="M11" s="8">
        <f>INDEX('V_Teknoloji'!L$2:L$19,MATCH(LARGE('V_Teknoloji'!$AE$2:$AE$19,ROW()-3),'V_Teknoloji'!$AE$2:$AE$19,0))</f>
        <v/>
      </c>
      <c r="N11" s="11">
        <f>INDEX('V_Teknoloji'!M$2:M$19,MATCH(LARGE('V_Teknoloji'!$AE$2:$AE$19,ROW()-3),'V_Teknoloji'!$AE$2:$AE$19,0))</f>
        <v/>
      </c>
      <c r="O11" s="11">
        <f>INDEX('V_Teknoloji'!N$2:N$19,MATCH(LARGE('V_Teknoloji'!$AE$2:$AE$19,ROW()-3),'V_Teknoloji'!$AE$2:$AE$19,0))</f>
        <v/>
      </c>
      <c r="P11" s="8">
        <f>INDEX('V_Teknoloji'!O$2:O$19,MATCH(LARGE('V_Teknoloji'!$AE$2:$AE$19,ROW()-3),'V_Teknoloji'!$AE$2:$AE$19,0))</f>
        <v/>
      </c>
      <c r="Q11" s="9">
        <f>INDEX('V_Teknoloji'!P$2:P$19,MATCH(LARGE('V_Teknoloji'!$AE$2:$AE$19,ROW()-3),'V_Teknoloji'!$AE$2:$AE$19,0))</f>
        <v/>
      </c>
      <c r="R11" s="5">
        <f>INDEX('V_Teknoloji'!Q$2:Q$19,MATCH(LARGE('V_Teknoloji'!$AE$2:$AE$19,ROW()-3),'V_Teknoloji'!$AE$2:$AE$19,0))</f>
        <v/>
      </c>
      <c r="S11" s="8">
        <f>INDEX('V_Teknoloji'!R$2:R$19,MATCH(LARGE('V_Teknoloji'!$AE$2:$AE$19,ROW()-3),'V_Teknoloji'!$AE$2:$AE$19,0))</f>
        <v/>
      </c>
      <c r="T11" s="8">
        <f>INDEX('V_Teknoloji'!S$2:S$19,MATCH(LARGE('V_Teknoloji'!$AE$2:$AE$19,ROW()-3),'V_Teknoloji'!$AE$2:$AE$19,0))</f>
        <v/>
      </c>
      <c r="U11" s="8">
        <f>INDEX('V_Teknoloji'!T$2:T$19,MATCH(LARGE('V_Teknoloji'!$AE$2:$AE$19,ROW()-3),'V_Teknoloji'!$AE$2:$AE$19,0))</f>
        <v/>
      </c>
      <c r="V11" s="8">
        <f>INDEX('V_Teknoloji'!U$2:U$19,MATCH(LARGE('V_Teknoloji'!$AE$2:$AE$19,ROW()-3),'V_Teknoloji'!$AE$2:$AE$19,0))</f>
        <v/>
      </c>
      <c r="W11" s="8">
        <f>INDEX('V_Teknoloji'!V$2:V$19,MATCH(LARGE('V_Teknoloji'!$AE$2:$AE$19,ROW()-3),'V_Teknoloji'!$AE$2:$AE$19,0))</f>
        <v/>
      </c>
      <c r="X11" s="8">
        <f>INDEX('V_Teknoloji'!W$2:W$19,MATCH(LARGE('V_Teknoloji'!$AE$2:$AE$19,ROW()-3),'V_Teknoloji'!$AE$2:$AE$19,0))</f>
        <v/>
      </c>
      <c r="Y11" s="8">
        <f>INDEX('V_Teknoloji'!X$2:X$19,MATCH(LARGE('V_Teknoloji'!$AE$2:$AE$19,ROW()-3),'V_Teknoloji'!$AE$2:$AE$19,0))</f>
        <v/>
      </c>
      <c r="Z11" s="8">
        <f>INDEX('V_Teknoloji'!Y$2:Y$19,MATCH(LARGE('V_Teknoloji'!$AE$2:$AE$19,ROW()-3),'V_Teknoloji'!$AE$2:$AE$19,0))</f>
        <v/>
      </c>
      <c r="AA11" s="8">
        <f>INDEX('V_Teknoloji'!Z$2:Z$19,MATCH(LARGE('V_Teknoloji'!$AE$2:$AE$19,ROW()-3),'V_Teknoloji'!$AE$2:$AE$19,0))</f>
        <v/>
      </c>
      <c r="AB11" s="8">
        <f>INDEX('V_Teknoloji'!AA$2:AA$19,MATCH(LARGE('V_Teknoloji'!$AE$2:$AE$19,ROW()-3),'V_Teknoloji'!$AE$2:$AE$19,0))</f>
        <v/>
      </c>
      <c r="AC11" s="8">
        <f>INDEX('V_Teknoloji'!AB$2:AB$19,MATCH(LARGE('V_Teknoloji'!$AE$2:$AE$19,ROW()-3),'V_Teknoloji'!$AE$2:$AE$19,0))</f>
        <v/>
      </c>
      <c r="AD11" s="8">
        <f>INDEX('V_Teknoloji'!AC$2:AC$19,MATCH(LARGE('V_Teknoloji'!$AE$2:$AE$19,ROW()-3),'V_Teknoloji'!$AE$2:$AE$19,0))</f>
        <v/>
      </c>
    </row>
    <row r="12">
      <c r="A12" t="n">
        <v>9</v>
      </c>
      <c r="B12" s="5">
        <f>INDEX('V_Teknoloji'!A$2:A$19,MATCH(LARGE('V_Teknoloji'!$AE$2:$AE$19,ROW()-3),'V_Teknoloji'!$AE$2:$AE$19,0))</f>
        <v/>
      </c>
      <c r="C12" s="5">
        <f>INDEX('V_Teknoloji'!B$2:B$19,MATCH(LARGE('V_Teknoloji'!$AE$2:$AE$19,ROW()-3),'V_Teknoloji'!$AE$2:$AE$19,0))</f>
        <v/>
      </c>
      <c r="D12" s="5">
        <f>INDEX('V_Teknoloji'!C$2:C$19,MATCH(LARGE('V_Teknoloji'!$AE$2:$AE$19,ROW()-3),'V_Teknoloji'!$AE$2:$AE$19,0))</f>
        <v/>
      </c>
      <c r="E12" s="8">
        <f>INDEX('V_Teknoloji'!D$2:D$19,MATCH(LARGE('V_Teknoloji'!$AE$2:$AE$19,ROW()-3),'V_Teknoloji'!$AE$2:$AE$19,0))</f>
        <v/>
      </c>
      <c r="F12" s="9">
        <f>INDEX('V_Teknoloji'!E$2:E$19,MATCH(LARGE('V_Teknoloji'!$AE$2:$AE$19,ROW()-3),'V_Teknoloji'!$AE$2:$AE$19,0))</f>
        <v/>
      </c>
      <c r="G12" s="9">
        <f>INDEX('V_Teknoloji'!F$2:F$19,MATCH(LARGE('V_Teknoloji'!$AE$2:$AE$19,ROW()-3),'V_Teknoloji'!$AE$2:$AE$19,0))</f>
        <v/>
      </c>
      <c r="H12" s="9">
        <f>INDEX('V_Teknoloji'!G$2:G$19,MATCH(LARGE('V_Teknoloji'!$AE$2:$AE$19,ROW()-3),'V_Teknoloji'!$AE$2:$AE$19,0))</f>
        <v/>
      </c>
      <c r="I12" s="9">
        <f>INDEX('V_Teknoloji'!H$2:H$19,MATCH(LARGE('V_Teknoloji'!$AE$2:$AE$19,ROW()-3),'V_Teknoloji'!$AE$2:$AE$19,0))</f>
        <v/>
      </c>
      <c r="J12" s="9">
        <f>INDEX('V_Teknoloji'!I$2:I$19,MATCH(LARGE('V_Teknoloji'!$AE$2:$AE$19,ROW()-3),'V_Teknoloji'!$AE$2:$AE$19,0))</f>
        <v/>
      </c>
      <c r="K12" s="10">
        <f>INDEX('V_Teknoloji'!J$2:J$19,MATCH(LARGE('V_Teknoloji'!$AE$2:$AE$19,ROW()-3),'V_Teknoloji'!$AE$2:$AE$19,0))</f>
        <v/>
      </c>
      <c r="L12" s="10">
        <f>INDEX('V_Teknoloji'!K$2:K$19,MATCH(LARGE('V_Teknoloji'!$AE$2:$AE$19,ROW()-3),'V_Teknoloji'!$AE$2:$AE$19,0))</f>
        <v/>
      </c>
      <c r="M12" s="8">
        <f>INDEX('V_Teknoloji'!L$2:L$19,MATCH(LARGE('V_Teknoloji'!$AE$2:$AE$19,ROW()-3),'V_Teknoloji'!$AE$2:$AE$19,0))</f>
        <v/>
      </c>
      <c r="N12" s="11">
        <f>INDEX('V_Teknoloji'!M$2:M$19,MATCH(LARGE('V_Teknoloji'!$AE$2:$AE$19,ROW()-3),'V_Teknoloji'!$AE$2:$AE$19,0))</f>
        <v/>
      </c>
      <c r="O12" s="11">
        <f>INDEX('V_Teknoloji'!N$2:N$19,MATCH(LARGE('V_Teknoloji'!$AE$2:$AE$19,ROW()-3),'V_Teknoloji'!$AE$2:$AE$19,0))</f>
        <v/>
      </c>
      <c r="P12" s="8">
        <f>INDEX('V_Teknoloji'!O$2:O$19,MATCH(LARGE('V_Teknoloji'!$AE$2:$AE$19,ROW()-3),'V_Teknoloji'!$AE$2:$AE$19,0))</f>
        <v/>
      </c>
      <c r="Q12" s="9">
        <f>INDEX('V_Teknoloji'!P$2:P$19,MATCH(LARGE('V_Teknoloji'!$AE$2:$AE$19,ROW()-3),'V_Teknoloji'!$AE$2:$AE$19,0))</f>
        <v/>
      </c>
      <c r="R12" s="5">
        <f>INDEX('V_Teknoloji'!Q$2:Q$19,MATCH(LARGE('V_Teknoloji'!$AE$2:$AE$19,ROW()-3),'V_Teknoloji'!$AE$2:$AE$19,0))</f>
        <v/>
      </c>
      <c r="S12" s="8">
        <f>INDEX('V_Teknoloji'!R$2:R$19,MATCH(LARGE('V_Teknoloji'!$AE$2:$AE$19,ROW()-3),'V_Teknoloji'!$AE$2:$AE$19,0))</f>
        <v/>
      </c>
      <c r="T12" s="8">
        <f>INDEX('V_Teknoloji'!S$2:S$19,MATCH(LARGE('V_Teknoloji'!$AE$2:$AE$19,ROW()-3),'V_Teknoloji'!$AE$2:$AE$19,0))</f>
        <v/>
      </c>
      <c r="U12" s="8">
        <f>INDEX('V_Teknoloji'!T$2:T$19,MATCH(LARGE('V_Teknoloji'!$AE$2:$AE$19,ROW()-3),'V_Teknoloji'!$AE$2:$AE$19,0))</f>
        <v/>
      </c>
      <c r="V12" s="8">
        <f>INDEX('V_Teknoloji'!U$2:U$19,MATCH(LARGE('V_Teknoloji'!$AE$2:$AE$19,ROW()-3),'V_Teknoloji'!$AE$2:$AE$19,0))</f>
        <v/>
      </c>
      <c r="W12" s="8">
        <f>INDEX('V_Teknoloji'!V$2:V$19,MATCH(LARGE('V_Teknoloji'!$AE$2:$AE$19,ROW()-3),'V_Teknoloji'!$AE$2:$AE$19,0))</f>
        <v/>
      </c>
      <c r="X12" s="8">
        <f>INDEX('V_Teknoloji'!W$2:W$19,MATCH(LARGE('V_Teknoloji'!$AE$2:$AE$19,ROW()-3),'V_Teknoloji'!$AE$2:$AE$19,0))</f>
        <v/>
      </c>
      <c r="Y12" s="8">
        <f>INDEX('V_Teknoloji'!X$2:X$19,MATCH(LARGE('V_Teknoloji'!$AE$2:$AE$19,ROW()-3),'V_Teknoloji'!$AE$2:$AE$19,0))</f>
        <v/>
      </c>
      <c r="Z12" s="8">
        <f>INDEX('V_Teknoloji'!Y$2:Y$19,MATCH(LARGE('V_Teknoloji'!$AE$2:$AE$19,ROW()-3),'V_Teknoloji'!$AE$2:$AE$19,0))</f>
        <v/>
      </c>
      <c r="AA12" s="8">
        <f>INDEX('V_Teknoloji'!Z$2:Z$19,MATCH(LARGE('V_Teknoloji'!$AE$2:$AE$19,ROW()-3),'V_Teknoloji'!$AE$2:$AE$19,0))</f>
        <v/>
      </c>
      <c r="AB12" s="8">
        <f>INDEX('V_Teknoloji'!AA$2:AA$19,MATCH(LARGE('V_Teknoloji'!$AE$2:$AE$19,ROW()-3),'V_Teknoloji'!$AE$2:$AE$19,0))</f>
        <v/>
      </c>
      <c r="AC12" s="8">
        <f>INDEX('V_Teknoloji'!AB$2:AB$19,MATCH(LARGE('V_Teknoloji'!$AE$2:$AE$19,ROW()-3),'V_Teknoloji'!$AE$2:$AE$19,0))</f>
        <v/>
      </c>
      <c r="AD12" s="8">
        <f>INDEX('V_Teknoloji'!AC$2:AC$19,MATCH(LARGE('V_Teknoloji'!$AE$2:$AE$19,ROW()-3),'V_Teknoloji'!$AE$2:$AE$19,0))</f>
        <v/>
      </c>
    </row>
    <row r="13">
      <c r="A13" t="n">
        <v>10</v>
      </c>
      <c r="B13" s="5">
        <f>INDEX('V_Teknoloji'!A$2:A$19,MATCH(LARGE('V_Teknoloji'!$AE$2:$AE$19,ROW()-3),'V_Teknoloji'!$AE$2:$AE$19,0))</f>
        <v/>
      </c>
      <c r="C13" s="5">
        <f>INDEX('V_Teknoloji'!B$2:B$19,MATCH(LARGE('V_Teknoloji'!$AE$2:$AE$19,ROW()-3),'V_Teknoloji'!$AE$2:$AE$19,0))</f>
        <v/>
      </c>
      <c r="D13" s="5">
        <f>INDEX('V_Teknoloji'!C$2:C$19,MATCH(LARGE('V_Teknoloji'!$AE$2:$AE$19,ROW()-3),'V_Teknoloji'!$AE$2:$AE$19,0))</f>
        <v/>
      </c>
      <c r="E13" s="8">
        <f>INDEX('V_Teknoloji'!D$2:D$19,MATCH(LARGE('V_Teknoloji'!$AE$2:$AE$19,ROW()-3),'V_Teknoloji'!$AE$2:$AE$19,0))</f>
        <v/>
      </c>
      <c r="F13" s="9">
        <f>INDEX('V_Teknoloji'!E$2:E$19,MATCH(LARGE('V_Teknoloji'!$AE$2:$AE$19,ROW()-3),'V_Teknoloji'!$AE$2:$AE$19,0))</f>
        <v/>
      </c>
      <c r="G13" s="9">
        <f>INDEX('V_Teknoloji'!F$2:F$19,MATCH(LARGE('V_Teknoloji'!$AE$2:$AE$19,ROW()-3),'V_Teknoloji'!$AE$2:$AE$19,0))</f>
        <v/>
      </c>
      <c r="H13" s="9">
        <f>INDEX('V_Teknoloji'!G$2:G$19,MATCH(LARGE('V_Teknoloji'!$AE$2:$AE$19,ROW()-3),'V_Teknoloji'!$AE$2:$AE$19,0))</f>
        <v/>
      </c>
      <c r="I13" s="9">
        <f>INDEX('V_Teknoloji'!H$2:H$19,MATCH(LARGE('V_Teknoloji'!$AE$2:$AE$19,ROW()-3),'V_Teknoloji'!$AE$2:$AE$19,0))</f>
        <v/>
      </c>
      <c r="J13" s="9">
        <f>INDEX('V_Teknoloji'!I$2:I$19,MATCH(LARGE('V_Teknoloji'!$AE$2:$AE$19,ROW()-3),'V_Teknoloji'!$AE$2:$AE$19,0))</f>
        <v/>
      </c>
      <c r="K13" s="10">
        <f>INDEX('V_Teknoloji'!J$2:J$19,MATCH(LARGE('V_Teknoloji'!$AE$2:$AE$19,ROW()-3),'V_Teknoloji'!$AE$2:$AE$19,0))</f>
        <v/>
      </c>
      <c r="L13" s="10">
        <f>INDEX('V_Teknoloji'!K$2:K$19,MATCH(LARGE('V_Teknoloji'!$AE$2:$AE$19,ROW()-3),'V_Teknoloji'!$AE$2:$AE$19,0))</f>
        <v/>
      </c>
      <c r="M13" s="8">
        <f>INDEX('V_Teknoloji'!L$2:L$19,MATCH(LARGE('V_Teknoloji'!$AE$2:$AE$19,ROW()-3),'V_Teknoloji'!$AE$2:$AE$19,0))</f>
        <v/>
      </c>
      <c r="N13" s="11">
        <f>INDEX('V_Teknoloji'!M$2:M$19,MATCH(LARGE('V_Teknoloji'!$AE$2:$AE$19,ROW()-3),'V_Teknoloji'!$AE$2:$AE$19,0))</f>
        <v/>
      </c>
      <c r="O13" s="11">
        <f>INDEX('V_Teknoloji'!N$2:N$19,MATCH(LARGE('V_Teknoloji'!$AE$2:$AE$19,ROW()-3),'V_Teknoloji'!$AE$2:$AE$19,0))</f>
        <v/>
      </c>
      <c r="P13" s="8">
        <f>INDEX('V_Teknoloji'!O$2:O$19,MATCH(LARGE('V_Teknoloji'!$AE$2:$AE$19,ROW()-3),'V_Teknoloji'!$AE$2:$AE$19,0))</f>
        <v/>
      </c>
      <c r="Q13" s="9">
        <f>INDEX('V_Teknoloji'!P$2:P$19,MATCH(LARGE('V_Teknoloji'!$AE$2:$AE$19,ROW()-3),'V_Teknoloji'!$AE$2:$AE$19,0))</f>
        <v/>
      </c>
      <c r="R13" s="5">
        <f>INDEX('V_Teknoloji'!Q$2:Q$19,MATCH(LARGE('V_Teknoloji'!$AE$2:$AE$19,ROW()-3),'V_Teknoloji'!$AE$2:$AE$19,0))</f>
        <v/>
      </c>
      <c r="S13" s="8">
        <f>INDEX('V_Teknoloji'!R$2:R$19,MATCH(LARGE('V_Teknoloji'!$AE$2:$AE$19,ROW()-3),'V_Teknoloji'!$AE$2:$AE$19,0))</f>
        <v/>
      </c>
      <c r="T13" s="8">
        <f>INDEX('V_Teknoloji'!S$2:S$19,MATCH(LARGE('V_Teknoloji'!$AE$2:$AE$19,ROW()-3),'V_Teknoloji'!$AE$2:$AE$19,0))</f>
        <v/>
      </c>
      <c r="U13" s="8">
        <f>INDEX('V_Teknoloji'!T$2:T$19,MATCH(LARGE('V_Teknoloji'!$AE$2:$AE$19,ROW()-3),'V_Teknoloji'!$AE$2:$AE$19,0))</f>
        <v/>
      </c>
      <c r="V13" s="8">
        <f>INDEX('V_Teknoloji'!U$2:U$19,MATCH(LARGE('V_Teknoloji'!$AE$2:$AE$19,ROW()-3),'V_Teknoloji'!$AE$2:$AE$19,0))</f>
        <v/>
      </c>
      <c r="W13" s="8">
        <f>INDEX('V_Teknoloji'!V$2:V$19,MATCH(LARGE('V_Teknoloji'!$AE$2:$AE$19,ROW()-3),'V_Teknoloji'!$AE$2:$AE$19,0))</f>
        <v/>
      </c>
      <c r="X13" s="8">
        <f>INDEX('V_Teknoloji'!W$2:W$19,MATCH(LARGE('V_Teknoloji'!$AE$2:$AE$19,ROW()-3),'V_Teknoloji'!$AE$2:$AE$19,0))</f>
        <v/>
      </c>
      <c r="Y13" s="8">
        <f>INDEX('V_Teknoloji'!X$2:X$19,MATCH(LARGE('V_Teknoloji'!$AE$2:$AE$19,ROW()-3),'V_Teknoloji'!$AE$2:$AE$19,0))</f>
        <v/>
      </c>
      <c r="Z13" s="8">
        <f>INDEX('V_Teknoloji'!Y$2:Y$19,MATCH(LARGE('V_Teknoloji'!$AE$2:$AE$19,ROW()-3),'V_Teknoloji'!$AE$2:$AE$19,0))</f>
        <v/>
      </c>
      <c r="AA13" s="8">
        <f>INDEX('V_Teknoloji'!Z$2:Z$19,MATCH(LARGE('V_Teknoloji'!$AE$2:$AE$19,ROW()-3),'V_Teknoloji'!$AE$2:$AE$19,0))</f>
        <v/>
      </c>
      <c r="AB13" s="8">
        <f>INDEX('V_Teknoloji'!AA$2:AA$19,MATCH(LARGE('V_Teknoloji'!$AE$2:$AE$19,ROW()-3),'V_Teknoloji'!$AE$2:$AE$19,0))</f>
        <v/>
      </c>
      <c r="AC13" s="8">
        <f>INDEX('V_Teknoloji'!AB$2:AB$19,MATCH(LARGE('V_Teknoloji'!$AE$2:$AE$19,ROW()-3),'V_Teknoloji'!$AE$2:$AE$19,0))</f>
        <v/>
      </c>
      <c r="AD13" s="8">
        <f>INDEX('V_Teknoloji'!AC$2:AC$19,MATCH(LARGE('V_Teknoloji'!$AE$2:$AE$19,ROW()-3),'V_Teknoloji'!$AE$2:$AE$19,0))</f>
        <v/>
      </c>
    </row>
    <row r="14">
      <c r="A14" t="n">
        <v>11</v>
      </c>
      <c r="B14" s="5">
        <f>INDEX('V_Teknoloji'!A$2:A$19,MATCH(LARGE('V_Teknoloji'!$AE$2:$AE$19,ROW()-3),'V_Teknoloji'!$AE$2:$AE$19,0))</f>
        <v/>
      </c>
      <c r="C14" s="5">
        <f>INDEX('V_Teknoloji'!B$2:B$19,MATCH(LARGE('V_Teknoloji'!$AE$2:$AE$19,ROW()-3),'V_Teknoloji'!$AE$2:$AE$19,0))</f>
        <v/>
      </c>
      <c r="D14" s="5">
        <f>INDEX('V_Teknoloji'!C$2:C$19,MATCH(LARGE('V_Teknoloji'!$AE$2:$AE$19,ROW()-3),'V_Teknoloji'!$AE$2:$AE$19,0))</f>
        <v/>
      </c>
      <c r="E14" s="8">
        <f>INDEX('V_Teknoloji'!D$2:D$19,MATCH(LARGE('V_Teknoloji'!$AE$2:$AE$19,ROW()-3),'V_Teknoloji'!$AE$2:$AE$19,0))</f>
        <v/>
      </c>
      <c r="F14" s="9">
        <f>INDEX('V_Teknoloji'!E$2:E$19,MATCH(LARGE('V_Teknoloji'!$AE$2:$AE$19,ROW()-3),'V_Teknoloji'!$AE$2:$AE$19,0))</f>
        <v/>
      </c>
      <c r="G14" s="9">
        <f>INDEX('V_Teknoloji'!F$2:F$19,MATCH(LARGE('V_Teknoloji'!$AE$2:$AE$19,ROW()-3),'V_Teknoloji'!$AE$2:$AE$19,0))</f>
        <v/>
      </c>
      <c r="H14" s="9">
        <f>INDEX('V_Teknoloji'!G$2:G$19,MATCH(LARGE('V_Teknoloji'!$AE$2:$AE$19,ROW()-3),'V_Teknoloji'!$AE$2:$AE$19,0))</f>
        <v/>
      </c>
      <c r="I14" s="9">
        <f>INDEX('V_Teknoloji'!H$2:H$19,MATCH(LARGE('V_Teknoloji'!$AE$2:$AE$19,ROW()-3),'V_Teknoloji'!$AE$2:$AE$19,0))</f>
        <v/>
      </c>
      <c r="J14" s="9">
        <f>INDEX('V_Teknoloji'!I$2:I$19,MATCH(LARGE('V_Teknoloji'!$AE$2:$AE$19,ROW()-3),'V_Teknoloji'!$AE$2:$AE$19,0))</f>
        <v/>
      </c>
      <c r="K14" s="10">
        <f>INDEX('V_Teknoloji'!J$2:J$19,MATCH(LARGE('V_Teknoloji'!$AE$2:$AE$19,ROW()-3),'V_Teknoloji'!$AE$2:$AE$19,0))</f>
        <v/>
      </c>
      <c r="L14" s="10">
        <f>INDEX('V_Teknoloji'!K$2:K$19,MATCH(LARGE('V_Teknoloji'!$AE$2:$AE$19,ROW()-3),'V_Teknoloji'!$AE$2:$AE$19,0))</f>
        <v/>
      </c>
      <c r="M14" s="8">
        <f>INDEX('V_Teknoloji'!L$2:L$19,MATCH(LARGE('V_Teknoloji'!$AE$2:$AE$19,ROW()-3),'V_Teknoloji'!$AE$2:$AE$19,0))</f>
        <v/>
      </c>
      <c r="N14" s="11">
        <f>INDEX('V_Teknoloji'!M$2:M$19,MATCH(LARGE('V_Teknoloji'!$AE$2:$AE$19,ROW()-3),'V_Teknoloji'!$AE$2:$AE$19,0))</f>
        <v/>
      </c>
      <c r="O14" s="11">
        <f>INDEX('V_Teknoloji'!N$2:N$19,MATCH(LARGE('V_Teknoloji'!$AE$2:$AE$19,ROW()-3),'V_Teknoloji'!$AE$2:$AE$19,0))</f>
        <v/>
      </c>
      <c r="P14" s="8">
        <f>INDEX('V_Teknoloji'!O$2:O$19,MATCH(LARGE('V_Teknoloji'!$AE$2:$AE$19,ROW()-3),'V_Teknoloji'!$AE$2:$AE$19,0))</f>
        <v/>
      </c>
      <c r="Q14" s="9">
        <f>INDEX('V_Teknoloji'!P$2:P$19,MATCH(LARGE('V_Teknoloji'!$AE$2:$AE$19,ROW()-3),'V_Teknoloji'!$AE$2:$AE$19,0))</f>
        <v/>
      </c>
      <c r="R14" s="5">
        <f>INDEX('V_Teknoloji'!Q$2:Q$19,MATCH(LARGE('V_Teknoloji'!$AE$2:$AE$19,ROW()-3),'V_Teknoloji'!$AE$2:$AE$19,0))</f>
        <v/>
      </c>
      <c r="S14" s="8">
        <f>INDEX('V_Teknoloji'!R$2:R$19,MATCH(LARGE('V_Teknoloji'!$AE$2:$AE$19,ROW()-3),'V_Teknoloji'!$AE$2:$AE$19,0))</f>
        <v/>
      </c>
      <c r="T14" s="8">
        <f>INDEX('V_Teknoloji'!S$2:S$19,MATCH(LARGE('V_Teknoloji'!$AE$2:$AE$19,ROW()-3),'V_Teknoloji'!$AE$2:$AE$19,0))</f>
        <v/>
      </c>
      <c r="U14" s="8">
        <f>INDEX('V_Teknoloji'!T$2:T$19,MATCH(LARGE('V_Teknoloji'!$AE$2:$AE$19,ROW()-3),'V_Teknoloji'!$AE$2:$AE$19,0))</f>
        <v/>
      </c>
      <c r="V14" s="8">
        <f>INDEX('V_Teknoloji'!U$2:U$19,MATCH(LARGE('V_Teknoloji'!$AE$2:$AE$19,ROW()-3),'V_Teknoloji'!$AE$2:$AE$19,0))</f>
        <v/>
      </c>
      <c r="W14" s="8">
        <f>INDEX('V_Teknoloji'!V$2:V$19,MATCH(LARGE('V_Teknoloji'!$AE$2:$AE$19,ROW()-3),'V_Teknoloji'!$AE$2:$AE$19,0))</f>
        <v/>
      </c>
      <c r="X14" s="8">
        <f>INDEX('V_Teknoloji'!W$2:W$19,MATCH(LARGE('V_Teknoloji'!$AE$2:$AE$19,ROW()-3),'V_Teknoloji'!$AE$2:$AE$19,0))</f>
        <v/>
      </c>
      <c r="Y14" s="8">
        <f>INDEX('V_Teknoloji'!X$2:X$19,MATCH(LARGE('V_Teknoloji'!$AE$2:$AE$19,ROW()-3),'V_Teknoloji'!$AE$2:$AE$19,0))</f>
        <v/>
      </c>
      <c r="Z14" s="8">
        <f>INDEX('V_Teknoloji'!Y$2:Y$19,MATCH(LARGE('V_Teknoloji'!$AE$2:$AE$19,ROW()-3),'V_Teknoloji'!$AE$2:$AE$19,0))</f>
        <v/>
      </c>
      <c r="AA14" s="8">
        <f>INDEX('V_Teknoloji'!Z$2:Z$19,MATCH(LARGE('V_Teknoloji'!$AE$2:$AE$19,ROW()-3),'V_Teknoloji'!$AE$2:$AE$19,0))</f>
        <v/>
      </c>
      <c r="AB14" s="8">
        <f>INDEX('V_Teknoloji'!AA$2:AA$19,MATCH(LARGE('V_Teknoloji'!$AE$2:$AE$19,ROW()-3),'V_Teknoloji'!$AE$2:$AE$19,0))</f>
        <v/>
      </c>
      <c r="AC14" s="8">
        <f>INDEX('V_Teknoloji'!AB$2:AB$19,MATCH(LARGE('V_Teknoloji'!$AE$2:$AE$19,ROW()-3),'V_Teknoloji'!$AE$2:$AE$19,0))</f>
        <v/>
      </c>
      <c r="AD14" s="8">
        <f>INDEX('V_Teknoloji'!AC$2:AC$19,MATCH(LARGE('V_Teknoloji'!$AE$2:$AE$19,ROW()-3),'V_Teknoloji'!$AE$2:$AE$19,0))</f>
        <v/>
      </c>
    </row>
    <row r="15">
      <c r="A15" t="n">
        <v>12</v>
      </c>
      <c r="B15" s="5">
        <f>INDEX('V_Teknoloji'!A$2:A$19,MATCH(LARGE('V_Teknoloji'!$AE$2:$AE$19,ROW()-3),'V_Teknoloji'!$AE$2:$AE$19,0))</f>
        <v/>
      </c>
      <c r="C15" s="5">
        <f>INDEX('V_Teknoloji'!B$2:B$19,MATCH(LARGE('V_Teknoloji'!$AE$2:$AE$19,ROW()-3),'V_Teknoloji'!$AE$2:$AE$19,0))</f>
        <v/>
      </c>
      <c r="D15" s="5">
        <f>INDEX('V_Teknoloji'!C$2:C$19,MATCH(LARGE('V_Teknoloji'!$AE$2:$AE$19,ROW()-3),'V_Teknoloji'!$AE$2:$AE$19,0))</f>
        <v/>
      </c>
      <c r="E15" s="8">
        <f>INDEX('V_Teknoloji'!D$2:D$19,MATCH(LARGE('V_Teknoloji'!$AE$2:$AE$19,ROW()-3),'V_Teknoloji'!$AE$2:$AE$19,0))</f>
        <v/>
      </c>
      <c r="F15" s="9">
        <f>INDEX('V_Teknoloji'!E$2:E$19,MATCH(LARGE('V_Teknoloji'!$AE$2:$AE$19,ROW()-3),'V_Teknoloji'!$AE$2:$AE$19,0))</f>
        <v/>
      </c>
      <c r="G15" s="9">
        <f>INDEX('V_Teknoloji'!F$2:F$19,MATCH(LARGE('V_Teknoloji'!$AE$2:$AE$19,ROW()-3),'V_Teknoloji'!$AE$2:$AE$19,0))</f>
        <v/>
      </c>
      <c r="H15" s="9">
        <f>INDEX('V_Teknoloji'!G$2:G$19,MATCH(LARGE('V_Teknoloji'!$AE$2:$AE$19,ROW()-3),'V_Teknoloji'!$AE$2:$AE$19,0))</f>
        <v/>
      </c>
      <c r="I15" s="9">
        <f>INDEX('V_Teknoloji'!H$2:H$19,MATCH(LARGE('V_Teknoloji'!$AE$2:$AE$19,ROW()-3),'V_Teknoloji'!$AE$2:$AE$19,0))</f>
        <v/>
      </c>
      <c r="J15" s="9">
        <f>INDEX('V_Teknoloji'!I$2:I$19,MATCH(LARGE('V_Teknoloji'!$AE$2:$AE$19,ROW()-3),'V_Teknoloji'!$AE$2:$AE$19,0))</f>
        <v/>
      </c>
      <c r="K15" s="10">
        <f>INDEX('V_Teknoloji'!J$2:J$19,MATCH(LARGE('V_Teknoloji'!$AE$2:$AE$19,ROW()-3),'V_Teknoloji'!$AE$2:$AE$19,0))</f>
        <v/>
      </c>
      <c r="L15" s="10">
        <f>INDEX('V_Teknoloji'!K$2:K$19,MATCH(LARGE('V_Teknoloji'!$AE$2:$AE$19,ROW()-3),'V_Teknoloji'!$AE$2:$AE$19,0))</f>
        <v/>
      </c>
      <c r="M15" s="8">
        <f>INDEX('V_Teknoloji'!L$2:L$19,MATCH(LARGE('V_Teknoloji'!$AE$2:$AE$19,ROW()-3),'V_Teknoloji'!$AE$2:$AE$19,0))</f>
        <v/>
      </c>
      <c r="N15" s="11">
        <f>INDEX('V_Teknoloji'!M$2:M$19,MATCH(LARGE('V_Teknoloji'!$AE$2:$AE$19,ROW()-3),'V_Teknoloji'!$AE$2:$AE$19,0))</f>
        <v/>
      </c>
      <c r="O15" s="11">
        <f>INDEX('V_Teknoloji'!N$2:N$19,MATCH(LARGE('V_Teknoloji'!$AE$2:$AE$19,ROW()-3),'V_Teknoloji'!$AE$2:$AE$19,0))</f>
        <v/>
      </c>
      <c r="P15" s="8">
        <f>INDEX('V_Teknoloji'!O$2:O$19,MATCH(LARGE('V_Teknoloji'!$AE$2:$AE$19,ROW()-3),'V_Teknoloji'!$AE$2:$AE$19,0))</f>
        <v/>
      </c>
      <c r="Q15" s="9">
        <f>INDEX('V_Teknoloji'!P$2:P$19,MATCH(LARGE('V_Teknoloji'!$AE$2:$AE$19,ROW()-3),'V_Teknoloji'!$AE$2:$AE$19,0))</f>
        <v/>
      </c>
      <c r="R15" s="5">
        <f>INDEX('V_Teknoloji'!Q$2:Q$19,MATCH(LARGE('V_Teknoloji'!$AE$2:$AE$19,ROW()-3),'V_Teknoloji'!$AE$2:$AE$19,0))</f>
        <v/>
      </c>
      <c r="S15" s="8">
        <f>INDEX('V_Teknoloji'!R$2:R$19,MATCH(LARGE('V_Teknoloji'!$AE$2:$AE$19,ROW()-3),'V_Teknoloji'!$AE$2:$AE$19,0))</f>
        <v/>
      </c>
      <c r="T15" s="8">
        <f>INDEX('V_Teknoloji'!S$2:S$19,MATCH(LARGE('V_Teknoloji'!$AE$2:$AE$19,ROW()-3),'V_Teknoloji'!$AE$2:$AE$19,0))</f>
        <v/>
      </c>
      <c r="U15" s="8">
        <f>INDEX('V_Teknoloji'!T$2:T$19,MATCH(LARGE('V_Teknoloji'!$AE$2:$AE$19,ROW()-3),'V_Teknoloji'!$AE$2:$AE$19,0))</f>
        <v/>
      </c>
      <c r="V15" s="8">
        <f>INDEX('V_Teknoloji'!U$2:U$19,MATCH(LARGE('V_Teknoloji'!$AE$2:$AE$19,ROW()-3),'V_Teknoloji'!$AE$2:$AE$19,0))</f>
        <v/>
      </c>
      <c r="W15" s="8">
        <f>INDEX('V_Teknoloji'!V$2:V$19,MATCH(LARGE('V_Teknoloji'!$AE$2:$AE$19,ROW()-3),'V_Teknoloji'!$AE$2:$AE$19,0))</f>
        <v/>
      </c>
      <c r="X15" s="8">
        <f>INDEX('V_Teknoloji'!W$2:W$19,MATCH(LARGE('V_Teknoloji'!$AE$2:$AE$19,ROW()-3),'V_Teknoloji'!$AE$2:$AE$19,0))</f>
        <v/>
      </c>
      <c r="Y15" s="8">
        <f>INDEX('V_Teknoloji'!X$2:X$19,MATCH(LARGE('V_Teknoloji'!$AE$2:$AE$19,ROW()-3),'V_Teknoloji'!$AE$2:$AE$19,0))</f>
        <v/>
      </c>
      <c r="Z15" s="8">
        <f>INDEX('V_Teknoloji'!Y$2:Y$19,MATCH(LARGE('V_Teknoloji'!$AE$2:$AE$19,ROW()-3),'V_Teknoloji'!$AE$2:$AE$19,0))</f>
        <v/>
      </c>
      <c r="AA15" s="8">
        <f>INDEX('V_Teknoloji'!Z$2:Z$19,MATCH(LARGE('V_Teknoloji'!$AE$2:$AE$19,ROW()-3),'V_Teknoloji'!$AE$2:$AE$19,0))</f>
        <v/>
      </c>
      <c r="AB15" s="8">
        <f>INDEX('V_Teknoloji'!AA$2:AA$19,MATCH(LARGE('V_Teknoloji'!$AE$2:$AE$19,ROW()-3),'V_Teknoloji'!$AE$2:$AE$19,0))</f>
        <v/>
      </c>
      <c r="AC15" s="8">
        <f>INDEX('V_Teknoloji'!AB$2:AB$19,MATCH(LARGE('V_Teknoloji'!$AE$2:$AE$19,ROW()-3),'V_Teknoloji'!$AE$2:$AE$19,0))</f>
        <v/>
      </c>
      <c r="AD15" s="8">
        <f>INDEX('V_Teknoloji'!AC$2:AC$19,MATCH(LARGE('V_Teknoloji'!$AE$2:$AE$19,ROW()-3),'V_Teknoloji'!$AE$2:$AE$19,0))</f>
        <v/>
      </c>
    </row>
    <row r="16">
      <c r="A16" t="n">
        <v>13</v>
      </c>
      <c r="B16" s="5">
        <f>INDEX('V_Teknoloji'!A$2:A$19,MATCH(LARGE('V_Teknoloji'!$AE$2:$AE$19,ROW()-3),'V_Teknoloji'!$AE$2:$AE$19,0))</f>
        <v/>
      </c>
      <c r="C16" s="5">
        <f>INDEX('V_Teknoloji'!B$2:B$19,MATCH(LARGE('V_Teknoloji'!$AE$2:$AE$19,ROW()-3),'V_Teknoloji'!$AE$2:$AE$19,0))</f>
        <v/>
      </c>
      <c r="D16" s="5">
        <f>INDEX('V_Teknoloji'!C$2:C$19,MATCH(LARGE('V_Teknoloji'!$AE$2:$AE$19,ROW()-3),'V_Teknoloji'!$AE$2:$AE$19,0))</f>
        <v/>
      </c>
      <c r="E16" s="8">
        <f>INDEX('V_Teknoloji'!D$2:D$19,MATCH(LARGE('V_Teknoloji'!$AE$2:$AE$19,ROW()-3),'V_Teknoloji'!$AE$2:$AE$19,0))</f>
        <v/>
      </c>
      <c r="F16" s="9">
        <f>INDEX('V_Teknoloji'!E$2:E$19,MATCH(LARGE('V_Teknoloji'!$AE$2:$AE$19,ROW()-3),'V_Teknoloji'!$AE$2:$AE$19,0))</f>
        <v/>
      </c>
      <c r="G16" s="9">
        <f>INDEX('V_Teknoloji'!F$2:F$19,MATCH(LARGE('V_Teknoloji'!$AE$2:$AE$19,ROW()-3),'V_Teknoloji'!$AE$2:$AE$19,0))</f>
        <v/>
      </c>
      <c r="H16" s="9">
        <f>INDEX('V_Teknoloji'!G$2:G$19,MATCH(LARGE('V_Teknoloji'!$AE$2:$AE$19,ROW()-3),'V_Teknoloji'!$AE$2:$AE$19,0))</f>
        <v/>
      </c>
      <c r="I16" s="9">
        <f>INDEX('V_Teknoloji'!H$2:H$19,MATCH(LARGE('V_Teknoloji'!$AE$2:$AE$19,ROW()-3),'V_Teknoloji'!$AE$2:$AE$19,0))</f>
        <v/>
      </c>
      <c r="J16" s="9">
        <f>INDEX('V_Teknoloji'!I$2:I$19,MATCH(LARGE('V_Teknoloji'!$AE$2:$AE$19,ROW()-3),'V_Teknoloji'!$AE$2:$AE$19,0))</f>
        <v/>
      </c>
      <c r="K16" s="10">
        <f>INDEX('V_Teknoloji'!J$2:J$19,MATCH(LARGE('V_Teknoloji'!$AE$2:$AE$19,ROW()-3),'V_Teknoloji'!$AE$2:$AE$19,0))</f>
        <v/>
      </c>
      <c r="L16" s="10">
        <f>INDEX('V_Teknoloji'!K$2:K$19,MATCH(LARGE('V_Teknoloji'!$AE$2:$AE$19,ROW()-3),'V_Teknoloji'!$AE$2:$AE$19,0))</f>
        <v/>
      </c>
      <c r="M16" s="8">
        <f>INDEX('V_Teknoloji'!L$2:L$19,MATCH(LARGE('V_Teknoloji'!$AE$2:$AE$19,ROW()-3),'V_Teknoloji'!$AE$2:$AE$19,0))</f>
        <v/>
      </c>
      <c r="N16" s="11">
        <f>INDEX('V_Teknoloji'!M$2:M$19,MATCH(LARGE('V_Teknoloji'!$AE$2:$AE$19,ROW()-3),'V_Teknoloji'!$AE$2:$AE$19,0))</f>
        <v/>
      </c>
      <c r="O16" s="11">
        <f>INDEX('V_Teknoloji'!N$2:N$19,MATCH(LARGE('V_Teknoloji'!$AE$2:$AE$19,ROW()-3),'V_Teknoloji'!$AE$2:$AE$19,0))</f>
        <v/>
      </c>
      <c r="P16" s="8">
        <f>INDEX('V_Teknoloji'!O$2:O$19,MATCH(LARGE('V_Teknoloji'!$AE$2:$AE$19,ROW()-3),'V_Teknoloji'!$AE$2:$AE$19,0))</f>
        <v/>
      </c>
      <c r="Q16" s="9">
        <f>INDEX('V_Teknoloji'!P$2:P$19,MATCH(LARGE('V_Teknoloji'!$AE$2:$AE$19,ROW()-3),'V_Teknoloji'!$AE$2:$AE$19,0))</f>
        <v/>
      </c>
      <c r="R16" s="5">
        <f>INDEX('V_Teknoloji'!Q$2:Q$19,MATCH(LARGE('V_Teknoloji'!$AE$2:$AE$19,ROW()-3),'V_Teknoloji'!$AE$2:$AE$19,0))</f>
        <v/>
      </c>
      <c r="S16" s="8">
        <f>INDEX('V_Teknoloji'!R$2:R$19,MATCH(LARGE('V_Teknoloji'!$AE$2:$AE$19,ROW()-3),'V_Teknoloji'!$AE$2:$AE$19,0))</f>
        <v/>
      </c>
      <c r="T16" s="8">
        <f>INDEX('V_Teknoloji'!S$2:S$19,MATCH(LARGE('V_Teknoloji'!$AE$2:$AE$19,ROW()-3),'V_Teknoloji'!$AE$2:$AE$19,0))</f>
        <v/>
      </c>
      <c r="U16" s="8">
        <f>INDEX('V_Teknoloji'!T$2:T$19,MATCH(LARGE('V_Teknoloji'!$AE$2:$AE$19,ROW()-3),'V_Teknoloji'!$AE$2:$AE$19,0))</f>
        <v/>
      </c>
      <c r="V16" s="8">
        <f>INDEX('V_Teknoloji'!U$2:U$19,MATCH(LARGE('V_Teknoloji'!$AE$2:$AE$19,ROW()-3),'V_Teknoloji'!$AE$2:$AE$19,0))</f>
        <v/>
      </c>
      <c r="W16" s="8">
        <f>INDEX('V_Teknoloji'!V$2:V$19,MATCH(LARGE('V_Teknoloji'!$AE$2:$AE$19,ROW()-3),'V_Teknoloji'!$AE$2:$AE$19,0))</f>
        <v/>
      </c>
      <c r="X16" s="8">
        <f>INDEX('V_Teknoloji'!W$2:W$19,MATCH(LARGE('V_Teknoloji'!$AE$2:$AE$19,ROW()-3),'V_Teknoloji'!$AE$2:$AE$19,0))</f>
        <v/>
      </c>
      <c r="Y16" s="8">
        <f>INDEX('V_Teknoloji'!X$2:X$19,MATCH(LARGE('V_Teknoloji'!$AE$2:$AE$19,ROW()-3),'V_Teknoloji'!$AE$2:$AE$19,0))</f>
        <v/>
      </c>
      <c r="Z16" s="8">
        <f>INDEX('V_Teknoloji'!Y$2:Y$19,MATCH(LARGE('V_Teknoloji'!$AE$2:$AE$19,ROW()-3),'V_Teknoloji'!$AE$2:$AE$19,0))</f>
        <v/>
      </c>
      <c r="AA16" s="8">
        <f>INDEX('V_Teknoloji'!Z$2:Z$19,MATCH(LARGE('V_Teknoloji'!$AE$2:$AE$19,ROW()-3),'V_Teknoloji'!$AE$2:$AE$19,0))</f>
        <v/>
      </c>
      <c r="AB16" s="8">
        <f>INDEX('V_Teknoloji'!AA$2:AA$19,MATCH(LARGE('V_Teknoloji'!$AE$2:$AE$19,ROW()-3),'V_Teknoloji'!$AE$2:$AE$19,0))</f>
        <v/>
      </c>
      <c r="AC16" s="8">
        <f>INDEX('V_Teknoloji'!AB$2:AB$19,MATCH(LARGE('V_Teknoloji'!$AE$2:$AE$19,ROW()-3),'V_Teknoloji'!$AE$2:$AE$19,0))</f>
        <v/>
      </c>
      <c r="AD16" s="8">
        <f>INDEX('V_Teknoloji'!AC$2:AC$19,MATCH(LARGE('V_Teknoloji'!$AE$2:$AE$19,ROW()-3),'V_Teknoloji'!$AE$2:$AE$19,0))</f>
        <v/>
      </c>
    </row>
    <row r="17">
      <c r="A17" t="n">
        <v>14</v>
      </c>
      <c r="B17" s="5">
        <f>INDEX('V_Teknoloji'!A$2:A$19,MATCH(LARGE('V_Teknoloji'!$AE$2:$AE$19,ROW()-3),'V_Teknoloji'!$AE$2:$AE$19,0))</f>
        <v/>
      </c>
      <c r="C17" s="5">
        <f>INDEX('V_Teknoloji'!B$2:B$19,MATCH(LARGE('V_Teknoloji'!$AE$2:$AE$19,ROW()-3),'V_Teknoloji'!$AE$2:$AE$19,0))</f>
        <v/>
      </c>
      <c r="D17" s="5">
        <f>INDEX('V_Teknoloji'!C$2:C$19,MATCH(LARGE('V_Teknoloji'!$AE$2:$AE$19,ROW()-3),'V_Teknoloji'!$AE$2:$AE$19,0))</f>
        <v/>
      </c>
      <c r="E17" s="8">
        <f>INDEX('V_Teknoloji'!D$2:D$19,MATCH(LARGE('V_Teknoloji'!$AE$2:$AE$19,ROW()-3),'V_Teknoloji'!$AE$2:$AE$19,0))</f>
        <v/>
      </c>
      <c r="F17" s="9">
        <f>INDEX('V_Teknoloji'!E$2:E$19,MATCH(LARGE('V_Teknoloji'!$AE$2:$AE$19,ROW()-3),'V_Teknoloji'!$AE$2:$AE$19,0))</f>
        <v/>
      </c>
      <c r="G17" s="9">
        <f>INDEX('V_Teknoloji'!F$2:F$19,MATCH(LARGE('V_Teknoloji'!$AE$2:$AE$19,ROW()-3),'V_Teknoloji'!$AE$2:$AE$19,0))</f>
        <v/>
      </c>
      <c r="H17" s="9">
        <f>INDEX('V_Teknoloji'!G$2:G$19,MATCH(LARGE('V_Teknoloji'!$AE$2:$AE$19,ROW()-3),'V_Teknoloji'!$AE$2:$AE$19,0))</f>
        <v/>
      </c>
      <c r="I17" s="9">
        <f>INDEX('V_Teknoloji'!H$2:H$19,MATCH(LARGE('V_Teknoloji'!$AE$2:$AE$19,ROW()-3),'V_Teknoloji'!$AE$2:$AE$19,0))</f>
        <v/>
      </c>
      <c r="J17" s="9">
        <f>INDEX('V_Teknoloji'!I$2:I$19,MATCH(LARGE('V_Teknoloji'!$AE$2:$AE$19,ROW()-3),'V_Teknoloji'!$AE$2:$AE$19,0))</f>
        <v/>
      </c>
      <c r="K17" s="10">
        <f>INDEX('V_Teknoloji'!J$2:J$19,MATCH(LARGE('V_Teknoloji'!$AE$2:$AE$19,ROW()-3),'V_Teknoloji'!$AE$2:$AE$19,0))</f>
        <v/>
      </c>
      <c r="L17" s="10">
        <f>INDEX('V_Teknoloji'!K$2:K$19,MATCH(LARGE('V_Teknoloji'!$AE$2:$AE$19,ROW()-3),'V_Teknoloji'!$AE$2:$AE$19,0))</f>
        <v/>
      </c>
      <c r="M17" s="8">
        <f>INDEX('V_Teknoloji'!L$2:L$19,MATCH(LARGE('V_Teknoloji'!$AE$2:$AE$19,ROW()-3),'V_Teknoloji'!$AE$2:$AE$19,0))</f>
        <v/>
      </c>
      <c r="N17" s="11">
        <f>INDEX('V_Teknoloji'!M$2:M$19,MATCH(LARGE('V_Teknoloji'!$AE$2:$AE$19,ROW()-3),'V_Teknoloji'!$AE$2:$AE$19,0))</f>
        <v/>
      </c>
      <c r="O17" s="11">
        <f>INDEX('V_Teknoloji'!N$2:N$19,MATCH(LARGE('V_Teknoloji'!$AE$2:$AE$19,ROW()-3),'V_Teknoloji'!$AE$2:$AE$19,0))</f>
        <v/>
      </c>
      <c r="P17" s="8">
        <f>INDEX('V_Teknoloji'!O$2:O$19,MATCH(LARGE('V_Teknoloji'!$AE$2:$AE$19,ROW()-3),'V_Teknoloji'!$AE$2:$AE$19,0))</f>
        <v/>
      </c>
      <c r="Q17" s="9">
        <f>INDEX('V_Teknoloji'!P$2:P$19,MATCH(LARGE('V_Teknoloji'!$AE$2:$AE$19,ROW()-3),'V_Teknoloji'!$AE$2:$AE$19,0))</f>
        <v/>
      </c>
      <c r="R17" s="5">
        <f>INDEX('V_Teknoloji'!Q$2:Q$19,MATCH(LARGE('V_Teknoloji'!$AE$2:$AE$19,ROW()-3),'V_Teknoloji'!$AE$2:$AE$19,0))</f>
        <v/>
      </c>
      <c r="S17" s="8">
        <f>INDEX('V_Teknoloji'!R$2:R$19,MATCH(LARGE('V_Teknoloji'!$AE$2:$AE$19,ROW()-3),'V_Teknoloji'!$AE$2:$AE$19,0))</f>
        <v/>
      </c>
      <c r="T17" s="8">
        <f>INDEX('V_Teknoloji'!S$2:S$19,MATCH(LARGE('V_Teknoloji'!$AE$2:$AE$19,ROW()-3),'V_Teknoloji'!$AE$2:$AE$19,0))</f>
        <v/>
      </c>
      <c r="U17" s="8">
        <f>INDEX('V_Teknoloji'!T$2:T$19,MATCH(LARGE('V_Teknoloji'!$AE$2:$AE$19,ROW()-3),'V_Teknoloji'!$AE$2:$AE$19,0))</f>
        <v/>
      </c>
      <c r="V17" s="8">
        <f>INDEX('V_Teknoloji'!U$2:U$19,MATCH(LARGE('V_Teknoloji'!$AE$2:$AE$19,ROW()-3),'V_Teknoloji'!$AE$2:$AE$19,0))</f>
        <v/>
      </c>
      <c r="W17" s="8">
        <f>INDEX('V_Teknoloji'!V$2:V$19,MATCH(LARGE('V_Teknoloji'!$AE$2:$AE$19,ROW()-3),'V_Teknoloji'!$AE$2:$AE$19,0))</f>
        <v/>
      </c>
      <c r="X17" s="8">
        <f>INDEX('V_Teknoloji'!W$2:W$19,MATCH(LARGE('V_Teknoloji'!$AE$2:$AE$19,ROW()-3),'V_Teknoloji'!$AE$2:$AE$19,0))</f>
        <v/>
      </c>
      <c r="Y17" s="8">
        <f>INDEX('V_Teknoloji'!X$2:X$19,MATCH(LARGE('V_Teknoloji'!$AE$2:$AE$19,ROW()-3),'V_Teknoloji'!$AE$2:$AE$19,0))</f>
        <v/>
      </c>
      <c r="Z17" s="8">
        <f>INDEX('V_Teknoloji'!Y$2:Y$19,MATCH(LARGE('V_Teknoloji'!$AE$2:$AE$19,ROW()-3),'V_Teknoloji'!$AE$2:$AE$19,0))</f>
        <v/>
      </c>
      <c r="AA17" s="8">
        <f>INDEX('V_Teknoloji'!Z$2:Z$19,MATCH(LARGE('V_Teknoloji'!$AE$2:$AE$19,ROW()-3),'V_Teknoloji'!$AE$2:$AE$19,0))</f>
        <v/>
      </c>
      <c r="AB17" s="8">
        <f>INDEX('V_Teknoloji'!AA$2:AA$19,MATCH(LARGE('V_Teknoloji'!$AE$2:$AE$19,ROW()-3),'V_Teknoloji'!$AE$2:$AE$19,0))</f>
        <v/>
      </c>
      <c r="AC17" s="8">
        <f>INDEX('V_Teknoloji'!AB$2:AB$19,MATCH(LARGE('V_Teknoloji'!$AE$2:$AE$19,ROW()-3),'V_Teknoloji'!$AE$2:$AE$19,0))</f>
        <v/>
      </c>
      <c r="AD17" s="8">
        <f>INDEX('V_Teknoloji'!AC$2:AC$19,MATCH(LARGE('V_Teknoloji'!$AE$2:$AE$19,ROW()-3),'V_Teknoloji'!$AE$2:$AE$19,0))</f>
        <v/>
      </c>
    </row>
    <row r="18">
      <c r="A18" t="n">
        <v>15</v>
      </c>
      <c r="B18" s="5">
        <f>INDEX('V_Teknoloji'!A$2:A$19,MATCH(LARGE('V_Teknoloji'!$AE$2:$AE$19,ROW()-3),'V_Teknoloji'!$AE$2:$AE$19,0))</f>
        <v/>
      </c>
      <c r="C18" s="5">
        <f>INDEX('V_Teknoloji'!B$2:B$19,MATCH(LARGE('V_Teknoloji'!$AE$2:$AE$19,ROW()-3),'V_Teknoloji'!$AE$2:$AE$19,0))</f>
        <v/>
      </c>
      <c r="D18" s="5">
        <f>INDEX('V_Teknoloji'!C$2:C$19,MATCH(LARGE('V_Teknoloji'!$AE$2:$AE$19,ROW()-3),'V_Teknoloji'!$AE$2:$AE$19,0))</f>
        <v/>
      </c>
      <c r="E18" s="8">
        <f>INDEX('V_Teknoloji'!D$2:D$19,MATCH(LARGE('V_Teknoloji'!$AE$2:$AE$19,ROW()-3),'V_Teknoloji'!$AE$2:$AE$19,0))</f>
        <v/>
      </c>
      <c r="F18" s="9">
        <f>INDEX('V_Teknoloji'!E$2:E$19,MATCH(LARGE('V_Teknoloji'!$AE$2:$AE$19,ROW()-3),'V_Teknoloji'!$AE$2:$AE$19,0))</f>
        <v/>
      </c>
      <c r="G18" s="9">
        <f>INDEX('V_Teknoloji'!F$2:F$19,MATCH(LARGE('V_Teknoloji'!$AE$2:$AE$19,ROW()-3),'V_Teknoloji'!$AE$2:$AE$19,0))</f>
        <v/>
      </c>
      <c r="H18" s="9">
        <f>INDEX('V_Teknoloji'!G$2:G$19,MATCH(LARGE('V_Teknoloji'!$AE$2:$AE$19,ROW()-3),'V_Teknoloji'!$AE$2:$AE$19,0))</f>
        <v/>
      </c>
      <c r="I18" s="9">
        <f>INDEX('V_Teknoloji'!H$2:H$19,MATCH(LARGE('V_Teknoloji'!$AE$2:$AE$19,ROW()-3),'V_Teknoloji'!$AE$2:$AE$19,0))</f>
        <v/>
      </c>
      <c r="J18" s="9">
        <f>INDEX('V_Teknoloji'!I$2:I$19,MATCH(LARGE('V_Teknoloji'!$AE$2:$AE$19,ROW()-3),'V_Teknoloji'!$AE$2:$AE$19,0))</f>
        <v/>
      </c>
      <c r="K18" s="10">
        <f>INDEX('V_Teknoloji'!J$2:J$19,MATCH(LARGE('V_Teknoloji'!$AE$2:$AE$19,ROW()-3),'V_Teknoloji'!$AE$2:$AE$19,0))</f>
        <v/>
      </c>
      <c r="L18" s="10">
        <f>INDEX('V_Teknoloji'!K$2:K$19,MATCH(LARGE('V_Teknoloji'!$AE$2:$AE$19,ROW()-3),'V_Teknoloji'!$AE$2:$AE$19,0))</f>
        <v/>
      </c>
      <c r="M18" s="8">
        <f>INDEX('V_Teknoloji'!L$2:L$19,MATCH(LARGE('V_Teknoloji'!$AE$2:$AE$19,ROW()-3),'V_Teknoloji'!$AE$2:$AE$19,0))</f>
        <v/>
      </c>
      <c r="N18" s="11">
        <f>INDEX('V_Teknoloji'!M$2:M$19,MATCH(LARGE('V_Teknoloji'!$AE$2:$AE$19,ROW()-3),'V_Teknoloji'!$AE$2:$AE$19,0))</f>
        <v/>
      </c>
      <c r="O18" s="11">
        <f>INDEX('V_Teknoloji'!N$2:N$19,MATCH(LARGE('V_Teknoloji'!$AE$2:$AE$19,ROW()-3),'V_Teknoloji'!$AE$2:$AE$19,0))</f>
        <v/>
      </c>
      <c r="P18" s="8">
        <f>INDEX('V_Teknoloji'!O$2:O$19,MATCH(LARGE('V_Teknoloji'!$AE$2:$AE$19,ROW()-3),'V_Teknoloji'!$AE$2:$AE$19,0))</f>
        <v/>
      </c>
      <c r="Q18" s="9">
        <f>INDEX('V_Teknoloji'!P$2:P$19,MATCH(LARGE('V_Teknoloji'!$AE$2:$AE$19,ROW()-3),'V_Teknoloji'!$AE$2:$AE$19,0))</f>
        <v/>
      </c>
      <c r="R18" s="5">
        <f>INDEX('V_Teknoloji'!Q$2:Q$19,MATCH(LARGE('V_Teknoloji'!$AE$2:$AE$19,ROW()-3),'V_Teknoloji'!$AE$2:$AE$19,0))</f>
        <v/>
      </c>
      <c r="S18" s="8">
        <f>INDEX('V_Teknoloji'!R$2:R$19,MATCH(LARGE('V_Teknoloji'!$AE$2:$AE$19,ROW()-3),'V_Teknoloji'!$AE$2:$AE$19,0))</f>
        <v/>
      </c>
      <c r="T18" s="8">
        <f>INDEX('V_Teknoloji'!S$2:S$19,MATCH(LARGE('V_Teknoloji'!$AE$2:$AE$19,ROW()-3),'V_Teknoloji'!$AE$2:$AE$19,0))</f>
        <v/>
      </c>
      <c r="U18" s="8">
        <f>INDEX('V_Teknoloji'!T$2:T$19,MATCH(LARGE('V_Teknoloji'!$AE$2:$AE$19,ROW()-3),'V_Teknoloji'!$AE$2:$AE$19,0))</f>
        <v/>
      </c>
      <c r="V18" s="8">
        <f>INDEX('V_Teknoloji'!U$2:U$19,MATCH(LARGE('V_Teknoloji'!$AE$2:$AE$19,ROW()-3),'V_Teknoloji'!$AE$2:$AE$19,0))</f>
        <v/>
      </c>
      <c r="W18" s="8">
        <f>INDEX('V_Teknoloji'!V$2:V$19,MATCH(LARGE('V_Teknoloji'!$AE$2:$AE$19,ROW()-3),'V_Teknoloji'!$AE$2:$AE$19,0))</f>
        <v/>
      </c>
      <c r="X18" s="8">
        <f>INDEX('V_Teknoloji'!W$2:W$19,MATCH(LARGE('V_Teknoloji'!$AE$2:$AE$19,ROW()-3),'V_Teknoloji'!$AE$2:$AE$19,0))</f>
        <v/>
      </c>
      <c r="Y18" s="8">
        <f>INDEX('V_Teknoloji'!X$2:X$19,MATCH(LARGE('V_Teknoloji'!$AE$2:$AE$19,ROW()-3),'V_Teknoloji'!$AE$2:$AE$19,0))</f>
        <v/>
      </c>
      <c r="Z18" s="8">
        <f>INDEX('V_Teknoloji'!Y$2:Y$19,MATCH(LARGE('V_Teknoloji'!$AE$2:$AE$19,ROW()-3),'V_Teknoloji'!$AE$2:$AE$19,0))</f>
        <v/>
      </c>
      <c r="AA18" s="8">
        <f>INDEX('V_Teknoloji'!Z$2:Z$19,MATCH(LARGE('V_Teknoloji'!$AE$2:$AE$19,ROW()-3),'V_Teknoloji'!$AE$2:$AE$19,0))</f>
        <v/>
      </c>
      <c r="AB18" s="8">
        <f>INDEX('V_Teknoloji'!AA$2:AA$19,MATCH(LARGE('V_Teknoloji'!$AE$2:$AE$19,ROW()-3),'V_Teknoloji'!$AE$2:$AE$19,0))</f>
        <v/>
      </c>
      <c r="AC18" s="8">
        <f>INDEX('V_Teknoloji'!AB$2:AB$19,MATCH(LARGE('V_Teknoloji'!$AE$2:$AE$19,ROW()-3),'V_Teknoloji'!$AE$2:$AE$19,0))</f>
        <v/>
      </c>
      <c r="AD18" s="8">
        <f>INDEX('V_Teknoloji'!AC$2:AC$19,MATCH(LARGE('V_Teknoloji'!$AE$2:$AE$19,ROW()-3),'V_Teknoloji'!$AE$2:$AE$19,0))</f>
        <v/>
      </c>
    </row>
    <row r="19">
      <c r="A19" t="n">
        <v>16</v>
      </c>
      <c r="B19" s="5">
        <f>INDEX('V_Teknoloji'!A$2:A$19,MATCH(LARGE('V_Teknoloji'!$AE$2:$AE$19,ROW()-3),'V_Teknoloji'!$AE$2:$AE$19,0))</f>
        <v/>
      </c>
      <c r="C19" s="5">
        <f>INDEX('V_Teknoloji'!B$2:B$19,MATCH(LARGE('V_Teknoloji'!$AE$2:$AE$19,ROW()-3),'V_Teknoloji'!$AE$2:$AE$19,0))</f>
        <v/>
      </c>
      <c r="D19" s="5">
        <f>INDEX('V_Teknoloji'!C$2:C$19,MATCH(LARGE('V_Teknoloji'!$AE$2:$AE$19,ROW()-3),'V_Teknoloji'!$AE$2:$AE$19,0))</f>
        <v/>
      </c>
      <c r="E19" s="8">
        <f>INDEX('V_Teknoloji'!D$2:D$19,MATCH(LARGE('V_Teknoloji'!$AE$2:$AE$19,ROW()-3),'V_Teknoloji'!$AE$2:$AE$19,0))</f>
        <v/>
      </c>
      <c r="F19" s="9">
        <f>INDEX('V_Teknoloji'!E$2:E$19,MATCH(LARGE('V_Teknoloji'!$AE$2:$AE$19,ROW()-3),'V_Teknoloji'!$AE$2:$AE$19,0))</f>
        <v/>
      </c>
      <c r="G19" s="9">
        <f>INDEX('V_Teknoloji'!F$2:F$19,MATCH(LARGE('V_Teknoloji'!$AE$2:$AE$19,ROW()-3),'V_Teknoloji'!$AE$2:$AE$19,0))</f>
        <v/>
      </c>
      <c r="H19" s="9">
        <f>INDEX('V_Teknoloji'!G$2:G$19,MATCH(LARGE('V_Teknoloji'!$AE$2:$AE$19,ROW()-3),'V_Teknoloji'!$AE$2:$AE$19,0))</f>
        <v/>
      </c>
      <c r="I19" s="9">
        <f>INDEX('V_Teknoloji'!H$2:H$19,MATCH(LARGE('V_Teknoloji'!$AE$2:$AE$19,ROW()-3),'V_Teknoloji'!$AE$2:$AE$19,0))</f>
        <v/>
      </c>
      <c r="J19" s="9">
        <f>INDEX('V_Teknoloji'!I$2:I$19,MATCH(LARGE('V_Teknoloji'!$AE$2:$AE$19,ROW()-3),'V_Teknoloji'!$AE$2:$AE$19,0))</f>
        <v/>
      </c>
      <c r="K19" s="10">
        <f>INDEX('V_Teknoloji'!J$2:J$19,MATCH(LARGE('V_Teknoloji'!$AE$2:$AE$19,ROW()-3),'V_Teknoloji'!$AE$2:$AE$19,0))</f>
        <v/>
      </c>
      <c r="L19" s="10">
        <f>INDEX('V_Teknoloji'!K$2:K$19,MATCH(LARGE('V_Teknoloji'!$AE$2:$AE$19,ROW()-3),'V_Teknoloji'!$AE$2:$AE$19,0))</f>
        <v/>
      </c>
      <c r="M19" s="8">
        <f>INDEX('V_Teknoloji'!L$2:L$19,MATCH(LARGE('V_Teknoloji'!$AE$2:$AE$19,ROW()-3),'V_Teknoloji'!$AE$2:$AE$19,0))</f>
        <v/>
      </c>
      <c r="N19" s="11">
        <f>INDEX('V_Teknoloji'!M$2:M$19,MATCH(LARGE('V_Teknoloji'!$AE$2:$AE$19,ROW()-3),'V_Teknoloji'!$AE$2:$AE$19,0))</f>
        <v/>
      </c>
      <c r="O19" s="11">
        <f>INDEX('V_Teknoloji'!N$2:N$19,MATCH(LARGE('V_Teknoloji'!$AE$2:$AE$19,ROW()-3),'V_Teknoloji'!$AE$2:$AE$19,0))</f>
        <v/>
      </c>
      <c r="P19" s="8">
        <f>INDEX('V_Teknoloji'!O$2:O$19,MATCH(LARGE('V_Teknoloji'!$AE$2:$AE$19,ROW()-3),'V_Teknoloji'!$AE$2:$AE$19,0))</f>
        <v/>
      </c>
      <c r="Q19" s="9">
        <f>INDEX('V_Teknoloji'!P$2:P$19,MATCH(LARGE('V_Teknoloji'!$AE$2:$AE$19,ROW()-3),'V_Teknoloji'!$AE$2:$AE$19,0))</f>
        <v/>
      </c>
      <c r="R19" s="5">
        <f>INDEX('V_Teknoloji'!Q$2:Q$19,MATCH(LARGE('V_Teknoloji'!$AE$2:$AE$19,ROW()-3),'V_Teknoloji'!$AE$2:$AE$19,0))</f>
        <v/>
      </c>
      <c r="S19" s="8">
        <f>INDEX('V_Teknoloji'!R$2:R$19,MATCH(LARGE('V_Teknoloji'!$AE$2:$AE$19,ROW()-3),'V_Teknoloji'!$AE$2:$AE$19,0))</f>
        <v/>
      </c>
      <c r="T19" s="8">
        <f>INDEX('V_Teknoloji'!S$2:S$19,MATCH(LARGE('V_Teknoloji'!$AE$2:$AE$19,ROW()-3),'V_Teknoloji'!$AE$2:$AE$19,0))</f>
        <v/>
      </c>
      <c r="U19" s="8">
        <f>INDEX('V_Teknoloji'!T$2:T$19,MATCH(LARGE('V_Teknoloji'!$AE$2:$AE$19,ROW()-3),'V_Teknoloji'!$AE$2:$AE$19,0))</f>
        <v/>
      </c>
      <c r="V19" s="8">
        <f>INDEX('V_Teknoloji'!U$2:U$19,MATCH(LARGE('V_Teknoloji'!$AE$2:$AE$19,ROW()-3),'V_Teknoloji'!$AE$2:$AE$19,0))</f>
        <v/>
      </c>
      <c r="W19" s="8">
        <f>INDEX('V_Teknoloji'!V$2:V$19,MATCH(LARGE('V_Teknoloji'!$AE$2:$AE$19,ROW()-3),'V_Teknoloji'!$AE$2:$AE$19,0))</f>
        <v/>
      </c>
      <c r="X19" s="8">
        <f>INDEX('V_Teknoloji'!W$2:W$19,MATCH(LARGE('V_Teknoloji'!$AE$2:$AE$19,ROW()-3),'V_Teknoloji'!$AE$2:$AE$19,0))</f>
        <v/>
      </c>
      <c r="Y19" s="8">
        <f>INDEX('V_Teknoloji'!X$2:X$19,MATCH(LARGE('V_Teknoloji'!$AE$2:$AE$19,ROW()-3),'V_Teknoloji'!$AE$2:$AE$19,0))</f>
        <v/>
      </c>
      <c r="Z19" s="8">
        <f>INDEX('V_Teknoloji'!Y$2:Y$19,MATCH(LARGE('V_Teknoloji'!$AE$2:$AE$19,ROW()-3),'V_Teknoloji'!$AE$2:$AE$19,0))</f>
        <v/>
      </c>
      <c r="AA19" s="8">
        <f>INDEX('V_Teknoloji'!Z$2:Z$19,MATCH(LARGE('V_Teknoloji'!$AE$2:$AE$19,ROW()-3),'V_Teknoloji'!$AE$2:$AE$19,0))</f>
        <v/>
      </c>
      <c r="AB19" s="8">
        <f>INDEX('V_Teknoloji'!AA$2:AA$19,MATCH(LARGE('V_Teknoloji'!$AE$2:$AE$19,ROW()-3),'V_Teknoloji'!$AE$2:$AE$19,0))</f>
        <v/>
      </c>
      <c r="AC19" s="8">
        <f>INDEX('V_Teknoloji'!AB$2:AB$19,MATCH(LARGE('V_Teknoloji'!$AE$2:$AE$19,ROW()-3),'V_Teknoloji'!$AE$2:$AE$19,0))</f>
        <v/>
      </c>
      <c r="AD19" s="8">
        <f>INDEX('V_Teknoloji'!AC$2:AC$19,MATCH(LARGE('V_Teknoloji'!$AE$2:$AE$19,ROW()-3),'V_Teknoloji'!$AE$2:$AE$19,0))</f>
        <v/>
      </c>
    </row>
    <row r="20">
      <c r="A20" t="n">
        <v>17</v>
      </c>
      <c r="B20" s="5">
        <f>INDEX('V_Teknoloji'!A$2:A$19,MATCH(LARGE('V_Teknoloji'!$AE$2:$AE$19,ROW()-3),'V_Teknoloji'!$AE$2:$AE$19,0))</f>
        <v/>
      </c>
      <c r="C20" s="5">
        <f>INDEX('V_Teknoloji'!B$2:B$19,MATCH(LARGE('V_Teknoloji'!$AE$2:$AE$19,ROW()-3),'V_Teknoloji'!$AE$2:$AE$19,0))</f>
        <v/>
      </c>
      <c r="D20" s="5">
        <f>INDEX('V_Teknoloji'!C$2:C$19,MATCH(LARGE('V_Teknoloji'!$AE$2:$AE$19,ROW()-3),'V_Teknoloji'!$AE$2:$AE$19,0))</f>
        <v/>
      </c>
      <c r="E20" s="8">
        <f>INDEX('V_Teknoloji'!D$2:D$19,MATCH(LARGE('V_Teknoloji'!$AE$2:$AE$19,ROW()-3),'V_Teknoloji'!$AE$2:$AE$19,0))</f>
        <v/>
      </c>
      <c r="F20" s="9">
        <f>INDEX('V_Teknoloji'!E$2:E$19,MATCH(LARGE('V_Teknoloji'!$AE$2:$AE$19,ROW()-3),'V_Teknoloji'!$AE$2:$AE$19,0))</f>
        <v/>
      </c>
      <c r="G20" s="9">
        <f>INDEX('V_Teknoloji'!F$2:F$19,MATCH(LARGE('V_Teknoloji'!$AE$2:$AE$19,ROW()-3),'V_Teknoloji'!$AE$2:$AE$19,0))</f>
        <v/>
      </c>
      <c r="H20" s="9">
        <f>INDEX('V_Teknoloji'!G$2:G$19,MATCH(LARGE('V_Teknoloji'!$AE$2:$AE$19,ROW()-3),'V_Teknoloji'!$AE$2:$AE$19,0))</f>
        <v/>
      </c>
      <c r="I20" s="9">
        <f>INDEX('V_Teknoloji'!H$2:H$19,MATCH(LARGE('V_Teknoloji'!$AE$2:$AE$19,ROW()-3),'V_Teknoloji'!$AE$2:$AE$19,0))</f>
        <v/>
      </c>
      <c r="J20" s="9">
        <f>INDEX('V_Teknoloji'!I$2:I$19,MATCH(LARGE('V_Teknoloji'!$AE$2:$AE$19,ROW()-3),'V_Teknoloji'!$AE$2:$AE$19,0))</f>
        <v/>
      </c>
      <c r="K20" s="10">
        <f>INDEX('V_Teknoloji'!J$2:J$19,MATCH(LARGE('V_Teknoloji'!$AE$2:$AE$19,ROW()-3),'V_Teknoloji'!$AE$2:$AE$19,0))</f>
        <v/>
      </c>
      <c r="L20" s="10">
        <f>INDEX('V_Teknoloji'!K$2:K$19,MATCH(LARGE('V_Teknoloji'!$AE$2:$AE$19,ROW()-3),'V_Teknoloji'!$AE$2:$AE$19,0))</f>
        <v/>
      </c>
      <c r="M20" s="8">
        <f>INDEX('V_Teknoloji'!L$2:L$19,MATCH(LARGE('V_Teknoloji'!$AE$2:$AE$19,ROW()-3),'V_Teknoloji'!$AE$2:$AE$19,0))</f>
        <v/>
      </c>
      <c r="N20" s="11">
        <f>INDEX('V_Teknoloji'!M$2:M$19,MATCH(LARGE('V_Teknoloji'!$AE$2:$AE$19,ROW()-3),'V_Teknoloji'!$AE$2:$AE$19,0))</f>
        <v/>
      </c>
      <c r="O20" s="11">
        <f>INDEX('V_Teknoloji'!N$2:N$19,MATCH(LARGE('V_Teknoloji'!$AE$2:$AE$19,ROW()-3),'V_Teknoloji'!$AE$2:$AE$19,0))</f>
        <v/>
      </c>
      <c r="P20" s="8">
        <f>INDEX('V_Teknoloji'!O$2:O$19,MATCH(LARGE('V_Teknoloji'!$AE$2:$AE$19,ROW()-3),'V_Teknoloji'!$AE$2:$AE$19,0))</f>
        <v/>
      </c>
      <c r="Q20" s="9">
        <f>INDEX('V_Teknoloji'!P$2:P$19,MATCH(LARGE('V_Teknoloji'!$AE$2:$AE$19,ROW()-3),'V_Teknoloji'!$AE$2:$AE$19,0))</f>
        <v/>
      </c>
      <c r="R20" s="5">
        <f>INDEX('V_Teknoloji'!Q$2:Q$19,MATCH(LARGE('V_Teknoloji'!$AE$2:$AE$19,ROW()-3),'V_Teknoloji'!$AE$2:$AE$19,0))</f>
        <v/>
      </c>
      <c r="S20" s="8">
        <f>INDEX('V_Teknoloji'!R$2:R$19,MATCH(LARGE('V_Teknoloji'!$AE$2:$AE$19,ROW()-3),'V_Teknoloji'!$AE$2:$AE$19,0))</f>
        <v/>
      </c>
      <c r="T20" s="8">
        <f>INDEX('V_Teknoloji'!S$2:S$19,MATCH(LARGE('V_Teknoloji'!$AE$2:$AE$19,ROW()-3),'V_Teknoloji'!$AE$2:$AE$19,0))</f>
        <v/>
      </c>
      <c r="U20" s="8">
        <f>INDEX('V_Teknoloji'!T$2:T$19,MATCH(LARGE('V_Teknoloji'!$AE$2:$AE$19,ROW()-3),'V_Teknoloji'!$AE$2:$AE$19,0))</f>
        <v/>
      </c>
      <c r="V20" s="8">
        <f>INDEX('V_Teknoloji'!U$2:U$19,MATCH(LARGE('V_Teknoloji'!$AE$2:$AE$19,ROW()-3),'V_Teknoloji'!$AE$2:$AE$19,0))</f>
        <v/>
      </c>
      <c r="W20" s="8">
        <f>INDEX('V_Teknoloji'!V$2:V$19,MATCH(LARGE('V_Teknoloji'!$AE$2:$AE$19,ROW()-3),'V_Teknoloji'!$AE$2:$AE$19,0))</f>
        <v/>
      </c>
      <c r="X20" s="8">
        <f>INDEX('V_Teknoloji'!W$2:W$19,MATCH(LARGE('V_Teknoloji'!$AE$2:$AE$19,ROW()-3),'V_Teknoloji'!$AE$2:$AE$19,0))</f>
        <v/>
      </c>
      <c r="Y20" s="8">
        <f>INDEX('V_Teknoloji'!X$2:X$19,MATCH(LARGE('V_Teknoloji'!$AE$2:$AE$19,ROW()-3),'V_Teknoloji'!$AE$2:$AE$19,0))</f>
        <v/>
      </c>
      <c r="Z20" s="8">
        <f>INDEX('V_Teknoloji'!Y$2:Y$19,MATCH(LARGE('V_Teknoloji'!$AE$2:$AE$19,ROW()-3),'V_Teknoloji'!$AE$2:$AE$19,0))</f>
        <v/>
      </c>
      <c r="AA20" s="8">
        <f>INDEX('V_Teknoloji'!Z$2:Z$19,MATCH(LARGE('V_Teknoloji'!$AE$2:$AE$19,ROW()-3),'V_Teknoloji'!$AE$2:$AE$19,0))</f>
        <v/>
      </c>
      <c r="AB20" s="8">
        <f>INDEX('V_Teknoloji'!AA$2:AA$19,MATCH(LARGE('V_Teknoloji'!$AE$2:$AE$19,ROW()-3),'V_Teknoloji'!$AE$2:$AE$19,0))</f>
        <v/>
      </c>
      <c r="AC20" s="8">
        <f>INDEX('V_Teknoloji'!AB$2:AB$19,MATCH(LARGE('V_Teknoloji'!$AE$2:$AE$19,ROW()-3),'V_Teknoloji'!$AE$2:$AE$19,0))</f>
        <v/>
      </c>
      <c r="AD20" s="8">
        <f>INDEX('V_Teknoloji'!AC$2:AC$19,MATCH(LARGE('V_Teknoloji'!$AE$2:$AE$19,ROW()-3),'V_Teknoloji'!$AE$2:$AE$19,0))</f>
        <v/>
      </c>
    </row>
    <row r="21">
      <c r="A21" t="n">
        <v>18</v>
      </c>
      <c r="B21" s="5">
        <f>INDEX('V_Teknoloji'!A$2:A$19,MATCH(LARGE('V_Teknoloji'!$AE$2:$AE$19,ROW()-3),'V_Teknoloji'!$AE$2:$AE$19,0))</f>
        <v/>
      </c>
      <c r="C21" s="5">
        <f>INDEX('V_Teknoloji'!B$2:B$19,MATCH(LARGE('V_Teknoloji'!$AE$2:$AE$19,ROW()-3),'V_Teknoloji'!$AE$2:$AE$19,0))</f>
        <v/>
      </c>
      <c r="D21" s="5">
        <f>INDEX('V_Teknoloji'!C$2:C$19,MATCH(LARGE('V_Teknoloji'!$AE$2:$AE$19,ROW()-3),'V_Teknoloji'!$AE$2:$AE$19,0))</f>
        <v/>
      </c>
      <c r="E21" s="8">
        <f>INDEX('V_Teknoloji'!D$2:D$19,MATCH(LARGE('V_Teknoloji'!$AE$2:$AE$19,ROW()-3),'V_Teknoloji'!$AE$2:$AE$19,0))</f>
        <v/>
      </c>
      <c r="F21" s="9">
        <f>INDEX('V_Teknoloji'!E$2:E$19,MATCH(LARGE('V_Teknoloji'!$AE$2:$AE$19,ROW()-3),'V_Teknoloji'!$AE$2:$AE$19,0))</f>
        <v/>
      </c>
      <c r="G21" s="9">
        <f>INDEX('V_Teknoloji'!F$2:F$19,MATCH(LARGE('V_Teknoloji'!$AE$2:$AE$19,ROW()-3),'V_Teknoloji'!$AE$2:$AE$19,0))</f>
        <v/>
      </c>
      <c r="H21" s="9">
        <f>INDEX('V_Teknoloji'!G$2:G$19,MATCH(LARGE('V_Teknoloji'!$AE$2:$AE$19,ROW()-3),'V_Teknoloji'!$AE$2:$AE$19,0))</f>
        <v/>
      </c>
      <c r="I21" s="9">
        <f>INDEX('V_Teknoloji'!H$2:H$19,MATCH(LARGE('V_Teknoloji'!$AE$2:$AE$19,ROW()-3),'V_Teknoloji'!$AE$2:$AE$19,0))</f>
        <v/>
      </c>
      <c r="J21" s="9">
        <f>INDEX('V_Teknoloji'!I$2:I$19,MATCH(LARGE('V_Teknoloji'!$AE$2:$AE$19,ROW()-3),'V_Teknoloji'!$AE$2:$AE$19,0))</f>
        <v/>
      </c>
      <c r="K21" s="10">
        <f>INDEX('V_Teknoloji'!J$2:J$19,MATCH(LARGE('V_Teknoloji'!$AE$2:$AE$19,ROW()-3),'V_Teknoloji'!$AE$2:$AE$19,0))</f>
        <v/>
      </c>
      <c r="L21" s="10">
        <f>INDEX('V_Teknoloji'!K$2:K$19,MATCH(LARGE('V_Teknoloji'!$AE$2:$AE$19,ROW()-3),'V_Teknoloji'!$AE$2:$AE$19,0))</f>
        <v/>
      </c>
      <c r="M21" s="8">
        <f>INDEX('V_Teknoloji'!L$2:L$19,MATCH(LARGE('V_Teknoloji'!$AE$2:$AE$19,ROW()-3),'V_Teknoloji'!$AE$2:$AE$19,0))</f>
        <v/>
      </c>
      <c r="N21" s="11">
        <f>INDEX('V_Teknoloji'!M$2:M$19,MATCH(LARGE('V_Teknoloji'!$AE$2:$AE$19,ROW()-3),'V_Teknoloji'!$AE$2:$AE$19,0))</f>
        <v/>
      </c>
      <c r="O21" s="11">
        <f>INDEX('V_Teknoloji'!N$2:N$19,MATCH(LARGE('V_Teknoloji'!$AE$2:$AE$19,ROW()-3),'V_Teknoloji'!$AE$2:$AE$19,0))</f>
        <v/>
      </c>
      <c r="P21" s="8">
        <f>INDEX('V_Teknoloji'!O$2:O$19,MATCH(LARGE('V_Teknoloji'!$AE$2:$AE$19,ROW()-3),'V_Teknoloji'!$AE$2:$AE$19,0))</f>
        <v/>
      </c>
      <c r="Q21" s="9">
        <f>INDEX('V_Teknoloji'!P$2:P$19,MATCH(LARGE('V_Teknoloji'!$AE$2:$AE$19,ROW()-3),'V_Teknoloji'!$AE$2:$AE$19,0))</f>
        <v/>
      </c>
      <c r="R21" s="5">
        <f>INDEX('V_Teknoloji'!Q$2:Q$19,MATCH(LARGE('V_Teknoloji'!$AE$2:$AE$19,ROW()-3),'V_Teknoloji'!$AE$2:$AE$19,0))</f>
        <v/>
      </c>
      <c r="S21" s="8">
        <f>INDEX('V_Teknoloji'!R$2:R$19,MATCH(LARGE('V_Teknoloji'!$AE$2:$AE$19,ROW()-3),'V_Teknoloji'!$AE$2:$AE$19,0))</f>
        <v/>
      </c>
      <c r="T21" s="8">
        <f>INDEX('V_Teknoloji'!S$2:S$19,MATCH(LARGE('V_Teknoloji'!$AE$2:$AE$19,ROW()-3),'V_Teknoloji'!$AE$2:$AE$19,0))</f>
        <v/>
      </c>
      <c r="U21" s="8">
        <f>INDEX('V_Teknoloji'!T$2:T$19,MATCH(LARGE('V_Teknoloji'!$AE$2:$AE$19,ROW()-3),'V_Teknoloji'!$AE$2:$AE$19,0))</f>
        <v/>
      </c>
      <c r="V21" s="8">
        <f>INDEX('V_Teknoloji'!U$2:U$19,MATCH(LARGE('V_Teknoloji'!$AE$2:$AE$19,ROW()-3),'V_Teknoloji'!$AE$2:$AE$19,0))</f>
        <v/>
      </c>
      <c r="W21" s="8">
        <f>INDEX('V_Teknoloji'!V$2:V$19,MATCH(LARGE('V_Teknoloji'!$AE$2:$AE$19,ROW()-3),'V_Teknoloji'!$AE$2:$AE$19,0))</f>
        <v/>
      </c>
      <c r="X21" s="8">
        <f>INDEX('V_Teknoloji'!W$2:W$19,MATCH(LARGE('V_Teknoloji'!$AE$2:$AE$19,ROW()-3),'V_Teknoloji'!$AE$2:$AE$19,0))</f>
        <v/>
      </c>
      <c r="Y21" s="8">
        <f>INDEX('V_Teknoloji'!X$2:X$19,MATCH(LARGE('V_Teknoloji'!$AE$2:$AE$19,ROW()-3),'V_Teknoloji'!$AE$2:$AE$19,0))</f>
        <v/>
      </c>
      <c r="Z21" s="8">
        <f>INDEX('V_Teknoloji'!Y$2:Y$19,MATCH(LARGE('V_Teknoloji'!$AE$2:$AE$19,ROW()-3),'V_Teknoloji'!$AE$2:$AE$19,0))</f>
        <v/>
      </c>
      <c r="AA21" s="8">
        <f>INDEX('V_Teknoloji'!Z$2:Z$19,MATCH(LARGE('V_Teknoloji'!$AE$2:$AE$19,ROW()-3),'V_Teknoloji'!$AE$2:$AE$19,0))</f>
        <v/>
      </c>
      <c r="AB21" s="8">
        <f>INDEX('V_Teknoloji'!AA$2:AA$19,MATCH(LARGE('V_Teknoloji'!$AE$2:$AE$19,ROW()-3),'V_Teknoloji'!$AE$2:$AE$19,0))</f>
        <v/>
      </c>
      <c r="AC21" s="8">
        <f>INDEX('V_Teknoloji'!AB$2:AB$19,MATCH(LARGE('V_Teknoloji'!$AE$2:$AE$19,ROW()-3),'V_Teknoloji'!$AE$2:$AE$19,0))</f>
        <v/>
      </c>
      <c r="AD21" s="8">
        <f>INDEX('V_Teknoloji'!AC$2:AC$19,MATCH(LARGE('V_Teknoloji'!$AE$2:$AE$19,ROW()-3),'V_Teknoloji'!$AE$2:$AE$19,0))</f>
        <v/>
      </c>
    </row>
  </sheetData>
  <conditionalFormatting sqref="B4:AD21">
    <cfRule type="expression" priority="1" dxfId="0">
      <formula>OR($B4="BAI",$B4="BHI",$B4="BIS",$B4="BSD",$B4="BTE",$B4="BTK",$B4="BV1",$B4="BVD",$B4="BVF",$B4="BVV",$B4="BVZ",$B4="MTD",$B4="RUT",$B4="SPR")</formula>
    </cfRule>
  </conditionalFormatting>
  <dataValidations count="1">
    <dataValidation sqref="E2" showDropDown="0" showInputMessage="0" showErrorMessage="0" allowBlank="0" type="list">
      <formula1>"Günlük%,Haftalık,Aylık,Yılbaşına Göre,Yıllık"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E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 Kodu</t>
        </is>
      </c>
      <c r="B1" t="inlineStr">
        <is>
          <t>Tüm Teknoloji Fonları</t>
        </is>
      </c>
      <c r="C1" t="inlineStr">
        <is>
          <t>Yönetici</t>
        </is>
      </c>
      <c r="D1" t="inlineStr">
        <is>
          <t>FYÜ%</t>
        </is>
      </c>
      <c r="E1" t="inlineStr">
        <is>
          <t>Günlük%</t>
        </is>
      </c>
      <c r="F1" t="inlineStr">
        <is>
          <t>Haftalık</t>
        </is>
      </c>
      <c r="G1" t="inlineStr">
        <is>
          <t>Aylık</t>
        </is>
      </c>
      <c r="H1" t="inlineStr">
        <is>
          <t>Yılbaşına Göre</t>
        </is>
      </c>
      <c r="I1" t="inlineStr">
        <is>
          <t>Yıllık</t>
        </is>
      </c>
      <c r="J1" t="inlineStr">
        <is>
          <t>Yatırımcı Sayısı T-30</t>
        </is>
      </c>
      <c r="K1" t="inlineStr">
        <is>
          <t>Yatırımcı Sayısı T-1</t>
        </is>
      </c>
      <c r="L1" t="inlineStr">
        <is>
          <t>YS Değişim</t>
        </is>
      </c>
      <c r="M1" t="inlineStr">
        <is>
          <t>Önceki Ay FTD</t>
        </is>
      </c>
      <c r="N1" t="inlineStr">
        <is>
          <t>T-1 FTD</t>
        </is>
      </c>
      <c r="O1" t="inlineStr">
        <is>
          <t>FTD Değişim</t>
        </is>
      </c>
      <c r="P1" t="inlineStr">
        <is>
          <t>Standart Sapma (Aylık)</t>
        </is>
      </c>
      <c r="Q1" t="inlineStr">
        <is>
          <t>TEFAS Durumu</t>
        </is>
      </c>
      <c r="R1" t="inlineStr">
        <is>
          <t>Yabancı Hisse Oranı</t>
        </is>
      </c>
      <c r="S1" t="inlineStr">
        <is>
          <t>Yabancı Borsa Yatırım Fonları</t>
        </is>
      </c>
      <c r="T1" t="inlineStr">
        <is>
          <t>Mevduat (TL)</t>
        </is>
      </c>
      <c r="U1" t="inlineStr">
        <is>
          <t>Vadeli İşlemler Nakit Teminatları</t>
        </is>
      </c>
      <c r="V1" t="inlineStr">
        <is>
          <t>Ters Repo Oranı</t>
        </is>
      </c>
      <c r="W1" t="inlineStr">
        <is>
          <t>Hisse Oranı</t>
        </is>
      </c>
      <c r="X1" t="inlineStr">
        <is>
          <t>Para Piyasaları Oranı</t>
        </is>
      </c>
      <c r="Y1" t="inlineStr">
        <is>
          <t>Yatırım Fonları Katılma Payları</t>
        </is>
      </c>
      <c r="Z1" t="inlineStr">
        <is>
          <t>Özel Tahvil/Bono Oranı</t>
        </is>
      </c>
      <c r="AA1" t="inlineStr">
        <is>
          <t>Finansman Bonosu Oranı</t>
        </is>
      </c>
      <c r="AB1" t="inlineStr">
        <is>
          <t>Diğer Oran</t>
        </is>
      </c>
      <c r="AC1" t="inlineStr">
        <is>
          <t>Toplam</t>
        </is>
      </c>
    </row>
    <row r="2">
      <c r="A2" t="inlineStr">
        <is>
          <t>RPM</t>
        </is>
      </c>
      <c r="B2" t="inlineStr">
        <is>
          <t>Rota Portföy İlaç VE Medikal Teknolojileri Değişken Fon</t>
        </is>
      </c>
      <c r="C2" t="inlineStr">
        <is>
          <t>Rota Portföy</t>
        </is>
      </c>
      <c r="D2" t="n">
        <v>0.025</v>
      </c>
      <c r="E2" t="n">
        <v>1.404606388456942</v>
      </c>
      <c r="F2" t="n">
        <v>-0.3357676148316391</v>
      </c>
      <c r="G2" t="n">
        <v>7.308456171705902</v>
      </c>
      <c r="H2" t="n">
        <v>24.33787858727643</v>
      </c>
      <c r="I2" t="n">
        <v>70.05275555833438</v>
      </c>
      <c r="J2" t="n">
        <v>2798</v>
      </c>
      <c r="K2" t="n">
        <v>2886</v>
      </c>
      <c r="L2" t="n">
        <v>0.03145103645461034</v>
      </c>
      <c r="M2" t="n">
        <v>69945769.62</v>
      </c>
      <c r="N2" t="n">
        <v>82727959.65000001</v>
      </c>
      <c r="O2" t="n">
        <v>0.1827442903186687</v>
      </c>
      <c r="P2" t="n">
        <v>0.8155938192693166</v>
      </c>
      <c r="Q2" t="inlineStr">
        <is>
          <t>Görüyor</t>
        </is>
      </c>
      <c r="R2" t="n">
        <v>0.5911</v>
      </c>
      <c r="S2" t="n">
        <v>0</v>
      </c>
      <c r="T2" t="n">
        <v>0</v>
      </c>
      <c r="U2" t="n">
        <v>0.0315</v>
      </c>
      <c r="V2" t="n">
        <v>0.1099</v>
      </c>
      <c r="W2" t="n">
        <v>0.2475</v>
      </c>
      <c r="X2" t="n">
        <v>0.0095</v>
      </c>
      <c r="Y2" t="n">
        <v>0.0105</v>
      </c>
      <c r="Z2" t="n">
        <v>0</v>
      </c>
      <c r="AA2" t="n">
        <v>0</v>
      </c>
      <c r="AB2" t="n">
        <v>0</v>
      </c>
      <c r="AC2" t="n">
        <v>1</v>
      </c>
      <c r="AE2">
        <f>IF(ISNUMBER(INDEX($A$2:$AC$59,1,MATCH('Tüm Teknoloji'!$E$2,$A$1:$AC$1,0))),INDEX($A$2:$AC$59,1,MATCH('Tüm Teknoloji'!$E$2,$A$1:$AC$1,0)),-1E+9)-ROW()/1E+7</f>
        <v/>
      </c>
    </row>
    <row r="3">
      <c r="A3" t="inlineStr">
        <is>
          <t>YHZ</t>
        </is>
      </c>
      <c r="B3" t="inlineStr">
        <is>
          <t>Yapı Kredi Portföy Bıst Teknoloji Ağırlık Sınırlamalı Endeksi Hisse Senedi Fonu ( Hisse Senedi Yoğun Fon)</t>
        </is>
      </c>
      <c r="C3" t="inlineStr">
        <is>
          <t>Yapı Kredi Portföy</t>
        </is>
      </c>
      <c r="D3" t="n">
        <v>0.02</v>
      </c>
      <c r="E3" t="n">
        <v>1.224401862335567</v>
      </c>
      <c r="F3" t="n">
        <v>2.07320311221848</v>
      </c>
      <c r="G3" t="n">
        <v>-1.917064545049529</v>
      </c>
      <c r="H3" t="n">
        <v>56.80624506224701</v>
      </c>
      <c r="I3" t="n">
        <v>75.7944292709721</v>
      </c>
      <c r="J3" t="n">
        <v>16155</v>
      </c>
      <c r="K3" t="n">
        <v>16115</v>
      </c>
      <c r="L3" t="n">
        <v>-0.002476013618074924</v>
      </c>
      <c r="M3" t="n">
        <v>1329936580.54</v>
      </c>
      <c r="N3" t="n">
        <v>1294980048.55</v>
      </c>
      <c r="O3" t="n">
        <v>-0.02628436009768709</v>
      </c>
      <c r="P3" t="n">
        <v>1.07962211608675</v>
      </c>
      <c r="Q3" t="inlineStr">
        <is>
          <t>Görüyor</t>
        </is>
      </c>
      <c r="R3" t="n">
        <v>0</v>
      </c>
      <c r="S3" t="n">
        <v>0</v>
      </c>
      <c r="T3" t="n">
        <v>0</v>
      </c>
      <c r="U3" t="n">
        <v>0.0048</v>
      </c>
      <c r="V3" t="n">
        <v>0</v>
      </c>
      <c r="W3" t="n">
        <v>0.9312</v>
      </c>
      <c r="X3" t="n">
        <v>0.0066</v>
      </c>
      <c r="Y3" t="n">
        <v>0.0574</v>
      </c>
      <c r="Z3" t="n">
        <v>0</v>
      </c>
      <c r="AA3" t="n">
        <v>0</v>
      </c>
      <c r="AB3" t="n">
        <v>0</v>
      </c>
      <c r="AC3" t="n">
        <v>1</v>
      </c>
      <c r="AE3">
        <f>IF(ISNUMBER(INDEX($A$2:$AC$59,2,MATCH('Tüm Teknoloji'!$E$2,$A$1:$AC$1,0))),INDEX($A$2:$AC$59,2,MATCH('Tüm Teknoloji'!$E$2,$A$1:$AC$1,0)),-1E+9)-ROW()/1E+7</f>
        <v/>
      </c>
    </row>
    <row r="4">
      <c r="A4" t="inlineStr">
        <is>
          <t>TTE</t>
        </is>
      </c>
      <c r="B4" t="inlineStr">
        <is>
          <t>İŞ Portföy Bıst Teknoloji Ağırlık Sınırlamalı Endeksi Hisse Senedi (TL) Fonu (Hisse Senedi Yoğun Fon)</t>
        </is>
      </c>
      <c r="C4" t="inlineStr">
        <is>
          <t>İŞ Portföy</t>
        </is>
      </c>
      <c r="D4" t="n">
        <v>0.019</v>
      </c>
      <c r="E4" t="n">
        <v>1.190819150837097</v>
      </c>
      <c r="F4" t="n">
        <v>1.625898648227975</v>
      </c>
      <c r="G4" t="n">
        <v>-1.481973708502371</v>
      </c>
      <c r="H4" t="n">
        <v>65.67878875327764</v>
      </c>
      <c r="I4" t="n">
        <v>77.18365288017843</v>
      </c>
      <c r="J4" t="n">
        <v>46360</v>
      </c>
      <c r="K4" t="n">
        <v>45672</v>
      </c>
      <c r="L4" t="n">
        <v>-0.01484037963761864</v>
      </c>
      <c r="M4" t="n">
        <v>4320045658.29</v>
      </c>
      <c r="N4" t="n">
        <v>3979152972.24</v>
      </c>
      <c r="O4" t="n">
        <v>-0.07890950999460855</v>
      </c>
      <c r="P4" t="n">
        <v>1.060737776110948</v>
      </c>
      <c r="Q4" t="inlineStr">
        <is>
          <t>Görüyor</t>
        </is>
      </c>
      <c r="R4" t="n">
        <v>0</v>
      </c>
      <c r="S4" t="n">
        <v>0</v>
      </c>
      <c r="T4" t="n">
        <v>0</v>
      </c>
      <c r="U4" t="n">
        <v>0</v>
      </c>
      <c r="V4" t="n">
        <v>0.08119999999999999</v>
      </c>
      <c r="W4" t="n">
        <v>0.9168000000000001</v>
      </c>
      <c r="X4" t="n">
        <v>0</v>
      </c>
      <c r="Y4" t="n">
        <v>0.002</v>
      </c>
      <c r="Z4" t="n">
        <v>0</v>
      </c>
      <c r="AA4" t="n">
        <v>0</v>
      </c>
      <c r="AB4" t="n">
        <v>0</v>
      </c>
      <c r="AC4" t="n">
        <v>1</v>
      </c>
      <c r="AE4">
        <f>IF(ISNUMBER(INDEX($A$2:$AC$59,3,MATCH('Tüm Teknoloji'!$E$2,$A$1:$AC$1,0))),INDEX($A$2:$AC$59,3,MATCH('Tüm Teknoloji'!$E$2,$A$1:$AC$1,0)),-1E+9)-ROW()/1E+7</f>
        <v/>
      </c>
    </row>
    <row r="5">
      <c r="A5" t="inlineStr">
        <is>
          <t>ICZ</t>
        </is>
      </c>
      <c r="B5" t="inlineStr">
        <is>
          <t>AK Portföy Teknoloji Şirketleri Hisse Senedi (TL) Fonu (Hisse Senedi Yoğun Fon)</t>
        </is>
      </c>
      <c r="C5" t="inlineStr">
        <is>
          <t>AK Portföy</t>
        </is>
      </c>
      <c r="D5" t="n">
        <v>0.029</v>
      </c>
      <c r="E5" t="n">
        <v>1.161539878811735</v>
      </c>
      <c r="F5" t="n">
        <v>1.518708122287915</v>
      </c>
      <c r="G5" t="n">
        <v>-2.372307001173013</v>
      </c>
      <c r="H5" t="n">
        <v>46.7975146478031</v>
      </c>
      <c r="I5" t="n">
        <v>66.25650681703428</v>
      </c>
      <c r="J5" t="n">
        <v>22651</v>
      </c>
      <c r="K5" t="n">
        <v>22296</v>
      </c>
      <c r="L5" t="n">
        <v>-0.01567259723632508</v>
      </c>
      <c r="M5" t="n">
        <v>1165098160.42</v>
      </c>
      <c r="N5" t="n">
        <v>1057610715.24</v>
      </c>
      <c r="O5" t="n">
        <v>-0.09225612813709405</v>
      </c>
      <c r="P5" t="n">
        <v>1.028420274300103</v>
      </c>
      <c r="Q5" t="inlineStr">
        <is>
          <t>Görüyor</t>
        </is>
      </c>
      <c r="R5" t="n">
        <v>0</v>
      </c>
      <c r="S5" t="n">
        <v>0</v>
      </c>
      <c r="T5" t="n">
        <v>0</v>
      </c>
      <c r="U5" t="n">
        <v>0</v>
      </c>
      <c r="V5" t="n">
        <v>0.1171</v>
      </c>
      <c r="W5" t="n">
        <v>0.8532999999999999</v>
      </c>
      <c r="X5" t="n">
        <v>0.0008</v>
      </c>
      <c r="Y5" t="n">
        <v>0.0288</v>
      </c>
      <c r="Z5" t="n">
        <v>0</v>
      </c>
      <c r="AA5" t="n">
        <v>0</v>
      </c>
      <c r="AB5" t="n">
        <v>0</v>
      </c>
      <c r="AC5" t="n">
        <v>1</v>
      </c>
      <c r="AE5">
        <f>IF(ISNUMBER(INDEX($A$2:$AC$59,4,MATCH('Tüm Teknoloji'!$E$2,$A$1:$AC$1,0))),INDEX($A$2:$AC$59,4,MATCH('Tüm Teknoloji'!$E$2,$A$1:$AC$1,0)),-1E+9)-ROW()/1E+7</f>
        <v/>
      </c>
    </row>
    <row r="6">
      <c r="A6" t="inlineStr">
        <is>
          <t>DHJ</t>
        </is>
      </c>
      <c r="B6" t="inlineStr">
        <is>
          <t>Deniz Portföy Teknoloji Şirketleri Hisse Senedi Fonu (Hisse Senedi Yoğun Fon)</t>
        </is>
      </c>
      <c r="C6" t="inlineStr">
        <is>
          <t>Deniz Portföy</t>
        </is>
      </c>
      <c r="D6" t="n">
        <v>0.0275</v>
      </c>
      <c r="E6" t="n">
        <v>0.9964002771225777</v>
      </c>
      <c r="F6" t="n">
        <v>0.6858926851602387</v>
      </c>
      <c r="G6" t="n">
        <v>-7.274618215174655</v>
      </c>
      <c r="H6" t="n">
        <v>25.83313781301539</v>
      </c>
      <c r="I6" t="n">
        <v>42.21595800209892</v>
      </c>
      <c r="J6" t="n">
        <v>3182</v>
      </c>
      <c r="K6" t="n">
        <v>3042</v>
      </c>
      <c r="L6" t="n">
        <v>-0.04399748585795094</v>
      </c>
      <c r="M6" t="n">
        <v>256098027.08</v>
      </c>
      <c r="N6" t="n">
        <v>219839361.18</v>
      </c>
      <c r="O6" t="n">
        <v>-0.1415811996422507</v>
      </c>
      <c r="P6" t="n">
        <v>1.386027366491165</v>
      </c>
      <c r="Q6" t="inlineStr">
        <is>
          <t>Görüyor</t>
        </is>
      </c>
      <c r="R6" t="n">
        <v>0</v>
      </c>
      <c r="S6" t="n">
        <v>0</v>
      </c>
      <c r="T6" t="n">
        <v>0.002</v>
      </c>
      <c r="U6" t="n">
        <v>0</v>
      </c>
      <c r="V6" t="n">
        <v>0.009000000000000001</v>
      </c>
      <c r="W6" t="n">
        <v>0.9560999999999999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0.9671</v>
      </c>
      <c r="AE6">
        <f>IF(ISNUMBER(INDEX($A$2:$AC$59,5,MATCH('Tüm Teknoloji'!$E$2,$A$1:$AC$1,0))),INDEX($A$2:$AC$59,5,MATCH('Tüm Teknoloji'!$E$2,$A$1:$AC$1,0)),-1E+9)-ROW()/1E+7</f>
        <v/>
      </c>
    </row>
    <row r="7">
      <c r="A7" t="inlineStr">
        <is>
          <t>TAR</t>
        </is>
      </c>
      <c r="B7" t="inlineStr">
        <is>
          <t>AK Portföy Tarım VE Gıda Teknolojileri Değişken Fon</t>
        </is>
      </c>
      <c r="C7" t="inlineStr">
        <is>
          <t>AK Portföy</t>
        </is>
      </c>
      <c r="D7" t="n">
        <v>0.029</v>
      </c>
      <c r="E7" t="n">
        <v>0.8915185584586149</v>
      </c>
      <c r="F7" t="n">
        <v>2.010320764060491</v>
      </c>
      <c r="G7" t="n">
        <v>5.826489843656613</v>
      </c>
      <c r="H7" t="n">
        <v>21.5431856054223</v>
      </c>
      <c r="I7" t="n">
        <v>23.85189149576616</v>
      </c>
      <c r="J7" t="n">
        <v>6647</v>
      </c>
      <c r="K7" t="n">
        <v>6780</v>
      </c>
      <c r="L7" t="n">
        <v>0.02000902662855419</v>
      </c>
      <c r="M7" t="n">
        <v>125607902.6</v>
      </c>
      <c r="N7" t="n">
        <v>135613055.01</v>
      </c>
      <c r="O7" t="n">
        <v>0.0796538450439821</v>
      </c>
      <c r="P7" t="n">
        <v>0.5730879309317551</v>
      </c>
      <c r="Q7" t="inlineStr">
        <is>
          <t>Görüyor</t>
        </is>
      </c>
      <c r="R7" t="n">
        <v>0.648</v>
      </c>
      <c r="S7" t="n">
        <v>0</v>
      </c>
      <c r="T7" t="n">
        <v>0</v>
      </c>
      <c r="U7" t="n">
        <v>0</v>
      </c>
      <c r="V7" t="n">
        <v>0.0374</v>
      </c>
      <c r="W7" t="n">
        <v>0.3086</v>
      </c>
      <c r="X7" t="n">
        <v>0.006</v>
      </c>
      <c r="Y7" t="n">
        <v>0</v>
      </c>
      <c r="Z7" t="n">
        <v>0</v>
      </c>
      <c r="AA7" t="n">
        <v>0</v>
      </c>
      <c r="AB7" t="n">
        <v>0</v>
      </c>
      <c r="AC7" t="n">
        <v>1</v>
      </c>
      <c r="AE7">
        <f>IF(ISNUMBER(INDEX($A$2:$AC$59,6,MATCH('Tüm Teknoloji'!$E$2,$A$1:$AC$1,0))),INDEX($A$2:$AC$59,6,MATCH('Tüm Teknoloji'!$E$2,$A$1:$AC$1,0)),-1E+9)-ROW()/1E+7</f>
        <v/>
      </c>
    </row>
    <row r="8">
      <c r="A8" t="inlineStr">
        <is>
          <t>MET</t>
        </is>
      </c>
      <c r="B8" t="inlineStr">
        <is>
          <t>Garanti Portföy Metaverse VE Yeni Teknolojiler Değişken Fon</t>
        </is>
      </c>
      <c r="C8" t="inlineStr">
        <is>
          <t>Garanti Portföy</t>
        </is>
      </c>
      <c r="D8" t="n">
        <v>0.027</v>
      </c>
      <c r="E8" t="n">
        <v>0.8635315371688934</v>
      </c>
      <c r="F8" t="n">
        <v>2.174395713880894</v>
      </c>
      <c r="G8" t="n">
        <v>1.823568278908638</v>
      </c>
      <c r="H8" t="n">
        <v>26.93963587311001</v>
      </c>
      <c r="I8" t="n">
        <v>50.055818360224</v>
      </c>
      <c r="J8" t="n">
        <v>7006</v>
      </c>
      <c r="K8" t="n">
        <v>6885</v>
      </c>
      <c r="L8" t="n">
        <v>-0.017270910648016</v>
      </c>
      <c r="M8" t="n">
        <v>775683061.4400001</v>
      </c>
      <c r="N8" t="n">
        <v>768761694.9299999</v>
      </c>
      <c r="O8" t="n">
        <v>-0.008922931096562947</v>
      </c>
      <c r="P8" t="n">
        <v>0.9901786858746596</v>
      </c>
      <c r="Q8" t="inlineStr">
        <is>
          <t>Görüyor</t>
        </is>
      </c>
      <c r="R8" t="n">
        <v>0.6662</v>
      </c>
      <c r="S8" t="n">
        <v>0</v>
      </c>
      <c r="T8" t="n">
        <v>0</v>
      </c>
      <c r="U8" t="n">
        <v>0.07820000000000001</v>
      </c>
      <c r="V8" t="n">
        <v>0</v>
      </c>
      <c r="W8" t="n">
        <v>0.2149</v>
      </c>
      <c r="X8" t="n">
        <v>0.0401</v>
      </c>
      <c r="Y8" t="n">
        <v>0</v>
      </c>
      <c r="Z8" t="n">
        <v>0</v>
      </c>
      <c r="AA8" t="n">
        <v>0</v>
      </c>
      <c r="AB8" t="n">
        <v>0</v>
      </c>
      <c r="AC8" t="n">
        <v>0.9994</v>
      </c>
      <c r="AE8">
        <f>IF(ISNUMBER(INDEX($A$2:$AC$59,7,MATCH('Tüm Teknoloji'!$E$2,$A$1:$AC$1,0))),INDEX($A$2:$AC$59,7,MATCH('Tüm Teknoloji'!$E$2,$A$1:$AC$1,0)),-1E+9)-ROW()/1E+7</f>
        <v/>
      </c>
    </row>
    <row r="9">
      <c r="A9" t="inlineStr">
        <is>
          <t>GRT</t>
        </is>
      </c>
      <c r="B9" t="inlineStr">
        <is>
          <t>Garanti Portföy Teknoloji Şirketleri Hisse Senedi (TL) Fonu (Hisse Senedi Yoğun Fon)</t>
        </is>
      </c>
      <c r="C9" t="inlineStr">
        <is>
          <t>Garanti Portföy</t>
        </is>
      </c>
      <c r="D9" t="n">
        <v>0.032</v>
      </c>
      <c r="E9" t="n">
        <v>0.7132086465942544</v>
      </c>
      <c r="F9" t="n">
        <v>1.302100492037095</v>
      </c>
      <c r="G9" t="n">
        <v>-8.172777469031701</v>
      </c>
      <c r="H9" t="n">
        <v>38.65482414438461</v>
      </c>
      <c r="I9" t="n">
        <v>48.42575719405608</v>
      </c>
      <c r="J9" t="n">
        <v>2290</v>
      </c>
      <c r="K9" t="n">
        <v>2114</v>
      </c>
      <c r="L9" t="n">
        <v>-0.0768558951965066</v>
      </c>
      <c r="M9" t="n">
        <v>165638741.72</v>
      </c>
      <c r="N9" t="n">
        <v>136126404.65</v>
      </c>
      <c r="O9" t="n">
        <v>-0.178172912710774</v>
      </c>
      <c r="P9" t="n">
        <v>1.205914802427683</v>
      </c>
      <c r="Q9" t="inlineStr">
        <is>
          <t>Görüyor</t>
        </is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0.9220999999999999</v>
      </c>
      <c r="X9" t="n">
        <v>0.0767</v>
      </c>
      <c r="Y9" t="n">
        <v>0.0012</v>
      </c>
      <c r="Z9" t="n">
        <v>0</v>
      </c>
      <c r="AA9" t="n">
        <v>0</v>
      </c>
      <c r="AB9" t="n">
        <v>0</v>
      </c>
      <c r="AC9" t="n">
        <v>0.9999999999999999</v>
      </c>
      <c r="AE9">
        <f>IF(ISNUMBER(INDEX($A$2:$AC$59,8,MATCH('Tüm Teknoloji'!$E$2,$A$1:$AC$1,0))),INDEX($A$2:$AC$59,8,MATCH('Tüm Teknoloji'!$E$2,$A$1:$AC$1,0)),-1E+9)-ROW()/1E+7</f>
        <v/>
      </c>
    </row>
    <row r="10">
      <c r="A10" t="inlineStr">
        <is>
          <t>MTV</t>
        </is>
      </c>
      <c r="B10" t="inlineStr">
        <is>
          <t>AK Portföy Metaverse VE Dijital Yaşam Teknolojileri Değişken Fon</t>
        </is>
      </c>
      <c r="C10" t="inlineStr">
        <is>
          <t>AK Portföy</t>
        </is>
      </c>
      <c r="D10" t="n">
        <v>0.029</v>
      </c>
      <c r="E10" t="n">
        <v>0.4781299805206363</v>
      </c>
      <c r="F10" t="n">
        <v>1.493279666010738</v>
      </c>
      <c r="G10" t="n">
        <v>1.535217121946419</v>
      </c>
      <c r="H10" t="n">
        <v>22.88466968653278</v>
      </c>
      <c r="I10" t="n">
        <v>43.11661221144944</v>
      </c>
      <c r="J10" t="n">
        <v>13175</v>
      </c>
      <c r="K10" t="n">
        <v>12884</v>
      </c>
      <c r="L10" t="n">
        <v>-0.02208728652751424</v>
      </c>
      <c r="M10" t="n">
        <v>147351974.57</v>
      </c>
      <c r="N10" t="n">
        <v>150985783.63</v>
      </c>
      <c r="O10" t="n">
        <v>0.02466074221675085</v>
      </c>
      <c r="P10" t="n">
        <v>0.902117200364293</v>
      </c>
      <c r="Q10" t="inlineStr">
        <is>
          <t>Görüyor</t>
        </is>
      </c>
      <c r="R10" t="n">
        <v>0.6557999999999999</v>
      </c>
      <c r="S10" t="n">
        <v>0</v>
      </c>
      <c r="T10" t="n">
        <v>0</v>
      </c>
      <c r="U10" t="n">
        <v>0</v>
      </c>
      <c r="V10" t="n">
        <v>0.05980000000000001</v>
      </c>
      <c r="W10" t="n">
        <v>0.1997</v>
      </c>
      <c r="X10" t="n">
        <v>0.0033</v>
      </c>
      <c r="Y10" t="n">
        <v>0.0814</v>
      </c>
      <c r="Z10" t="n">
        <v>0</v>
      </c>
      <c r="AA10" t="n">
        <v>0</v>
      </c>
      <c r="AB10" t="n">
        <v>0</v>
      </c>
      <c r="AC10" t="n">
        <v>0.9999999999999999</v>
      </c>
      <c r="AE10">
        <f>IF(ISNUMBER(INDEX($A$2:$AC$59,9,MATCH('Tüm Teknoloji'!$E$2,$A$1:$AC$1,0))),INDEX($A$2:$AC$59,9,MATCH('Tüm Teknoloji'!$E$2,$A$1:$AC$1,0)),-1E+9)-ROW()/1E+7</f>
        <v/>
      </c>
    </row>
    <row r="11">
      <c r="A11" t="inlineStr">
        <is>
          <t>DTZ</t>
        </is>
      </c>
      <c r="B11" t="inlineStr">
        <is>
          <t>AK Portföy Robotik Teknolojiler Değişken Fon</t>
        </is>
      </c>
      <c r="C11" t="inlineStr">
        <is>
          <t>AK Portföy</t>
        </is>
      </c>
      <c r="D11" t="n">
        <v>0.029</v>
      </c>
      <c r="E11" t="n">
        <v>0.3408108467135129</v>
      </c>
      <c r="F11" t="n">
        <v>1.24816167730939</v>
      </c>
      <c r="G11" t="n">
        <v>-1.629237776640857</v>
      </c>
      <c r="H11" t="n">
        <v>25.49400038922818</v>
      </c>
      <c r="I11" t="n">
        <v>43.93334384065226</v>
      </c>
      <c r="J11" t="n">
        <v>7786</v>
      </c>
      <c r="K11" t="n">
        <v>7564</v>
      </c>
      <c r="L11" t="n">
        <v>-0.02851271512971998</v>
      </c>
      <c r="M11" t="n">
        <v>391566042.26</v>
      </c>
      <c r="N11" t="n">
        <v>467629432.11</v>
      </c>
      <c r="O11" t="n">
        <v>0.1942543061471451</v>
      </c>
      <c r="P11" t="n">
        <v>0.9805893371614131</v>
      </c>
      <c r="Q11" t="inlineStr">
        <is>
          <t>Görüyor</t>
        </is>
      </c>
      <c r="R11" t="n">
        <v>0.636</v>
      </c>
      <c r="S11" t="n">
        <v>0</v>
      </c>
      <c r="T11" t="n">
        <v>0</v>
      </c>
      <c r="U11" t="n">
        <v>0</v>
      </c>
      <c r="V11" t="n">
        <v>0.0622</v>
      </c>
      <c r="W11" t="n">
        <v>0.2482</v>
      </c>
      <c r="X11" t="n">
        <v>0.0019</v>
      </c>
      <c r="Y11" t="n">
        <v>0.0517</v>
      </c>
      <c r="Z11" t="n">
        <v>0</v>
      </c>
      <c r="AA11" t="n">
        <v>0</v>
      </c>
      <c r="AB11" t="n">
        <v>0</v>
      </c>
      <c r="AC11" t="n">
        <v>1</v>
      </c>
      <c r="AE11">
        <f>IF(ISNUMBER(INDEX($A$2:$AC$59,10,MATCH('Tüm Teknoloji'!$E$2,$A$1:$AC$1,0))),INDEX($A$2:$AC$59,10,MATCH('Tüm Teknoloji'!$E$2,$A$1:$AC$1,0)),-1E+9)-ROW()/1E+7</f>
        <v/>
      </c>
    </row>
    <row r="12">
      <c r="A12" t="inlineStr">
        <is>
          <t>FJB</t>
        </is>
      </c>
      <c r="B12" t="inlineStr">
        <is>
          <t>Fiba Portföy Blok Zinciri Teknolojileri Serbest Fon</t>
        </is>
      </c>
      <c r="C12" t="inlineStr">
        <is>
          <t>Fiba Portföy</t>
        </is>
      </c>
      <c r="D12" t="n">
        <v>0.0292</v>
      </c>
      <c r="E12" t="n">
        <v>0.2784357064615994</v>
      </c>
      <c r="F12" t="n">
        <v>-0.8104276810158684</v>
      </c>
      <c r="G12" t="n">
        <v>-5.132939142447857</v>
      </c>
      <c r="H12" t="n">
        <v>20.30006333294767</v>
      </c>
      <c r="I12" t="n">
        <v>41.23246186702296</v>
      </c>
      <c r="J12" t="n">
        <v>853</v>
      </c>
      <c r="K12" t="n">
        <v>810</v>
      </c>
      <c r="L12" t="n">
        <v>-0.05041031652989447</v>
      </c>
      <c r="M12" t="n">
        <v>551180255.96</v>
      </c>
      <c r="N12" t="n">
        <v>428229971.19</v>
      </c>
      <c r="O12" t="n">
        <v>-0.2230672877711402</v>
      </c>
      <c r="P12" t="n">
        <v>1.061791048074735</v>
      </c>
      <c r="Q12" t="inlineStr">
        <is>
          <t>Görüyor</t>
        </is>
      </c>
      <c r="R12" t="n">
        <v>0.735</v>
      </c>
      <c r="S12" t="n">
        <v>0</v>
      </c>
      <c r="T12" t="n">
        <v>0.0162</v>
      </c>
      <c r="U12" t="n">
        <v>0</v>
      </c>
      <c r="V12" t="n">
        <v>0.0257</v>
      </c>
      <c r="W12" t="n">
        <v>0</v>
      </c>
      <c r="X12" t="n">
        <v>0.0172</v>
      </c>
      <c r="Y12" t="n">
        <v>0.1976</v>
      </c>
      <c r="Z12" t="n">
        <v>0</v>
      </c>
      <c r="AA12" t="n">
        <v>0</v>
      </c>
      <c r="AB12" t="n">
        <v>0</v>
      </c>
      <c r="AC12" t="n">
        <v>0.9917</v>
      </c>
      <c r="AE12">
        <f>IF(ISNUMBER(INDEX($A$2:$AC$59,11,MATCH('Tüm Teknoloji'!$E$2,$A$1:$AC$1,0))),INDEX($A$2:$AC$59,11,MATCH('Tüm Teknoloji'!$E$2,$A$1:$AC$1,0)),-1E+9)-ROW()/1E+7</f>
        <v/>
      </c>
    </row>
    <row r="13">
      <c r="A13" t="inlineStr">
        <is>
          <t>VCY</t>
        </is>
      </c>
      <c r="B13" t="inlineStr">
        <is>
          <t>AK Portföy Elektrikli VE Otonom Araç Teknolojileri Değişken Fon</t>
        </is>
      </c>
      <c r="C13" t="inlineStr">
        <is>
          <t>AK Portföy</t>
        </is>
      </c>
      <c r="D13" t="n">
        <v>0.029</v>
      </c>
      <c r="E13" t="n">
        <v>0.2764148282041745</v>
      </c>
      <c r="F13" t="n">
        <v>1.274798344267736</v>
      </c>
      <c r="G13" t="n">
        <v>-1.786043896197553</v>
      </c>
      <c r="H13" t="n">
        <v>22.19443428318315</v>
      </c>
      <c r="I13" t="n">
        <v>56.27700628509906</v>
      </c>
      <c r="J13" t="n">
        <v>12680</v>
      </c>
      <c r="K13" t="n">
        <v>12379</v>
      </c>
      <c r="L13" t="n">
        <v>-0.02373817034700321</v>
      </c>
      <c r="M13" t="n">
        <v>167439578.54</v>
      </c>
      <c r="N13" t="n">
        <v>179101134.82</v>
      </c>
      <c r="O13" t="n">
        <v>0.06964635471304748</v>
      </c>
      <c r="P13" t="n">
        <v>0.9494972845898288</v>
      </c>
      <c r="Q13" t="inlineStr">
        <is>
          <t>Görüyor</t>
        </is>
      </c>
      <c r="R13" t="n">
        <v>0.6697</v>
      </c>
      <c r="S13" t="n">
        <v>0</v>
      </c>
      <c r="T13" t="n">
        <v>0</v>
      </c>
      <c r="U13" t="n">
        <v>0</v>
      </c>
      <c r="V13" t="n">
        <v>0.0447</v>
      </c>
      <c r="W13" t="n">
        <v>0.2421</v>
      </c>
      <c r="X13" t="n">
        <v>0</v>
      </c>
      <c r="Y13" t="n">
        <v>0.0435</v>
      </c>
      <c r="Z13" t="n">
        <v>0</v>
      </c>
      <c r="AA13" t="n">
        <v>0</v>
      </c>
      <c r="AB13" t="n">
        <v>0</v>
      </c>
      <c r="AC13" t="n">
        <v>1</v>
      </c>
      <c r="AE13">
        <f>IF(ISNUMBER(INDEX($A$2:$AC$59,12,MATCH('Tüm Teknoloji'!$E$2,$A$1:$AC$1,0))),INDEX($A$2:$AC$59,12,MATCH('Tüm Teknoloji'!$E$2,$A$1:$AC$1,0)),-1E+9)-ROW()/1E+7</f>
        <v/>
      </c>
    </row>
    <row r="14">
      <c r="A14" t="inlineStr">
        <is>
          <t>DYN</t>
        </is>
      </c>
      <c r="B14" t="inlineStr">
        <is>
          <t>Deniz Portföy Elektrikli VE Otonom Araç Teknolojileri Değişken Fon</t>
        </is>
      </c>
      <c r="C14" t="inlineStr">
        <is>
          <t>Deniz Portföy</t>
        </is>
      </c>
      <c r="D14" t="n">
        <v>0.025</v>
      </c>
      <c r="E14" t="n">
        <v>0.2539828474112271</v>
      </c>
      <c r="F14" t="n">
        <v>0.4320942741464107</v>
      </c>
      <c r="G14" t="n">
        <v>-5.299994080626047</v>
      </c>
      <c r="H14" t="n">
        <v>24.97406680523468</v>
      </c>
      <c r="I14" t="n">
        <v>52.38223294455167</v>
      </c>
      <c r="J14" t="n">
        <v>1738</v>
      </c>
      <c r="K14" t="n">
        <v>1672</v>
      </c>
      <c r="L14" t="n">
        <v>-0.03797468354430378</v>
      </c>
      <c r="M14" t="n">
        <v>77133175.88</v>
      </c>
      <c r="N14" t="n">
        <v>61432106.47</v>
      </c>
      <c r="O14" t="n">
        <v>-0.2035579273233472</v>
      </c>
      <c r="P14" t="n">
        <v>0.8746145396473589</v>
      </c>
      <c r="Q14" t="inlineStr">
        <is>
          <t>Görüyor</t>
        </is>
      </c>
      <c r="R14" t="n">
        <v>0.4642</v>
      </c>
      <c r="S14" t="n">
        <v>0.1481</v>
      </c>
      <c r="T14" t="n">
        <v>0.0076</v>
      </c>
      <c r="U14" t="n">
        <v>0</v>
      </c>
      <c r="V14" t="n">
        <v>0.1094</v>
      </c>
      <c r="W14" t="n">
        <v>0.2484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0.9777</v>
      </c>
      <c r="AE14">
        <f>IF(ISNUMBER(INDEX($A$2:$AC$59,13,MATCH('Tüm Teknoloji'!$E$2,$A$1:$AC$1,0))),INDEX($A$2:$AC$59,13,MATCH('Tüm Teknoloji'!$E$2,$A$1:$AC$1,0)),-1E+9)-ROW()/1E+7</f>
        <v/>
      </c>
    </row>
    <row r="15">
      <c r="A15" t="inlineStr">
        <is>
          <t>SPR</t>
        </is>
      </c>
      <c r="B15" t="inlineStr">
        <is>
          <t>BV Portföy Spor Endüstrisi Değişken Fon</t>
        </is>
      </c>
      <c r="C15" t="inlineStr">
        <is>
          <t>BV Portföy</t>
        </is>
      </c>
      <c r="D15" t="n">
        <v>0.025</v>
      </c>
      <c r="E15" t="n">
        <v>0.2154953764763379</v>
      </c>
      <c r="F15" t="n">
        <v>1.625665814834187</v>
      </c>
      <c r="G15" t="n">
        <v>2.716670651501518</v>
      </c>
      <c r="H15" t="n">
        <v>9.969153408970843</v>
      </c>
      <c r="I15" t="n">
        <v>7.452766143279654</v>
      </c>
      <c r="J15" t="n">
        <v>168</v>
      </c>
      <c r="K15" t="n">
        <v>165</v>
      </c>
      <c r="L15" t="n">
        <v>-0.0178571428571429</v>
      </c>
      <c r="M15" t="n">
        <v>14402726.21</v>
      </c>
      <c r="N15" t="n">
        <v>10141314.5</v>
      </c>
      <c r="O15" t="n">
        <v>-0.2958753535869652</v>
      </c>
      <c r="P15" t="n">
        <v>0.9876525151887613</v>
      </c>
      <c r="Q15" t="inlineStr">
        <is>
          <t>Görüyor</t>
        </is>
      </c>
      <c r="R15" t="n">
        <v>0.7293999999999999</v>
      </c>
      <c r="S15" t="n">
        <v>0</v>
      </c>
      <c r="T15" t="n">
        <v>0</v>
      </c>
      <c r="U15" t="n">
        <v>0.0001</v>
      </c>
      <c r="V15" t="n">
        <v>0</v>
      </c>
      <c r="W15" t="n">
        <v>0.2218</v>
      </c>
      <c r="X15" t="n">
        <v>0</v>
      </c>
      <c r="Y15" t="n">
        <v>0.0487</v>
      </c>
      <c r="Z15" t="n">
        <v>0</v>
      </c>
      <c r="AA15" t="n">
        <v>0</v>
      </c>
      <c r="AB15" t="n">
        <v>0</v>
      </c>
      <c r="AC15" t="n">
        <v>0.9999999999999999</v>
      </c>
      <c r="AE15">
        <f>IF(ISNUMBER(INDEX($A$2:$AC$59,14,MATCH('Tüm Teknoloji'!$E$2,$A$1:$AC$1,0))),INDEX($A$2:$AC$59,14,MATCH('Tüm Teknoloji'!$E$2,$A$1:$AC$1,0)),-1E+9)-ROW()/1E+7</f>
        <v/>
      </c>
    </row>
    <row r="16">
      <c r="A16" t="inlineStr">
        <is>
          <t>BCK</t>
        </is>
      </c>
      <c r="B16" t="inlineStr">
        <is>
          <t>Deniz Portföy Blockchain VE Fıntech Teknolojileri Değişken Fon</t>
        </is>
      </c>
      <c r="C16" t="inlineStr">
        <is>
          <t>Deniz Portföy</t>
        </is>
      </c>
      <c r="D16" t="n">
        <v>0.025</v>
      </c>
      <c r="E16" t="n">
        <v>0.03365486312771893</v>
      </c>
      <c r="F16" t="n">
        <v>-0.4379392021533257</v>
      </c>
      <c r="G16" t="n">
        <v>-4.402106955418839</v>
      </c>
      <c r="H16" t="n">
        <v>30.65916652841225</v>
      </c>
      <c r="I16" t="n">
        <v>50.97499805657002</v>
      </c>
      <c r="J16" t="n">
        <v>2568</v>
      </c>
      <c r="K16" t="n">
        <v>2445</v>
      </c>
      <c r="L16" t="n">
        <v>-0.04789719626168221</v>
      </c>
      <c r="M16" t="n">
        <v>162411149.61</v>
      </c>
      <c r="N16" t="n">
        <v>136860728.24</v>
      </c>
      <c r="O16" t="n">
        <v>-0.1573193800509052</v>
      </c>
      <c r="P16" t="n">
        <v>0.9887161400338028</v>
      </c>
      <c r="Q16" t="inlineStr">
        <is>
          <t>Görüyor</t>
        </is>
      </c>
      <c r="R16" t="n">
        <v>0.4348</v>
      </c>
      <c r="S16" t="n">
        <v>0.1813</v>
      </c>
      <c r="T16" t="n">
        <v>0.0014</v>
      </c>
      <c r="U16" t="n">
        <v>0</v>
      </c>
      <c r="V16" t="n">
        <v>0.0711</v>
      </c>
      <c r="W16" t="n">
        <v>0.2867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0.9752999999999999</v>
      </c>
      <c r="AE16">
        <f>IF(ISNUMBER(INDEX($A$2:$AC$59,15,MATCH('Tüm Teknoloji'!$E$2,$A$1:$AC$1,0))),INDEX($A$2:$AC$59,15,MATCH('Tüm Teknoloji'!$E$2,$A$1:$AC$1,0)),-1E+9)-ROW()/1E+7</f>
        <v/>
      </c>
    </row>
    <row r="17">
      <c r="A17" t="inlineStr">
        <is>
          <t>DVT</t>
        </is>
      </c>
      <c r="B17" t="inlineStr">
        <is>
          <t>Deniz Portföy Metaverse VE Dijital Yaşam Teknolojileri Değişken Fon</t>
        </is>
      </c>
      <c r="C17" t="inlineStr">
        <is>
          <t>Deniz Portföy</t>
        </is>
      </c>
      <c r="D17" t="n">
        <v>0.02</v>
      </c>
      <c r="E17" t="n">
        <v>-0.08273176401843996</v>
      </c>
      <c r="F17" t="n">
        <v>-0.2349770645667881</v>
      </c>
      <c r="G17" t="n">
        <v>-1.958518407449006</v>
      </c>
      <c r="H17" t="n">
        <v>43.69203680103038</v>
      </c>
      <c r="I17" t="n">
        <v>69.36513946514033</v>
      </c>
      <c r="J17" t="n">
        <v>11498</v>
      </c>
      <c r="K17" t="n">
        <v>11178</v>
      </c>
      <c r="L17" t="n">
        <v>-0.02783092711775959</v>
      </c>
      <c r="M17" t="n">
        <v>913172945.75</v>
      </c>
      <c r="N17" t="n">
        <v>873840051.35</v>
      </c>
      <c r="O17" t="n">
        <v>-0.04307277672105736</v>
      </c>
      <c r="P17" t="n">
        <v>0.9867219408489019</v>
      </c>
      <c r="Q17" t="inlineStr">
        <is>
          <t>Görüyor</t>
        </is>
      </c>
      <c r="R17" t="n">
        <v>0.4672</v>
      </c>
      <c r="S17" t="n">
        <v>0.1309</v>
      </c>
      <c r="T17" t="n">
        <v>0.0012</v>
      </c>
      <c r="U17" t="n">
        <v>0.0008</v>
      </c>
      <c r="V17" t="n">
        <v>0.1039</v>
      </c>
      <c r="W17" t="n">
        <v>0.2184</v>
      </c>
      <c r="X17" t="n">
        <v>0</v>
      </c>
      <c r="Y17" t="n">
        <v>0.0295</v>
      </c>
      <c r="Z17" t="n">
        <v>0</v>
      </c>
      <c r="AA17" t="n">
        <v>0</v>
      </c>
      <c r="AB17" t="n">
        <v>0</v>
      </c>
      <c r="AC17" t="n">
        <v>0.9519</v>
      </c>
      <c r="AE17">
        <f>IF(ISNUMBER(INDEX($A$2:$AC$59,16,MATCH('Tüm Teknoloji'!$E$2,$A$1:$AC$1,0))),INDEX($A$2:$AC$59,16,MATCH('Tüm Teknoloji'!$E$2,$A$1:$AC$1,0)),-1E+9)-ROW()/1E+7</f>
        <v/>
      </c>
    </row>
    <row r="18">
      <c r="A18" t="inlineStr">
        <is>
          <t>BTE</t>
        </is>
      </c>
      <c r="B18" t="inlineStr">
        <is>
          <t>BV Portföy Oyun VE Teknoloji Değişken Fon</t>
        </is>
      </c>
      <c r="C18" t="inlineStr">
        <is>
          <t>BV Portföy</t>
        </is>
      </c>
      <c r="D18" t="n">
        <v>0.025</v>
      </c>
      <c r="E18" t="n">
        <v>-0.09366892485584977</v>
      </c>
      <c r="F18" t="n">
        <v>-1.584668589525728</v>
      </c>
      <c r="G18" t="n">
        <v>0.3348867673777622</v>
      </c>
      <c r="H18" t="n">
        <v>23.6104785533322</v>
      </c>
      <c r="I18" t="n">
        <v>46.94403982848498</v>
      </c>
      <c r="J18" t="n">
        <v>986</v>
      </c>
      <c r="K18" t="n">
        <v>980</v>
      </c>
      <c r="L18" t="n">
        <v>-0.006085192697768749</v>
      </c>
      <c r="M18" t="n">
        <v>248696957.21</v>
      </c>
      <c r="N18" t="n">
        <v>254083387.29</v>
      </c>
      <c r="O18" t="n">
        <v>0.02165860869560898</v>
      </c>
      <c r="P18" t="n">
        <v>1.068602816597896</v>
      </c>
      <c r="Q18" t="inlineStr">
        <is>
          <t>Görüyor</t>
        </is>
      </c>
      <c r="R18" t="n">
        <v>0.6999</v>
      </c>
      <c r="S18" t="n">
        <v>0</v>
      </c>
      <c r="T18" t="n">
        <v>0</v>
      </c>
      <c r="U18" t="n">
        <v>0</v>
      </c>
      <c r="V18" t="n">
        <v>0</v>
      </c>
      <c r="W18" t="n">
        <v>0.1406</v>
      </c>
      <c r="X18" t="n">
        <v>0</v>
      </c>
      <c r="Y18" t="n">
        <v>0.1163</v>
      </c>
      <c r="Z18" t="n">
        <v>0</v>
      </c>
      <c r="AA18" t="n">
        <v>0</v>
      </c>
      <c r="AB18" t="n">
        <v>0</v>
      </c>
      <c r="AC18" t="n">
        <v>0.9568</v>
      </c>
      <c r="AE18">
        <f>IF(ISNUMBER(INDEX($A$2:$AC$59,17,MATCH('Tüm Teknoloji'!$E$2,$A$1:$AC$1,0))),INDEX($A$2:$AC$59,17,MATCH('Tüm Teknoloji'!$E$2,$A$1:$AC$1,0)),-1E+9)-ROW()/1E+7</f>
        <v/>
      </c>
    </row>
    <row r="19">
      <c r="A19" t="inlineStr">
        <is>
          <t>ZFB</t>
        </is>
      </c>
      <c r="B19" t="inlineStr">
        <is>
          <t>AK Portföy Fintek VE Blokzinciri Teknolojileri Değişken Fon</t>
        </is>
      </c>
      <c r="C19" t="inlineStr">
        <is>
          <t>AK Portföy</t>
        </is>
      </c>
      <c r="D19" t="n">
        <v>0.029</v>
      </c>
      <c r="E19" t="n">
        <v>-0.1225401828971906</v>
      </c>
      <c r="F19" t="n">
        <v>-0.4947950872458806</v>
      </c>
      <c r="G19" t="n">
        <v>-3.445378567203616</v>
      </c>
      <c r="H19" t="n">
        <v>26.93140038604241</v>
      </c>
      <c r="I19" t="n">
        <v>52.80567621689407</v>
      </c>
      <c r="J19" t="n">
        <v>16224</v>
      </c>
      <c r="K19" t="n">
        <v>15682</v>
      </c>
      <c r="L19" t="n">
        <v>-0.03340729783037477</v>
      </c>
      <c r="M19" t="n">
        <v>913454324.62</v>
      </c>
      <c r="N19" t="n">
        <v>1049290425.36</v>
      </c>
      <c r="O19" t="n">
        <v>0.1487059583373347</v>
      </c>
      <c r="P19" t="n">
        <v>1.137780949354919</v>
      </c>
      <c r="Q19" t="inlineStr">
        <is>
          <t>Görüyor</t>
        </is>
      </c>
      <c r="R19" t="n">
        <v>0.6541</v>
      </c>
      <c r="S19" t="n">
        <v>0</v>
      </c>
      <c r="T19" t="n">
        <v>0</v>
      </c>
      <c r="U19" t="n">
        <v>0</v>
      </c>
      <c r="V19" t="n">
        <v>0.0476</v>
      </c>
      <c r="W19" t="n">
        <v>0.2011</v>
      </c>
      <c r="X19" t="n">
        <v>0</v>
      </c>
      <c r="Y19" t="n">
        <v>0.09720000000000001</v>
      </c>
      <c r="Z19" t="n">
        <v>0</v>
      </c>
      <c r="AA19" t="n">
        <v>0</v>
      </c>
      <c r="AB19" t="n">
        <v>0</v>
      </c>
      <c r="AC19" t="n">
        <v>1</v>
      </c>
      <c r="AE19">
        <f>IF(ISNUMBER(INDEX($A$2:$AC$59,18,MATCH('Tüm Teknoloji'!$E$2,$A$1:$AC$1,0))),INDEX($A$2:$AC$59,18,MATCH('Tüm Teknoloji'!$E$2,$A$1:$AC$1,0)),-1E+9)-ROW()/1E+7</f>
        <v/>
      </c>
    </row>
    <row r="20">
      <c r="A20" t="inlineStr">
        <is>
          <t>JET</t>
        </is>
      </c>
      <c r="B20" t="inlineStr">
        <is>
          <t>Ata Portföy Havacılık VE Savunma Teknolojileri Değişken Fon</t>
        </is>
      </c>
      <c r="C20" t="inlineStr">
        <is>
          <t>Ata Portföy</t>
        </is>
      </c>
      <c r="D20" t="n">
        <v>0.025</v>
      </c>
      <c r="E20" t="n">
        <v>-0.1432980449403543</v>
      </c>
      <c r="F20" t="n">
        <v>-0.8435180798989417</v>
      </c>
      <c r="G20" t="n">
        <v>-2.707980028569834</v>
      </c>
      <c r="H20" t="n">
        <v>13.32918762081992</v>
      </c>
      <c r="I20" t="n">
        <v>25.79726054996197</v>
      </c>
      <c r="J20" t="n">
        <v>18413</v>
      </c>
      <c r="K20" t="n">
        <v>17755</v>
      </c>
      <c r="L20" t="n">
        <v>-0.03573562157171561</v>
      </c>
      <c r="M20" t="n">
        <v>591160884.3</v>
      </c>
      <c r="N20" t="n">
        <v>524521736.9</v>
      </c>
      <c r="O20" t="n">
        <v>-0.1127259079039171</v>
      </c>
      <c r="P20" t="n">
        <v>1.374166737798423</v>
      </c>
      <c r="Q20" t="inlineStr">
        <is>
          <t>Görüyor</t>
        </is>
      </c>
      <c r="R20" t="n">
        <v>0.7048000000000001</v>
      </c>
      <c r="S20" t="n">
        <v>0</v>
      </c>
      <c r="T20" t="n">
        <v>0</v>
      </c>
      <c r="U20" t="n">
        <v>0</v>
      </c>
      <c r="V20" t="n">
        <v>0</v>
      </c>
      <c r="W20" t="n">
        <v>0.2353</v>
      </c>
      <c r="X20" t="n">
        <v>0</v>
      </c>
      <c r="Y20" t="n">
        <v>0.0599</v>
      </c>
      <c r="Z20" t="n">
        <v>0</v>
      </c>
      <c r="AA20" t="n">
        <v>0</v>
      </c>
      <c r="AB20" t="n">
        <v>0</v>
      </c>
      <c r="AC20" t="n">
        <v>1</v>
      </c>
      <c r="AE20">
        <f>IF(ISNUMBER(INDEX($A$2:$AC$59,19,MATCH('Tüm Teknoloji'!$E$2,$A$1:$AC$1,0))),INDEX($A$2:$AC$59,19,MATCH('Tüm Teknoloji'!$E$2,$A$1:$AC$1,0)),-1E+9)-ROW()/1E+7</f>
        <v/>
      </c>
    </row>
    <row r="21">
      <c r="A21" t="inlineStr">
        <is>
          <t>IJZ</t>
        </is>
      </c>
      <c r="B21" t="inlineStr">
        <is>
          <t>İŞ Portföy Siber Güvenlik Teknolojileri Değişken Fon</t>
        </is>
      </c>
      <c r="C21" t="inlineStr">
        <is>
          <t>İŞ Portföy</t>
        </is>
      </c>
      <c r="D21" t="n">
        <v>0.025</v>
      </c>
      <c r="E21" t="n">
        <v>-0.2547483708719489</v>
      </c>
      <c r="F21" t="n">
        <v>0.457167295512062</v>
      </c>
      <c r="G21" t="n">
        <v>4.05002297131154</v>
      </c>
      <c r="H21" t="n">
        <v>47.15806898967865</v>
      </c>
      <c r="I21" t="n">
        <v>58.68261201306311</v>
      </c>
      <c r="J21" t="n">
        <v>15177</v>
      </c>
      <c r="K21" t="n">
        <v>14921</v>
      </c>
      <c r="L21" t="n">
        <v>-0.01686762864861302</v>
      </c>
      <c r="M21" t="n">
        <v>975747126.8</v>
      </c>
      <c r="N21" t="n">
        <v>920316348.52</v>
      </c>
      <c r="O21" t="n">
        <v>-0.05680854881098885</v>
      </c>
      <c r="P21" t="n">
        <v>1.265922350143476</v>
      </c>
      <c r="Q21" t="inlineStr">
        <is>
          <t>Görüyor</t>
        </is>
      </c>
      <c r="R21" t="n">
        <v>0.6765000000000001</v>
      </c>
      <c r="S21" t="n">
        <v>0.0001</v>
      </c>
      <c r="T21" t="n">
        <v>0</v>
      </c>
      <c r="U21" t="n">
        <v>0.0286</v>
      </c>
      <c r="V21" t="n">
        <v>0.0227</v>
      </c>
      <c r="W21" t="n">
        <v>0.2702</v>
      </c>
      <c r="X21" t="n">
        <v>0</v>
      </c>
      <c r="Y21" t="n">
        <v>0.0019</v>
      </c>
      <c r="Z21" t="n">
        <v>0</v>
      </c>
      <c r="AA21" t="n">
        <v>0</v>
      </c>
      <c r="AB21" t="n">
        <v>0</v>
      </c>
      <c r="AC21" t="n">
        <v>1</v>
      </c>
      <c r="AE21">
        <f>IF(ISNUMBER(INDEX($A$2:$AC$59,20,MATCH('Tüm Teknoloji'!$E$2,$A$1:$AC$1,0))),INDEX($A$2:$AC$59,20,MATCH('Tüm Teknoloji'!$E$2,$A$1:$AC$1,0)),-1E+9)-ROW()/1E+7</f>
        <v/>
      </c>
    </row>
    <row r="22">
      <c r="A22" t="inlineStr">
        <is>
          <t>ITP</t>
        </is>
      </c>
      <c r="B22" t="inlineStr">
        <is>
          <t>İŞ Portföy Teknoloji Karma Fon</t>
        </is>
      </c>
      <c r="C22" t="inlineStr">
        <is>
          <t>İŞ Portföy</t>
        </is>
      </c>
      <c r="D22" t="n">
        <v>0.0275</v>
      </c>
      <c r="E22" t="n">
        <v>-0.3033961867487389</v>
      </c>
      <c r="F22" t="n">
        <v>-0.2444287324683936</v>
      </c>
      <c r="G22" t="n">
        <v>-0.7160059185413847</v>
      </c>
      <c r="H22" t="n">
        <v>28.76386326252072</v>
      </c>
      <c r="I22" t="n">
        <v>52.3916749499844</v>
      </c>
      <c r="J22" t="n">
        <v>11616</v>
      </c>
      <c r="K22" t="n">
        <v>11492</v>
      </c>
      <c r="L22" t="n">
        <v>-0.01067493112947659</v>
      </c>
      <c r="M22" t="n">
        <v>1052000268.87</v>
      </c>
      <c r="N22" t="n">
        <v>1015896417.59</v>
      </c>
      <c r="O22" t="n">
        <v>-0.0343192414948531</v>
      </c>
      <c r="P22" t="n">
        <v>0.8591538998303285</v>
      </c>
      <c r="Q22" t="inlineStr">
        <is>
          <t>Görüyor</t>
        </is>
      </c>
      <c r="R22" t="n">
        <v>0.6844</v>
      </c>
      <c r="S22" t="n">
        <v>0</v>
      </c>
      <c r="T22" t="n">
        <v>0</v>
      </c>
      <c r="U22" t="n">
        <v>0.0022</v>
      </c>
      <c r="V22" t="n">
        <v>0.0227</v>
      </c>
      <c r="W22" t="n">
        <v>0.0727</v>
      </c>
      <c r="X22" t="n">
        <v>0</v>
      </c>
      <c r="Y22" t="n">
        <v>0.0035</v>
      </c>
      <c r="Z22" t="n">
        <v>0.0231</v>
      </c>
      <c r="AA22" t="n">
        <v>0.1765</v>
      </c>
      <c r="AB22" t="n">
        <v>0</v>
      </c>
      <c r="AC22" t="n">
        <v>0.9851</v>
      </c>
      <c r="AE22">
        <f>IF(ISNUMBER(INDEX($A$2:$AC$59,21,MATCH('Tüm Teknoloji'!$E$2,$A$1:$AC$1,0))),INDEX($A$2:$AC$59,21,MATCH('Tüm Teknoloji'!$E$2,$A$1:$AC$1,0)),-1E+9)-ROW()/1E+7</f>
        <v/>
      </c>
    </row>
    <row r="23">
      <c r="A23" t="inlineStr">
        <is>
          <t>KIB</t>
        </is>
      </c>
      <c r="B23" t="inlineStr">
        <is>
          <t>Trıve Portföy Robotik Teknolojileri Değişken Fon</t>
        </is>
      </c>
      <c r="C23" t="inlineStr">
        <is>
          <t>Trıve Portföy</t>
        </is>
      </c>
      <c r="D23" t="n">
        <v>0.025</v>
      </c>
      <c r="E23" t="n">
        <v>-0.4296516546011708</v>
      </c>
      <c r="F23" t="n">
        <v>2.980495840955832</v>
      </c>
      <c r="G23" t="n">
        <v>0.2728285976186351</v>
      </c>
      <c r="H23" t="n">
        <v>14.7907849567821</v>
      </c>
      <c r="I23" t="n">
        <v>35.2995604904002</v>
      </c>
      <c r="J23" t="n">
        <v>1026</v>
      </c>
      <c r="K23" t="n">
        <v>1025</v>
      </c>
      <c r="L23" t="n">
        <v>-0.0009746588693957392</v>
      </c>
      <c r="M23" t="n">
        <v>11016125.33</v>
      </c>
      <c r="N23" t="n">
        <v>10586398.94</v>
      </c>
      <c r="O23" t="n">
        <v>-0.03900885085518546</v>
      </c>
      <c r="P23" t="n">
        <v>0.8516069831469637</v>
      </c>
      <c r="Q23" t="inlineStr">
        <is>
          <t>Görüyor</t>
        </is>
      </c>
      <c r="R23" t="n">
        <v>0.5412</v>
      </c>
      <c r="S23" t="n">
        <v>0</v>
      </c>
      <c r="T23" t="n">
        <v>0</v>
      </c>
      <c r="U23" t="n">
        <v>0</v>
      </c>
      <c r="V23" t="n">
        <v>0</v>
      </c>
      <c r="W23" t="n">
        <v>0.3795</v>
      </c>
      <c r="X23" t="n">
        <v>0.0311</v>
      </c>
      <c r="Y23" t="n">
        <v>0</v>
      </c>
      <c r="Z23" t="n">
        <v>0</v>
      </c>
      <c r="AA23" t="n">
        <v>0.0482</v>
      </c>
      <c r="AB23" t="n">
        <v>0</v>
      </c>
      <c r="AC23" t="n">
        <v>1</v>
      </c>
      <c r="AE23">
        <f>IF(ISNUMBER(INDEX($A$2:$AC$59,22,MATCH('Tüm Teknoloji'!$E$2,$A$1:$AC$1,0))),INDEX($A$2:$AC$59,22,MATCH('Tüm Teknoloji'!$E$2,$A$1:$AC$1,0)),-1E+9)-ROW()/1E+7</f>
        <v/>
      </c>
    </row>
    <row r="24">
      <c r="A24" t="inlineStr">
        <is>
          <t>YZC</t>
        </is>
      </c>
      <c r="B24" t="inlineStr">
        <is>
          <t>Yapı Kredi Portföy Fintech VE Blockchain Teknolojileri Değişken Fon</t>
        </is>
      </c>
      <c r="C24" t="inlineStr">
        <is>
          <t>Yapı Kredi Portföy</t>
        </is>
      </c>
      <c r="D24" t="n">
        <v>0.03</v>
      </c>
      <c r="E24" t="n">
        <v>-0.4535493182148964</v>
      </c>
      <c r="F24" t="n">
        <v>-0.4622960966784606</v>
      </c>
      <c r="G24" t="n">
        <v>-3.738795920532012</v>
      </c>
      <c r="H24" t="n">
        <v>34.61906138827793</v>
      </c>
      <c r="I24" t="n">
        <v>50.75261149863464</v>
      </c>
      <c r="J24" t="n">
        <v>13117</v>
      </c>
      <c r="K24" t="n">
        <v>12753</v>
      </c>
      <c r="L24" t="n">
        <v>-0.0277502477700694</v>
      </c>
      <c r="M24" t="n">
        <v>672356283.71</v>
      </c>
      <c r="N24" t="n">
        <v>616502923.1799999</v>
      </c>
      <c r="O24" t="n">
        <v>-0.08307107687282467</v>
      </c>
      <c r="P24" t="n">
        <v>1.072680118156764</v>
      </c>
      <c r="Q24" t="inlineStr">
        <is>
          <t>Görüyor</t>
        </is>
      </c>
      <c r="R24" t="n">
        <v>0.6388</v>
      </c>
      <c r="S24" t="n">
        <v>0</v>
      </c>
      <c r="T24" t="n">
        <v>0</v>
      </c>
      <c r="U24" t="n">
        <v>0.0001</v>
      </c>
      <c r="V24" t="n">
        <v>0.0016</v>
      </c>
      <c r="W24" t="n">
        <v>0.2033</v>
      </c>
      <c r="X24" t="n">
        <v>0</v>
      </c>
      <c r="Y24" t="n">
        <v>0.1432</v>
      </c>
      <c r="Z24" t="n">
        <v>0</v>
      </c>
      <c r="AA24" t="n">
        <v>0</v>
      </c>
      <c r="AB24" t="n">
        <v>0</v>
      </c>
      <c r="AC24" t="n">
        <v>0.987</v>
      </c>
      <c r="AE24">
        <f>IF(ISNUMBER(INDEX($A$2:$AC$59,23,MATCH('Tüm Teknoloji'!$E$2,$A$1:$AC$1,0))),INDEX($A$2:$AC$59,23,MATCH('Tüm Teknoloji'!$E$2,$A$1:$AC$1,0)),-1E+9)-ROW()/1E+7</f>
        <v/>
      </c>
    </row>
    <row r="25">
      <c r="A25" t="inlineStr">
        <is>
          <t>SGT</t>
        </is>
      </c>
      <c r="B25" t="inlineStr">
        <is>
          <t>Garanti Portföy Siber Güvenlik Teknolojileri Değişken Fon</t>
        </is>
      </c>
      <c r="C25" t="inlineStr">
        <is>
          <t>Garanti Portföy</t>
        </is>
      </c>
      <c r="D25" t="n">
        <v>0.027</v>
      </c>
      <c r="E25" t="n">
        <v>-0.4559646356919744</v>
      </c>
      <c r="F25" t="n">
        <v>0.804683561657149</v>
      </c>
      <c r="G25" t="n">
        <v>5.559175890041801</v>
      </c>
      <c r="H25" t="n">
        <v>38.68897646273446</v>
      </c>
      <c r="I25" t="n">
        <v>49.63558270313753</v>
      </c>
      <c r="J25" t="n">
        <v>2596</v>
      </c>
      <c r="K25" t="n">
        <v>2451</v>
      </c>
      <c r="L25" t="n">
        <v>-0.05585516178736516</v>
      </c>
      <c r="M25" t="n">
        <v>310030989.15</v>
      </c>
      <c r="N25" t="n">
        <v>185855865.73</v>
      </c>
      <c r="O25" t="n">
        <v>-0.4005248757888563</v>
      </c>
      <c r="P25" t="n">
        <v>1.342298192785467</v>
      </c>
      <c r="Q25" t="inlineStr">
        <is>
          <t>Görüyor</t>
        </is>
      </c>
      <c r="R25" t="n">
        <v>0.6086</v>
      </c>
      <c r="S25" t="n">
        <v>0.0493</v>
      </c>
      <c r="T25" t="n">
        <v>0</v>
      </c>
      <c r="U25" t="n">
        <v>0.0407</v>
      </c>
      <c r="V25" t="n">
        <v>0.0159</v>
      </c>
      <c r="W25" t="n">
        <v>0.2566</v>
      </c>
      <c r="X25" t="n">
        <v>0.0263</v>
      </c>
      <c r="Y25" t="n">
        <v>0</v>
      </c>
      <c r="Z25" t="n">
        <v>0</v>
      </c>
      <c r="AA25" t="n">
        <v>0</v>
      </c>
      <c r="AB25" t="n">
        <v>0</v>
      </c>
      <c r="AC25" t="n">
        <v>0.9974000000000001</v>
      </c>
      <c r="AE25">
        <f>IF(ISNUMBER(INDEX($A$2:$AC$59,24,MATCH('Tüm Teknoloji'!$E$2,$A$1:$AC$1,0))),INDEX($A$2:$AC$59,24,MATCH('Tüm Teknoloji'!$E$2,$A$1:$AC$1,0)),-1E+9)-ROW()/1E+7</f>
        <v/>
      </c>
    </row>
    <row r="26">
      <c r="A26" t="inlineStr">
        <is>
          <t>GPT</t>
        </is>
      </c>
      <c r="B26" t="inlineStr">
        <is>
          <t>Aktif Portföy Robotik Teknolojileri Değişken Fon</t>
        </is>
      </c>
      <c r="C26" t="inlineStr">
        <is>
          <t>Aktif Portföy</t>
        </is>
      </c>
      <c r="D26" t="n">
        <v>0.02</v>
      </c>
      <c r="E26" t="n">
        <v>-0.4789605026005006</v>
      </c>
      <c r="F26" t="n">
        <v>-0.3549337961900934</v>
      </c>
      <c r="G26" t="n">
        <v>-3.332389696889748</v>
      </c>
      <c r="H26" t="n">
        <v>37.88018009969272</v>
      </c>
      <c r="I26" t="n">
        <v>68.6715679480377</v>
      </c>
      <c r="J26" t="n">
        <v>3345</v>
      </c>
      <c r="K26" t="n">
        <v>3330</v>
      </c>
      <c r="L26" t="n">
        <v>-0.004484304932735439</v>
      </c>
      <c r="M26" t="n">
        <v>121956183.07</v>
      </c>
      <c r="N26" t="n">
        <v>111987552.51</v>
      </c>
      <c r="O26" t="n">
        <v>-0.0817394437006792</v>
      </c>
      <c r="P26" t="n">
        <v>1.136927625600713</v>
      </c>
      <c r="Q26" t="inlineStr">
        <is>
          <t>Görüyor</t>
        </is>
      </c>
      <c r="R26" t="n">
        <v>0.6859000000000001</v>
      </c>
      <c r="S26" t="n">
        <v>0</v>
      </c>
      <c r="T26" t="n">
        <v>0</v>
      </c>
      <c r="U26" t="n">
        <v>0</v>
      </c>
      <c r="V26" t="n">
        <v>0</v>
      </c>
      <c r="W26" t="n">
        <v>0.3114</v>
      </c>
      <c r="X26" t="n">
        <v>0</v>
      </c>
      <c r="Y26" t="n">
        <v>0.0027</v>
      </c>
      <c r="Z26" t="n">
        <v>0</v>
      </c>
      <c r="AA26" t="n">
        <v>0</v>
      </c>
      <c r="AB26" t="n">
        <v>0</v>
      </c>
      <c r="AC26" t="n">
        <v>1</v>
      </c>
      <c r="AE26">
        <f>IF(ISNUMBER(INDEX($A$2:$AC$59,25,MATCH('Tüm Teknoloji'!$E$2,$A$1:$AC$1,0))),INDEX($A$2:$AC$59,25,MATCH('Tüm Teknoloji'!$E$2,$A$1:$AC$1,0)),-1E+9)-ROW()/1E+7</f>
        <v/>
      </c>
    </row>
    <row r="27">
      <c r="A27" t="inlineStr">
        <is>
          <t>IUH</t>
        </is>
      </c>
      <c r="B27" t="inlineStr">
        <is>
          <t>Inveo Portföy Dönüştürücü Teknolojiler Fon Sepeti Fonu</t>
        </is>
      </c>
      <c r="C27" t="inlineStr">
        <is>
          <t>Inveo Portföy</t>
        </is>
      </c>
      <c r="D27" t="n">
        <v>0.02</v>
      </c>
      <c r="E27" t="n">
        <v>-0.6072835483806549</v>
      </c>
      <c r="F27" t="n">
        <v>-1.046026888510709</v>
      </c>
      <c r="G27" t="n">
        <v>-3.162823329970321</v>
      </c>
      <c r="H27" t="n">
        <v>35.77982910598467</v>
      </c>
      <c r="I27" t="n">
        <v>60.4312086438465</v>
      </c>
      <c r="J27" t="n">
        <v>773</v>
      </c>
      <c r="K27" t="n">
        <v>758</v>
      </c>
      <c r="L27" t="n">
        <v>-0.01940491591203108</v>
      </c>
      <c r="M27" t="n">
        <v>16288864.57</v>
      </c>
      <c r="N27" t="n">
        <v>14137270.24</v>
      </c>
      <c r="O27" t="n">
        <v>-0.1320898900444354</v>
      </c>
      <c r="P27" t="n">
        <v>0.8680823587546173</v>
      </c>
      <c r="Q27" t="inlineStr">
        <is>
          <t>Görüyor</t>
        </is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1</v>
      </c>
      <c r="Z27" t="n">
        <v>0</v>
      </c>
      <c r="AA27" t="n">
        <v>0</v>
      </c>
      <c r="AB27" t="n">
        <v>0</v>
      </c>
      <c r="AC27" t="n">
        <v>1</v>
      </c>
      <c r="AE27">
        <f>IF(ISNUMBER(INDEX($A$2:$AC$59,26,MATCH('Tüm Teknoloji'!$E$2,$A$1:$AC$1,0))),INDEX($A$2:$AC$59,26,MATCH('Tüm Teknoloji'!$E$2,$A$1:$AC$1,0)),-1E+9)-ROW()/1E+7</f>
        <v/>
      </c>
    </row>
    <row r="28">
      <c r="A28" t="inlineStr">
        <is>
          <t>HTJ</t>
        </is>
      </c>
      <c r="B28" t="inlineStr">
        <is>
          <t>Hedef Portföy Teknoloji Değişken Fon</t>
        </is>
      </c>
      <c r="C28" t="inlineStr">
        <is>
          <t>Hedef Portföy</t>
        </is>
      </c>
      <c r="D28" t="n">
        <v>0.0295</v>
      </c>
      <c r="E28" t="n">
        <v>-0.6409747782497033</v>
      </c>
      <c r="F28" t="n">
        <v>-0.2581363896450695</v>
      </c>
      <c r="G28" t="n">
        <v>-0.7602672742191618</v>
      </c>
      <c r="H28" t="n">
        <v>21.99971766259088</v>
      </c>
      <c r="I28" t="n">
        <v>43.86257507610185</v>
      </c>
      <c r="J28" t="n">
        <v>247</v>
      </c>
      <c r="K28" t="n">
        <v>218</v>
      </c>
      <c r="L28" t="n">
        <v>-0.1174089068825911</v>
      </c>
      <c r="M28" t="n">
        <v>19561081.2</v>
      </c>
      <c r="N28" t="n">
        <v>21786828.36</v>
      </c>
      <c r="O28" t="n">
        <v>0.1137844650427606</v>
      </c>
      <c r="P28" t="n">
        <v>0.9514020444379259</v>
      </c>
      <c r="Q28" t="inlineStr">
        <is>
          <t>Görüyor</t>
        </is>
      </c>
      <c r="R28" t="n">
        <v>0.6214999999999999</v>
      </c>
      <c r="S28" t="n">
        <v>0.014</v>
      </c>
      <c r="T28" t="n">
        <v>0</v>
      </c>
      <c r="U28" t="n">
        <v>0.0545</v>
      </c>
      <c r="V28" t="n">
        <v>0</v>
      </c>
      <c r="W28" t="n">
        <v>0.2474</v>
      </c>
      <c r="X28" t="n">
        <v>0</v>
      </c>
      <c r="Y28" t="n">
        <v>0.0626</v>
      </c>
      <c r="Z28" t="n">
        <v>0</v>
      </c>
      <c r="AA28" t="n">
        <v>0</v>
      </c>
      <c r="AB28" t="n">
        <v>0</v>
      </c>
      <c r="AC28" t="n">
        <v>0.9999999999999999</v>
      </c>
      <c r="AE28">
        <f>IF(ISNUMBER(INDEX($A$2:$AC$59,27,MATCH('Tüm Teknoloji'!$E$2,$A$1:$AC$1,0))),INDEX($A$2:$AC$59,27,MATCH('Tüm Teknoloji'!$E$2,$A$1:$AC$1,0)),-1E+9)-ROW()/1E+7</f>
        <v/>
      </c>
    </row>
    <row r="29">
      <c r="A29" t="inlineStr">
        <is>
          <t>IJP</t>
        </is>
      </c>
      <c r="B29" t="inlineStr">
        <is>
          <t>İŞ Portföy Blockchain Teknolojileri Karma Fon</t>
        </is>
      </c>
      <c r="C29" t="inlineStr">
        <is>
          <t>İŞ Portföy</t>
        </is>
      </c>
      <c r="D29" t="n">
        <v>0.0275</v>
      </c>
      <c r="E29" t="n">
        <v>-0.6630240216121241</v>
      </c>
      <c r="F29" t="n">
        <v>-1.250037507731072</v>
      </c>
      <c r="G29" t="n">
        <v>-3.005027441151764</v>
      </c>
      <c r="H29" t="n">
        <v>26.91458038165411</v>
      </c>
      <c r="I29" t="n">
        <v>49.35951246301722</v>
      </c>
      <c r="J29" t="n">
        <v>13429</v>
      </c>
      <c r="K29" t="n">
        <v>13151</v>
      </c>
      <c r="L29" t="n">
        <v>-0.02070146697445829</v>
      </c>
      <c r="M29" t="n">
        <v>668615532.48</v>
      </c>
      <c r="N29" t="n">
        <v>634567949.4400001</v>
      </c>
      <c r="O29" t="n">
        <v>-0.05092251284338567</v>
      </c>
      <c r="P29" t="n">
        <v>0.9917741991289721</v>
      </c>
      <c r="Q29" t="inlineStr">
        <is>
          <t>Görüyor</t>
        </is>
      </c>
      <c r="R29" t="n">
        <v>0.645</v>
      </c>
      <c r="S29" t="n">
        <v>0.0215</v>
      </c>
      <c r="T29" t="n">
        <v>0</v>
      </c>
      <c r="U29" t="n">
        <v>0.0005</v>
      </c>
      <c r="V29" t="n">
        <v>0.0074</v>
      </c>
      <c r="W29" t="n">
        <v>0.0965</v>
      </c>
      <c r="X29" t="n">
        <v>0</v>
      </c>
      <c r="Y29" t="n">
        <v>0.0034</v>
      </c>
      <c r="Z29" t="n">
        <v>0.1006</v>
      </c>
      <c r="AA29" t="n">
        <v>0.1054</v>
      </c>
      <c r="AB29" t="n">
        <v>0</v>
      </c>
      <c r="AC29" t="n">
        <v>0.9803000000000001</v>
      </c>
      <c r="AE29">
        <f>IF(ISNUMBER(INDEX($A$2:$AC$59,28,MATCH('Tüm Teknoloji'!$E$2,$A$1:$AC$1,0))),INDEX($A$2:$AC$59,28,MATCH('Tüm Teknoloji'!$E$2,$A$1:$AC$1,0)),-1E+9)-ROW()/1E+7</f>
        <v/>
      </c>
    </row>
    <row r="30">
      <c r="A30" t="inlineStr">
        <is>
          <t>FLY</t>
        </is>
      </c>
      <c r="B30" t="inlineStr">
        <is>
          <t>Aktif Portföy Havacılık VE Savunma Teknolojileri Değişken Fon</t>
        </is>
      </c>
      <c r="C30" t="inlineStr">
        <is>
          <t>Aktif Portföy</t>
        </is>
      </c>
      <c r="D30" t="n">
        <v>0.02</v>
      </c>
      <c r="E30" t="n">
        <v>-0.7400060110397289</v>
      </c>
      <c r="F30" t="n">
        <v>-2.927116028856058</v>
      </c>
      <c r="G30" t="n">
        <v>-7.073120820260959</v>
      </c>
      <c r="H30" t="n">
        <v>7.515133161497234</v>
      </c>
      <c r="I30" t="n">
        <v>12.71385598457633</v>
      </c>
      <c r="J30" t="n">
        <v>1465</v>
      </c>
      <c r="K30" t="n">
        <v>1992</v>
      </c>
      <c r="L30" t="n">
        <v>0.3597269624573378</v>
      </c>
      <c r="M30" t="n">
        <v>98991234.15000001</v>
      </c>
      <c r="N30" t="n">
        <v>90520056.44</v>
      </c>
      <c r="O30" t="n">
        <v>-0.08557502876632239</v>
      </c>
      <c r="P30" t="n">
        <v>1.379726945737227</v>
      </c>
      <c r="Q30" t="inlineStr">
        <is>
          <t>Görüyor</t>
        </is>
      </c>
      <c r="R30" t="n">
        <v>0.6037</v>
      </c>
      <c r="S30" t="n">
        <v>0</v>
      </c>
      <c r="T30" t="n">
        <v>0</v>
      </c>
      <c r="U30" t="n">
        <v>0</v>
      </c>
      <c r="V30" t="n">
        <v>0</v>
      </c>
      <c r="W30" t="n">
        <v>0.3202</v>
      </c>
      <c r="X30" t="n">
        <v>0</v>
      </c>
      <c r="Y30" t="n">
        <v>0.0761</v>
      </c>
      <c r="Z30" t="n">
        <v>0</v>
      </c>
      <c r="AA30" t="n">
        <v>0</v>
      </c>
      <c r="AB30" t="n">
        <v>0</v>
      </c>
      <c r="AC30" t="n">
        <v>1</v>
      </c>
      <c r="AE30">
        <f>IF(ISNUMBER(INDEX($A$2:$AC$59,29,MATCH('Tüm Teknoloji'!$E$2,$A$1:$AC$1,0))),INDEX($A$2:$AC$59,29,MATCH('Tüm Teknoloji'!$E$2,$A$1:$AC$1,0)),-1E+9)-ROW()/1E+7</f>
        <v/>
      </c>
    </row>
    <row r="31">
      <c r="A31" t="inlineStr">
        <is>
          <t>FBZ</t>
        </is>
      </c>
      <c r="B31" t="inlineStr">
        <is>
          <t>Fiba Portföy Teknoloji Serbest Fon</t>
        </is>
      </c>
      <c r="C31" t="inlineStr">
        <is>
          <t>Fiba Portföy</t>
        </is>
      </c>
      <c r="D31" t="n">
        <v>0.0255</v>
      </c>
      <c r="E31" t="n">
        <v>-0.7944516422707215</v>
      </c>
      <c r="F31" t="n">
        <v>-1.183116690641994</v>
      </c>
      <c r="G31" t="n">
        <v>-3.380115382390969</v>
      </c>
      <c r="H31" t="n">
        <v>21.52244009233037</v>
      </c>
      <c r="I31" t="n">
        <v>48.40215837078669</v>
      </c>
      <c r="J31" t="n">
        <v>440</v>
      </c>
      <c r="K31" t="n">
        <v>403</v>
      </c>
      <c r="L31" t="n">
        <v>-0.08409090909090911</v>
      </c>
      <c r="M31" t="n">
        <v>422352016.69</v>
      </c>
      <c r="N31" t="n">
        <v>262451805.1</v>
      </c>
      <c r="O31" t="n">
        <v>-0.3785946444464697</v>
      </c>
      <c r="P31" t="n">
        <v>0.9073741695710174</v>
      </c>
      <c r="Q31" t="inlineStr">
        <is>
          <t>Görüyor</t>
        </is>
      </c>
      <c r="R31" t="n">
        <v>0.708</v>
      </c>
      <c r="S31" t="n">
        <v>0</v>
      </c>
      <c r="T31" t="n">
        <v>0.0126</v>
      </c>
      <c r="U31" t="n">
        <v>0</v>
      </c>
      <c r="V31" t="n">
        <v>0</v>
      </c>
      <c r="W31" t="n">
        <v>0.0076</v>
      </c>
      <c r="X31" t="n">
        <v>0.05230000000000001</v>
      </c>
      <c r="Y31" t="n">
        <v>0.2098</v>
      </c>
      <c r="Z31" t="n">
        <v>0</v>
      </c>
      <c r="AA31" t="n">
        <v>0</v>
      </c>
      <c r="AB31" t="n">
        <v>0</v>
      </c>
      <c r="AC31" t="n">
        <v>0.9903</v>
      </c>
      <c r="AE31">
        <f>IF(ISNUMBER(INDEX($A$2:$AC$59,30,MATCH('Tüm Teknoloji'!$E$2,$A$1:$AC$1,0))),INDEX($A$2:$AC$59,30,MATCH('Tüm Teknoloji'!$E$2,$A$1:$AC$1,0)),-1E+9)-ROW()/1E+7</f>
        <v/>
      </c>
    </row>
    <row r="32">
      <c r="A32" t="inlineStr">
        <is>
          <t>IRO</t>
        </is>
      </c>
      <c r="B32" t="inlineStr">
        <is>
          <t>İstanbul Portföy Robotik Teknolojileri Serbest Fon</t>
        </is>
      </c>
      <c r="C32" t="inlineStr">
        <is>
          <t>İstanbul Portföy</t>
        </is>
      </c>
      <c r="D32" t="n">
        <v>0.03150315</v>
      </c>
      <c r="E32" t="n">
        <v>-0.8110831234257043</v>
      </c>
      <c r="F32" t="n">
        <v>-1.696502923773036</v>
      </c>
      <c r="G32" t="n">
        <v>1.136006446763527</v>
      </c>
      <c r="H32" t="n">
        <v>26.56203282319714</v>
      </c>
      <c r="I32" t="n">
        <v>43.6825180883492</v>
      </c>
      <c r="J32" t="n">
        <v>45</v>
      </c>
      <c r="K32" t="n">
        <v>110</v>
      </c>
      <c r="L32" t="n">
        <v>1.444444444444445</v>
      </c>
      <c r="M32" t="n">
        <v>16373641.49</v>
      </c>
      <c r="N32" t="n">
        <v>42878151.53</v>
      </c>
      <c r="O32" t="n">
        <v>1.618730326799161</v>
      </c>
      <c r="P32" t="n">
        <v>2.618526529146594</v>
      </c>
      <c r="Q32" t="inlineStr">
        <is>
          <t>Görüyor</t>
        </is>
      </c>
      <c r="R32" t="n">
        <v>0.4849</v>
      </c>
      <c r="S32" t="n">
        <v>0</v>
      </c>
      <c r="T32" t="n">
        <v>0.2641</v>
      </c>
      <c r="U32" t="n">
        <v>0</v>
      </c>
      <c r="V32" t="n">
        <v>0</v>
      </c>
      <c r="W32" t="n">
        <v>0.1252</v>
      </c>
      <c r="X32" t="n">
        <v>0</v>
      </c>
      <c r="Y32" t="n">
        <v>0.1258</v>
      </c>
      <c r="Z32" t="n">
        <v>0</v>
      </c>
      <c r="AA32" t="n">
        <v>0</v>
      </c>
      <c r="AB32" t="n">
        <v>0</v>
      </c>
      <c r="AC32" t="n">
        <v>1</v>
      </c>
      <c r="AE32">
        <f>IF(ISNUMBER(INDEX($A$2:$AC$59,31,MATCH('Tüm Teknoloji'!$E$2,$A$1:$AC$1,0))),INDEX($A$2:$AC$59,31,MATCH('Tüm Teknoloji'!$E$2,$A$1:$AC$1,0)),-1E+9)-ROW()/1E+7</f>
        <v/>
      </c>
    </row>
    <row r="33">
      <c r="A33" t="inlineStr">
        <is>
          <t>AFT</t>
        </is>
      </c>
      <c r="B33" t="inlineStr">
        <is>
          <t>AK Portföy Yeni Teknolojiler Yabancı Hisse Senedi Fonu</t>
        </is>
      </c>
      <c r="C33" t="inlineStr">
        <is>
          <t>AK Portföy</t>
        </is>
      </c>
      <c r="D33" t="n">
        <v>0.029</v>
      </c>
      <c r="E33" t="n">
        <v>-0.9163724018795283</v>
      </c>
      <c r="F33" t="n">
        <v>-1.300461820001519</v>
      </c>
      <c r="G33" t="n">
        <v>-3.721456066622886</v>
      </c>
      <c r="H33" t="n">
        <v>10.35903150831854</v>
      </c>
      <c r="I33" t="n">
        <v>47.41620697692488</v>
      </c>
      <c r="J33" t="n">
        <v>144090</v>
      </c>
      <c r="K33" t="n">
        <v>139926</v>
      </c>
      <c r="L33" t="n">
        <v>-0.0288986050385176</v>
      </c>
      <c r="M33" t="n">
        <v>21232400173.87</v>
      </c>
      <c r="N33" t="n">
        <v>19251901076.6</v>
      </c>
      <c r="O33" t="n">
        <v>-0.09327721223469276</v>
      </c>
      <c r="P33" t="n">
        <v>1.254597387117162</v>
      </c>
      <c r="Q33" t="inlineStr">
        <is>
          <t>Görüyor</t>
        </is>
      </c>
      <c r="R33" t="n">
        <v>0.9543</v>
      </c>
      <c r="S33" t="n">
        <v>0</v>
      </c>
      <c r="T33" t="n">
        <v>0</v>
      </c>
      <c r="U33" t="n">
        <v>0</v>
      </c>
      <c r="V33" t="n">
        <v>0.0399</v>
      </c>
      <c r="W33" t="n">
        <v>0</v>
      </c>
      <c r="X33" t="n">
        <v>0</v>
      </c>
      <c r="Y33" t="n">
        <v>0.0058</v>
      </c>
      <c r="Z33" t="n">
        <v>0</v>
      </c>
      <c r="AA33" t="n">
        <v>0</v>
      </c>
      <c r="AB33" t="n">
        <v>0</v>
      </c>
      <c r="AC33" t="n">
        <v>1</v>
      </c>
      <c r="AE33">
        <f>IF(ISNUMBER(INDEX($A$2:$AC$59,32,MATCH('Tüm Teknoloji'!$E$2,$A$1:$AC$1,0))),INDEX($A$2:$AC$59,32,MATCH('Tüm Teknoloji'!$E$2,$A$1:$AC$1,0)),-1E+9)-ROW()/1E+7</f>
        <v/>
      </c>
    </row>
    <row r="34">
      <c r="A34" t="inlineStr">
        <is>
          <t>IVY</t>
        </is>
      </c>
      <c r="B34" t="inlineStr">
        <is>
          <t>İstanbul Portföy Blockchaın Teknolojileri Değişken Fon</t>
        </is>
      </c>
      <c r="C34" t="inlineStr">
        <is>
          <t>İstanbul Portföy</t>
        </is>
      </c>
      <c r="D34" t="n">
        <v>0.025</v>
      </c>
      <c r="E34" t="n">
        <v>-1.013896505588274</v>
      </c>
      <c r="F34" t="n">
        <v>-1.394184962005729</v>
      </c>
      <c r="G34" t="n">
        <v>-5.281195404519801</v>
      </c>
      <c r="H34" t="n">
        <v>26.47449306154428</v>
      </c>
      <c r="I34" t="n">
        <v>38.17614824318491</v>
      </c>
      <c r="J34" t="n">
        <v>14206</v>
      </c>
      <c r="K34" t="n">
        <v>13659</v>
      </c>
      <c r="L34" t="n">
        <v>-0.03850485710263274</v>
      </c>
      <c r="M34" t="n">
        <v>838429549.3</v>
      </c>
      <c r="N34" t="n">
        <v>741388940.17</v>
      </c>
      <c r="O34" t="n">
        <v>-0.1157409220739162</v>
      </c>
      <c r="P34" t="n">
        <v>1.540288810069978</v>
      </c>
      <c r="Q34" t="inlineStr">
        <is>
          <t>Görüyor</t>
        </is>
      </c>
      <c r="R34" t="n">
        <v>0.6559999999999999</v>
      </c>
      <c r="S34" t="n">
        <v>0.09619999999999999</v>
      </c>
      <c r="T34" t="n">
        <v>0</v>
      </c>
      <c r="U34" t="n">
        <v>0</v>
      </c>
      <c r="V34" t="n">
        <v>0</v>
      </c>
      <c r="W34" t="n">
        <v>0.0031</v>
      </c>
      <c r="X34" t="n">
        <v>0.0003</v>
      </c>
      <c r="Y34" t="n">
        <v>0.112</v>
      </c>
      <c r="Z34" t="n">
        <v>0</v>
      </c>
      <c r="AA34" t="n">
        <v>0.1166</v>
      </c>
      <c r="AB34" t="n">
        <v>0</v>
      </c>
      <c r="AC34" t="n">
        <v>0.9841999999999999</v>
      </c>
      <c r="AE34">
        <f>IF(ISNUMBER(INDEX($A$2:$AC$59,33,MATCH('Tüm Teknoloji'!$E$2,$A$1:$AC$1,0))),INDEX($A$2:$AC$59,33,MATCH('Tüm Teknoloji'!$E$2,$A$1:$AC$1,0)),-1E+9)-ROW()/1E+7</f>
        <v/>
      </c>
    </row>
    <row r="35">
      <c r="A35" t="inlineStr">
        <is>
          <t>BVV</t>
        </is>
      </c>
      <c r="B35" t="inlineStr">
        <is>
          <t>BV Portföy Teknoloji Değişken Fon</t>
        </is>
      </c>
      <c r="C35" t="inlineStr">
        <is>
          <t>BV Portföy</t>
        </is>
      </c>
      <c r="D35" t="n">
        <v>0.025</v>
      </c>
      <c r="E35" t="n">
        <v>-1.205675334255119</v>
      </c>
      <c r="F35" t="n">
        <v>-2.189916320154595</v>
      </c>
      <c r="G35" t="n">
        <v>-4.79644899813243</v>
      </c>
      <c r="H35" t="n">
        <v>49.20893638509219</v>
      </c>
      <c r="I35" t="n">
        <v>85.31057213062149</v>
      </c>
      <c r="J35" t="n">
        <v>1092</v>
      </c>
      <c r="K35" t="n">
        <v>1058</v>
      </c>
      <c r="L35" t="n">
        <v>-0.03113553113553114</v>
      </c>
      <c r="M35" t="n">
        <v>164062224.34</v>
      </c>
      <c r="N35" t="n">
        <v>171419421.95</v>
      </c>
      <c r="O35" t="n">
        <v>0.04484394649406331</v>
      </c>
      <c r="P35" t="n">
        <v>1.671222327318879</v>
      </c>
      <c r="Q35" t="inlineStr">
        <is>
          <t>Görüyor</t>
        </is>
      </c>
      <c r="R35" t="n">
        <v>0.7056999999999999</v>
      </c>
      <c r="S35" t="n">
        <v>0</v>
      </c>
      <c r="T35" t="n">
        <v>0</v>
      </c>
      <c r="U35" t="n">
        <v>0</v>
      </c>
      <c r="V35" t="n">
        <v>0</v>
      </c>
      <c r="W35" t="n">
        <v>0.147</v>
      </c>
      <c r="X35" t="n">
        <v>0</v>
      </c>
      <c r="Y35" t="n">
        <v>0.1029</v>
      </c>
      <c r="Z35" t="n">
        <v>0</v>
      </c>
      <c r="AA35" t="n">
        <v>0</v>
      </c>
      <c r="AB35" t="n">
        <v>0</v>
      </c>
      <c r="AC35" t="n">
        <v>0.9555999999999999</v>
      </c>
      <c r="AE35">
        <f>IF(ISNUMBER(INDEX($A$2:$AC$59,34,MATCH('Tüm Teknoloji'!$E$2,$A$1:$AC$1,0))),INDEX($A$2:$AC$59,34,MATCH('Tüm Teknoloji'!$E$2,$A$1:$AC$1,0)),-1E+9)-ROW()/1E+7</f>
        <v/>
      </c>
    </row>
    <row r="36">
      <c r="A36" t="inlineStr">
        <is>
          <t>HOA</t>
        </is>
      </c>
      <c r="B36" t="inlineStr">
        <is>
          <t>Hsbc Portföy Teknoloji Değişken Fon</t>
        </is>
      </c>
      <c r="C36" t="inlineStr">
        <is>
          <t>Hsbc Portföy</t>
        </is>
      </c>
      <c r="D36" t="n">
        <v>0.01752</v>
      </c>
      <c r="E36" t="n">
        <v>-1.24648153415724</v>
      </c>
      <c r="F36" t="n">
        <v>-1.822517674369517</v>
      </c>
      <c r="G36" t="n">
        <v>-5.268323674468423</v>
      </c>
      <c r="H36" t="n">
        <v>22.94238900634249</v>
      </c>
      <c r="I36" t="n">
        <v>47.22148381625084</v>
      </c>
      <c r="J36" t="n">
        <v>3451</v>
      </c>
      <c r="K36" t="n">
        <v>3443</v>
      </c>
      <c r="L36" t="n">
        <v>-0.002318168646769037</v>
      </c>
      <c r="M36" t="n">
        <v>2281246181.32</v>
      </c>
      <c r="N36" t="n">
        <v>1892689169.24</v>
      </c>
      <c r="O36" t="n">
        <v>-0.1703266465766395</v>
      </c>
      <c r="P36" t="n">
        <v>1.308139838661249</v>
      </c>
      <c r="Q36" t="inlineStr">
        <is>
          <t>Görüyor</t>
        </is>
      </c>
      <c r="R36" t="n">
        <v>0.6301</v>
      </c>
      <c r="S36" t="n">
        <v>0.076</v>
      </c>
      <c r="T36" t="n">
        <v>0</v>
      </c>
      <c r="U36" t="n">
        <v>0.021</v>
      </c>
      <c r="V36" t="n">
        <v>0</v>
      </c>
      <c r="W36" t="n">
        <v>0.1371</v>
      </c>
      <c r="X36" t="n">
        <v>0.004500000000000001</v>
      </c>
      <c r="Y36" t="n">
        <v>0.0378</v>
      </c>
      <c r="Z36" t="n">
        <v>0.0553</v>
      </c>
      <c r="AA36" t="n">
        <v>0.0246</v>
      </c>
      <c r="AB36" t="n">
        <v>0.0029</v>
      </c>
      <c r="AC36" t="n">
        <v>0.9893</v>
      </c>
      <c r="AE36">
        <f>IF(ISNUMBER(INDEX($A$2:$AC$59,35,MATCH('Tüm Teknoloji'!$E$2,$A$1:$AC$1,0))),INDEX($A$2:$AC$59,35,MATCH('Tüm Teknoloji'!$E$2,$A$1:$AC$1,0)),-1E+9)-ROW()/1E+7</f>
        <v/>
      </c>
    </row>
    <row r="37">
      <c r="A37" t="inlineStr">
        <is>
          <t>ZMY</t>
        </is>
      </c>
      <c r="B37" t="inlineStr">
        <is>
          <t>Ziraat Portföy Metaverse VE Yeni Teknolojiler Değişken Fon</t>
        </is>
      </c>
      <c r="C37" t="inlineStr">
        <is>
          <t>Ziraat Portföy</t>
        </is>
      </c>
      <c r="D37" t="n">
        <v>0.0275</v>
      </c>
      <c r="E37" t="n">
        <v>-1.253822388953685</v>
      </c>
      <c r="F37" t="n">
        <v>-0.8821264573226073</v>
      </c>
      <c r="G37" t="n">
        <v>-2.041924612379742</v>
      </c>
      <c r="H37" t="n">
        <v>10.83888870508103</v>
      </c>
      <c r="I37" t="n">
        <v>22.87564456875433</v>
      </c>
      <c r="J37" t="n">
        <v>2900</v>
      </c>
      <c r="K37" t="n">
        <v>2823</v>
      </c>
      <c r="L37" t="n">
        <v>-0.02655172413793105</v>
      </c>
      <c r="M37" t="n">
        <v>182570710.35</v>
      </c>
      <c r="N37" t="n">
        <v>188809191.11</v>
      </c>
      <c r="O37" t="n">
        <v>0.03417021683292165</v>
      </c>
      <c r="P37" t="n">
        <v>0.7601899113030596</v>
      </c>
      <c r="Q37" t="inlineStr">
        <is>
          <t>Görüyor</t>
        </is>
      </c>
      <c r="R37" t="n">
        <v>0.5974</v>
      </c>
      <c r="S37" t="n">
        <v>0</v>
      </c>
      <c r="T37" t="n">
        <v>0</v>
      </c>
      <c r="U37" t="n">
        <v>0.0024</v>
      </c>
      <c r="V37" t="n">
        <v>0.1022</v>
      </c>
      <c r="W37" t="n">
        <v>0.1177</v>
      </c>
      <c r="X37" t="n">
        <v>0</v>
      </c>
      <c r="Y37" t="n">
        <v>0.1212</v>
      </c>
      <c r="Z37" t="n">
        <v>0</v>
      </c>
      <c r="AA37" t="n">
        <v>0</v>
      </c>
      <c r="AB37" t="n">
        <v>0</v>
      </c>
      <c r="AC37" t="n">
        <v>0.9409000000000001</v>
      </c>
      <c r="AE37">
        <f>IF(ISNUMBER(INDEX($A$2:$AC$59,36,MATCH('Tüm Teknoloji'!$E$2,$A$1:$AC$1,0))),INDEX($A$2:$AC$59,36,MATCH('Tüm Teknoloji'!$E$2,$A$1:$AC$1,0)),-1E+9)-ROW()/1E+7</f>
        <v/>
      </c>
    </row>
    <row r="38">
      <c r="A38" t="inlineStr">
        <is>
          <t>OJT</t>
        </is>
      </c>
      <c r="B38" t="inlineStr">
        <is>
          <t>Qnb Portföy Teknoloji Fon Sepeti Fonu</t>
        </is>
      </c>
      <c r="C38" t="inlineStr">
        <is>
          <t>Qnb Portföy</t>
        </is>
      </c>
      <c r="D38" t="n">
        <v>0.0295</v>
      </c>
      <c r="E38" t="n">
        <v>-1.313741712715366</v>
      </c>
      <c r="F38" t="n">
        <v>-1.865399652184097</v>
      </c>
      <c r="G38" t="n">
        <v>-4.807428011506487</v>
      </c>
      <c r="H38" t="n">
        <v>34.05257910365043</v>
      </c>
      <c r="I38" t="n">
        <v>58.99984906816022</v>
      </c>
      <c r="J38" t="n">
        <v>11595</v>
      </c>
      <c r="K38" t="n">
        <v>11403</v>
      </c>
      <c r="L38" t="n">
        <v>-0.01655886157826647</v>
      </c>
      <c r="M38" t="n">
        <v>4822332587.42</v>
      </c>
      <c r="N38" t="n">
        <v>4620154753.41</v>
      </c>
      <c r="O38" t="n">
        <v>-0.04192531940609423</v>
      </c>
      <c r="P38" t="n">
        <v>1.34456916733297</v>
      </c>
      <c r="Q38" t="inlineStr">
        <is>
          <t>Görüyor</t>
        </is>
      </c>
      <c r="R38" t="n">
        <v>0.6804000000000001</v>
      </c>
      <c r="S38" t="n">
        <v>0.09820000000000001</v>
      </c>
      <c r="T38" t="n">
        <v>0</v>
      </c>
      <c r="U38" t="n">
        <v>0</v>
      </c>
      <c r="V38" t="n">
        <v>0.0435</v>
      </c>
      <c r="W38" t="n">
        <v>0.1244</v>
      </c>
      <c r="X38" t="n">
        <v>0.0103</v>
      </c>
      <c r="Y38" t="n">
        <v>0.0432</v>
      </c>
      <c r="Z38" t="n">
        <v>0</v>
      </c>
      <c r="AA38" t="n">
        <v>0</v>
      </c>
      <c r="AB38" t="n">
        <v>0</v>
      </c>
      <c r="AC38" t="n">
        <v>1</v>
      </c>
      <c r="AE38">
        <f>IF(ISNUMBER(INDEX($A$2:$AC$59,37,MATCH('Tüm Teknoloji'!$E$2,$A$1:$AC$1,0))),INDEX($A$2:$AC$59,37,MATCH('Tüm Teknoloji'!$E$2,$A$1:$AC$1,0)),-1E+9)-ROW()/1E+7</f>
        <v/>
      </c>
    </row>
    <row r="39">
      <c r="A39" t="inlineStr">
        <is>
          <t>RBL</t>
        </is>
      </c>
      <c r="B39" t="inlineStr">
        <is>
          <t>Qnb Portföy Robotik VE Blockchain Teknolojileri Serbest Fon</t>
        </is>
      </c>
      <c r="C39" t="inlineStr">
        <is>
          <t>Qnb Portföy</t>
        </is>
      </c>
      <c r="D39" t="n">
        <v>0.0275</v>
      </c>
      <c r="E39" t="n">
        <v>-1.315967197298595</v>
      </c>
      <c r="F39" t="n">
        <v>-2.816586540342425</v>
      </c>
      <c r="G39" t="n">
        <v>-7.100013516711834</v>
      </c>
      <c r="H39" t="n">
        <v>23.23972560506717</v>
      </c>
      <c r="I39" t="n">
        <v>40.83069980351788</v>
      </c>
      <c r="J39" t="n">
        <v>912</v>
      </c>
      <c r="K39" t="n">
        <v>881</v>
      </c>
      <c r="L39" t="n">
        <v>-0.03399122807017541</v>
      </c>
      <c r="M39" t="n">
        <v>375205556.05</v>
      </c>
      <c r="N39" t="n">
        <v>337139333.17</v>
      </c>
      <c r="O39" t="n">
        <v>-0.1014543155510397</v>
      </c>
      <c r="P39" t="n">
        <v>1.329954836719951</v>
      </c>
      <c r="Q39" t="inlineStr">
        <is>
          <t>Görüyor</t>
        </is>
      </c>
      <c r="R39" t="n">
        <v>0.5537</v>
      </c>
      <c r="S39" t="n">
        <v>0.2408</v>
      </c>
      <c r="T39" t="n">
        <v>0</v>
      </c>
      <c r="U39" t="n">
        <v>0</v>
      </c>
      <c r="V39" t="n">
        <v>0.0451</v>
      </c>
      <c r="W39" t="n">
        <v>0.1018</v>
      </c>
      <c r="X39" t="n">
        <v>0.0153</v>
      </c>
      <c r="Y39" t="n">
        <v>0.0433</v>
      </c>
      <c r="Z39" t="n">
        <v>0</v>
      </c>
      <c r="AA39" t="n">
        <v>0</v>
      </c>
      <c r="AB39" t="n">
        <v>0</v>
      </c>
      <c r="AC39" t="n">
        <v>1</v>
      </c>
      <c r="AE39">
        <f>IF(ISNUMBER(INDEX($A$2:$AC$59,38,MATCH('Tüm Teknoloji'!$E$2,$A$1:$AC$1,0))),INDEX($A$2:$AC$59,38,MATCH('Tüm Teknoloji'!$E$2,$A$1:$AC$1,0)),-1E+9)-ROW()/1E+7</f>
        <v/>
      </c>
    </row>
    <row r="40">
      <c r="A40" t="inlineStr">
        <is>
          <t>GBV</t>
        </is>
      </c>
      <c r="B40" t="inlineStr">
        <is>
          <t>Garanti Portföy Blockchain Teknolojileri Değişken Fon</t>
        </is>
      </c>
      <c r="C40" t="inlineStr">
        <is>
          <t>Garanti Portföy</t>
        </is>
      </c>
      <c r="D40" t="n">
        <v>0.027</v>
      </c>
      <c r="E40" t="n">
        <v>-1.333099700831386</v>
      </c>
      <c r="F40" t="n">
        <v>-2.400537978309891</v>
      </c>
      <c r="G40" t="n">
        <v>-7.36693599493713</v>
      </c>
      <c r="H40" t="n">
        <v>33.93192975924097</v>
      </c>
      <c r="I40" t="n">
        <v>64.44273816458828</v>
      </c>
      <c r="J40" t="n">
        <v>24208</v>
      </c>
      <c r="K40" t="n">
        <v>23635</v>
      </c>
      <c r="L40" t="n">
        <v>-0.02366986120290815</v>
      </c>
      <c r="M40" t="n">
        <v>2855545324.71</v>
      </c>
      <c r="N40" t="n">
        <v>2521902515.2</v>
      </c>
      <c r="O40" t="n">
        <v>-0.1168403129948161</v>
      </c>
      <c r="P40" t="n">
        <v>1.461043964313614</v>
      </c>
      <c r="Q40" t="inlineStr">
        <is>
          <t>Görüyor</t>
        </is>
      </c>
      <c r="R40" t="n">
        <v>0.6225000000000001</v>
      </c>
      <c r="S40" t="n">
        <v>0.0302</v>
      </c>
      <c r="T40" t="n">
        <v>0</v>
      </c>
      <c r="U40" t="n">
        <v>0.0593</v>
      </c>
      <c r="V40" t="n">
        <v>0.0197</v>
      </c>
      <c r="W40" t="n">
        <v>0.1523</v>
      </c>
      <c r="X40" t="n">
        <v>0.0129</v>
      </c>
      <c r="Y40" t="n">
        <v>0</v>
      </c>
      <c r="Z40" t="n">
        <v>0</v>
      </c>
      <c r="AA40" t="n">
        <v>0</v>
      </c>
      <c r="AB40" t="n">
        <v>0</v>
      </c>
      <c r="AC40" t="n">
        <v>0.8969</v>
      </c>
      <c r="AE40">
        <f>IF(ISNUMBER(INDEX($A$2:$AC$59,39,MATCH('Tüm Teknoloji'!$E$2,$A$1:$AC$1,0))),INDEX($A$2:$AC$59,39,MATCH('Tüm Teknoloji'!$E$2,$A$1:$AC$1,0)),-1E+9)-ROW()/1E+7</f>
        <v/>
      </c>
    </row>
    <row r="41">
      <c r="A41" t="inlineStr">
        <is>
          <t>TFF</t>
        </is>
      </c>
      <c r="B41" t="inlineStr">
        <is>
          <t>Teb Portföy Amerika Teknoloji Yabancı Byf Fon Sepeti Fonu</t>
        </is>
      </c>
      <c r="C41" t="inlineStr">
        <is>
          <t>Teb Portföy</t>
        </is>
      </c>
      <c r="D41" t="n">
        <v>0.021</v>
      </c>
      <c r="E41" t="n">
        <v>-1.402214494706522</v>
      </c>
      <c r="F41" t="n">
        <v>-1.70239007969305</v>
      </c>
      <c r="G41" t="n">
        <v>-3.331977701102284</v>
      </c>
      <c r="H41" t="n">
        <v>29.98329670566926</v>
      </c>
      <c r="I41" t="n">
        <v>49.97368082227351</v>
      </c>
      <c r="J41" t="n">
        <v>9084</v>
      </c>
      <c r="K41" t="n">
        <v>8928</v>
      </c>
      <c r="L41" t="n">
        <v>-0.0171730515191546</v>
      </c>
      <c r="M41" t="n">
        <v>1401898855.86</v>
      </c>
      <c r="N41" t="n">
        <v>1370161338.84</v>
      </c>
      <c r="O41" t="n">
        <v>-0.02263894922756782</v>
      </c>
      <c r="P41" t="n">
        <v>1.475893874152244</v>
      </c>
      <c r="Q41" t="inlineStr">
        <is>
          <t>Görüyor</t>
        </is>
      </c>
      <c r="R41" t="n">
        <v>0</v>
      </c>
      <c r="S41" t="n">
        <v>0.9682999999999999</v>
      </c>
      <c r="T41" t="n">
        <v>0.0277</v>
      </c>
      <c r="U41" t="n">
        <v>0</v>
      </c>
      <c r="V41" t="n">
        <v>0</v>
      </c>
      <c r="W41" t="n">
        <v>0</v>
      </c>
      <c r="X41" t="n">
        <v>0.004</v>
      </c>
      <c r="Y41" t="n">
        <v>0</v>
      </c>
      <c r="Z41" t="n">
        <v>0</v>
      </c>
      <c r="AA41" t="n">
        <v>0</v>
      </c>
      <c r="AB41" t="n">
        <v>0</v>
      </c>
      <c r="AC41" t="n">
        <v>0.9999999999999999</v>
      </c>
      <c r="AE41">
        <f>IF(ISNUMBER(INDEX($A$2:$AC$59,40,MATCH('Tüm Teknoloji'!$E$2,$A$1:$AC$1,0))),INDEX($A$2:$AC$59,40,MATCH('Tüm Teknoloji'!$E$2,$A$1:$AC$1,0)),-1E+9)-ROW()/1E+7</f>
        <v/>
      </c>
    </row>
    <row r="42">
      <c r="A42" t="inlineStr">
        <is>
          <t>CPU</t>
        </is>
      </c>
      <c r="B42" t="inlineStr">
        <is>
          <t>Aktif Portföy Teknoloji Katılım Fonu</t>
        </is>
      </c>
      <c r="C42" t="inlineStr">
        <is>
          <t>Aktif Portföy</t>
        </is>
      </c>
      <c r="D42" t="n">
        <v>0.02</v>
      </c>
      <c r="E42" t="n">
        <v>-1.450286306152015</v>
      </c>
      <c r="F42" t="n">
        <v>-2.038647340427369</v>
      </c>
      <c r="G42" t="n">
        <v>-3.415202821148555</v>
      </c>
      <c r="H42" t="n">
        <v>50.25271187829392</v>
      </c>
      <c r="I42" t="n">
        <v>90.16802036035097</v>
      </c>
      <c r="J42" t="n">
        <v>16618</v>
      </c>
      <c r="K42" t="n">
        <v>17042</v>
      </c>
      <c r="L42" t="n">
        <v>0.02551450234685282</v>
      </c>
      <c r="M42" t="n">
        <v>1685402624.95</v>
      </c>
      <c r="N42" t="n">
        <v>1536643616.58</v>
      </c>
      <c r="O42" t="n">
        <v>-0.08826318777948583</v>
      </c>
      <c r="P42" t="n">
        <v>1.40311975700846</v>
      </c>
      <c r="Q42" t="inlineStr">
        <is>
          <t>Görüyor</t>
        </is>
      </c>
      <c r="R42" t="n">
        <v>0.6446999999999999</v>
      </c>
      <c r="S42" t="n">
        <v>0</v>
      </c>
      <c r="T42" t="n">
        <v>0</v>
      </c>
      <c r="U42" t="n">
        <v>0</v>
      </c>
      <c r="V42" t="n">
        <v>0</v>
      </c>
      <c r="W42" t="n">
        <v>0.2554</v>
      </c>
      <c r="X42" t="n">
        <v>0</v>
      </c>
      <c r="Y42" t="n">
        <v>0.0999</v>
      </c>
      <c r="Z42" t="n">
        <v>0</v>
      </c>
      <c r="AA42" t="n">
        <v>0</v>
      </c>
      <c r="AB42" t="n">
        <v>0</v>
      </c>
      <c r="AC42" t="n">
        <v>1</v>
      </c>
      <c r="AE42">
        <f>IF(ISNUMBER(INDEX($A$2:$AC$59,41,MATCH('Tüm Teknoloji'!$E$2,$A$1:$AC$1,0))),INDEX($A$2:$AC$59,41,MATCH('Tüm Teknoloji'!$E$2,$A$1:$AC$1,0)),-1E+9)-ROW()/1E+7</f>
        <v/>
      </c>
    </row>
    <row r="43">
      <c r="A43" t="inlineStr">
        <is>
          <t>MTX</t>
        </is>
      </c>
      <c r="B43" t="inlineStr">
        <is>
          <t>Teb Portföy Üçüncü Değişken Fon</t>
        </is>
      </c>
      <c r="C43" t="inlineStr">
        <is>
          <t>Teb Portföy</t>
        </is>
      </c>
      <c r="D43" t="n">
        <v>0.0275</v>
      </c>
      <c r="E43" t="n">
        <v>-1.461402327743766</v>
      </c>
      <c r="F43" t="n">
        <v>-1.283954306242829</v>
      </c>
      <c r="G43" t="n">
        <v>-6.014204522377686</v>
      </c>
      <c r="H43" t="n">
        <v>14.32580612082903</v>
      </c>
      <c r="I43" t="n">
        <v>36.62991964815232</v>
      </c>
      <c r="J43" t="n">
        <v>2289</v>
      </c>
      <c r="K43" t="n">
        <v>2188</v>
      </c>
      <c r="L43" t="n">
        <v>-0.04412407164700738</v>
      </c>
      <c r="M43" t="n">
        <v>118915186.87</v>
      </c>
      <c r="N43" t="n">
        <v>88138749.77</v>
      </c>
      <c r="O43" t="n">
        <v>-0.2588099797012917</v>
      </c>
      <c r="P43" t="n">
        <v>1.368698344383002</v>
      </c>
      <c r="Q43" t="inlineStr">
        <is>
          <t>Görüyor</t>
        </is>
      </c>
      <c r="R43" t="n">
        <v>0.6032</v>
      </c>
      <c r="S43" t="n">
        <v>0.0587</v>
      </c>
      <c r="T43" t="n">
        <v>0.0214</v>
      </c>
      <c r="U43" t="n">
        <v>0</v>
      </c>
      <c r="V43" t="n">
        <v>0.0244</v>
      </c>
      <c r="W43" t="n">
        <v>0.2444</v>
      </c>
      <c r="X43" t="n">
        <v>0</v>
      </c>
      <c r="Y43" t="n">
        <v>0.0479</v>
      </c>
      <c r="Z43" t="n">
        <v>0</v>
      </c>
      <c r="AA43" t="n">
        <v>0</v>
      </c>
      <c r="AB43" t="n">
        <v>0</v>
      </c>
      <c r="AC43" t="n">
        <v>1</v>
      </c>
      <c r="AE43">
        <f>IF(ISNUMBER(INDEX($A$2:$AC$59,42,MATCH('Tüm Teknoloji'!$E$2,$A$1:$AC$1,0))),INDEX($A$2:$AC$59,42,MATCH('Tüm Teknoloji'!$E$2,$A$1:$AC$1,0)),-1E+9)-ROW()/1E+7</f>
        <v/>
      </c>
    </row>
    <row r="44">
      <c r="A44" t="inlineStr">
        <is>
          <t>TEJ</t>
        </is>
      </c>
      <c r="B44" t="inlineStr">
        <is>
          <t>Azimut Portföy Teknoloji Fon Sepeti Fonu</t>
        </is>
      </c>
      <c r="C44" t="inlineStr">
        <is>
          <t>Azimut Portföy</t>
        </is>
      </c>
      <c r="D44" t="n">
        <v>0.02835</v>
      </c>
      <c r="E44" t="n">
        <v>-1.46963130862714</v>
      </c>
      <c r="F44" t="n">
        <v>-2.891560033089224</v>
      </c>
      <c r="G44" t="n">
        <v>-5.339589971694592</v>
      </c>
      <c r="H44" t="n">
        <v>37.78477895760186</v>
      </c>
      <c r="I44" t="n">
        <v>65.50879994889323</v>
      </c>
      <c r="J44" t="n">
        <v>1355</v>
      </c>
      <c r="K44" t="n">
        <v>1327</v>
      </c>
      <c r="L44" t="n">
        <v>-0.02066420664206647</v>
      </c>
      <c r="M44" t="n">
        <v>687996297.62</v>
      </c>
      <c r="N44" t="n">
        <v>680093842.4</v>
      </c>
      <c r="O44" t="n">
        <v>-0.01148618858464379</v>
      </c>
      <c r="P44" t="n">
        <v>1.379345800049414</v>
      </c>
      <c r="Q44" t="inlineStr">
        <is>
          <t>Görüyor</t>
        </is>
      </c>
      <c r="R44" t="n">
        <v>0</v>
      </c>
      <c r="S44" t="n">
        <v>0.7591</v>
      </c>
      <c r="T44" t="n">
        <v>0</v>
      </c>
      <c r="U44" t="n">
        <v>0</v>
      </c>
      <c r="V44" t="n">
        <v>0</v>
      </c>
      <c r="W44" t="n">
        <v>0.07099999999999999</v>
      </c>
      <c r="X44" t="n">
        <v>0</v>
      </c>
      <c r="Y44" t="n">
        <v>0.1699</v>
      </c>
      <c r="Z44" t="n">
        <v>0</v>
      </c>
      <c r="AA44" t="n">
        <v>0</v>
      </c>
      <c r="AB44" t="n">
        <v>0</v>
      </c>
      <c r="AC44" t="n">
        <v>1</v>
      </c>
      <c r="AE44">
        <f>IF(ISNUMBER(INDEX($A$2:$AC$59,43,MATCH('Tüm Teknoloji'!$E$2,$A$1:$AC$1,0))),INDEX($A$2:$AC$59,43,MATCH('Tüm Teknoloji'!$E$2,$A$1:$AC$1,0)),-1E+9)-ROW()/1E+7</f>
        <v/>
      </c>
    </row>
    <row r="45">
      <c r="A45" t="inlineStr">
        <is>
          <t>BTK</t>
        </is>
      </c>
      <c r="B45" t="inlineStr">
        <is>
          <t>BV Portföy Teknoloji Katılım Fonu</t>
        </is>
      </c>
      <c r="C45" t="inlineStr">
        <is>
          <t>BV Portföy</t>
        </is>
      </c>
      <c r="D45" t="n">
        <v>0.02</v>
      </c>
      <c r="E45" t="n">
        <v>-1.56644526999612</v>
      </c>
      <c r="F45" t="n">
        <v>-3.371104886275234</v>
      </c>
      <c r="G45" t="n">
        <v>-7.40179685788055</v>
      </c>
      <c r="H45" t="n">
        <v>48.20004841295103</v>
      </c>
      <c r="I45" t="inlineStr">
        <is>
          <t>-</t>
        </is>
      </c>
      <c r="J45" t="n">
        <v>2111</v>
      </c>
      <c r="K45" t="n">
        <v>2106</v>
      </c>
      <c r="L45" t="n">
        <v>-0.002368545712932213</v>
      </c>
      <c r="M45" t="n">
        <v>326324162.08</v>
      </c>
      <c r="N45" t="n">
        <v>303772274.43</v>
      </c>
      <c r="O45" t="n">
        <v>-0.06910885024956037</v>
      </c>
      <c r="P45" t="n">
        <v>1.635663120060489</v>
      </c>
      <c r="Q45" t="inlineStr">
        <is>
          <t>Görüyor</t>
        </is>
      </c>
      <c r="R45" t="n">
        <v>0.7067</v>
      </c>
      <c r="S45" t="n">
        <v>0</v>
      </c>
      <c r="T45" t="n">
        <v>0</v>
      </c>
      <c r="U45" t="n">
        <v>0</v>
      </c>
      <c r="V45" t="n">
        <v>0</v>
      </c>
      <c r="W45" t="n">
        <v>0.1897</v>
      </c>
      <c r="X45" t="n">
        <v>0</v>
      </c>
      <c r="Y45" t="n">
        <v>0.08169999999999999</v>
      </c>
      <c r="Z45" t="n">
        <v>0</v>
      </c>
      <c r="AA45" t="n">
        <v>0</v>
      </c>
      <c r="AB45" t="n">
        <v>0.0178</v>
      </c>
      <c r="AC45" t="n">
        <v>0.9959</v>
      </c>
      <c r="AE45">
        <f>IF(ISNUMBER(INDEX($A$2:$AC$59,44,MATCH('Tüm Teknoloji'!$E$2,$A$1:$AC$1,0))),INDEX($A$2:$AC$59,44,MATCH('Tüm Teknoloji'!$E$2,$A$1:$AC$1,0)),-1E+9)-ROW()/1E+7</f>
        <v/>
      </c>
    </row>
    <row r="46">
      <c r="A46" t="inlineStr">
        <is>
          <t>RUT</t>
        </is>
      </c>
      <c r="B46" t="inlineStr">
        <is>
          <t>BV Portföy Robotik VE Uzay Teknolojileri Değişken Fon</t>
        </is>
      </c>
      <c r="C46" t="inlineStr">
        <is>
          <t>BV Portföy</t>
        </is>
      </c>
      <c r="D46" t="n">
        <v>0.025</v>
      </c>
      <c r="E46" t="n">
        <v>-1.585420056088205</v>
      </c>
      <c r="F46" t="n">
        <v>-2.917096114519424</v>
      </c>
      <c r="G46" t="n">
        <v>-5.790878887498452</v>
      </c>
      <c r="H46" t="n">
        <v>26.02780528337547</v>
      </c>
      <c r="I46" t="n">
        <v>49.09019991106129</v>
      </c>
      <c r="J46" t="n">
        <v>4776</v>
      </c>
      <c r="K46" t="n">
        <v>4820</v>
      </c>
      <c r="L46" t="n">
        <v>0.009212730318257867</v>
      </c>
      <c r="M46" t="n">
        <v>157183008.18</v>
      </c>
      <c r="N46" t="n">
        <v>166740838.17</v>
      </c>
      <c r="O46" t="n">
        <v>0.0608070178874216</v>
      </c>
      <c r="P46" t="n">
        <v>1.228453487164884</v>
      </c>
      <c r="Q46" t="inlineStr">
        <is>
          <t>Görüyor</t>
        </is>
      </c>
      <c r="R46" t="n">
        <v>0.6731999999999999</v>
      </c>
      <c r="S46" t="n">
        <v>0</v>
      </c>
      <c r="T46" t="n">
        <v>0</v>
      </c>
      <c r="U46" t="n">
        <v>0.0001</v>
      </c>
      <c r="V46" t="n">
        <v>0</v>
      </c>
      <c r="W46" t="n">
        <v>0.1586</v>
      </c>
      <c r="X46" t="n">
        <v>0</v>
      </c>
      <c r="Y46" t="n">
        <v>0.1267</v>
      </c>
      <c r="Z46" t="n">
        <v>0</v>
      </c>
      <c r="AA46" t="n">
        <v>0</v>
      </c>
      <c r="AB46" t="n">
        <v>0</v>
      </c>
      <c r="AC46" t="n">
        <v>0.9585999999999999</v>
      </c>
      <c r="AE46">
        <f>IF(ISNUMBER(INDEX($A$2:$AC$59,45,MATCH('Tüm Teknoloji'!$E$2,$A$1:$AC$1,0))),INDEX($A$2:$AC$59,45,MATCH('Tüm Teknoloji'!$E$2,$A$1:$AC$1,0)),-1E+9)-ROW()/1E+7</f>
        <v/>
      </c>
    </row>
    <row r="47">
      <c r="A47" t="inlineStr">
        <is>
          <t>IRT</t>
        </is>
      </c>
      <c r="B47" t="inlineStr">
        <is>
          <t>Inveo Portföy Teknoloji Değişken Fon</t>
        </is>
      </c>
      <c r="C47" t="inlineStr">
        <is>
          <t>Inveo Portföy</t>
        </is>
      </c>
      <c r="D47" t="n">
        <v>0.0195</v>
      </c>
      <c r="E47" t="n">
        <v>-1.663841645091813</v>
      </c>
      <c r="F47" t="n">
        <v>-2.348159032053287</v>
      </c>
      <c r="G47" t="n">
        <v>-6.839480834397349</v>
      </c>
      <c r="H47" t="n">
        <v>38.13721695871948</v>
      </c>
      <c r="I47" t="n">
        <v>76.78760995823714</v>
      </c>
      <c r="J47" t="n">
        <v>1555</v>
      </c>
      <c r="K47" t="n">
        <v>1568</v>
      </c>
      <c r="L47" t="n">
        <v>0.008360128617363349</v>
      </c>
      <c r="M47" t="n">
        <v>136866124.6</v>
      </c>
      <c r="N47" t="n">
        <v>127701915.59</v>
      </c>
      <c r="O47" t="n">
        <v>-0.06695746691727389</v>
      </c>
      <c r="P47" t="n">
        <v>1.426109229759924</v>
      </c>
      <c r="Q47" t="inlineStr">
        <is>
          <t>Görüyor</t>
        </is>
      </c>
      <c r="R47" t="n">
        <v>0.5613</v>
      </c>
      <c r="S47" t="n">
        <v>0.1591</v>
      </c>
      <c r="T47" t="n">
        <v>0</v>
      </c>
      <c r="U47" t="n">
        <v>0</v>
      </c>
      <c r="V47" t="n">
        <v>0</v>
      </c>
      <c r="W47" t="n">
        <v>0.2773</v>
      </c>
      <c r="X47" t="n">
        <v>0</v>
      </c>
      <c r="Y47" t="n">
        <v>0.0023</v>
      </c>
      <c r="Z47" t="n">
        <v>0</v>
      </c>
      <c r="AA47" t="n">
        <v>0</v>
      </c>
      <c r="AB47" t="n">
        <v>0</v>
      </c>
      <c r="AC47" t="n">
        <v>1</v>
      </c>
      <c r="AE47">
        <f>IF(ISNUMBER(INDEX($A$2:$AC$59,46,MATCH('Tüm Teknoloji'!$E$2,$A$1:$AC$1,0))),INDEX($A$2:$AC$59,46,MATCH('Tüm Teknoloji'!$E$2,$A$1:$AC$1,0)),-1E+9)-ROW()/1E+7</f>
        <v/>
      </c>
    </row>
    <row r="48">
      <c r="A48" t="inlineStr">
        <is>
          <t>KTJ</t>
        </is>
      </c>
      <c r="B48" t="inlineStr">
        <is>
          <t>Kuveyt Türk Portföy Teknoloji Katılım Fonu</t>
        </is>
      </c>
      <c r="C48" t="inlineStr">
        <is>
          <t>Kuveyt Türk Portföy</t>
        </is>
      </c>
      <c r="D48" t="n">
        <v>0.024</v>
      </c>
      <c r="E48" t="n">
        <v>-1.941802767695866</v>
      </c>
      <c r="F48" t="n">
        <v>-2.308848938892338</v>
      </c>
      <c r="G48" t="n">
        <v>-2.238043162205539</v>
      </c>
      <c r="H48" t="n">
        <v>43.69854735711665</v>
      </c>
      <c r="I48" t="n">
        <v>68.59407250400518</v>
      </c>
      <c r="J48" t="n">
        <v>16525</v>
      </c>
      <c r="K48" t="n">
        <v>18858</v>
      </c>
      <c r="L48" t="n">
        <v>0.1411800302571862</v>
      </c>
      <c r="M48" t="n">
        <v>1367117320.93</v>
      </c>
      <c r="N48" t="n">
        <v>1600925208.98</v>
      </c>
      <c r="O48" t="n">
        <v>0.1710225482996215</v>
      </c>
      <c r="P48" t="n">
        <v>1.979265524000738</v>
      </c>
      <c r="Q48" t="inlineStr">
        <is>
          <t>Görüyor</t>
        </is>
      </c>
      <c r="R48" t="n">
        <v>0.7369</v>
      </c>
      <c r="S48" t="n">
        <v>0</v>
      </c>
      <c r="T48" t="n">
        <v>0</v>
      </c>
      <c r="U48" t="n">
        <v>0</v>
      </c>
      <c r="V48" t="n">
        <v>0</v>
      </c>
      <c r="W48" t="n">
        <v>0.09710000000000001</v>
      </c>
      <c r="X48" t="n">
        <v>0</v>
      </c>
      <c r="Y48" t="n">
        <v>0.0416</v>
      </c>
      <c r="Z48" t="n">
        <v>0</v>
      </c>
      <c r="AA48" t="n">
        <v>0</v>
      </c>
      <c r="AB48" t="n">
        <v>0</v>
      </c>
      <c r="AC48" t="n">
        <v>0.8756</v>
      </c>
      <c r="AE48">
        <f>IF(ISNUMBER(INDEX($A$2:$AC$59,47,MATCH('Tüm Teknoloji'!$E$2,$A$1:$AC$1,0))),INDEX($A$2:$AC$59,47,MATCH('Tüm Teknoloji'!$E$2,$A$1:$AC$1,0)),-1E+9)-ROW()/1E+7</f>
        <v/>
      </c>
    </row>
    <row r="49">
      <c r="A49" t="inlineStr">
        <is>
          <t>YJK</t>
        </is>
      </c>
      <c r="B49" t="inlineStr">
        <is>
          <t>Yapı Kredi Portföy Robotik VE Yarı İletken Teknolojileri Fon Sepeti Fonu</t>
        </is>
      </c>
      <c r="C49" t="inlineStr">
        <is>
          <t>Yapı Kredi Portföy</t>
        </is>
      </c>
      <c r="D49" t="n">
        <v>0.025</v>
      </c>
      <c r="E49" t="n">
        <v>-2.022702147359967</v>
      </c>
      <c r="F49" t="n">
        <v>-3.269290173281281</v>
      </c>
      <c r="G49" t="n">
        <v>-5.65897072610454</v>
      </c>
      <c r="H49" t="n">
        <v>41.90619125816528</v>
      </c>
      <c r="I49" t="n">
        <v>74.62130245930896</v>
      </c>
      <c r="J49" t="n">
        <v>13571</v>
      </c>
      <c r="K49" t="n">
        <v>14289</v>
      </c>
      <c r="L49" t="n">
        <v>0.0529069339031758</v>
      </c>
      <c r="M49" t="n">
        <v>1134745793.44</v>
      </c>
      <c r="N49" t="n">
        <v>1056431290.11</v>
      </c>
      <c r="O49" t="n">
        <v>-0.06901501973634849</v>
      </c>
      <c r="P49" t="n">
        <v>1.635167912102341</v>
      </c>
      <c r="Q49" t="inlineStr">
        <is>
          <t>Görüyor</t>
        </is>
      </c>
      <c r="R49" t="n">
        <v>0</v>
      </c>
      <c r="S49" t="n">
        <v>0.6631999999999999</v>
      </c>
      <c r="T49" t="n">
        <v>0</v>
      </c>
      <c r="U49" t="n">
        <v>0.0005</v>
      </c>
      <c r="V49" t="n">
        <v>0.0074</v>
      </c>
      <c r="W49" t="n">
        <v>0</v>
      </c>
      <c r="X49" t="n">
        <v>0</v>
      </c>
      <c r="Y49" t="n">
        <v>0.3289</v>
      </c>
      <c r="Z49" t="n">
        <v>0</v>
      </c>
      <c r="AA49" t="n">
        <v>0</v>
      </c>
      <c r="AB49" t="n">
        <v>0</v>
      </c>
      <c r="AC49" t="n">
        <v>0.9999999999999999</v>
      </c>
      <c r="AE49">
        <f>IF(ISNUMBER(INDEX($A$2:$AC$59,48,MATCH('Tüm Teknoloji'!$E$2,$A$1:$AC$1,0))),INDEX($A$2:$AC$59,48,MATCH('Tüm Teknoloji'!$E$2,$A$1:$AC$1,0)),-1E+9)-ROW()/1E+7</f>
        <v/>
      </c>
    </row>
    <row r="50">
      <c r="A50" t="inlineStr">
        <is>
          <t>RTG</t>
        </is>
      </c>
      <c r="B50" t="inlineStr">
        <is>
          <t>Ata Portföy Robotik Teknolojileri Değişken Fon</t>
        </is>
      </c>
      <c r="C50" t="inlineStr">
        <is>
          <t>Ata Portföy</t>
        </is>
      </c>
      <c r="D50" t="n">
        <v>0.025</v>
      </c>
      <c r="E50" t="n">
        <v>-2.068524741752586</v>
      </c>
      <c r="F50" t="n">
        <v>-3.040591506518198</v>
      </c>
      <c r="G50" t="n">
        <v>-7.187109446511986</v>
      </c>
      <c r="H50" t="n">
        <v>37.15166219409083</v>
      </c>
      <c r="I50" t="n">
        <v>65.88484465835352</v>
      </c>
      <c r="J50" t="n">
        <v>5327</v>
      </c>
      <c r="K50" t="n">
        <v>5229</v>
      </c>
      <c r="L50" t="n">
        <v>-0.01839684625492777</v>
      </c>
      <c r="M50" t="n">
        <v>293423037.57</v>
      </c>
      <c r="N50" t="n">
        <v>265077655.52</v>
      </c>
      <c r="O50" t="n">
        <v>-0.09660244227837023</v>
      </c>
      <c r="P50" t="n">
        <v>1.96980911604351</v>
      </c>
      <c r="Q50" t="inlineStr">
        <is>
          <t>Görüyor</t>
        </is>
      </c>
      <c r="R50" t="n">
        <v>0.6415000000000001</v>
      </c>
      <c r="S50" t="n">
        <v>0</v>
      </c>
      <c r="T50" t="n">
        <v>0</v>
      </c>
      <c r="U50" t="n">
        <v>0.0126</v>
      </c>
      <c r="V50" t="n">
        <v>0</v>
      </c>
      <c r="W50" t="n">
        <v>0.2274</v>
      </c>
      <c r="X50" t="n">
        <v>0</v>
      </c>
      <c r="Y50" t="n">
        <v>0.1185</v>
      </c>
      <c r="Z50" t="n">
        <v>0</v>
      </c>
      <c r="AA50" t="n">
        <v>0</v>
      </c>
      <c r="AB50" t="n">
        <v>0</v>
      </c>
      <c r="AC50" t="n">
        <v>1</v>
      </c>
      <c r="AE50">
        <f>IF(ISNUMBER(INDEX($A$2:$AC$59,49,MATCH('Tüm Teknoloji'!$E$2,$A$1:$AC$1,0))),INDEX($A$2:$AC$59,49,MATCH('Tüm Teknoloji'!$E$2,$A$1:$AC$1,0)),-1E+9)-ROW()/1E+7</f>
        <v/>
      </c>
    </row>
    <row r="51">
      <c r="A51" t="inlineStr">
        <is>
          <t>PIL</t>
        </is>
      </c>
      <c r="B51" t="inlineStr">
        <is>
          <t>Rota Portföy Pil Teknolojileri VE Enerji Fon Sepeti Fonu</t>
        </is>
      </c>
      <c r="C51" t="inlineStr">
        <is>
          <t>Rota Portföy</t>
        </is>
      </c>
      <c r="D51" t="n">
        <v>0.025</v>
      </c>
      <c r="E51" t="n">
        <v>-2.265196137330261</v>
      </c>
      <c r="F51" t="n">
        <v>-2.769867697561679</v>
      </c>
      <c r="G51" t="n">
        <v>-10.18048044646104</v>
      </c>
      <c r="H51" t="n">
        <v>19.98558685766096</v>
      </c>
      <c r="I51" t="n">
        <v>79.73124139787306</v>
      </c>
      <c r="J51" t="n">
        <v>8925</v>
      </c>
      <c r="K51" t="n">
        <v>8171</v>
      </c>
      <c r="L51" t="n">
        <v>-0.08448179271708689</v>
      </c>
      <c r="M51" t="n">
        <v>703997457.66</v>
      </c>
      <c r="N51" t="n">
        <v>534220137.62</v>
      </c>
      <c r="O51" t="n">
        <v>-0.2411618368684436</v>
      </c>
      <c r="P51" t="n">
        <v>1.591014497374832</v>
      </c>
      <c r="Q51" t="inlineStr">
        <is>
          <t>Görüyor</t>
        </is>
      </c>
      <c r="R51" t="n">
        <v>0.6269</v>
      </c>
      <c r="S51" t="n">
        <v>0</v>
      </c>
      <c r="T51" t="n">
        <v>0</v>
      </c>
      <c r="U51" t="n">
        <v>0.0187</v>
      </c>
      <c r="V51" t="n">
        <v>0</v>
      </c>
      <c r="W51" t="n">
        <v>0</v>
      </c>
      <c r="X51" t="n">
        <v>0</v>
      </c>
      <c r="Y51" t="n">
        <v>0.1884</v>
      </c>
      <c r="Z51" t="n">
        <v>0</v>
      </c>
      <c r="AA51" t="n">
        <v>0</v>
      </c>
      <c r="AB51" t="n">
        <v>0</v>
      </c>
      <c r="AC51" t="n">
        <v>0.8340000000000001</v>
      </c>
      <c r="AE51">
        <f>IF(ISNUMBER(INDEX($A$2:$AC$59,50,MATCH('Tüm Teknoloji'!$E$2,$A$1:$AC$1,0))),INDEX($A$2:$AC$59,50,MATCH('Tüm Teknoloji'!$E$2,$A$1:$AC$1,0)),-1E+9)-ROW()/1E+7</f>
        <v/>
      </c>
    </row>
    <row r="52">
      <c r="A52" t="inlineStr">
        <is>
          <t>RTD</t>
        </is>
      </c>
      <c r="B52" t="inlineStr">
        <is>
          <t>Re-pıe Portföy Teknoloji Değişken Fon</t>
        </is>
      </c>
      <c r="C52" t="inlineStr">
        <is>
          <t>Re-pıe Portföy</t>
        </is>
      </c>
      <c r="D52" t="n">
        <v>0.025</v>
      </c>
      <c r="E52" t="n">
        <v>-2.435573461392038</v>
      </c>
      <c r="F52" t="n">
        <v>-3.860909771634025</v>
      </c>
      <c r="G52" t="n">
        <v>-7.685064115473095</v>
      </c>
      <c r="H52" t="n">
        <v>39.12617257546624</v>
      </c>
      <c r="I52" t="n">
        <v>59.10379299247592</v>
      </c>
      <c r="J52" t="n">
        <v>449</v>
      </c>
      <c r="K52" t="n">
        <v>419</v>
      </c>
      <c r="L52" t="n">
        <v>-0.06681514476614703</v>
      </c>
      <c r="M52" t="n">
        <v>29506728.77</v>
      </c>
      <c r="N52" t="n">
        <v>25876566.54</v>
      </c>
      <c r="O52" t="n">
        <v>-0.1230282847785841</v>
      </c>
      <c r="P52" t="n">
        <v>1.931270049047353</v>
      </c>
      <c r="Q52" t="inlineStr">
        <is>
          <t>Görüyor</t>
        </is>
      </c>
      <c r="R52" t="n">
        <v>0.6295000000000001</v>
      </c>
      <c r="S52" t="n">
        <v>0</v>
      </c>
      <c r="T52" t="n">
        <v>0</v>
      </c>
      <c r="U52" t="n">
        <v>0</v>
      </c>
      <c r="V52" t="n">
        <v>0</v>
      </c>
      <c r="W52" t="n">
        <v>0.3255</v>
      </c>
      <c r="X52" t="n">
        <v>0</v>
      </c>
      <c r="Y52" t="n">
        <v>0.045</v>
      </c>
      <c r="Z52" t="n">
        <v>0</v>
      </c>
      <c r="AA52" t="n">
        <v>0</v>
      </c>
      <c r="AB52" t="n">
        <v>0</v>
      </c>
      <c r="AC52" t="n">
        <v>1</v>
      </c>
      <c r="AE52">
        <f>IF(ISNUMBER(INDEX($A$2:$AC$59,51,MATCH('Tüm Teknoloji'!$E$2,$A$1:$AC$1,0))),INDEX($A$2:$AC$59,51,MATCH('Tüm Teknoloji'!$E$2,$A$1:$AC$1,0)),-1E+9)-ROW()/1E+7</f>
        <v/>
      </c>
    </row>
    <row r="53">
      <c r="A53" t="inlineStr">
        <is>
          <t>GUH</t>
        </is>
      </c>
      <c r="B53" t="inlineStr">
        <is>
          <t>Garanti Portföy Yabancı Teknoloji Hisse Senedi Fonu</t>
        </is>
      </c>
      <c r="C53" t="inlineStr">
        <is>
          <t>Garanti Portföy</t>
        </is>
      </c>
      <c r="D53" t="n">
        <v>0.03</v>
      </c>
      <c r="E53" t="n">
        <v>-2.439953327609368</v>
      </c>
      <c r="F53" t="n">
        <v>-2.921466954957797</v>
      </c>
      <c r="G53" t="n">
        <v>-4.857526858634698</v>
      </c>
      <c r="H53" t="n">
        <v>40.15655639192865</v>
      </c>
      <c r="I53" t="n">
        <v>80.2685639436024</v>
      </c>
      <c r="J53" t="n">
        <v>38095</v>
      </c>
      <c r="K53" t="n">
        <v>38830</v>
      </c>
      <c r="L53" t="n">
        <v>0.01929387058669119</v>
      </c>
      <c r="M53" t="n">
        <v>4920143048.88</v>
      </c>
      <c r="N53" t="n">
        <v>4589429812</v>
      </c>
      <c r="O53" t="n">
        <v>-0.06721618326834666</v>
      </c>
      <c r="P53" t="n">
        <v>2.135695615060224</v>
      </c>
      <c r="Q53" t="inlineStr">
        <is>
          <t>Görüyor</t>
        </is>
      </c>
      <c r="R53" t="n">
        <v>0.9434999999999999</v>
      </c>
      <c r="S53" t="n">
        <v>0</v>
      </c>
      <c r="T53" t="n">
        <v>0</v>
      </c>
      <c r="U53" t="n">
        <v>0.0204</v>
      </c>
      <c r="V53" t="n">
        <v>0.0259</v>
      </c>
      <c r="W53" t="n">
        <v>0</v>
      </c>
      <c r="X53" t="n">
        <v>0.0086</v>
      </c>
      <c r="Y53" t="n">
        <v>0</v>
      </c>
      <c r="Z53" t="n">
        <v>0</v>
      </c>
      <c r="AA53" t="n">
        <v>0</v>
      </c>
      <c r="AB53" t="n">
        <v>0</v>
      </c>
      <c r="AC53" t="n">
        <v>0.9983999999999998</v>
      </c>
      <c r="AE53">
        <f>IF(ISNUMBER(INDEX($A$2:$AC$59,52,MATCH('Tüm Teknoloji'!$E$2,$A$1:$AC$1,0))),INDEX($A$2:$AC$59,52,MATCH('Tüm Teknoloji'!$E$2,$A$1:$AC$1,0)),-1E+9)-ROW()/1E+7</f>
        <v/>
      </c>
    </row>
    <row r="54">
      <c r="A54" t="inlineStr">
        <is>
          <t>MTD</t>
        </is>
      </c>
      <c r="B54" t="inlineStr">
        <is>
          <t>BV Portföy Malzeme Teknolojileri Değişken Fon</t>
        </is>
      </c>
      <c r="C54" t="inlineStr">
        <is>
          <t>BV Portföy</t>
        </is>
      </c>
      <c r="D54" t="n">
        <v>0.025</v>
      </c>
      <c r="E54" t="n">
        <v>-2.470985505401413</v>
      </c>
      <c r="F54" t="n">
        <v>-1.607436441427978</v>
      </c>
      <c r="G54" t="n">
        <v>-8.350958021290722</v>
      </c>
      <c r="H54" t="n">
        <v>11.86341368446471</v>
      </c>
      <c r="I54" t="inlineStr">
        <is>
          <t>-</t>
        </is>
      </c>
      <c r="J54" t="n">
        <v>1865</v>
      </c>
      <c r="K54" t="n">
        <v>1615</v>
      </c>
      <c r="L54" t="n">
        <v>-0.1340482573726541</v>
      </c>
      <c r="M54" t="n">
        <v>175637645.67</v>
      </c>
      <c r="N54" t="n">
        <v>146799506.09</v>
      </c>
      <c r="O54" t="n">
        <v>-0.1641911076067545</v>
      </c>
      <c r="P54" t="n">
        <v>1.383000898482216</v>
      </c>
      <c r="Q54" t="inlineStr">
        <is>
          <t>Görüyor</t>
        </is>
      </c>
      <c r="R54" t="n">
        <v>0.6804000000000001</v>
      </c>
      <c r="S54" t="n">
        <v>0</v>
      </c>
      <c r="T54" t="n">
        <v>0</v>
      </c>
      <c r="U54" t="n">
        <v>0.0001</v>
      </c>
      <c r="V54" t="n">
        <v>0</v>
      </c>
      <c r="W54" t="n">
        <v>0.3014</v>
      </c>
      <c r="X54" t="n">
        <v>0</v>
      </c>
      <c r="Y54" t="n">
        <v>0.0181</v>
      </c>
      <c r="Z54" t="n">
        <v>0</v>
      </c>
      <c r="AA54" t="n">
        <v>0</v>
      </c>
      <c r="AB54" t="n">
        <v>0</v>
      </c>
      <c r="AC54" t="n">
        <v>1</v>
      </c>
      <c r="AE54">
        <f>IF(ISNUMBER(INDEX($A$2:$AC$59,53,MATCH('Tüm Teknoloji'!$E$2,$A$1:$AC$1,0))),INDEX($A$2:$AC$59,53,MATCH('Tüm Teknoloji'!$E$2,$A$1:$AC$1,0)),-1E+9)-ROW()/1E+7</f>
        <v/>
      </c>
    </row>
    <row r="55">
      <c r="A55" t="inlineStr">
        <is>
          <t>CPT</t>
        </is>
      </c>
      <c r="B55" t="inlineStr">
        <is>
          <t>Rota Portföy Çip Teknolojileri Değişken Fon</t>
        </is>
      </c>
      <c r="C55" t="inlineStr">
        <is>
          <t>Rota Portföy</t>
        </is>
      </c>
      <c r="D55" t="n">
        <v>0.025</v>
      </c>
      <c r="E55" t="n">
        <v>-2.578078835409814</v>
      </c>
      <c r="F55" t="n">
        <v>-3.338714841347346</v>
      </c>
      <c r="G55" t="n">
        <v>-7.095544659697495</v>
      </c>
      <c r="H55" t="n">
        <v>67.2738180494632</v>
      </c>
      <c r="I55" t="n">
        <v>125.5455044634862</v>
      </c>
      <c r="J55" t="n">
        <v>14696</v>
      </c>
      <c r="K55" t="n">
        <v>15676</v>
      </c>
      <c r="L55" t="n">
        <v>0.06668481219379419</v>
      </c>
      <c r="M55" t="n">
        <v>1439498122.19</v>
      </c>
      <c r="N55" t="n">
        <v>1263744133.98</v>
      </c>
      <c r="O55" t="n">
        <v>-0.1220939336430772</v>
      </c>
      <c r="P55" t="n">
        <v>2.474639771564018</v>
      </c>
      <c r="Q55" t="inlineStr">
        <is>
          <t>Görüyor</t>
        </is>
      </c>
      <c r="R55" t="n">
        <v>0.6285000000000001</v>
      </c>
      <c r="S55" t="n">
        <v>0</v>
      </c>
      <c r="T55" t="n">
        <v>0</v>
      </c>
      <c r="U55" t="n">
        <v>0.0076</v>
      </c>
      <c r="V55" t="n">
        <v>0</v>
      </c>
      <c r="W55" t="n">
        <v>0.2355</v>
      </c>
      <c r="X55" t="n">
        <v>0</v>
      </c>
      <c r="Y55" t="n">
        <v>0.0124</v>
      </c>
      <c r="Z55" t="n">
        <v>0</v>
      </c>
      <c r="AA55" t="n">
        <v>0</v>
      </c>
      <c r="AB55" t="n">
        <v>0</v>
      </c>
      <c r="AC55" t="n">
        <v>0.8840000000000001</v>
      </c>
      <c r="AE55">
        <f>IF(ISNUMBER(INDEX($A$2:$AC$59,54,MATCH('Tüm Teknoloji'!$E$2,$A$1:$AC$1,0))),INDEX($A$2:$AC$59,54,MATCH('Tüm Teknoloji'!$E$2,$A$1:$AC$1,0)),-1E+9)-ROW()/1E+7</f>
        <v/>
      </c>
    </row>
    <row r="56">
      <c r="A56" t="inlineStr">
        <is>
          <t>IJC</t>
        </is>
      </c>
      <c r="B56" t="inlineStr">
        <is>
          <t>İŞ Portföy Yarı İletken Teknolojileri Değişken Fon</t>
        </is>
      </c>
      <c r="C56" t="inlineStr">
        <is>
          <t>İŞ Portföy</t>
        </is>
      </c>
      <c r="D56" t="n">
        <v>0.025</v>
      </c>
      <c r="E56" t="n">
        <v>-3.647699837500085</v>
      </c>
      <c r="F56" t="n">
        <v>-5.945291384935425</v>
      </c>
      <c r="G56" t="n">
        <v>-12.80036075641208</v>
      </c>
      <c r="H56" t="n">
        <v>63.42808521688112</v>
      </c>
      <c r="I56" t="n">
        <v>108.4934245710909</v>
      </c>
      <c r="J56" t="n">
        <v>53532</v>
      </c>
      <c r="K56" t="n">
        <v>51306</v>
      </c>
      <c r="L56" t="n">
        <v>-0.04158260479713072</v>
      </c>
      <c r="M56" t="n">
        <v>8275710774.17</v>
      </c>
      <c r="N56" t="n">
        <v>5810028348.15</v>
      </c>
      <c r="O56" t="n">
        <v>-0.2979420732918608</v>
      </c>
      <c r="P56" t="n">
        <v>2.328724167230152</v>
      </c>
      <c r="Q56" t="inlineStr">
        <is>
          <t>Görüyor</t>
        </is>
      </c>
      <c r="R56" t="n">
        <v>0.6616</v>
      </c>
      <c r="S56" t="n">
        <v>0.0004</v>
      </c>
      <c r="T56" t="n">
        <v>0</v>
      </c>
      <c r="U56" t="n">
        <v>0</v>
      </c>
      <c r="V56" t="n">
        <v>0.0248</v>
      </c>
      <c r="W56" t="n">
        <v>0.3082</v>
      </c>
      <c r="X56" t="n">
        <v>0</v>
      </c>
      <c r="Y56" t="n">
        <v>0.005</v>
      </c>
      <c r="Z56" t="n">
        <v>0</v>
      </c>
      <c r="AA56" t="n">
        <v>0</v>
      </c>
      <c r="AB56" t="n">
        <v>0</v>
      </c>
      <c r="AC56" t="n">
        <v>1</v>
      </c>
      <c r="AE56">
        <f>IF(ISNUMBER(INDEX($A$2:$AC$59,55,MATCH('Tüm Teknoloji'!$E$2,$A$1:$AC$1,0))),INDEX($A$2:$AC$59,55,MATCH('Tüm Teknoloji'!$E$2,$A$1:$AC$1,0)),-1E+9)-ROW()/1E+7</f>
        <v/>
      </c>
    </row>
    <row r="57">
      <c r="A57" t="inlineStr">
        <is>
          <t>YAY</t>
        </is>
      </c>
      <c r="B57" t="inlineStr">
        <is>
          <t>Yapı Kredi Portföy Yabancı Teknoloji Sektörü Hisse Senedi Fonu</t>
        </is>
      </c>
      <c r="C57" t="inlineStr">
        <is>
          <t>Yapı Kredi Portföy</t>
        </is>
      </c>
      <c r="D57" t="n">
        <v>0.032485</v>
      </c>
      <c r="E57" t="n">
        <v>-3.677435189487921</v>
      </c>
      <c r="F57" t="n">
        <v>-5.511913141827307</v>
      </c>
      <c r="G57" t="n">
        <v>-6.443397541888873</v>
      </c>
      <c r="H57" t="n">
        <v>37.26424473759482</v>
      </c>
      <c r="I57" t="n">
        <v>78.61219655804952</v>
      </c>
      <c r="J57" t="n">
        <v>42869</v>
      </c>
      <c r="K57" t="n">
        <v>44088</v>
      </c>
      <c r="L57" t="n">
        <v>0.028435466187688</v>
      </c>
      <c r="M57" t="n">
        <v>13874095801.6</v>
      </c>
      <c r="N57" t="n">
        <v>12976257491.87</v>
      </c>
      <c r="O57" t="n">
        <v>-0.06471328456781</v>
      </c>
      <c r="P57" t="n">
        <v>2.026228904843706</v>
      </c>
      <c r="Q57" t="inlineStr">
        <is>
          <t>Görüyor</t>
        </is>
      </c>
      <c r="R57" t="n">
        <v>0.9677</v>
      </c>
      <c r="S57" t="n">
        <v>0.0104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0.0182</v>
      </c>
      <c r="Z57" t="n">
        <v>0</v>
      </c>
      <c r="AA57" t="n">
        <v>0</v>
      </c>
      <c r="AB57" t="n">
        <v>0</v>
      </c>
      <c r="AC57" t="n">
        <v>0.9963</v>
      </c>
      <c r="AE57">
        <f>IF(ISNUMBER(INDEX($A$2:$AC$59,56,MATCH('Tüm Teknoloji'!$E$2,$A$1:$AC$1,0))),INDEX($A$2:$AC$59,56,MATCH('Tüm Teknoloji'!$E$2,$A$1:$AC$1,0)),-1E+9)-ROW()/1E+7</f>
        <v/>
      </c>
    </row>
    <row r="58">
      <c r="A58" t="inlineStr">
        <is>
          <t>YIT</t>
        </is>
      </c>
      <c r="B58" t="inlineStr">
        <is>
          <t>Garanti Portföy Yarı İletken Teknolojileri Değişken Fon</t>
        </is>
      </c>
      <c r="C58" t="inlineStr">
        <is>
          <t>Garanti Portföy</t>
        </is>
      </c>
      <c r="D58" t="n">
        <v>0.027</v>
      </c>
      <c r="E58" t="n">
        <v>-3.723046719079814</v>
      </c>
      <c r="F58" t="n">
        <v>-5.26925550344346</v>
      </c>
      <c r="G58" t="n">
        <v>-9.717052862126717</v>
      </c>
      <c r="H58" t="n">
        <v>67.36277409307564</v>
      </c>
      <c r="I58" t="n">
        <v>116.5866524752683</v>
      </c>
      <c r="J58" t="n">
        <v>17352</v>
      </c>
      <c r="K58" t="n">
        <v>19130</v>
      </c>
      <c r="L58" t="n">
        <v>0.1024665744582758</v>
      </c>
      <c r="M58" t="n">
        <v>3111610538.85</v>
      </c>
      <c r="N58" t="n">
        <v>2849812942.8</v>
      </c>
      <c r="O58" t="n">
        <v>-0.08413572096550226</v>
      </c>
      <c r="P58" t="n">
        <v>2.737602266243222</v>
      </c>
      <c r="Q58" t="inlineStr">
        <is>
          <t>Görüyor</t>
        </is>
      </c>
      <c r="R58" t="n">
        <v>0.628</v>
      </c>
      <c r="S58" t="n">
        <v>0</v>
      </c>
      <c r="T58" t="n">
        <v>0</v>
      </c>
      <c r="U58" t="n">
        <v>0.05599999999999999</v>
      </c>
      <c r="V58" t="n">
        <v>0.0504</v>
      </c>
      <c r="W58" t="n">
        <v>0.2315</v>
      </c>
      <c r="X58" t="n">
        <v>0.0341</v>
      </c>
      <c r="Y58" t="n">
        <v>0</v>
      </c>
      <c r="Z58" t="n">
        <v>0</v>
      </c>
      <c r="AA58" t="n">
        <v>0</v>
      </c>
      <c r="AB58" t="n">
        <v>0</v>
      </c>
      <c r="AC58" t="n">
        <v>1</v>
      </c>
      <c r="AE58">
        <f>IF(ISNUMBER(INDEX($A$2:$AC$59,57,MATCH('Tüm Teknoloji'!$E$2,$A$1:$AC$1,0))),INDEX($A$2:$AC$59,57,MATCH('Tüm Teknoloji'!$E$2,$A$1:$AC$1,0)),-1E+9)-ROW()/1E+7</f>
        <v/>
      </c>
    </row>
    <row r="59">
      <c r="A59" t="inlineStr">
        <is>
          <t>NTI</t>
        </is>
      </c>
      <c r="B59" t="inlineStr">
        <is>
          <t>Neo Portföy Teknoloji VE İnovasyon Değişken Fon</t>
        </is>
      </c>
      <c r="C59" t="inlineStr">
        <is>
          <t>Neo Portföy</t>
        </is>
      </c>
      <c r="D59" t="n">
        <v>0.0225</v>
      </c>
      <c r="E59" t="n">
        <v>-3.937033478497221</v>
      </c>
      <c r="F59" t="n">
        <v>-5.638159064405023</v>
      </c>
      <c r="G59" t="n">
        <v>-12.5733226049438</v>
      </c>
      <c r="H59" t="n">
        <v>36.90670537365506</v>
      </c>
      <c r="I59" t="n">
        <v>56.64664703722488</v>
      </c>
      <c r="J59" t="n">
        <v>2038</v>
      </c>
      <c r="K59" t="n">
        <v>1986</v>
      </c>
      <c r="L59" t="n">
        <v>-0.02551521099116782</v>
      </c>
      <c r="M59" t="n">
        <v>465948825.81</v>
      </c>
      <c r="N59" t="n">
        <v>401290333.93</v>
      </c>
      <c r="O59" t="n">
        <v>-0.1387673673554138</v>
      </c>
      <c r="P59" t="n">
        <v>2.227795679956198</v>
      </c>
      <c r="Q59" t="inlineStr">
        <is>
          <t>Görüyor</t>
        </is>
      </c>
      <c r="R59" t="n">
        <v>0.7578</v>
      </c>
      <c r="S59" t="n">
        <v>0</v>
      </c>
      <c r="T59" t="n">
        <v>0</v>
      </c>
      <c r="U59" t="n">
        <v>0.0168</v>
      </c>
      <c r="V59" t="n">
        <v>0</v>
      </c>
      <c r="W59" t="n">
        <v>0.0433</v>
      </c>
      <c r="X59" t="n">
        <v>0</v>
      </c>
      <c r="Y59" t="n">
        <v>0.1821</v>
      </c>
      <c r="Z59" t="n">
        <v>0</v>
      </c>
      <c r="AA59" t="n">
        <v>0</v>
      </c>
      <c r="AB59" t="n">
        <v>0</v>
      </c>
      <c r="AC59" t="n">
        <v>1</v>
      </c>
      <c r="AE59">
        <f>IF(ISNUMBER(INDEX($A$2:$AC$59,58,MATCH('Tüm Teknoloji'!$E$2,$A$1:$AC$1,0))),INDEX($A$2:$AC$59,58,MATCH('Tüm Teknoloji'!$E$2,$A$1:$AC$1,0)),-1E+9)-ROW()/1E+7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D61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2" max="2"/>
    <col width="68" customWidth="1" min="3" max="3"/>
    <col width="2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>
      <c r="F1" s="6" t="n">
        <v>46219</v>
      </c>
      <c r="G1" s="6" t="n">
        <v>46213</v>
      </c>
      <c r="H1" s="6" t="n">
        <v>46190</v>
      </c>
      <c r="I1" s="6" t="n">
        <v>46022</v>
      </c>
      <c r="J1" s="6" t="n">
        <v>45855</v>
      </c>
    </row>
    <row r="2">
      <c r="B2" s="3" t="inlineStr">
        <is>
          <t>T-1: 17.07.2026</t>
        </is>
      </c>
      <c r="D2" s="7" t="inlineStr">
        <is>
          <t>Sırala:</t>
        </is>
      </c>
      <c r="E2" s="2" t="inlineStr">
        <is>
          <t>Günlük%</t>
        </is>
      </c>
    </row>
    <row r="3">
      <c r="B3" s="4" t="inlineStr">
        <is>
          <t>Fon Kodu</t>
        </is>
      </c>
      <c r="C3" s="4" t="inlineStr">
        <is>
          <t>Tüm Teknoloji Fonları</t>
        </is>
      </c>
      <c r="D3" s="4" t="inlineStr">
        <is>
          <t>Yönetici</t>
        </is>
      </c>
      <c r="E3" s="4" t="inlineStr">
        <is>
          <t>FYÜ%</t>
        </is>
      </c>
      <c r="F3" s="4" t="inlineStr">
        <is>
          <t>Günlük%</t>
        </is>
      </c>
      <c r="G3" s="4" t="inlineStr">
        <is>
          <t>Haftalık</t>
        </is>
      </c>
      <c r="H3" s="4" t="inlineStr">
        <is>
          <t>Aylık</t>
        </is>
      </c>
      <c r="I3" s="4" t="inlineStr">
        <is>
          <t>Yılbaşına Göre</t>
        </is>
      </c>
      <c r="J3" s="4" t="inlineStr">
        <is>
          <t>Yıllık</t>
        </is>
      </c>
      <c r="K3" s="4" t="inlineStr">
        <is>
          <t>Yatırımcı Sayısı T-30</t>
        </is>
      </c>
      <c r="L3" s="4" t="inlineStr">
        <is>
          <t>Yatırımcı Sayısı T-1</t>
        </is>
      </c>
      <c r="M3" s="4" t="inlineStr">
        <is>
          <t>YS Değişim</t>
        </is>
      </c>
      <c r="N3" s="4" t="inlineStr">
        <is>
          <t>Önceki Ay FTD</t>
        </is>
      </c>
      <c r="O3" s="4" t="inlineStr">
        <is>
          <t>T-1 FTD</t>
        </is>
      </c>
      <c r="P3" s="4" t="inlineStr">
        <is>
          <t>FTD Değişim</t>
        </is>
      </c>
      <c r="Q3" s="4" t="inlineStr">
        <is>
          <t>Standart Sapma (Aylık)</t>
        </is>
      </c>
      <c r="R3" s="4" t="inlineStr">
        <is>
          <t>TEFAS Durumu</t>
        </is>
      </c>
      <c r="S3" s="4" t="inlineStr">
        <is>
          <t>Yabancı Hisse Oranı</t>
        </is>
      </c>
      <c r="T3" s="4" t="inlineStr">
        <is>
          <t>Yabancı Borsa Yatırım Fonları</t>
        </is>
      </c>
      <c r="U3" s="4" t="inlineStr">
        <is>
          <t>Mevduat (TL)</t>
        </is>
      </c>
      <c r="V3" s="4" t="inlineStr">
        <is>
          <t>Vadeli İşlemler Nakit Teminatları</t>
        </is>
      </c>
      <c r="W3" s="4" t="inlineStr">
        <is>
          <t>Ters Repo Oranı</t>
        </is>
      </c>
      <c r="X3" s="4" t="inlineStr">
        <is>
          <t>Hisse Oranı</t>
        </is>
      </c>
      <c r="Y3" s="4" t="inlineStr">
        <is>
          <t>Para Piyasaları Oranı</t>
        </is>
      </c>
      <c r="Z3" s="4" t="inlineStr">
        <is>
          <t>Yatırım Fonları Katılma Payları</t>
        </is>
      </c>
      <c r="AA3" s="4" t="inlineStr">
        <is>
          <t>Özel Tahvil/Bono Oranı</t>
        </is>
      </c>
      <c r="AB3" s="4" t="inlineStr">
        <is>
          <t>Finansman Bonosu Oranı</t>
        </is>
      </c>
      <c r="AC3" s="4" t="inlineStr">
        <is>
          <t>Diğer Oran</t>
        </is>
      </c>
      <c r="AD3" s="4" t="inlineStr">
        <is>
          <t>Toplam</t>
        </is>
      </c>
    </row>
    <row r="4">
      <c r="A4" t="n">
        <v>1</v>
      </c>
      <c r="B4" s="5">
        <f>INDEX('V_Tüm Teknoloji'!A$2:A$59,MATCH(LARGE('V_Tüm Teknoloji'!$AE$2:$AE$59,ROW()-3),'V_Tüm Teknoloji'!$AE$2:$AE$59,0))</f>
        <v/>
      </c>
      <c r="C4" s="5">
        <f>INDEX('V_Tüm Teknoloji'!B$2:B$59,MATCH(LARGE('V_Tüm Teknoloji'!$AE$2:$AE$59,ROW()-3),'V_Tüm Teknoloji'!$AE$2:$AE$59,0))</f>
        <v/>
      </c>
      <c r="D4" s="5">
        <f>INDEX('V_Tüm Teknoloji'!C$2:C$59,MATCH(LARGE('V_Tüm Teknoloji'!$AE$2:$AE$59,ROW()-3),'V_Tüm Teknoloji'!$AE$2:$AE$59,0))</f>
        <v/>
      </c>
      <c r="E4" s="8">
        <f>INDEX('V_Tüm Teknoloji'!D$2:D$59,MATCH(LARGE('V_Tüm Teknoloji'!$AE$2:$AE$59,ROW()-3),'V_Tüm Teknoloji'!$AE$2:$AE$59,0))</f>
        <v/>
      </c>
      <c r="F4" s="9">
        <f>INDEX('V_Tüm Teknoloji'!E$2:E$59,MATCH(LARGE('V_Tüm Teknoloji'!$AE$2:$AE$59,ROW()-3),'V_Tüm Teknoloji'!$AE$2:$AE$59,0))</f>
        <v/>
      </c>
      <c r="G4" s="9">
        <f>INDEX('V_Tüm Teknoloji'!F$2:F$59,MATCH(LARGE('V_Tüm Teknoloji'!$AE$2:$AE$59,ROW()-3),'V_Tüm Teknoloji'!$AE$2:$AE$59,0))</f>
        <v/>
      </c>
      <c r="H4" s="9">
        <f>INDEX('V_Tüm Teknoloji'!G$2:G$59,MATCH(LARGE('V_Tüm Teknoloji'!$AE$2:$AE$59,ROW()-3),'V_Tüm Teknoloji'!$AE$2:$AE$59,0))</f>
        <v/>
      </c>
      <c r="I4" s="9">
        <f>INDEX('V_Tüm Teknoloji'!H$2:H$59,MATCH(LARGE('V_Tüm Teknoloji'!$AE$2:$AE$59,ROW()-3),'V_Tüm Teknoloji'!$AE$2:$AE$59,0))</f>
        <v/>
      </c>
      <c r="J4" s="9">
        <f>INDEX('V_Tüm Teknoloji'!I$2:I$59,MATCH(LARGE('V_Tüm Teknoloji'!$AE$2:$AE$59,ROW()-3),'V_Tüm Teknoloji'!$AE$2:$AE$59,0))</f>
        <v/>
      </c>
      <c r="K4" s="10">
        <f>INDEX('V_Tüm Teknoloji'!J$2:J$59,MATCH(LARGE('V_Tüm Teknoloji'!$AE$2:$AE$59,ROW()-3),'V_Tüm Teknoloji'!$AE$2:$AE$59,0))</f>
        <v/>
      </c>
      <c r="L4" s="10">
        <f>INDEX('V_Tüm Teknoloji'!K$2:K$59,MATCH(LARGE('V_Tüm Teknoloji'!$AE$2:$AE$59,ROW()-3),'V_Tüm Teknoloji'!$AE$2:$AE$59,0))</f>
        <v/>
      </c>
      <c r="M4" s="8">
        <f>INDEX('V_Tüm Teknoloji'!L$2:L$59,MATCH(LARGE('V_Tüm Teknoloji'!$AE$2:$AE$59,ROW()-3),'V_Tüm Teknoloji'!$AE$2:$AE$59,0))</f>
        <v/>
      </c>
      <c r="N4" s="11">
        <f>INDEX('V_Tüm Teknoloji'!M$2:M$59,MATCH(LARGE('V_Tüm Teknoloji'!$AE$2:$AE$59,ROW()-3),'V_Tüm Teknoloji'!$AE$2:$AE$59,0))</f>
        <v/>
      </c>
      <c r="O4" s="11">
        <f>INDEX('V_Tüm Teknoloji'!N$2:N$59,MATCH(LARGE('V_Tüm Teknoloji'!$AE$2:$AE$59,ROW()-3),'V_Tüm Teknoloji'!$AE$2:$AE$59,0))</f>
        <v/>
      </c>
      <c r="P4" s="8">
        <f>INDEX('V_Tüm Teknoloji'!O$2:O$59,MATCH(LARGE('V_Tüm Teknoloji'!$AE$2:$AE$59,ROW()-3),'V_Tüm Teknoloji'!$AE$2:$AE$59,0))</f>
        <v/>
      </c>
      <c r="Q4" s="9">
        <f>INDEX('V_Tüm Teknoloji'!P$2:P$59,MATCH(LARGE('V_Tüm Teknoloji'!$AE$2:$AE$59,ROW()-3),'V_Tüm Teknoloji'!$AE$2:$AE$59,0))</f>
        <v/>
      </c>
      <c r="R4" s="5">
        <f>INDEX('V_Tüm Teknoloji'!Q$2:Q$59,MATCH(LARGE('V_Tüm Teknoloji'!$AE$2:$AE$59,ROW()-3),'V_Tüm Teknoloji'!$AE$2:$AE$59,0))</f>
        <v/>
      </c>
      <c r="S4" s="8">
        <f>INDEX('V_Tüm Teknoloji'!R$2:R$59,MATCH(LARGE('V_Tüm Teknoloji'!$AE$2:$AE$59,ROW()-3),'V_Tüm Teknoloji'!$AE$2:$AE$59,0))</f>
        <v/>
      </c>
      <c r="T4" s="8">
        <f>INDEX('V_Tüm Teknoloji'!S$2:S$59,MATCH(LARGE('V_Tüm Teknoloji'!$AE$2:$AE$59,ROW()-3),'V_Tüm Teknoloji'!$AE$2:$AE$59,0))</f>
        <v/>
      </c>
      <c r="U4" s="8">
        <f>INDEX('V_Tüm Teknoloji'!T$2:T$59,MATCH(LARGE('V_Tüm Teknoloji'!$AE$2:$AE$59,ROW()-3),'V_Tüm Teknoloji'!$AE$2:$AE$59,0))</f>
        <v/>
      </c>
      <c r="V4" s="8">
        <f>INDEX('V_Tüm Teknoloji'!U$2:U$59,MATCH(LARGE('V_Tüm Teknoloji'!$AE$2:$AE$59,ROW()-3),'V_Tüm Teknoloji'!$AE$2:$AE$59,0))</f>
        <v/>
      </c>
      <c r="W4" s="8">
        <f>INDEX('V_Tüm Teknoloji'!V$2:V$59,MATCH(LARGE('V_Tüm Teknoloji'!$AE$2:$AE$59,ROW()-3),'V_Tüm Teknoloji'!$AE$2:$AE$59,0))</f>
        <v/>
      </c>
      <c r="X4" s="8">
        <f>INDEX('V_Tüm Teknoloji'!W$2:W$59,MATCH(LARGE('V_Tüm Teknoloji'!$AE$2:$AE$59,ROW()-3),'V_Tüm Teknoloji'!$AE$2:$AE$59,0))</f>
        <v/>
      </c>
      <c r="Y4" s="8">
        <f>INDEX('V_Tüm Teknoloji'!X$2:X$59,MATCH(LARGE('V_Tüm Teknoloji'!$AE$2:$AE$59,ROW()-3),'V_Tüm Teknoloji'!$AE$2:$AE$59,0))</f>
        <v/>
      </c>
      <c r="Z4" s="8">
        <f>INDEX('V_Tüm Teknoloji'!Y$2:Y$59,MATCH(LARGE('V_Tüm Teknoloji'!$AE$2:$AE$59,ROW()-3),'V_Tüm Teknoloji'!$AE$2:$AE$59,0))</f>
        <v/>
      </c>
      <c r="AA4" s="8">
        <f>INDEX('V_Tüm Teknoloji'!Z$2:Z$59,MATCH(LARGE('V_Tüm Teknoloji'!$AE$2:$AE$59,ROW()-3),'V_Tüm Teknoloji'!$AE$2:$AE$59,0))</f>
        <v/>
      </c>
      <c r="AB4" s="8">
        <f>INDEX('V_Tüm Teknoloji'!AA$2:AA$59,MATCH(LARGE('V_Tüm Teknoloji'!$AE$2:$AE$59,ROW()-3),'V_Tüm Teknoloji'!$AE$2:$AE$59,0))</f>
        <v/>
      </c>
      <c r="AC4" s="8">
        <f>INDEX('V_Tüm Teknoloji'!AB$2:AB$59,MATCH(LARGE('V_Tüm Teknoloji'!$AE$2:$AE$59,ROW()-3),'V_Tüm Teknoloji'!$AE$2:$AE$59,0))</f>
        <v/>
      </c>
      <c r="AD4" s="8">
        <f>INDEX('V_Tüm Teknoloji'!AC$2:AC$59,MATCH(LARGE('V_Tüm Teknoloji'!$AE$2:$AE$59,ROW()-3),'V_Tüm Teknoloji'!$AE$2:$AE$59,0))</f>
        <v/>
      </c>
    </row>
    <row r="5">
      <c r="A5" t="n">
        <v>2</v>
      </c>
      <c r="B5" s="5">
        <f>INDEX('V_Tüm Teknoloji'!A$2:A$59,MATCH(LARGE('V_Tüm Teknoloji'!$AE$2:$AE$59,ROW()-3),'V_Tüm Teknoloji'!$AE$2:$AE$59,0))</f>
        <v/>
      </c>
      <c r="C5" s="5">
        <f>INDEX('V_Tüm Teknoloji'!B$2:B$59,MATCH(LARGE('V_Tüm Teknoloji'!$AE$2:$AE$59,ROW()-3),'V_Tüm Teknoloji'!$AE$2:$AE$59,0))</f>
        <v/>
      </c>
      <c r="D5" s="5">
        <f>INDEX('V_Tüm Teknoloji'!C$2:C$59,MATCH(LARGE('V_Tüm Teknoloji'!$AE$2:$AE$59,ROW()-3),'V_Tüm Teknoloji'!$AE$2:$AE$59,0))</f>
        <v/>
      </c>
      <c r="E5" s="8">
        <f>INDEX('V_Tüm Teknoloji'!D$2:D$59,MATCH(LARGE('V_Tüm Teknoloji'!$AE$2:$AE$59,ROW()-3),'V_Tüm Teknoloji'!$AE$2:$AE$59,0))</f>
        <v/>
      </c>
      <c r="F5" s="9">
        <f>INDEX('V_Tüm Teknoloji'!E$2:E$59,MATCH(LARGE('V_Tüm Teknoloji'!$AE$2:$AE$59,ROW()-3),'V_Tüm Teknoloji'!$AE$2:$AE$59,0))</f>
        <v/>
      </c>
      <c r="G5" s="9">
        <f>INDEX('V_Tüm Teknoloji'!F$2:F$59,MATCH(LARGE('V_Tüm Teknoloji'!$AE$2:$AE$59,ROW()-3),'V_Tüm Teknoloji'!$AE$2:$AE$59,0))</f>
        <v/>
      </c>
      <c r="H5" s="9">
        <f>INDEX('V_Tüm Teknoloji'!G$2:G$59,MATCH(LARGE('V_Tüm Teknoloji'!$AE$2:$AE$59,ROW()-3),'V_Tüm Teknoloji'!$AE$2:$AE$59,0))</f>
        <v/>
      </c>
      <c r="I5" s="9">
        <f>INDEX('V_Tüm Teknoloji'!H$2:H$59,MATCH(LARGE('V_Tüm Teknoloji'!$AE$2:$AE$59,ROW()-3),'V_Tüm Teknoloji'!$AE$2:$AE$59,0))</f>
        <v/>
      </c>
      <c r="J5" s="9">
        <f>INDEX('V_Tüm Teknoloji'!I$2:I$59,MATCH(LARGE('V_Tüm Teknoloji'!$AE$2:$AE$59,ROW()-3),'V_Tüm Teknoloji'!$AE$2:$AE$59,0))</f>
        <v/>
      </c>
      <c r="K5" s="10">
        <f>INDEX('V_Tüm Teknoloji'!J$2:J$59,MATCH(LARGE('V_Tüm Teknoloji'!$AE$2:$AE$59,ROW()-3),'V_Tüm Teknoloji'!$AE$2:$AE$59,0))</f>
        <v/>
      </c>
      <c r="L5" s="10">
        <f>INDEX('V_Tüm Teknoloji'!K$2:K$59,MATCH(LARGE('V_Tüm Teknoloji'!$AE$2:$AE$59,ROW()-3),'V_Tüm Teknoloji'!$AE$2:$AE$59,0))</f>
        <v/>
      </c>
      <c r="M5" s="8">
        <f>INDEX('V_Tüm Teknoloji'!L$2:L$59,MATCH(LARGE('V_Tüm Teknoloji'!$AE$2:$AE$59,ROW()-3),'V_Tüm Teknoloji'!$AE$2:$AE$59,0))</f>
        <v/>
      </c>
      <c r="N5" s="11">
        <f>INDEX('V_Tüm Teknoloji'!M$2:M$59,MATCH(LARGE('V_Tüm Teknoloji'!$AE$2:$AE$59,ROW()-3),'V_Tüm Teknoloji'!$AE$2:$AE$59,0))</f>
        <v/>
      </c>
      <c r="O5" s="11">
        <f>INDEX('V_Tüm Teknoloji'!N$2:N$59,MATCH(LARGE('V_Tüm Teknoloji'!$AE$2:$AE$59,ROW()-3),'V_Tüm Teknoloji'!$AE$2:$AE$59,0))</f>
        <v/>
      </c>
      <c r="P5" s="8">
        <f>INDEX('V_Tüm Teknoloji'!O$2:O$59,MATCH(LARGE('V_Tüm Teknoloji'!$AE$2:$AE$59,ROW()-3),'V_Tüm Teknoloji'!$AE$2:$AE$59,0))</f>
        <v/>
      </c>
      <c r="Q5" s="9">
        <f>INDEX('V_Tüm Teknoloji'!P$2:P$59,MATCH(LARGE('V_Tüm Teknoloji'!$AE$2:$AE$59,ROW()-3),'V_Tüm Teknoloji'!$AE$2:$AE$59,0))</f>
        <v/>
      </c>
      <c r="R5" s="5">
        <f>INDEX('V_Tüm Teknoloji'!Q$2:Q$59,MATCH(LARGE('V_Tüm Teknoloji'!$AE$2:$AE$59,ROW()-3),'V_Tüm Teknoloji'!$AE$2:$AE$59,0))</f>
        <v/>
      </c>
      <c r="S5" s="8">
        <f>INDEX('V_Tüm Teknoloji'!R$2:R$59,MATCH(LARGE('V_Tüm Teknoloji'!$AE$2:$AE$59,ROW()-3),'V_Tüm Teknoloji'!$AE$2:$AE$59,0))</f>
        <v/>
      </c>
      <c r="T5" s="8">
        <f>INDEX('V_Tüm Teknoloji'!S$2:S$59,MATCH(LARGE('V_Tüm Teknoloji'!$AE$2:$AE$59,ROW()-3),'V_Tüm Teknoloji'!$AE$2:$AE$59,0))</f>
        <v/>
      </c>
      <c r="U5" s="8">
        <f>INDEX('V_Tüm Teknoloji'!T$2:T$59,MATCH(LARGE('V_Tüm Teknoloji'!$AE$2:$AE$59,ROW()-3),'V_Tüm Teknoloji'!$AE$2:$AE$59,0))</f>
        <v/>
      </c>
      <c r="V5" s="8">
        <f>INDEX('V_Tüm Teknoloji'!U$2:U$59,MATCH(LARGE('V_Tüm Teknoloji'!$AE$2:$AE$59,ROW()-3),'V_Tüm Teknoloji'!$AE$2:$AE$59,0))</f>
        <v/>
      </c>
      <c r="W5" s="8">
        <f>INDEX('V_Tüm Teknoloji'!V$2:V$59,MATCH(LARGE('V_Tüm Teknoloji'!$AE$2:$AE$59,ROW()-3),'V_Tüm Teknoloji'!$AE$2:$AE$59,0))</f>
        <v/>
      </c>
      <c r="X5" s="8">
        <f>INDEX('V_Tüm Teknoloji'!W$2:W$59,MATCH(LARGE('V_Tüm Teknoloji'!$AE$2:$AE$59,ROW()-3),'V_Tüm Teknoloji'!$AE$2:$AE$59,0))</f>
        <v/>
      </c>
      <c r="Y5" s="8">
        <f>INDEX('V_Tüm Teknoloji'!X$2:X$59,MATCH(LARGE('V_Tüm Teknoloji'!$AE$2:$AE$59,ROW()-3),'V_Tüm Teknoloji'!$AE$2:$AE$59,0))</f>
        <v/>
      </c>
      <c r="Z5" s="8">
        <f>INDEX('V_Tüm Teknoloji'!Y$2:Y$59,MATCH(LARGE('V_Tüm Teknoloji'!$AE$2:$AE$59,ROW()-3),'V_Tüm Teknoloji'!$AE$2:$AE$59,0))</f>
        <v/>
      </c>
      <c r="AA5" s="8">
        <f>INDEX('V_Tüm Teknoloji'!Z$2:Z$59,MATCH(LARGE('V_Tüm Teknoloji'!$AE$2:$AE$59,ROW()-3),'V_Tüm Teknoloji'!$AE$2:$AE$59,0))</f>
        <v/>
      </c>
      <c r="AB5" s="8">
        <f>INDEX('V_Tüm Teknoloji'!AA$2:AA$59,MATCH(LARGE('V_Tüm Teknoloji'!$AE$2:$AE$59,ROW()-3),'V_Tüm Teknoloji'!$AE$2:$AE$59,0))</f>
        <v/>
      </c>
      <c r="AC5" s="8">
        <f>INDEX('V_Tüm Teknoloji'!AB$2:AB$59,MATCH(LARGE('V_Tüm Teknoloji'!$AE$2:$AE$59,ROW()-3),'V_Tüm Teknoloji'!$AE$2:$AE$59,0))</f>
        <v/>
      </c>
      <c r="AD5" s="8">
        <f>INDEX('V_Tüm Teknoloji'!AC$2:AC$59,MATCH(LARGE('V_Tüm Teknoloji'!$AE$2:$AE$59,ROW()-3),'V_Tüm Teknoloji'!$AE$2:$AE$59,0))</f>
        <v/>
      </c>
    </row>
    <row r="6">
      <c r="A6" t="n">
        <v>3</v>
      </c>
      <c r="B6" s="5">
        <f>INDEX('V_Tüm Teknoloji'!A$2:A$59,MATCH(LARGE('V_Tüm Teknoloji'!$AE$2:$AE$59,ROW()-3),'V_Tüm Teknoloji'!$AE$2:$AE$59,0))</f>
        <v/>
      </c>
      <c r="C6" s="5">
        <f>INDEX('V_Tüm Teknoloji'!B$2:B$59,MATCH(LARGE('V_Tüm Teknoloji'!$AE$2:$AE$59,ROW()-3),'V_Tüm Teknoloji'!$AE$2:$AE$59,0))</f>
        <v/>
      </c>
      <c r="D6" s="5">
        <f>INDEX('V_Tüm Teknoloji'!C$2:C$59,MATCH(LARGE('V_Tüm Teknoloji'!$AE$2:$AE$59,ROW()-3),'V_Tüm Teknoloji'!$AE$2:$AE$59,0))</f>
        <v/>
      </c>
      <c r="E6" s="8">
        <f>INDEX('V_Tüm Teknoloji'!D$2:D$59,MATCH(LARGE('V_Tüm Teknoloji'!$AE$2:$AE$59,ROW()-3),'V_Tüm Teknoloji'!$AE$2:$AE$59,0))</f>
        <v/>
      </c>
      <c r="F6" s="9">
        <f>INDEX('V_Tüm Teknoloji'!E$2:E$59,MATCH(LARGE('V_Tüm Teknoloji'!$AE$2:$AE$59,ROW()-3),'V_Tüm Teknoloji'!$AE$2:$AE$59,0))</f>
        <v/>
      </c>
      <c r="G6" s="9">
        <f>INDEX('V_Tüm Teknoloji'!F$2:F$59,MATCH(LARGE('V_Tüm Teknoloji'!$AE$2:$AE$59,ROW()-3),'V_Tüm Teknoloji'!$AE$2:$AE$59,0))</f>
        <v/>
      </c>
      <c r="H6" s="9">
        <f>INDEX('V_Tüm Teknoloji'!G$2:G$59,MATCH(LARGE('V_Tüm Teknoloji'!$AE$2:$AE$59,ROW()-3),'V_Tüm Teknoloji'!$AE$2:$AE$59,0))</f>
        <v/>
      </c>
      <c r="I6" s="9">
        <f>INDEX('V_Tüm Teknoloji'!H$2:H$59,MATCH(LARGE('V_Tüm Teknoloji'!$AE$2:$AE$59,ROW()-3),'V_Tüm Teknoloji'!$AE$2:$AE$59,0))</f>
        <v/>
      </c>
      <c r="J6" s="9">
        <f>INDEX('V_Tüm Teknoloji'!I$2:I$59,MATCH(LARGE('V_Tüm Teknoloji'!$AE$2:$AE$59,ROW()-3),'V_Tüm Teknoloji'!$AE$2:$AE$59,0))</f>
        <v/>
      </c>
      <c r="K6" s="10">
        <f>INDEX('V_Tüm Teknoloji'!J$2:J$59,MATCH(LARGE('V_Tüm Teknoloji'!$AE$2:$AE$59,ROW()-3),'V_Tüm Teknoloji'!$AE$2:$AE$59,0))</f>
        <v/>
      </c>
      <c r="L6" s="10">
        <f>INDEX('V_Tüm Teknoloji'!K$2:K$59,MATCH(LARGE('V_Tüm Teknoloji'!$AE$2:$AE$59,ROW()-3),'V_Tüm Teknoloji'!$AE$2:$AE$59,0))</f>
        <v/>
      </c>
      <c r="M6" s="8">
        <f>INDEX('V_Tüm Teknoloji'!L$2:L$59,MATCH(LARGE('V_Tüm Teknoloji'!$AE$2:$AE$59,ROW()-3),'V_Tüm Teknoloji'!$AE$2:$AE$59,0))</f>
        <v/>
      </c>
      <c r="N6" s="11">
        <f>INDEX('V_Tüm Teknoloji'!M$2:M$59,MATCH(LARGE('V_Tüm Teknoloji'!$AE$2:$AE$59,ROW()-3),'V_Tüm Teknoloji'!$AE$2:$AE$59,0))</f>
        <v/>
      </c>
      <c r="O6" s="11">
        <f>INDEX('V_Tüm Teknoloji'!N$2:N$59,MATCH(LARGE('V_Tüm Teknoloji'!$AE$2:$AE$59,ROW()-3),'V_Tüm Teknoloji'!$AE$2:$AE$59,0))</f>
        <v/>
      </c>
      <c r="P6" s="8">
        <f>INDEX('V_Tüm Teknoloji'!O$2:O$59,MATCH(LARGE('V_Tüm Teknoloji'!$AE$2:$AE$59,ROW()-3),'V_Tüm Teknoloji'!$AE$2:$AE$59,0))</f>
        <v/>
      </c>
      <c r="Q6" s="9">
        <f>INDEX('V_Tüm Teknoloji'!P$2:P$59,MATCH(LARGE('V_Tüm Teknoloji'!$AE$2:$AE$59,ROW()-3),'V_Tüm Teknoloji'!$AE$2:$AE$59,0))</f>
        <v/>
      </c>
      <c r="R6" s="5">
        <f>INDEX('V_Tüm Teknoloji'!Q$2:Q$59,MATCH(LARGE('V_Tüm Teknoloji'!$AE$2:$AE$59,ROW()-3),'V_Tüm Teknoloji'!$AE$2:$AE$59,0))</f>
        <v/>
      </c>
      <c r="S6" s="8">
        <f>INDEX('V_Tüm Teknoloji'!R$2:R$59,MATCH(LARGE('V_Tüm Teknoloji'!$AE$2:$AE$59,ROW()-3),'V_Tüm Teknoloji'!$AE$2:$AE$59,0))</f>
        <v/>
      </c>
      <c r="T6" s="8">
        <f>INDEX('V_Tüm Teknoloji'!S$2:S$59,MATCH(LARGE('V_Tüm Teknoloji'!$AE$2:$AE$59,ROW()-3),'V_Tüm Teknoloji'!$AE$2:$AE$59,0))</f>
        <v/>
      </c>
      <c r="U6" s="8">
        <f>INDEX('V_Tüm Teknoloji'!T$2:T$59,MATCH(LARGE('V_Tüm Teknoloji'!$AE$2:$AE$59,ROW()-3),'V_Tüm Teknoloji'!$AE$2:$AE$59,0))</f>
        <v/>
      </c>
      <c r="V6" s="8">
        <f>INDEX('V_Tüm Teknoloji'!U$2:U$59,MATCH(LARGE('V_Tüm Teknoloji'!$AE$2:$AE$59,ROW()-3),'V_Tüm Teknoloji'!$AE$2:$AE$59,0))</f>
        <v/>
      </c>
      <c r="W6" s="8">
        <f>INDEX('V_Tüm Teknoloji'!V$2:V$59,MATCH(LARGE('V_Tüm Teknoloji'!$AE$2:$AE$59,ROW()-3),'V_Tüm Teknoloji'!$AE$2:$AE$59,0))</f>
        <v/>
      </c>
      <c r="X6" s="8">
        <f>INDEX('V_Tüm Teknoloji'!W$2:W$59,MATCH(LARGE('V_Tüm Teknoloji'!$AE$2:$AE$59,ROW()-3),'V_Tüm Teknoloji'!$AE$2:$AE$59,0))</f>
        <v/>
      </c>
      <c r="Y6" s="8">
        <f>INDEX('V_Tüm Teknoloji'!X$2:X$59,MATCH(LARGE('V_Tüm Teknoloji'!$AE$2:$AE$59,ROW()-3),'V_Tüm Teknoloji'!$AE$2:$AE$59,0))</f>
        <v/>
      </c>
      <c r="Z6" s="8">
        <f>INDEX('V_Tüm Teknoloji'!Y$2:Y$59,MATCH(LARGE('V_Tüm Teknoloji'!$AE$2:$AE$59,ROW()-3),'V_Tüm Teknoloji'!$AE$2:$AE$59,0))</f>
        <v/>
      </c>
      <c r="AA6" s="8">
        <f>INDEX('V_Tüm Teknoloji'!Z$2:Z$59,MATCH(LARGE('V_Tüm Teknoloji'!$AE$2:$AE$59,ROW()-3),'V_Tüm Teknoloji'!$AE$2:$AE$59,0))</f>
        <v/>
      </c>
      <c r="AB6" s="8">
        <f>INDEX('V_Tüm Teknoloji'!AA$2:AA$59,MATCH(LARGE('V_Tüm Teknoloji'!$AE$2:$AE$59,ROW()-3),'V_Tüm Teknoloji'!$AE$2:$AE$59,0))</f>
        <v/>
      </c>
      <c r="AC6" s="8">
        <f>INDEX('V_Tüm Teknoloji'!AB$2:AB$59,MATCH(LARGE('V_Tüm Teknoloji'!$AE$2:$AE$59,ROW()-3),'V_Tüm Teknoloji'!$AE$2:$AE$59,0))</f>
        <v/>
      </c>
      <c r="AD6" s="8">
        <f>INDEX('V_Tüm Teknoloji'!AC$2:AC$59,MATCH(LARGE('V_Tüm Teknoloji'!$AE$2:$AE$59,ROW()-3),'V_Tüm Teknoloji'!$AE$2:$AE$59,0))</f>
        <v/>
      </c>
    </row>
    <row r="7">
      <c r="A7" t="n">
        <v>4</v>
      </c>
      <c r="B7" s="5">
        <f>INDEX('V_Tüm Teknoloji'!A$2:A$59,MATCH(LARGE('V_Tüm Teknoloji'!$AE$2:$AE$59,ROW()-3),'V_Tüm Teknoloji'!$AE$2:$AE$59,0))</f>
        <v/>
      </c>
      <c r="C7" s="5">
        <f>INDEX('V_Tüm Teknoloji'!B$2:B$59,MATCH(LARGE('V_Tüm Teknoloji'!$AE$2:$AE$59,ROW()-3),'V_Tüm Teknoloji'!$AE$2:$AE$59,0))</f>
        <v/>
      </c>
      <c r="D7" s="5">
        <f>INDEX('V_Tüm Teknoloji'!C$2:C$59,MATCH(LARGE('V_Tüm Teknoloji'!$AE$2:$AE$59,ROW()-3),'V_Tüm Teknoloji'!$AE$2:$AE$59,0))</f>
        <v/>
      </c>
      <c r="E7" s="8">
        <f>INDEX('V_Tüm Teknoloji'!D$2:D$59,MATCH(LARGE('V_Tüm Teknoloji'!$AE$2:$AE$59,ROW()-3),'V_Tüm Teknoloji'!$AE$2:$AE$59,0))</f>
        <v/>
      </c>
      <c r="F7" s="9">
        <f>INDEX('V_Tüm Teknoloji'!E$2:E$59,MATCH(LARGE('V_Tüm Teknoloji'!$AE$2:$AE$59,ROW()-3),'V_Tüm Teknoloji'!$AE$2:$AE$59,0))</f>
        <v/>
      </c>
      <c r="G7" s="9">
        <f>INDEX('V_Tüm Teknoloji'!F$2:F$59,MATCH(LARGE('V_Tüm Teknoloji'!$AE$2:$AE$59,ROW()-3),'V_Tüm Teknoloji'!$AE$2:$AE$59,0))</f>
        <v/>
      </c>
      <c r="H7" s="9">
        <f>INDEX('V_Tüm Teknoloji'!G$2:G$59,MATCH(LARGE('V_Tüm Teknoloji'!$AE$2:$AE$59,ROW()-3),'V_Tüm Teknoloji'!$AE$2:$AE$59,0))</f>
        <v/>
      </c>
      <c r="I7" s="9">
        <f>INDEX('V_Tüm Teknoloji'!H$2:H$59,MATCH(LARGE('V_Tüm Teknoloji'!$AE$2:$AE$59,ROW()-3),'V_Tüm Teknoloji'!$AE$2:$AE$59,0))</f>
        <v/>
      </c>
      <c r="J7" s="9">
        <f>INDEX('V_Tüm Teknoloji'!I$2:I$59,MATCH(LARGE('V_Tüm Teknoloji'!$AE$2:$AE$59,ROW()-3),'V_Tüm Teknoloji'!$AE$2:$AE$59,0))</f>
        <v/>
      </c>
      <c r="K7" s="10">
        <f>INDEX('V_Tüm Teknoloji'!J$2:J$59,MATCH(LARGE('V_Tüm Teknoloji'!$AE$2:$AE$59,ROW()-3),'V_Tüm Teknoloji'!$AE$2:$AE$59,0))</f>
        <v/>
      </c>
      <c r="L7" s="10">
        <f>INDEX('V_Tüm Teknoloji'!K$2:K$59,MATCH(LARGE('V_Tüm Teknoloji'!$AE$2:$AE$59,ROW()-3),'V_Tüm Teknoloji'!$AE$2:$AE$59,0))</f>
        <v/>
      </c>
      <c r="M7" s="8">
        <f>INDEX('V_Tüm Teknoloji'!L$2:L$59,MATCH(LARGE('V_Tüm Teknoloji'!$AE$2:$AE$59,ROW()-3),'V_Tüm Teknoloji'!$AE$2:$AE$59,0))</f>
        <v/>
      </c>
      <c r="N7" s="11">
        <f>INDEX('V_Tüm Teknoloji'!M$2:M$59,MATCH(LARGE('V_Tüm Teknoloji'!$AE$2:$AE$59,ROW()-3),'V_Tüm Teknoloji'!$AE$2:$AE$59,0))</f>
        <v/>
      </c>
      <c r="O7" s="11">
        <f>INDEX('V_Tüm Teknoloji'!N$2:N$59,MATCH(LARGE('V_Tüm Teknoloji'!$AE$2:$AE$59,ROW()-3),'V_Tüm Teknoloji'!$AE$2:$AE$59,0))</f>
        <v/>
      </c>
      <c r="P7" s="8">
        <f>INDEX('V_Tüm Teknoloji'!O$2:O$59,MATCH(LARGE('V_Tüm Teknoloji'!$AE$2:$AE$59,ROW()-3),'V_Tüm Teknoloji'!$AE$2:$AE$59,0))</f>
        <v/>
      </c>
      <c r="Q7" s="9">
        <f>INDEX('V_Tüm Teknoloji'!P$2:P$59,MATCH(LARGE('V_Tüm Teknoloji'!$AE$2:$AE$59,ROW()-3),'V_Tüm Teknoloji'!$AE$2:$AE$59,0))</f>
        <v/>
      </c>
      <c r="R7" s="5">
        <f>INDEX('V_Tüm Teknoloji'!Q$2:Q$59,MATCH(LARGE('V_Tüm Teknoloji'!$AE$2:$AE$59,ROW()-3),'V_Tüm Teknoloji'!$AE$2:$AE$59,0))</f>
        <v/>
      </c>
      <c r="S7" s="8">
        <f>INDEX('V_Tüm Teknoloji'!R$2:R$59,MATCH(LARGE('V_Tüm Teknoloji'!$AE$2:$AE$59,ROW()-3),'V_Tüm Teknoloji'!$AE$2:$AE$59,0))</f>
        <v/>
      </c>
      <c r="T7" s="8">
        <f>INDEX('V_Tüm Teknoloji'!S$2:S$59,MATCH(LARGE('V_Tüm Teknoloji'!$AE$2:$AE$59,ROW()-3),'V_Tüm Teknoloji'!$AE$2:$AE$59,0))</f>
        <v/>
      </c>
      <c r="U7" s="8">
        <f>INDEX('V_Tüm Teknoloji'!T$2:T$59,MATCH(LARGE('V_Tüm Teknoloji'!$AE$2:$AE$59,ROW()-3),'V_Tüm Teknoloji'!$AE$2:$AE$59,0))</f>
        <v/>
      </c>
      <c r="V7" s="8">
        <f>INDEX('V_Tüm Teknoloji'!U$2:U$59,MATCH(LARGE('V_Tüm Teknoloji'!$AE$2:$AE$59,ROW()-3),'V_Tüm Teknoloji'!$AE$2:$AE$59,0))</f>
        <v/>
      </c>
      <c r="W7" s="8">
        <f>INDEX('V_Tüm Teknoloji'!V$2:V$59,MATCH(LARGE('V_Tüm Teknoloji'!$AE$2:$AE$59,ROW()-3),'V_Tüm Teknoloji'!$AE$2:$AE$59,0))</f>
        <v/>
      </c>
      <c r="X7" s="8">
        <f>INDEX('V_Tüm Teknoloji'!W$2:W$59,MATCH(LARGE('V_Tüm Teknoloji'!$AE$2:$AE$59,ROW()-3),'V_Tüm Teknoloji'!$AE$2:$AE$59,0))</f>
        <v/>
      </c>
      <c r="Y7" s="8">
        <f>INDEX('V_Tüm Teknoloji'!X$2:X$59,MATCH(LARGE('V_Tüm Teknoloji'!$AE$2:$AE$59,ROW()-3),'V_Tüm Teknoloji'!$AE$2:$AE$59,0))</f>
        <v/>
      </c>
      <c r="Z7" s="8">
        <f>INDEX('V_Tüm Teknoloji'!Y$2:Y$59,MATCH(LARGE('V_Tüm Teknoloji'!$AE$2:$AE$59,ROW()-3),'V_Tüm Teknoloji'!$AE$2:$AE$59,0))</f>
        <v/>
      </c>
      <c r="AA7" s="8">
        <f>INDEX('V_Tüm Teknoloji'!Z$2:Z$59,MATCH(LARGE('V_Tüm Teknoloji'!$AE$2:$AE$59,ROW()-3),'V_Tüm Teknoloji'!$AE$2:$AE$59,0))</f>
        <v/>
      </c>
      <c r="AB7" s="8">
        <f>INDEX('V_Tüm Teknoloji'!AA$2:AA$59,MATCH(LARGE('V_Tüm Teknoloji'!$AE$2:$AE$59,ROW()-3),'V_Tüm Teknoloji'!$AE$2:$AE$59,0))</f>
        <v/>
      </c>
      <c r="AC7" s="8">
        <f>INDEX('V_Tüm Teknoloji'!AB$2:AB$59,MATCH(LARGE('V_Tüm Teknoloji'!$AE$2:$AE$59,ROW()-3),'V_Tüm Teknoloji'!$AE$2:$AE$59,0))</f>
        <v/>
      </c>
      <c r="AD7" s="8">
        <f>INDEX('V_Tüm Teknoloji'!AC$2:AC$59,MATCH(LARGE('V_Tüm Teknoloji'!$AE$2:$AE$59,ROW()-3),'V_Tüm Teknoloji'!$AE$2:$AE$59,0))</f>
        <v/>
      </c>
    </row>
    <row r="8">
      <c r="A8" t="n">
        <v>5</v>
      </c>
      <c r="B8" s="5">
        <f>INDEX('V_Tüm Teknoloji'!A$2:A$59,MATCH(LARGE('V_Tüm Teknoloji'!$AE$2:$AE$59,ROW()-3),'V_Tüm Teknoloji'!$AE$2:$AE$59,0))</f>
        <v/>
      </c>
      <c r="C8" s="5">
        <f>INDEX('V_Tüm Teknoloji'!B$2:B$59,MATCH(LARGE('V_Tüm Teknoloji'!$AE$2:$AE$59,ROW()-3),'V_Tüm Teknoloji'!$AE$2:$AE$59,0))</f>
        <v/>
      </c>
      <c r="D8" s="5">
        <f>INDEX('V_Tüm Teknoloji'!C$2:C$59,MATCH(LARGE('V_Tüm Teknoloji'!$AE$2:$AE$59,ROW()-3),'V_Tüm Teknoloji'!$AE$2:$AE$59,0))</f>
        <v/>
      </c>
      <c r="E8" s="8">
        <f>INDEX('V_Tüm Teknoloji'!D$2:D$59,MATCH(LARGE('V_Tüm Teknoloji'!$AE$2:$AE$59,ROW()-3),'V_Tüm Teknoloji'!$AE$2:$AE$59,0))</f>
        <v/>
      </c>
      <c r="F8" s="9">
        <f>INDEX('V_Tüm Teknoloji'!E$2:E$59,MATCH(LARGE('V_Tüm Teknoloji'!$AE$2:$AE$59,ROW()-3),'V_Tüm Teknoloji'!$AE$2:$AE$59,0))</f>
        <v/>
      </c>
      <c r="G8" s="9">
        <f>INDEX('V_Tüm Teknoloji'!F$2:F$59,MATCH(LARGE('V_Tüm Teknoloji'!$AE$2:$AE$59,ROW()-3),'V_Tüm Teknoloji'!$AE$2:$AE$59,0))</f>
        <v/>
      </c>
      <c r="H8" s="9">
        <f>INDEX('V_Tüm Teknoloji'!G$2:G$59,MATCH(LARGE('V_Tüm Teknoloji'!$AE$2:$AE$59,ROW()-3),'V_Tüm Teknoloji'!$AE$2:$AE$59,0))</f>
        <v/>
      </c>
      <c r="I8" s="9">
        <f>INDEX('V_Tüm Teknoloji'!H$2:H$59,MATCH(LARGE('V_Tüm Teknoloji'!$AE$2:$AE$59,ROW()-3),'V_Tüm Teknoloji'!$AE$2:$AE$59,0))</f>
        <v/>
      </c>
      <c r="J8" s="9">
        <f>INDEX('V_Tüm Teknoloji'!I$2:I$59,MATCH(LARGE('V_Tüm Teknoloji'!$AE$2:$AE$59,ROW()-3),'V_Tüm Teknoloji'!$AE$2:$AE$59,0))</f>
        <v/>
      </c>
      <c r="K8" s="10">
        <f>INDEX('V_Tüm Teknoloji'!J$2:J$59,MATCH(LARGE('V_Tüm Teknoloji'!$AE$2:$AE$59,ROW()-3),'V_Tüm Teknoloji'!$AE$2:$AE$59,0))</f>
        <v/>
      </c>
      <c r="L8" s="10">
        <f>INDEX('V_Tüm Teknoloji'!K$2:K$59,MATCH(LARGE('V_Tüm Teknoloji'!$AE$2:$AE$59,ROW()-3),'V_Tüm Teknoloji'!$AE$2:$AE$59,0))</f>
        <v/>
      </c>
      <c r="M8" s="8">
        <f>INDEX('V_Tüm Teknoloji'!L$2:L$59,MATCH(LARGE('V_Tüm Teknoloji'!$AE$2:$AE$59,ROW()-3),'V_Tüm Teknoloji'!$AE$2:$AE$59,0))</f>
        <v/>
      </c>
      <c r="N8" s="11">
        <f>INDEX('V_Tüm Teknoloji'!M$2:M$59,MATCH(LARGE('V_Tüm Teknoloji'!$AE$2:$AE$59,ROW()-3),'V_Tüm Teknoloji'!$AE$2:$AE$59,0))</f>
        <v/>
      </c>
      <c r="O8" s="11">
        <f>INDEX('V_Tüm Teknoloji'!N$2:N$59,MATCH(LARGE('V_Tüm Teknoloji'!$AE$2:$AE$59,ROW()-3),'V_Tüm Teknoloji'!$AE$2:$AE$59,0))</f>
        <v/>
      </c>
      <c r="P8" s="8">
        <f>INDEX('V_Tüm Teknoloji'!O$2:O$59,MATCH(LARGE('V_Tüm Teknoloji'!$AE$2:$AE$59,ROW()-3),'V_Tüm Teknoloji'!$AE$2:$AE$59,0))</f>
        <v/>
      </c>
      <c r="Q8" s="9">
        <f>INDEX('V_Tüm Teknoloji'!P$2:P$59,MATCH(LARGE('V_Tüm Teknoloji'!$AE$2:$AE$59,ROW()-3),'V_Tüm Teknoloji'!$AE$2:$AE$59,0))</f>
        <v/>
      </c>
      <c r="R8" s="5">
        <f>INDEX('V_Tüm Teknoloji'!Q$2:Q$59,MATCH(LARGE('V_Tüm Teknoloji'!$AE$2:$AE$59,ROW()-3),'V_Tüm Teknoloji'!$AE$2:$AE$59,0))</f>
        <v/>
      </c>
      <c r="S8" s="8">
        <f>INDEX('V_Tüm Teknoloji'!R$2:R$59,MATCH(LARGE('V_Tüm Teknoloji'!$AE$2:$AE$59,ROW()-3),'V_Tüm Teknoloji'!$AE$2:$AE$59,0))</f>
        <v/>
      </c>
      <c r="T8" s="8">
        <f>INDEX('V_Tüm Teknoloji'!S$2:S$59,MATCH(LARGE('V_Tüm Teknoloji'!$AE$2:$AE$59,ROW()-3),'V_Tüm Teknoloji'!$AE$2:$AE$59,0))</f>
        <v/>
      </c>
      <c r="U8" s="8">
        <f>INDEX('V_Tüm Teknoloji'!T$2:T$59,MATCH(LARGE('V_Tüm Teknoloji'!$AE$2:$AE$59,ROW()-3),'V_Tüm Teknoloji'!$AE$2:$AE$59,0))</f>
        <v/>
      </c>
      <c r="V8" s="8">
        <f>INDEX('V_Tüm Teknoloji'!U$2:U$59,MATCH(LARGE('V_Tüm Teknoloji'!$AE$2:$AE$59,ROW()-3),'V_Tüm Teknoloji'!$AE$2:$AE$59,0))</f>
        <v/>
      </c>
      <c r="W8" s="8">
        <f>INDEX('V_Tüm Teknoloji'!V$2:V$59,MATCH(LARGE('V_Tüm Teknoloji'!$AE$2:$AE$59,ROW()-3),'V_Tüm Teknoloji'!$AE$2:$AE$59,0))</f>
        <v/>
      </c>
      <c r="X8" s="8">
        <f>INDEX('V_Tüm Teknoloji'!W$2:W$59,MATCH(LARGE('V_Tüm Teknoloji'!$AE$2:$AE$59,ROW()-3),'V_Tüm Teknoloji'!$AE$2:$AE$59,0))</f>
        <v/>
      </c>
      <c r="Y8" s="8">
        <f>INDEX('V_Tüm Teknoloji'!X$2:X$59,MATCH(LARGE('V_Tüm Teknoloji'!$AE$2:$AE$59,ROW()-3),'V_Tüm Teknoloji'!$AE$2:$AE$59,0))</f>
        <v/>
      </c>
      <c r="Z8" s="8">
        <f>INDEX('V_Tüm Teknoloji'!Y$2:Y$59,MATCH(LARGE('V_Tüm Teknoloji'!$AE$2:$AE$59,ROW()-3),'V_Tüm Teknoloji'!$AE$2:$AE$59,0))</f>
        <v/>
      </c>
      <c r="AA8" s="8">
        <f>INDEX('V_Tüm Teknoloji'!Z$2:Z$59,MATCH(LARGE('V_Tüm Teknoloji'!$AE$2:$AE$59,ROW()-3),'V_Tüm Teknoloji'!$AE$2:$AE$59,0))</f>
        <v/>
      </c>
      <c r="AB8" s="8">
        <f>INDEX('V_Tüm Teknoloji'!AA$2:AA$59,MATCH(LARGE('V_Tüm Teknoloji'!$AE$2:$AE$59,ROW()-3),'V_Tüm Teknoloji'!$AE$2:$AE$59,0))</f>
        <v/>
      </c>
      <c r="AC8" s="8">
        <f>INDEX('V_Tüm Teknoloji'!AB$2:AB$59,MATCH(LARGE('V_Tüm Teknoloji'!$AE$2:$AE$59,ROW()-3),'V_Tüm Teknoloji'!$AE$2:$AE$59,0))</f>
        <v/>
      </c>
      <c r="AD8" s="8">
        <f>INDEX('V_Tüm Teknoloji'!AC$2:AC$59,MATCH(LARGE('V_Tüm Teknoloji'!$AE$2:$AE$59,ROW()-3),'V_Tüm Teknoloji'!$AE$2:$AE$59,0))</f>
        <v/>
      </c>
    </row>
    <row r="9">
      <c r="A9" t="n">
        <v>6</v>
      </c>
      <c r="B9" s="5">
        <f>INDEX('V_Tüm Teknoloji'!A$2:A$59,MATCH(LARGE('V_Tüm Teknoloji'!$AE$2:$AE$59,ROW()-3),'V_Tüm Teknoloji'!$AE$2:$AE$59,0))</f>
        <v/>
      </c>
      <c r="C9" s="5">
        <f>INDEX('V_Tüm Teknoloji'!B$2:B$59,MATCH(LARGE('V_Tüm Teknoloji'!$AE$2:$AE$59,ROW()-3),'V_Tüm Teknoloji'!$AE$2:$AE$59,0))</f>
        <v/>
      </c>
      <c r="D9" s="5">
        <f>INDEX('V_Tüm Teknoloji'!C$2:C$59,MATCH(LARGE('V_Tüm Teknoloji'!$AE$2:$AE$59,ROW()-3),'V_Tüm Teknoloji'!$AE$2:$AE$59,0))</f>
        <v/>
      </c>
      <c r="E9" s="8">
        <f>INDEX('V_Tüm Teknoloji'!D$2:D$59,MATCH(LARGE('V_Tüm Teknoloji'!$AE$2:$AE$59,ROW()-3),'V_Tüm Teknoloji'!$AE$2:$AE$59,0))</f>
        <v/>
      </c>
      <c r="F9" s="9">
        <f>INDEX('V_Tüm Teknoloji'!E$2:E$59,MATCH(LARGE('V_Tüm Teknoloji'!$AE$2:$AE$59,ROW()-3),'V_Tüm Teknoloji'!$AE$2:$AE$59,0))</f>
        <v/>
      </c>
      <c r="G9" s="9">
        <f>INDEX('V_Tüm Teknoloji'!F$2:F$59,MATCH(LARGE('V_Tüm Teknoloji'!$AE$2:$AE$59,ROW()-3),'V_Tüm Teknoloji'!$AE$2:$AE$59,0))</f>
        <v/>
      </c>
      <c r="H9" s="9">
        <f>INDEX('V_Tüm Teknoloji'!G$2:G$59,MATCH(LARGE('V_Tüm Teknoloji'!$AE$2:$AE$59,ROW()-3),'V_Tüm Teknoloji'!$AE$2:$AE$59,0))</f>
        <v/>
      </c>
      <c r="I9" s="9">
        <f>INDEX('V_Tüm Teknoloji'!H$2:H$59,MATCH(LARGE('V_Tüm Teknoloji'!$AE$2:$AE$59,ROW()-3),'V_Tüm Teknoloji'!$AE$2:$AE$59,0))</f>
        <v/>
      </c>
      <c r="J9" s="9">
        <f>INDEX('V_Tüm Teknoloji'!I$2:I$59,MATCH(LARGE('V_Tüm Teknoloji'!$AE$2:$AE$59,ROW()-3),'V_Tüm Teknoloji'!$AE$2:$AE$59,0))</f>
        <v/>
      </c>
      <c r="K9" s="10">
        <f>INDEX('V_Tüm Teknoloji'!J$2:J$59,MATCH(LARGE('V_Tüm Teknoloji'!$AE$2:$AE$59,ROW()-3),'V_Tüm Teknoloji'!$AE$2:$AE$59,0))</f>
        <v/>
      </c>
      <c r="L9" s="10">
        <f>INDEX('V_Tüm Teknoloji'!K$2:K$59,MATCH(LARGE('V_Tüm Teknoloji'!$AE$2:$AE$59,ROW()-3),'V_Tüm Teknoloji'!$AE$2:$AE$59,0))</f>
        <v/>
      </c>
      <c r="M9" s="8">
        <f>INDEX('V_Tüm Teknoloji'!L$2:L$59,MATCH(LARGE('V_Tüm Teknoloji'!$AE$2:$AE$59,ROW()-3),'V_Tüm Teknoloji'!$AE$2:$AE$59,0))</f>
        <v/>
      </c>
      <c r="N9" s="11">
        <f>INDEX('V_Tüm Teknoloji'!M$2:M$59,MATCH(LARGE('V_Tüm Teknoloji'!$AE$2:$AE$59,ROW()-3),'V_Tüm Teknoloji'!$AE$2:$AE$59,0))</f>
        <v/>
      </c>
      <c r="O9" s="11">
        <f>INDEX('V_Tüm Teknoloji'!N$2:N$59,MATCH(LARGE('V_Tüm Teknoloji'!$AE$2:$AE$59,ROW()-3),'V_Tüm Teknoloji'!$AE$2:$AE$59,0))</f>
        <v/>
      </c>
      <c r="P9" s="8">
        <f>INDEX('V_Tüm Teknoloji'!O$2:O$59,MATCH(LARGE('V_Tüm Teknoloji'!$AE$2:$AE$59,ROW()-3),'V_Tüm Teknoloji'!$AE$2:$AE$59,0))</f>
        <v/>
      </c>
      <c r="Q9" s="9">
        <f>INDEX('V_Tüm Teknoloji'!P$2:P$59,MATCH(LARGE('V_Tüm Teknoloji'!$AE$2:$AE$59,ROW()-3),'V_Tüm Teknoloji'!$AE$2:$AE$59,0))</f>
        <v/>
      </c>
      <c r="R9" s="5">
        <f>INDEX('V_Tüm Teknoloji'!Q$2:Q$59,MATCH(LARGE('V_Tüm Teknoloji'!$AE$2:$AE$59,ROW()-3),'V_Tüm Teknoloji'!$AE$2:$AE$59,0))</f>
        <v/>
      </c>
      <c r="S9" s="8">
        <f>INDEX('V_Tüm Teknoloji'!R$2:R$59,MATCH(LARGE('V_Tüm Teknoloji'!$AE$2:$AE$59,ROW()-3),'V_Tüm Teknoloji'!$AE$2:$AE$59,0))</f>
        <v/>
      </c>
      <c r="T9" s="8">
        <f>INDEX('V_Tüm Teknoloji'!S$2:S$59,MATCH(LARGE('V_Tüm Teknoloji'!$AE$2:$AE$59,ROW()-3),'V_Tüm Teknoloji'!$AE$2:$AE$59,0))</f>
        <v/>
      </c>
      <c r="U9" s="8">
        <f>INDEX('V_Tüm Teknoloji'!T$2:T$59,MATCH(LARGE('V_Tüm Teknoloji'!$AE$2:$AE$59,ROW()-3),'V_Tüm Teknoloji'!$AE$2:$AE$59,0))</f>
        <v/>
      </c>
      <c r="V9" s="8">
        <f>INDEX('V_Tüm Teknoloji'!U$2:U$59,MATCH(LARGE('V_Tüm Teknoloji'!$AE$2:$AE$59,ROW()-3),'V_Tüm Teknoloji'!$AE$2:$AE$59,0))</f>
        <v/>
      </c>
      <c r="W9" s="8">
        <f>INDEX('V_Tüm Teknoloji'!V$2:V$59,MATCH(LARGE('V_Tüm Teknoloji'!$AE$2:$AE$59,ROW()-3),'V_Tüm Teknoloji'!$AE$2:$AE$59,0))</f>
        <v/>
      </c>
      <c r="X9" s="8">
        <f>INDEX('V_Tüm Teknoloji'!W$2:W$59,MATCH(LARGE('V_Tüm Teknoloji'!$AE$2:$AE$59,ROW()-3),'V_Tüm Teknoloji'!$AE$2:$AE$59,0))</f>
        <v/>
      </c>
      <c r="Y9" s="8">
        <f>INDEX('V_Tüm Teknoloji'!X$2:X$59,MATCH(LARGE('V_Tüm Teknoloji'!$AE$2:$AE$59,ROW()-3),'V_Tüm Teknoloji'!$AE$2:$AE$59,0))</f>
        <v/>
      </c>
      <c r="Z9" s="8">
        <f>INDEX('V_Tüm Teknoloji'!Y$2:Y$59,MATCH(LARGE('V_Tüm Teknoloji'!$AE$2:$AE$59,ROW()-3),'V_Tüm Teknoloji'!$AE$2:$AE$59,0))</f>
        <v/>
      </c>
      <c r="AA9" s="8">
        <f>INDEX('V_Tüm Teknoloji'!Z$2:Z$59,MATCH(LARGE('V_Tüm Teknoloji'!$AE$2:$AE$59,ROW()-3),'V_Tüm Teknoloji'!$AE$2:$AE$59,0))</f>
        <v/>
      </c>
      <c r="AB9" s="8">
        <f>INDEX('V_Tüm Teknoloji'!AA$2:AA$59,MATCH(LARGE('V_Tüm Teknoloji'!$AE$2:$AE$59,ROW()-3),'V_Tüm Teknoloji'!$AE$2:$AE$59,0))</f>
        <v/>
      </c>
      <c r="AC9" s="8">
        <f>INDEX('V_Tüm Teknoloji'!AB$2:AB$59,MATCH(LARGE('V_Tüm Teknoloji'!$AE$2:$AE$59,ROW()-3),'V_Tüm Teknoloji'!$AE$2:$AE$59,0))</f>
        <v/>
      </c>
      <c r="AD9" s="8">
        <f>INDEX('V_Tüm Teknoloji'!AC$2:AC$59,MATCH(LARGE('V_Tüm Teknoloji'!$AE$2:$AE$59,ROW()-3),'V_Tüm Teknoloji'!$AE$2:$AE$59,0))</f>
        <v/>
      </c>
    </row>
    <row r="10">
      <c r="A10" t="n">
        <v>7</v>
      </c>
      <c r="B10" s="5">
        <f>INDEX('V_Tüm Teknoloji'!A$2:A$59,MATCH(LARGE('V_Tüm Teknoloji'!$AE$2:$AE$59,ROW()-3),'V_Tüm Teknoloji'!$AE$2:$AE$59,0))</f>
        <v/>
      </c>
      <c r="C10" s="5">
        <f>INDEX('V_Tüm Teknoloji'!B$2:B$59,MATCH(LARGE('V_Tüm Teknoloji'!$AE$2:$AE$59,ROW()-3),'V_Tüm Teknoloji'!$AE$2:$AE$59,0))</f>
        <v/>
      </c>
      <c r="D10" s="5">
        <f>INDEX('V_Tüm Teknoloji'!C$2:C$59,MATCH(LARGE('V_Tüm Teknoloji'!$AE$2:$AE$59,ROW()-3),'V_Tüm Teknoloji'!$AE$2:$AE$59,0))</f>
        <v/>
      </c>
      <c r="E10" s="8">
        <f>INDEX('V_Tüm Teknoloji'!D$2:D$59,MATCH(LARGE('V_Tüm Teknoloji'!$AE$2:$AE$59,ROW()-3),'V_Tüm Teknoloji'!$AE$2:$AE$59,0))</f>
        <v/>
      </c>
      <c r="F10" s="9">
        <f>INDEX('V_Tüm Teknoloji'!E$2:E$59,MATCH(LARGE('V_Tüm Teknoloji'!$AE$2:$AE$59,ROW()-3),'V_Tüm Teknoloji'!$AE$2:$AE$59,0))</f>
        <v/>
      </c>
      <c r="G10" s="9">
        <f>INDEX('V_Tüm Teknoloji'!F$2:F$59,MATCH(LARGE('V_Tüm Teknoloji'!$AE$2:$AE$59,ROW()-3),'V_Tüm Teknoloji'!$AE$2:$AE$59,0))</f>
        <v/>
      </c>
      <c r="H10" s="9">
        <f>INDEX('V_Tüm Teknoloji'!G$2:G$59,MATCH(LARGE('V_Tüm Teknoloji'!$AE$2:$AE$59,ROW()-3),'V_Tüm Teknoloji'!$AE$2:$AE$59,0))</f>
        <v/>
      </c>
      <c r="I10" s="9">
        <f>INDEX('V_Tüm Teknoloji'!H$2:H$59,MATCH(LARGE('V_Tüm Teknoloji'!$AE$2:$AE$59,ROW()-3),'V_Tüm Teknoloji'!$AE$2:$AE$59,0))</f>
        <v/>
      </c>
      <c r="J10" s="9">
        <f>INDEX('V_Tüm Teknoloji'!I$2:I$59,MATCH(LARGE('V_Tüm Teknoloji'!$AE$2:$AE$59,ROW()-3),'V_Tüm Teknoloji'!$AE$2:$AE$59,0))</f>
        <v/>
      </c>
      <c r="K10" s="10">
        <f>INDEX('V_Tüm Teknoloji'!J$2:J$59,MATCH(LARGE('V_Tüm Teknoloji'!$AE$2:$AE$59,ROW()-3),'V_Tüm Teknoloji'!$AE$2:$AE$59,0))</f>
        <v/>
      </c>
      <c r="L10" s="10">
        <f>INDEX('V_Tüm Teknoloji'!K$2:K$59,MATCH(LARGE('V_Tüm Teknoloji'!$AE$2:$AE$59,ROW()-3),'V_Tüm Teknoloji'!$AE$2:$AE$59,0))</f>
        <v/>
      </c>
      <c r="M10" s="8">
        <f>INDEX('V_Tüm Teknoloji'!L$2:L$59,MATCH(LARGE('V_Tüm Teknoloji'!$AE$2:$AE$59,ROW()-3),'V_Tüm Teknoloji'!$AE$2:$AE$59,0))</f>
        <v/>
      </c>
      <c r="N10" s="11">
        <f>INDEX('V_Tüm Teknoloji'!M$2:M$59,MATCH(LARGE('V_Tüm Teknoloji'!$AE$2:$AE$59,ROW()-3),'V_Tüm Teknoloji'!$AE$2:$AE$59,0))</f>
        <v/>
      </c>
      <c r="O10" s="11">
        <f>INDEX('V_Tüm Teknoloji'!N$2:N$59,MATCH(LARGE('V_Tüm Teknoloji'!$AE$2:$AE$59,ROW()-3),'V_Tüm Teknoloji'!$AE$2:$AE$59,0))</f>
        <v/>
      </c>
      <c r="P10" s="8">
        <f>INDEX('V_Tüm Teknoloji'!O$2:O$59,MATCH(LARGE('V_Tüm Teknoloji'!$AE$2:$AE$59,ROW()-3),'V_Tüm Teknoloji'!$AE$2:$AE$59,0))</f>
        <v/>
      </c>
      <c r="Q10" s="9">
        <f>INDEX('V_Tüm Teknoloji'!P$2:P$59,MATCH(LARGE('V_Tüm Teknoloji'!$AE$2:$AE$59,ROW()-3),'V_Tüm Teknoloji'!$AE$2:$AE$59,0))</f>
        <v/>
      </c>
      <c r="R10" s="5">
        <f>INDEX('V_Tüm Teknoloji'!Q$2:Q$59,MATCH(LARGE('V_Tüm Teknoloji'!$AE$2:$AE$59,ROW()-3),'V_Tüm Teknoloji'!$AE$2:$AE$59,0))</f>
        <v/>
      </c>
      <c r="S10" s="8">
        <f>INDEX('V_Tüm Teknoloji'!R$2:R$59,MATCH(LARGE('V_Tüm Teknoloji'!$AE$2:$AE$59,ROW()-3),'V_Tüm Teknoloji'!$AE$2:$AE$59,0))</f>
        <v/>
      </c>
      <c r="T10" s="8">
        <f>INDEX('V_Tüm Teknoloji'!S$2:S$59,MATCH(LARGE('V_Tüm Teknoloji'!$AE$2:$AE$59,ROW()-3),'V_Tüm Teknoloji'!$AE$2:$AE$59,0))</f>
        <v/>
      </c>
      <c r="U10" s="8">
        <f>INDEX('V_Tüm Teknoloji'!T$2:T$59,MATCH(LARGE('V_Tüm Teknoloji'!$AE$2:$AE$59,ROW()-3),'V_Tüm Teknoloji'!$AE$2:$AE$59,0))</f>
        <v/>
      </c>
      <c r="V10" s="8">
        <f>INDEX('V_Tüm Teknoloji'!U$2:U$59,MATCH(LARGE('V_Tüm Teknoloji'!$AE$2:$AE$59,ROW()-3),'V_Tüm Teknoloji'!$AE$2:$AE$59,0))</f>
        <v/>
      </c>
      <c r="W10" s="8">
        <f>INDEX('V_Tüm Teknoloji'!V$2:V$59,MATCH(LARGE('V_Tüm Teknoloji'!$AE$2:$AE$59,ROW()-3),'V_Tüm Teknoloji'!$AE$2:$AE$59,0))</f>
        <v/>
      </c>
      <c r="X10" s="8">
        <f>INDEX('V_Tüm Teknoloji'!W$2:W$59,MATCH(LARGE('V_Tüm Teknoloji'!$AE$2:$AE$59,ROW()-3),'V_Tüm Teknoloji'!$AE$2:$AE$59,0))</f>
        <v/>
      </c>
      <c r="Y10" s="8">
        <f>INDEX('V_Tüm Teknoloji'!X$2:X$59,MATCH(LARGE('V_Tüm Teknoloji'!$AE$2:$AE$59,ROW()-3),'V_Tüm Teknoloji'!$AE$2:$AE$59,0))</f>
        <v/>
      </c>
      <c r="Z10" s="8">
        <f>INDEX('V_Tüm Teknoloji'!Y$2:Y$59,MATCH(LARGE('V_Tüm Teknoloji'!$AE$2:$AE$59,ROW()-3),'V_Tüm Teknoloji'!$AE$2:$AE$59,0))</f>
        <v/>
      </c>
      <c r="AA10" s="8">
        <f>INDEX('V_Tüm Teknoloji'!Z$2:Z$59,MATCH(LARGE('V_Tüm Teknoloji'!$AE$2:$AE$59,ROW()-3),'V_Tüm Teknoloji'!$AE$2:$AE$59,0))</f>
        <v/>
      </c>
      <c r="AB10" s="8">
        <f>INDEX('V_Tüm Teknoloji'!AA$2:AA$59,MATCH(LARGE('V_Tüm Teknoloji'!$AE$2:$AE$59,ROW()-3),'V_Tüm Teknoloji'!$AE$2:$AE$59,0))</f>
        <v/>
      </c>
      <c r="AC10" s="8">
        <f>INDEX('V_Tüm Teknoloji'!AB$2:AB$59,MATCH(LARGE('V_Tüm Teknoloji'!$AE$2:$AE$59,ROW()-3),'V_Tüm Teknoloji'!$AE$2:$AE$59,0))</f>
        <v/>
      </c>
      <c r="AD10" s="8">
        <f>INDEX('V_Tüm Teknoloji'!AC$2:AC$59,MATCH(LARGE('V_Tüm Teknoloji'!$AE$2:$AE$59,ROW()-3),'V_Tüm Teknoloji'!$AE$2:$AE$59,0))</f>
        <v/>
      </c>
    </row>
    <row r="11">
      <c r="A11" t="n">
        <v>8</v>
      </c>
      <c r="B11" s="5">
        <f>INDEX('V_Tüm Teknoloji'!A$2:A$59,MATCH(LARGE('V_Tüm Teknoloji'!$AE$2:$AE$59,ROW()-3),'V_Tüm Teknoloji'!$AE$2:$AE$59,0))</f>
        <v/>
      </c>
      <c r="C11" s="5">
        <f>INDEX('V_Tüm Teknoloji'!B$2:B$59,MATCH(LARGE('V_Tüm Teknoloji'!$AE$2:$AE$59,ROW()-3),'V_Tüm Teknoloji'!$AE$2:$AE$59,0))</f>
        <v/>
      </c>
      <c r="D11" s="5">
        <f>INDEX('V_Tüm Teknoloji'!C$2:C$59,MATCH(LARGE('V_Tüm Teknoloji'!$AE$2:$AE$59,ROW()-3),'V_Tüm Teknoloji'!$AE$2:$AE$59,0))</f>
        <v/>
      </c>
      <c r="E11" s="8">
        <f>INDEX('V_Tüm Teknoloji'!D$2:D$59,MATCH(LARGE('V_Tüm Teknoloji'!$AE$2:$AE$59,ROW()-3),'V_Tüm Teknoloji'!$AE$2:$AE$59,0))</f>
        <v/>
      </c>
      <c r="F11" s="9">
        <f>INDEX('V_Tüm Teknoloji'!E$2:E$59,MATCH(LARGE('V_Tüm Teknoloji'!$AE$2:$AE$59,ROW()-3),'V_Tüm Teknoloji'!$AE$2:$AE$59,0))</f>
        <v/>
      </c>
      <c r="G11" s="9">
        <f>INDEX('V_Tüm Teknoloji'!F$2:F$59,MATCH(LARGE('V_Tüm Teknoloji'!$AE$2:$AE$59,ROW()-3),'V_Tüm Teknoloji'!$AE$2:$AE$59,0))</f>
        <v/>
      </c>
      <c r="H11" s="9">
        <f>INDEX('V_Tüm Teknoloji'!G$2:G$59,MATCH(LARGE('V_Tüm Teknoloji'!$AE$2:$AE$59,ROW()-3),'V_Tüm Teknoloji'!$AE$2:$AE$59,0))</f>
        <v/>
      </c>
      <c r="I11" s="9">
        <f>INDEX('V_Tüm Teknoloji'!H$2:H$59,MATCH(LARGE('V_Tüm Teknoloji'!$AE$2:$AE$59,ROW()-3),'V_Tüm Teknoloji'!$AE$2:$AE$59,0))</f>
        <v/>
      </c>
      <c r="J11" s="9">
        <f>INDEX('V_Tüm Teknoloji'!I$2:I$59,MATCH(LARGE('V_Tüm Teknoloji'!$AE$2:$AE$59,ROW()-3),'V_Tüm Teknoloji'!$AE$2:$AE$59,0))</f>
        <v/>
      </c>
      <c r="K11" s="10">
        <f>INDEX('V_Tüm Teknoloji'!J$2:J$59,MATCH(LARGE('V_Tüm Teknoloji'!$AE$2:$AE$59,ROW()-3),'V_Tüm Teknoloji'!$AE$2:$AE$59,0))</f>
        <v/>
      </c>
      <c r="L11" s="10">
        <f>INDEX('V_Tüm Teknoloji'!K$2:K$59,MATCH(LARGE('V_Tüm Teknoloji'!$AE$2:$AE$59,ROW()-3),'V_Tüm Teknoloji'!$AE$2:$AE$59,0))</f>
        <v/>
      </c>
      <c r="M11" s="8">
        <f>INDEX('V_Tüm Teknoloji'!L$2:L$59,MATCH(LARGE('V_Tüm Teknoloji'!$AE$2:$AE$59,ROW()-3),'V_Tüm Teknoloji'!$AE$2:$AE$59,0))</f>
        <v/>
      </c>
      <c r="N11" s="11">
        <f>INDEX('V_Tüm Teknoloji'!M$2:M$59,MATCH(LARGE('V_Tüm Teknoloji'!$AE$2:$AE$59,ROW()-3),'V_Tüm Teknoloji'!$AE$2:$AE$59,0))</f>
        <v/>
      </c>
      <c r="O11" s="11">
        <f>INDEX('V_Tüm Teknoloji'!N$2:N$59,MATCH(LARGE('V_Tüm Teknoloji'!$AE$2:$AE$59,ROW()-3),'V_Tüm Teknoloji'!$AE$2:$AE$59,0))</f>
        <v/>
      </c>
      <c r="P11" s="8">
        <f>INDEX('V_Tüm Teknoloji'!O$2:O$59,MATCH(LARGE('V_Tüm Teknoloji'!$AE$2:$AE$59,ROW()-3),'V_Tüm Teknoloji'!$AE$2:$AE$59,0))</f>
        <v/>
      </c>
      <c r="Q11" s="9">
        <f>INDEX('V_Tüm Teknoloji'!P$2:P$59,MATCH(LARGE('V_Tüm Teknoloji'!$AE$2:$AE$59,ROW()-3),'V_Tüm Teknoloji'!$AE$2:$AE$59,0))</f>
        <v/>
      </c>
      <c r="R11" s="5">
        <f>INDEX('V_Tüm Teknoloji'!Q$2:Q$59,MATCH(LARGE('V_Tüm Teknoloji'!$AE$2:$AE$59,ROW()-3),'V_Tüm Teknoloji'!$AE$2:$AE$59,0))</f>
        <v/>
      </c>
      <c r="S11" s="8">
        <f>INDEX('V_Tüm Teknoloji'!R$2:R$59,MATCH(LARGE('V_Tüm Teknoloji'!$AE$2:$AE$59,ROW()-3),'V_Tüm Teknoloji'!$AE$2:$AE$59,0))</f>
        <v/>
      </c>
      <c r="T11" s="8">
        <f>INDEX('V_Tüm Teknoloji'!S$2:S$59,MATCH(LARGE('V_Tüm Teknoloji'!$AE$2:$AE$59,ROW()-3),'V_Tüm Teknoloji'!$AE$2:$AE$59,0))</f>
        <v/>
      </c>
      <c r="U11" s="8">
        <f>INDEX('V_Tüm Teknoloji'!T$2:T$59,MATCH(LARGE('V_Tüm Teknoloji'!$AE$2:$AE$59,ROW()-3),'V_Tüm Teknoloji'!$AE$2:$AE$59,0))</f>
        <v/>
      </c>
      <c r="V11" s="8">
        <f>INDEX('V_Tüm Teknoloji'!U$2:U$59,MATCH(LARGE('V_Tüm Teknoloji'!$AE$2:$AE$59,ROW()-3),'V_Tüm Teknoloji'!$AE$2:$AE$59,0))</f>
        <v/>
      </c>
      <c r="W11" s="8">
        <f>INDEX('V_Tüm Teknoloji'!V$2:V$59,MATCH(LARGE('V_Tüm Teknoloji'!$AE$2:$AE$59,ROW()-3),'V_Tüm Teknoloji'!$AE$2:$AE$59,0))</f>
        <v/>
      </c>
      <c r="X11" s="8">
        <f>INDEX('V_Tüm Teknoloji'!W$2:W$59,MATCH(LARGE('V_Tüm Teknoloji'!$AE$2:$AE$59,ROW()-3),'V_Tüm Teknoloji'!$AE$2:$AE$59,0))</f>
        <v/>
      </c>
      <c r="Y11" s="8">
        <f>INDEX('V_Tüm Teknoloji'!X$2:X$59,MATCH(LARGE('V_Tüm Teknoloji'!$AE$2:$AE$59,ROW()-3),'V_Tüm Teknoloji'!$AE$2:$AE$59,0))</f>
        <v/>
      </c>
      <c r="Z11" s="8">
        <f>INDEX('V_Tüm Teknoloji'!Y$2:Y$59,MATCH(LARGE('V_Tüm Teknoloji'!$AE$2:$AE$59,ROW()-3),'V_Tüm Teknoloji'!$AE$2:$AE$59,0))</f>
        <v/>
      </c>
      <c r="AA11" s="8">
        <f>INDEX('V_Tüm Teknoloji'!Z$2:Z$59,MATCH(LARGE('V_Tüm Teknoloji'!$AE$2:$AE$59,ROW()-3),'V_Tüm Teknoloji'!$AE$2:$AE$59,0))</f>
        <v/>
      </c>
      <c r="AB11" s="8">
        <f>INDEX('V_Tüm Teknoloji'!AA$2:AA$59,MATCH(LARGE('V_Tüm Teknoloji'!$AE$2:$AE$59,ROW()-3),'V_Tüm Teknoloji'!$AE$2:$AE$59,0))</f>
        <v/>
      </c>
      <c r="AC11" s="8">
        <f>INDEX('V_Tüm Teknoloji'!AB$2:AB$59,MATCH(LARGE('V_Tüm Teknoloji'!$AE$2:$AE$59,ROW()-3),'V_Tüm Teknoloji'!$AE$2:$AE$59,0))</f>
        <v/>
      </c>
      <c r="AD11" s="8">
        <f>INDEX('V_Tüm Teknoloji'!AC$2:AC$59,MATCH(LARGE('V_Tüm Teknoloji'!$AE$2:$AE$59,ROW()-3),'V_Tüm Teknoloji'!$AE$2:$AE$59,0))</f>
        <v/>
      </c>
    </row>
    <row r="12">
      <c r="A12" t="n">
        <v>9</v>
      </c>
      <c r="B12" s="5">
        <f>INDEX('V_Tüm Teknoloji'!A$2:A$59,MATCH(LARGE('V_Tüm Teknoloji'!$AE$2:$AE$59,ROW()-3),'V_Tüm Teknoloji'!$AE$2:$AE$59,0))</f>
        <v/>
      </c>
      <c r="C12" s="5">
        <f>INDEX('V_Tüm Teknoloji'!B$2:B$59,MATCH(LARGE('V_Tüm Teknoloji'!$AE$2:$AE$59,ROW()-3),'V_Tüm Teknoloji'!$AE$2:$AE$59,0))</f>
        <v/>
      </c>
      <c r="D12" s="5">
        <f>INDEX('V_Tüm Teknoloji'!C$2:C$59,MATCH(LARGE('V_Tüm Teknoloji'!$AE$2:$AE$59,ROW()-3),'V_Tüm Teknoloji'!$AE$2:$AE$59,0))</f>
        <v/>
      </c>
      <c r="E12" s="8">
        <f>INDEX('V_Tüm Teknoloji'!D$2:D$59,MATCH(LARGE('V_Tüm Teknoloji'!$AE$2:$AE$59,ROW()-3),'V_Tüm Teknoloji'!$AE$2:$AE$59,0))</f>
        <v/>
      </c>
      <c r="F12" s="9">
        <f>INDEX('V_Tüm Teknoloji'!E$2:E$59,MATCH(LARGE('V_Tüm Teknoloji'!$AE$2:$AE$59,ROW()-3),'V_Tüm Teknoloji'!$AE$2:$AE$59,0))</f>
        <v/>
      </c>
      <c r="G12" s="9">
        <f>INDEX('V_Tüm Teknoloji'!F$2:F$59,MATCH(LARGE('V_Tüm Teknoloji'!$AE$2:$AE$59,ROW()-3),'V_Tüm Teknoloji'!$AE$2:$AE$59,0))</f>
        <v/>
      </c>
      <c r="H12" s="9">
        <f>INDEX('V_Tüm Teknoloji'!G$2:G$59,MATCH(LARGE('V_Tüm Teknoloji'!$AE$2:$AE$59,ROW()-3),'V_Tüm Teknoloji'!$AE$2:$AE$59,0))</f>
        <v/>
      </c>
      <c r="I12" s="9">
        <f>INDEX('V_Tüm Teknoloji'!H$2:H$59,MATCH(LARGE('V_Tüm Teknoloji'!$AE$2:$AE$59,ROW()-3),'V_Tüm Teknoloji'!$AE$2:$AE$59,0))</f>
        <v/>
      </c>
      <c r="J12" s="9">
        <f>INDEX('V_Tüm Teknoloji'!I$2:I$59,MATCH(LARGE('V_Tüm Teknoloji'!$AE$2:$AE$59,ROW()-3),'V_Tüm Teknoloji'!$AE$2:$AE$59,0))</f>
        <v/>
      </c>
      <c r="K12" s="10">
        <f>INDEX('V_Tüm Teknoloji'!J$2:J$59,MATCH(LARGE('V_Tüm Teknoloji'!$AE$2:$AE$59,ROW()-3),'V_Tüm Teknoloji'!$AE$2:$AE$59,0))</f>
        <v/>
      </c>
      <c r="L12" s="10">
        <f>INDEX('V_Tüm Teknoloji'!K$2:K$59,MATCH(LARGE('V_Tüm Teknoloji'!$AE$2:$AE$59,ROW()-3),'V_Tüm Teknoloji'!$AE$2:$AE$59,0))</f>
        <v/>
      </c>
      <c r="M12" s="8">
        <f>INDEX('V_Tüm Teknoloji'!L$2:L$59,MATCH(LARGE('V_Tüm Teknoloji'!$AE$2:$AE$59,ROW()-3),'V_Tüm Teknoloji'!$AE$2:$AE$59,0))</f>
        <v/>
      </c>
      <c r="N12" s="11">
        <f>INDEX('V_Tüm Teknoloji'!M$2:M$59,MATCH(LARGE('V_Tüm Teknoloji'!$AE$2:$AE$59,ROW()-3),'V_Tüm Teknoloji'!$AE$2:$AE$59,0))</f>
        <v/>
      </c>
      <c r="O12" s="11">
        <f>INDEX('V_Tüm Teknoloji'!N$2:N$59,MATCH(LARGE('V_Tüm Teknoloji'!$AE$2:$AE$59,ROW()-3),'V_Tüm Teknoloji'!$AE$2:$AE$59,0))</f>
        <v/>
      </c>
      <c r="P12" s="8">
        <f>INDEX('V_Tüm Teknoloji'!O$2:O$59,MATCH(LARGE('V_Tüm Teknoloji'!$AE$2:$AE$59,ROW()-3),'V_Tüm Teknoloji'!$AE$2:$AE$59,0))</f>
        <v/>
      </c>
      <c r="Q12" s="9">
        <f>INDEX('V_Tüm Teknoloji'!P$2:P$59,MATCH(LARGE('V_Tüm Teknoloji'!$AE$2:$AE$59,ROW()-3),'V_Tüm Teknoloji'!$AE$2:$AE$59,0))</f>
        <v/>
      </c>
      <c r="R12" s="5">
        <f>INDEX('V_Tüm Teknoloji'!Q$2:Q$59,MATCH(LARGE('V_Tüm Teknoloji'!$AE$2:$AE$59,ROW()-3),'V_Tüm Teknoloji'!$AE$2:$AE$59,0))</f>
        <v/>
      </c>
      <c r="S12" s="8">
        <f>INDEX('V_Tüm Teknoloji'!R$2:R$59,MATCH(LARGE('V_Tüm Teknoloji'!$AE$2:$AE$59,ROW()-3),'V_Tüm Teknoloji'!$AE$2:$AE$59,0))</f>
        <v/>
      </c>
      <c r="T12" s="8">
        <f>INDEX('V_Tüm Teknoloji'!S$2:S$59,MATCH(LARGE('V_Tüm Teknoloji'!$AE$2:$AE$59,ROW()-3),'V_Tüm Teknoloji'!$AE$2:$AE$59,0))</f>
        <v/>
      </c>
      <c r="U12" s="8">
        <f>INDEX('V_Tüm Teknoloji'!T$2:T$59,MATCH(LARGE('V_Tüm Teknoloji'!$AE$2:$AE$59,ROW()-3),'V_Tüm Teknoloji'!$AE$2:$AE$59,0))</f>
        <v/>
      </c>
      <c r="V12" s="8">
        <f>INDEX('V_Tüm Teknoloji'!U$2:U$59,MATCH(LARGE('V_Tüm Teknoloji'!$AE$2:$AE$59,ROW()-3),'V_Tüm Teknoloji'!$AE$2:$AE$59,0))</f>
        <v/>
      </c>
      <c r="W12" s="8">
        <f>INDEX('V_Tüm Teknoloji'!V$2:V$59,MATCH(LARGE('V_Tüm Teknoloji'!$AE$2:$AE$59,ROW()-3),'V_Tüm Teknoloji'!$AE$2:$AE$59,0))</f>
        <v/>
      </c>
      <c r="X12" s="8">
        <f>INDEX('V_Tüm Teknoloji'!W$2:W$59,MATCH(LARGE('V_Tüm Teknoloji'!$AE$2:$AE$59,ROW()-3),'V_Tüm Teknoloji'!$AE$2:$AE$59,0))</f>
        <v/>
      </c>
      <c r="Y12" s="8">
        <f>INDEX('V_Tüm Teknoloji'!X$2:X$59,MATCH(LARGE('V_Tüm Teknoloji'!$AE$2:$AE$59,ROW()-3),'V_Tüm Teknoloji'!$AE$2:$AE$59,0))</f>
        <v/>
      </c>
      <c r="Z12" s="8">
        <f>INDEX('V_Tüm Teknoloji'!Y$2:Y$59,MATCH(LARGE('V_Tüm Teknoloji'!$AE$2:$AE$59,ROW()-3),'V_Tüm Teknoloji'!$AE$2:$AE$59,0))</f>
        <v/>
      </c>
      <c r="AA12" s="8">
        <f>INDEX('V_Tüm Teknoloji'!Z$2:Z$59,MATCH(LARGE('V_Tüm Teknoloji'!$AE$2:$AE$59,ROW()-3),'V_Tüm Teknoloji'!$AE$2:$AE$59,0))</f>
        <v/>
      </c>
      <c r="AB12" s="8">
        <f>INDEX('V_Tüm Teknoloji'!AA$2:AA$59,MATCH(LARGE('V_Tüm Teknoloji'!$AE$2:$AE$59,ROW()-3),'V_Tüm Teknoloji'!$AE$2:$AE$59,0))</f>
        <v/>
      </c>
      <c r="AC12" s="8">
        <f>INDEX('V_Tüm Teknoloji'!AB$2:AB$59,MATCH(LARGE('V_Tüm Teknoloji'!$AE$2:$AE$59,ROW()-3),'V_Tüm Teknoloji'!$AE$2:$AE$59,0))</f>
        <v/>
      </c>
      <c r="AD12" s="8">
        <f>INDEX('V_Tüm Teknoloji'!AC$2:AC$59,MATCH(LARGE('V_Tüm Teknoloji'!$AE$2:$AE$59,ROW()-3),'V_Tüm Teknoloji'!$AE$2:$AE$59,0))</f>
        <v/>
      </c>
    </row>
    <row r="13">
      <c r="A13" t="n">
        <v>10</v>
      </c>
      <c r="B13" s="5">
        <f>INDEX('V_Tüm Teknoloji'!A$2:A$59,MATCH(LARGE('V_Tüm Teknoloji'!$AE$2:$AE$59,ROW()-3),'V_Tüm Teknoloji'!$AE$2:$AE$59,0))</f>
        <v/>
      </c>
      <c r="C13" s="5">
        <f>INDEX('V_Tüm Teknoloji'!B$2:B$59,MATCH(LARGE('V_Tüm Teknoloji'!$AE$2:$AE$59,ROW()-3),'V_Tüm Teknoloji'!$AE$2:$AE$59,0))</f>
        <v/>
      </c>
      <c r="D13" s="5">
        <f>INDEX('V_Tüm Teknoloji'!C$2:C$59,MATCH(LARGE('V_Tüm Teknoloji'!$AE$2:$AE$59,ROW()-3),'V_Tüm Teknoloji'!$AE$2:$AE$59,0))</f>
        <v/>
      </c>
      <c r="E13" s="8">
        <f>INDEX('V_Tüm Teknoloji'!D$2:D$59,MATCH(LARGE('V_Tüm Teknoloji'!$AE$2:$AE$59,ROW()-3),'V_Tüm Teknoloji'!$AE$2:$AE$59,0))</f>
        <v/>
      </c>
      <c r="F13" s="9">
        <f>INDEX('V_Tüm Teknoloji'!E$2:E$59,MATCH(LARGE('V_Tüm Teknoloji'!$AE$2:$AE$59,ROW()-3),'V_Tüm Teknoloji'!$AE$2:$AE$59,0))</f>
        <v/>
      </c>
      <c r="G13" s="9">
        <f>INDEX('V_Tüm Teknoloji'!F$2:F$59,MATCH(LARGE('V_Tüm Teknoloji'!$AE$2:$AE$59,ROW()-3),'V_Tüm Teknoloji'!$AE$2:$AE$59,0))</f>
        <v/>
      </c>
      <c r="H13" s="9">
        <f>INDEX('V_Tüm Teknoloji'!G$2:G$59,MATCH(LARGE('V_Tüm Teknoloji'!$AE$2:$AE$59,ROW()-3),'V_Tüm Teknoloji'!$AE$2:$AE$59,0))</f>
        <v/>
      </c>
      <c r="I13" s="9">
        <f>INDEX('V_Tüm Teknoloji'!H$2:H$59,MATCH(LARGE('V_Tüm Teknoloji'!$AE$2:$AE$59,ROW()-3),'V_Tüm Teknoloji'!$AE$2:$AE$59,0))</f>
        <v/>
      </c>
      <c r="J13" s="9">
        <f>INDEX('V_Tüm Teknoloji'!I$2:I$59,MATCH(LARGE('V_Tüm Teknoloji'!$AE$2:$AE$59,ROW()-3),'V_Tüm Teknoloji'!$AE$2:$AE$59,0))</f>
        <v/>
      </c>
      <c r="K13" s="10">
        <f>INDEX('V_Tüm Teknoloji'!J$2:J$59,MATCH(LARGE('V_Tüm Teknoloji'!$AE$2:$AE$59,ROW()-3),'V_Tüm Teknoloji'!$AE$2:$AE$59,0))</f>
        <v/>
      </c>
      <c r="L13" s="10">
        <f>INDEX('V_Tüm Teknoloji'!K$2:K$59,MATCH(LARGE('V_Tüm Teknoloji'!$AE$2:$AE$59,ROW()-3),'V_Tüm Teknoloji'!$AE$2:$AE$59,0))</f>
        <v/>
      </c>
      <c r="M13" s="8">
        <f>INDEX('V_Tüm Teknoloji'!L$2:L$59,MATCH(LARGE('V_Tüm Teknoloji'!$AE$2:$AE$59,ROW()-3),'V_Tüm Teknoloji'!$AE$2:$AE$59,0))</f>
        <v/>
      </c>
      <c r="N13" s="11">
        <f>INDEX('V_Tüm Teknoloji'!M$2:M$59,MATCH(LARGE('V_Tüm Teknoloji'!$AE$2:$AE$59,ROW()-3),'V_Tüm Teknoloji'!$AE$2:$AE$59,0))</f>
        <v/>
      </c>
      <c r="O13" s="11">
        <f>INDEX('V_Tüm Teknoloji'!N$2:N$59,MATCH(LARGE('V_Tüm Teknoloji'!$AE$2:$AE$59,ROW()-3),'V_Tüm Teknoloji'!$AE$2:$AE$59,0))</f>
        <v/>
      </c>
      <c r="P13" s="8">
        <f>INDEX('V_Tüm Teknoloji'!O$2:O$59,MATCH(LARGE('V_Tüm Teknoloji'!$AE$2:$AE$59,ROW()-3),'V_Tüm Teknoloji'!$AE$2:$AE$59,0))</f>
        <v/>
      </c>
      <c r="Q13" s="9">
        <f>INDEX('V_Tüm Teknoloji'!P$2:P$59,MATCH(LARGE('V_Tüm Teknoloji'!$AE$2:$AE$59,ROW()-3),'V_Tüm Teknoloji'!$AE$2:$AE$59,0))</f>
        <v/>
      </c>
      <c r="R13" s="5">
        <f>INDEX('V_Tüm Teknoloji'!Q$2:Q$59,MATCH(LARGE('V_Tüm Teknoloji'!$AE$2:$AE$59,ROW()-3),'V_Tüm Teknoloji'!$AE$2:$AE$59,0))</f>
        <v/>
      </c>
      <c r="S13" s="8">
        <f>INDEX('V_Tüm Teknoloji'!R$2:R$59,MATCH(LARGE('V_Tüm Teknoloji'!$AE$2:$AE$59,ROW()-3),'V_Tüm Teknoloji'!$AE$2:$AE$59,0))</f>
        <v/>
      </c>
      <c r="T13" s="8">
        <f>INDEX('V_Tüm Teknoloji'!S$2:S$59,MATCH(LARGE('V_Tüm Teknoloji'!$AE$2:$AE$59,ROW()-3),'V_Tüm Teknoloji'!$AE$2:$AE$59,0))</f>
        <v/>
      </c>
      <c r="U13" s="8">
        <f>INDEX('V_Tüm Teknoloji'!T$2:T$59,MATCH(LARGE('V_Tüm Teknoloji'!$AE$2:$AE$59,ROW()-3),'V_Tüm Teknoloji'!$AE$2:$AE$59,0))</f>
        <v/>
      </c>
      <c r="V13" s="8">
        <f>INDEX('V_Tüm Teknoloji'!U$2:U$59,MATCH(LARGE('V_Tüm Teknoloji'!$AE$2:$AE$59,ROW()-3),'V_Tüm Teknoloji'!$AE$2:$AE$59,0))</f>
        <v/>
      </c>
      <c r="W13" s="8">
        <f>INDEX('V_Tüm Teknoloji'!V$2:V$59,MATCH(LARGE('V_Tüm Teknoloji'!$AE$2:$AE$59,ROW()-3),'V_Tüm Teknoloji'!$AE$2:$AE$59,0))</f>
        <v/>
      </c>
      <c r="X13" s="8">
        <f>INDEX('V_Tüm Teknoloji'!W$2:W$59,MATCH(LARGE('V_Tüm Teknoloji'!$AE$2:$AE$59,ROW()-3),'V_Tüm Teknoloji'!$AE$2:$AE$59,0))</f>
        <v/>
      </c>
      <c r="Y13" s="8">
        <f>INDEX('V_Tüm Teknoloji'!X$2:X$59,MATCH(LARGE('V_Tüm Teknoloji'!$AE$2:$AE$59,ROW()-3),'V_Tüm Teknoloji'!$AE$2:$AE$59,0))</f>
        <v/>
      </c>
      <c r="Z13" s="8">
        <f>INDEX('V_Tüm Teknoloji'!Y$2:Y$59,MATCH(LARGE('V_Tüm Teknoloji'!$AE$2:$AE$59,ROW()-3),'V_Tüm Teknoloji'!$AE$2:$AE$59,0))</f>
        <v/>
      </c>
      <c r="AA13" s="8">
        <f>INDEX('V_Tüm Teknoloji'!Z$2:Z$59,MATCH(LARGE('V_Tüm Teknoloji'!$AE$2:$AE$59,ROW()-3),'V_Tüm Teknoloji'!$AE$2:$AE$59,0))</f>
        <v/>
      </c>
      <c r="AB13" s="8">
        <f>INDEX('V_Tüm Teknoloji'!AA$2:AA$59,MATCH(LARGE('V_Tüm Teknoloji'!$AE$2:$AE$59,ROW()-3),'V_Tüm Teknoloji'!$AE$2:$AE$59,0))</f>
        <v/>
      </c>
      <c r="AC13" s="8">
        <f>INDEX('V_Tüm Teknoloji'!AB$2:AB$59,MATCH(LARGE('V_Tüm Teknoloji'!$AE$2:$AE$59,ROW()-3),'V_Tüm Teknoloji'!$AE$2:$AE$59,0))</f>
        <v/>
      </c>
      <c r="AD13" s="8">
        <f>INDEX('V_Tüm Teknoloji'!AC$2:AC$59,MATCH(LARGE('V_Tüm Teknoloji'!$AE$2:$AE$59,ROW()-3),'V_Tüm Teknoloji'!$AE$2:$AE$59,0))</f>
        <v/>
      </c>
    </row>
    <row r="14">
      <c r="A14" t="n">
        <v>11</v>
      </c>
      <c r="B14" s="5">
        <f>INDEX('V_Tüm Teknoloji'!A$2:A$59,MATCH(LARGE('V_Tüm Teknoloji'!$AE$2:$AE$59,ROW()-3),'V_Tüm Teknoloji'!$AE$2:$AE$59,0))</f>
        <v/>
      </c>
      <c r="C14" s="5">
        <f>INDEX('V_Tüm Teknoloji'!B$2:B$59,MATCH(LARGE('V_Tüm Teknoloji'!$AE$2:$AE$59,ROW()-3),'V_Tüm Teknoloji'!$AE$2:$AE$59,0))</f>
        <v/>
      </c>
      <c r="D14" s="5">
        <f>INDEX('V_Tüm Teknoloji'!C$2:C$59,MATCH(LARGE('V_Tüm Teknoloji'!$AE$2:$AE$59,ROW()-3),'V_Tüm Teknoloji'!$AE$2:$AE$59,0))</f>
        <v/>
      </c>
      <c r="E14" s="8">
        <f>INDEX('V_Tüm Teknoloji'!D$2:D$59,MATCH(LARGE('V_Tüm Teknoloji'!$AE$2:$AE$59,ROW()-3),'V_Tüm Teknoloji'!$AE$2:$AE$59,0))</f>
        <v/>
      </c>
      <c r="F14" s="9">
        <f>INDEX('V_Tüm Teknoloji'!E$2:E$59,MATCH(LARGE('V_Tüm Teknoloji'!$AE$2:$AE$59,ROW()-3),'V_Tüm Teknoloji'!$AE$2:$AE$59,0))</f>
        <v/>
      </c>
      <c r="G14" s="9">
        <f>INDEX('V_Tüm Teknoloji'!F$2:F$59,MATCH(LARGE('V_Tüm Teknoloji'!$AE$2:$AE$59,ROW()-3),'V_Tüm Teknoloji'!$AE$2:$AE$59,0))</f>
        <v/>
      </c>
      <c r="H14" s="9">
        <f>INDEX('V_Tüm Teknoloji'!G$2:G$59,MATCH(LARGE('V_Tüm Teknoloji'!$AE$2:$AE$59,ROW()-3),'V_Tüm Teknoloji'!$AE$2:$AE$59,0))</f>
        <v/>
      </c>
      <c r="I14" s="9">
        <f>INDEX('V_Tüm Teknoloji'!H$2:H$59,MATCH(LARGE('V_Tüm Teknoloji'!$AE$2:$AE$59,ROW()-3),'V_Tüm Teknoloji'!$AE$2:$AE$59,0))</f>
        <v/>
      </c>
      <c r="J14" s="9">
        <f>INDEX('V_Tüm Teknoloji'!I$2:I$59,MATCH(LARGE('V_Tüm Teknoloji'!$AE$2:$AE$59,ROW()-3),'V_Tüm Teknoloji'!$AE$2:$AE$59,0))</f>
        <v/>
      </c>
      <c r="K14" s="10">
        <f>INDEX('V_Tüm Teknoloji'!J$2:J$59,MATCH(LARGE('V_Tüm Teknoloji'!$AE$2:$AE$59,ROW()-3),'V_Tüm Teknoloji'!$AE$2:$AE$59,0))</f>
        <v/>
      </c>
      <c r="L14" s="10">
        <f>INDEX('V_Tüm Teknoloji'!K$2:K$59,MATCH(LARGE('V_Tüm Teknoloji'!$AE$2:$AE$59,ROW()-3),'V_Tüm Teknoloji'!$AE$2:$AE$59,0))</f>
        <v/>
      </c>
      <c r="M14" s="8">
        <f>INDEX('V_Tüm Teknoloji'!L$2:L$59,MATCH(LARGE('V_Tüm Teknoloji'!$AE$2:$AE$59,ROW()-3),'V_Tüm Teknoloji'!$AE$2:$AE$59,0))</f>
        <v/>
      </c>
      <c r="N14" s="11">
        <f>INDEX('V_Tüm Teknoloji'!M$2:M$59,MATCH(LARGE('V_Tüm Teknoloji'!$AE$2:$AE$59,ROW()-3),'V_Tüm Teknoloji'!$AE$2:$AE$59,0))</f>
        <v/>
      </c>
      <c r="O14" s="11">
        <f>INDEX('V_Tüm Teknoloji'!N$2:N$59,MATCH(LARGE('V_Tüm Teknoloji'!$AE$2:$AE$59,ROW()-3),'V_Tüm Teknoloji'!$AE$2:$AE$59,0))</f>
        <v/>
      </c>
      <c r="P14" s="8">
        <f>INDEX('V_Tüm Teknoloji'!O$2:O$59,MATCH(LARGE('V_Tüm Teknoloji'!$AE$2:$AE$59,ROW()-3),'V_Tüm Teknoloji'!$AE$2:$AE$59,0))</f>
        <v/>
      </c>
      <c r="Q14" s="9">
        <f>INDEX('V_Tüm Teknoloji'!P$2:P$59,MATCH(LARGE('V_Tüm Teknoloji'!$AE$2:$AE$59,ROW()-3),'V_Tüm Teknoloji'!$AE$2:$AE$59,0))</f>
        <v/>
      </c>
      <c r="R14" s="5">
        <f>INDEX('V_Tüm Teknoloji'!Q$2:Q$59,MATCH(LARGE('V_Tüm Teknoloji'!$AE$2:$AE$59,ROW()-3),'V_Tüm Teknoloji'!$AE$2:$AE$59,0))</f>
        <v/>
      </c>
      <c r="S14" s="8">
        <f>INDEX('V_Tüm Teknoloji'!R$2:R$59,MATCH(LARGE('V_Tüm Teknoloji'!$AE$2:$AE$59,ROW()-3),'V_Tüm Teknoloji'!$AE$2:$AE$59,0))</f>
        <v/>
      </c>
      <c r="T14" s="8">
        <f>INDEX('V_Tüm Teknoloji'!S$2:S$59,MATCH(LARGE('V_Tüm Teknoloji'!$AE$2:$AE$59,ROW()-3),'V_Tüm Teknoloji'!$AE$2:$AE$59,0))</f>
        <v/>
      </c>
      <c r="U14" s="8">
        <f>INDEX('V_Tüm Teknoloji'!T$2:T$59,MATCH(LARGE('V_Tüm Teknoloji'!$AE$2:$AE$59,ROW()-3),'V_Tüm Teknoloji'!$AE$2:$AE$59,0))</f>
        <v/>
      </c>
      <c r="V14" s="8">
        <f>INDEX('V_Tüm Teknoloji'!U$2:U$59,MATCH(LARGE('V_Tüm Teknoloji'!$AE$2:$AE$59,ROW()-3),'V_Tüm Teknoloji'!$AE$2:$AE$59,0))</f>
        <v/>
      </c>
      <c r="W14" s="8">
        <f>INDEX('V_Tüm Teknoloji'!V$2:V$59,MATCH(LARGE('V_Tüm Teknoloji'!$AE$2:$AE$59,ROW()-3),'V_Tüm Teknoloji'!$AE$2:$AE$59,0))</f>
        <v/>
      </c>
      <c r="X14" s="8">
        <f>INDEX('V_Tüm Teknoloji'!W$2:W$59,MATCH(LARGE('V_Tüm Teknoloji'!$AE$2:$AE$59,ROW()-3),'V_Tüm Teknoloji'!$AE$2:$AE$59,0))</f>
        <v/>
      </c>
      <c r="Y14" s="8">
        <f>INDEX('V_Tüm Teknoloji'!X$2:X$59,MATCH(LARGE('V_Tüm Teknoloji'!$AE$2:$AE$59,ROW()-3),'V_Tüm Teknoloji'!$AE$2:$AE$59,0))</f>
        <v/>
      </c>
      <c r="Z14" s="8">
        <f>INDEX('V_Tüm Teknoloji'!Y$2:Y$59,MATCH(LARGE('V_Tüm Teknoloji'!$AE$2:$AE$59,ROW()-3),'V_Tüm Teknoloji'!$AE$2:$AE$59,0))</f>
        <v/>
      </c>
      <c r="AA14" s="8">
        <f>INDEX('V_Tüm Teknoloji'!Z$2:Z$59,MATCH(LARGE('V_Tüm Teknoloji'!$AE$2:$AE$59,ROW()-3),'V_Tüm Teknoloji'!$AE$2:$AE$59,0))</f>
        <v/>
      </c>
      <c r="AB14" s="8">
        <f>INDEX('V_Tüm Teknoloji'!AA$2:AA$59,MATCH(LARGE('V_Tüm Teknoloji'!$AE$2:$AE$59,ROW()-3),'V_Tüm Teknoloji'!$AE$2:$AE$59,0))</f>
        <v/>
      </c>
      <c r="AC14" s="8">
        <f>INDEX('V_Tüm Teknoloji'!AB$2:AB$59,MATCH(LARGE('V_Tüm Teknoloji'!$AE$2:$AE$59,ROW()-3),'V_Tüm Teknoloji'!$AE$2:$AE$59,0))</f>
        <v/>
      </c>
      <c r="AD14" s="8">
        <f>INDEX('V_Tüm Teknoloji'!AC$2:AC$59,MATCH(LARGE('V_Tüm Teknoloji'!$AE$2:$AE$59,ROW()-3),'V_Tüm Teknoloji'!$AE$2:$AE$59,0))</f>
        <v/>
      </c>
    </row>
    <row r="15">
      <c r="A15" t="n">
        <v>12</v>
      </c>
      <c r="B15" s="5">
        <f>INDEX('V_Tüm Teknoloji'!A$2:A$59,MATCH(LARGE('V_Tüm Teknoloji'!$AE$2:$AE$59,ROW()-3),'V_Tüm Teknoloji'!$AE$2:$AE$59,0))</f>
        <v/>
      </c>
      <c r="C15" s="5">
        <f>INDEX('V_Tüm Teknoloji'!B$2:B$59,MATCH(LARGE('V_Tüm Teknoloji'!$AE$2:$AE$59,ROW()-3),'V_Tüm Teknoloji'!$AE$2:$AE$59,0))</f>
        <v/>
      </c>
      <c r="D15" s="5">
        <f>INDEX('V_Tüm Teknoloji'!C$2:C$59,MATCH(LARGE('V_Tüm Teknoloji'!$AE$2:$AE$59,ROW()-3),'V_Tüm Teknoloji'!$AE$2:$AE$59,0))</f>
        <v/>
      </c>
      <c r="E15" s="8">
        <f>INDEX('V_Tüm Teknoloji'!D$2:D$59,MATCH(LARGE('V_Tüm Teknoloji'!$AE$2:$AE$59,ROW()-3),'V_Tüm Teknoloji'!$AE$2:$AE$59,0))</f>
        <v/>
      </c>
      <c r="F15" s="9">
        <f>INDEX('V_Tüm Teknoloji'!E$2:E$59,MATCH(LARGE('V_Tüm Teknoloji'!$AE$2:$AE$59,ROW()-3),'V_Tüm Teknoloji'!$AE$2:$AE$59,0))</f>
        <v/>
      </c>
      <c r="G15" s="9">
        <f>INDEX('V_Tüm Teknoloji'!F$2:F$59,MATCH(LARGE('V_Tüm Teknoloji'!$AE$2:$AE$59,ROW()-3),'V_Tüm Teknoloji'!$AE$2:$AE$59,0))</f>
        <v/>
      </c>
      <c r="H15" s="9">
        <f>INDEX('V_Tüm Teknoloji'!G$2:G$59,MATCH(LARGE('V_Tüm Teknoloji'!$AE$2:$AE$59,ROW()-3),'V_Tüm Teknoloji'!$AE$2:$AE$59,0))</f>
        <v/>
      </c>
      <c r="I15" s="9">
        <f>INDEX('V_Tüm Teknoloji'!H$2:H$59,MATCH(LARGE('V_Tüm Teknoloji'!$AE$2:$AE$59,ROW()-3),'V_Tüm Teknoloji'!$AE$2:$AE$59,0))</f>
        <v/>
      </c>
      <c r="J15" s="9">
        <f>INDEX('V_Tüm Teknoloji'!I$2:I$59,MATCH(LARGE('V_Tüm Teknoloji'!$AE$2:$AE$59,ROW()-3),'V_Tüm Teknoloji'!$AE$2:$AE$59,0))</f>
        <v/>
      </c>
      <c r="K15" s="10">
        <f>INDEX('V_Tüm Teknoloji'!J$2:J$59,MATCH(LARGE('V_Tüm Teknoloji'!$AE$2:$AE$59,ROW()-3),'V_Tüm Teknoloji'!$AE$2:$AE$59,0))</f>
        <v/>
      </c>
      <c r="L15" s="10">
        <f>INDEX('V_Tüm Teknoloji'!K$2:K$59,MATCH(LARGE('V_Tüm Teknoloji'!$AE$2:$AE$59,ROW()-3),'V_Tüm Teknoloji'!$AE$2:$AE$59,0))</f>
        <v/>
      </c>
      <c r="M15" s="8">
        <f>INDEX('V_Tüm Teknoloji'!L$2:L$59,MATCH(LARGE('V_Tüm Teknoloji'!$AE$2:$AE$59,ROW()-3),'V_Tüm Teknoloji'!$AE$2:$AE$59,0))</f>
        <v/>
      </c>
      <c r="N15" s="11">
        <f>INDEX('V_Tüm Teknoloji'!M$2:M$59,MATCH(LARGE('V_Tüm Teknoloji'!$AE$2:$AE$59,ROW()-3),'V_Tüm Teknoloji'!$AE$2:$AE$59,0))</f>
        <v/>
      </c>
      <c r="O15" s="11">
        <f>INDEX('V_Tüm Teknoloji'!N$2:N$59,MATCH(LARGE('V_Tüm Teknoloji'!$AE$2:$AE$59,ROW()-3),'V_Tüm Teknoloji'!$AE$2:$AE$59,0))</f>
        <v/>
      </c>
      <c r="P15" s="8">
        <f>INDEX('V_Tüm Teknoloji'!O$2:O$59,MATCH(LARGE('V_Tüm Teknoloji'!$AE$2:$AE$59,ROW()-3),'V_Tüm Teknoloji'!$AE$2:$AE$59,0))</f>
        <v/>
      </c>
      <c r="Q15" s="9">
        <f>INDEX('V_Tüm Teknoloji'!P$2:P$59,MATCH(LARGE('V_Tüm Teknoloji'!$AE$2:$AE$59,ROW()-3),'V_Tüm Teknoloji'!$AE$2:$AE$59,0))</f>
        <v/>
      </c>
      <c r="R15" s="5">
        <f>INDEX('V_Tüm Teknoloji'!Q$2:Q$59,MATCH(LARGE('V_Tüm Teknoloji'!$AE$2:$AE$59,ROW()-3),'V_Tüm Teknoloji'!$AE$2:$AE$59,0))</f>
        <v/>
      </c>
      <c r="S15" s="8">
        <f>INDEX('V_Tüm Teknoloji'!R$2:R$59,MATCH(LARGE('V_Tüm Teknoloji'!$AE$2:$AE$59,ROW()-3),'V_Tüm Teknoloji'!$AE$2:$AE$59,0))</f>
        <v/>
      </c>
      <c r="T15" s="8">
        <f>INDEX('V_Tüm Teknoloji'!S$2:S$59,MATCH(LARGE('V_Tüm Teknoloji'!$AE$2:$AE$59,ROW()-3),'V_Tüm Teknoloji'!$AE$2:$AE$59,0))</f>
        <v/>
      </c>
      <c r="U15" s="8">
        <f>INDEX('V_Tüm Teknoloji'!T$2:T$59,MATCH(LARGE('V_Tüm Teknoloji'!$AE$2:$AE$59,ROW()-3),'V_Tüm Teknoloji'!$AE$2:$AE$59,0))</f>
        <v/>
      </c>
      <c r="V15" s="8">
        <f>INDEX('V_Tüm Teknoloji'!U$2:U$59,MATCH(LARGE('V_Tüm Teknoloji'!$AE$2:$AE$59,ROW()-3),'V_Tüm Teknoloji'!$AE$2:$AE$59,0))</f>
        <v/>
      </c>
      <c r="W15" s="8">
        <f>INDEX('V_Tüm Teknoloji'!V$2:V$59,MATCH(LARGE('V_Tüm Teknoloji'!$AE$2:$AE$59,ROW()-3),'V_Tüm Teknoloji'!$AE$2:$AE$59,0))</f>
        <v/>
      </c>
      <c r="X15" s="8">
        <f>INDEX('V_Tüm Teknoloji'!W$2:W$59,MATCH(LARGE('V_Tüm Teknoloji'!$AE$2:$AE$59,ROW()-3),'V_Tüm Teknoloji'!$AE$2:$AE$59,0))</f>
        <v/>
      </c>
      <c r="Y15" s="8">
        <f>INDEX('V_Tüm Teknoloji'!X$2:X$59,MATCH(LARGE('V_Tüm Teknoloji'!$AE$2:$AE$59,ROW()-3),'V_Tüm Teknoloji'!$AE$2:$AE$59,0))</f>
        <v/>
      </c>
      <c r="Z15" s="8">
        <f>INDEX('V_Tüm Teknoloji'!Y$2:Y$59,MATCH(LARGE('V_Tüm Teknoloji'!$AE$2:$AE$59,ROW()-3),'V_Tüm Teknoloji'!$AE$2:$AE$59,0))</f>
        <v/>
      </c>
      <c r="AA15" s="8">
        <f>INDEX('V_Tüm Teknoloji'!Z$2:Z$59,MATCH(LARGE('V_Tüm Teknoloji'!$AE$2:$AE$59,ROW()-3),'V_Tüm Teknoloji'!$AE$2:$AE$59,0))</f>
        <v/>
      </c>
      <c r="AB15" s="8">
        <f>INDEX('V_Tüm Teknoloji'!AA$2:AA$59,MATCH(LARGE('V_Tüm Teknoloji'!$AE$2:$AE$59,ROW()-3),'V_Tüm Teknoloji'!$AE$2:$AE$59,0))</f>
        <v/>
      </c>
      <c r="AC15" s="8">
        <f>INDEX('V_Tüm Teknoloji'!AB$2:AB$59,MATCH(LARGE('V_Tüm Teknoloji'!$AE$2:$AE$59,ROW()-3),'V_Tüm Teknoloji'!$AE$2:$AE$59,0))</f>
        <v/>
      </c>
      <c r="AD15" s="8">
        <f>INDEX('V_Tüm Teknoloji'!AC$2:AC$59,MATCH(LARGE('V_Tüm Teknoloji'!$AE$2:$AE$59,ROW()-3),'V_Tüm Teknoloji'!$AE$2:$AE$59,0))</f>
        <v/>
      </c>
    </row>
    <row r="16">
      <c r="A16" t="n">
        <v>13</v>
      </c>
      <c r="B16" s="5">
        <f>INDEX('V_Tüm Teknoloji'!A$2:A$59,MATCH(LARGE('V_Tüm Teknoloji'!$AE$2:$AE$59,ROW()-3),'V_Tüm Teknoloji'!$AE$2:$AE$59,0))</f>
        <v/>
      </c>
      <c r="C16" s="5">
        <f>INDEX('V_Tüm Teknoloji'!B$2:B$59,MATCH(LARGE('V_Tüm Teknoloji'!$AE$2:$AE$59,ROW()-3),'V_Tüm Teknoloji'!$AE$2:$AE$59,0))</f>
        <v/>
      </c>
      <c r="D16" s="5">
        <f>INDEX('V_Tüm Teknoloji'!C$2:C$59,MATCH(LARGE('V_Tüm Teknoloji'!$AE$2:$AE$59,ROW()-3),'V_Tüm Teknoloji'!$AE$2:$AE$59,0))</f>
        <v/>
      </c>
      <c r="E16" s="8">
        <f>INDEX('V_Tüm Teknoloji'!D$2:D$59,MATCH(LARGE('V_Tüm Teknoloji'!$AE$2:$AE$59,ROW()-3),'V_Tüm Teknoloji'!$AE$2:$AE$59,0))</f>
        <v/>
      </c>
      <c r="F16" s="9">
        <f>INDEX('V_Tüm Teknoloji'!E$2:E$59,MATCH(LARGE('V_Tüm Teknoloji'!$AE$2:$AE$59,ROW()-3),'V_Tüm Teknoloji'!$AE$2:$AE$59,0))</f>
        <v/>
      </c>
      <c r="G16" s="9">
        <f>INDEX('V_Tüm Teknoloji'!F$2:F$59,MATCH(LARGE('V_Tüm Teknoloji'!$AE$2:$AE$59,ROW()-3),'V_Tüm Teknoloji'!$AE$2:$AE$59,0))</f>
        <v/>
      </c>
      <c r="H16" s="9">
        <f>INDEX('V_Tüm Teknoloji'!G$2:G$59,MATCH(LARGE('V_Tüm Teknoloji'!$AE$2:$AE$59,ROW()-3),'V_Tüm Teknoloji'!$AE$2:$AE$59,0))</f>
        <v/>
      </c>
      <c r="I16" s="9">
        <f>INDEX('V_Tüm Teknoloji'!H$2:H$59,MATCH(LARGE('V_Tüm Teknoloji'!$AE$2:$AE$59,ROW()-3),'V_Tüm Teknoloji'!$AE$2:$AE$59,0))</f>
        <v/>
      </c>
      <c r="J16" s="9">
        <f>INDEX('V_Tüm Teknoloji'!I$2:I$59,MATCH(LARGE('V_Tüm Teknoloji'!$AE$2:$AE$59,ROW()-3),'V_Tüm Teknoloji'!$AE$2:$AE$59,0))</f>
        <v/>
      </c>
      <c r="K16" s="10">
        <f>INDEX('V_Tüm Teknoloji'!J$2:J$59,MATCH(LARGE('V_Tüm Teknoloji'!$AE$2:$AE$59,ROW()-3),'V_Tüm Teknoloji'!$AE$2:$AE$59,0))</f>
        <v/>
      </c>
      <c r="L16" s="10">
        <f>INDEX('V_Tüm Teknoloji'!K$2:K$59,MATCH(LARGE('V_Tüm Teknoloji'!$AE$2:$AE$59,ROW()-3),'V_Tüm Teknoloji'!$AE$2:$AE$59,0))</f>
        <v/>
      </c>
      <c r="M16" s="8">
        <f>INDEX('V_Tüm Teknoloji'!L$2:L$59,MATCH(LARGE('V_Tüm Teknoloji'!$AE$2:$AE$59,ROW()-3),'V_Tüm Teknoloji'!$AE$2:$AE$59,0))</f>
        <v/>
      </c>
      <c r="N16" s="11">
        <f>INDEX('V_Tüm Teknoloji'!M$2:M$59,MATCH(LARGE('V_Tüm Teknoloji'!$AE$2:$AE$59,ROW()-3),'V_Tüm Teknoloji'!$AE$2:$AE$59,0))</f>
        <v/>
      </c>
      <c r="O16" s="11">
        <f>INDEX('V_Tüm Teknoloji'!N$2:N$59,MATCH(LARGE('V_Tüm Teknoloji'!$AE$2:$AE$59,ROW()-3),'V_Tüm Teknoloji'!$AE$2:$AE$59,0))</f>
        <v/>
      </c>
      <c r="P16" s="8">
        <f>INDEX('V_Tüm Teknoloji'!O$2:O$59,MATCH(LARGE('V_Tüm Teknoloji'!$AE$2:$AE$59,ROW()-3),'V_Tüm Teknoloji'!$AE$2:$AE$59,0))</f>
        <v/>
      </c>
      <c r="Q16" s="9">
        <f>INDEX('V_Tüm Teknoloji'!P$2:P$59,MATCH(LARGE('V_Tüm Teknoloji'!$AE$2:$AE$59,ROW()-3),'V_Tüm Teknoloji'!$AE$2:$AE$59,0))</f>
        <v/>
      </c>
      <c r="R16" s="5">
        <f>INDEX('V_Tüm Teknoloji'!Q$2:Q$59,MATCH(LARGE('V_Tüm Teknoloji'!$AE$2:$AE$59,ROW()-3),'V_Tüm Teknoloji'!$AE$2:$AE$59,0))</f>
        <v/>
      </c>
      <c r="S16" s="8">
        <f>INDEX('V_Tüm Teknoloji'!R$2:R$59,MATCH(LARGE('V_Tüm Teknoloji'!$AE$2:$AE$59,ROW()-3),'V_Tüm Teknoloji'!$AE$2:$AE$59,0))</f>
        <v/>
      </c>
      <c r="T16" s="8">
        <f>INDEX('V_Tüm Teknoloji'!S$2:S$59,MATCH(LARGE('V_Tüm Teknoloji'!$AE$2:$AE$59,ROW()-3),'V_Tüm Teknoloji'!$AE$2:$AE$59,0))</f>
        <v/>
      </c>
      <c r="U16" s="8">
        <f>INDEX('V_Tüm Teknoloji'!T$2:T$59,MATCH(LARGE('V_Tüm Teknoloji'!$AE$2:$AE$59,ROW()-3),'V_Tüm Teknoloji'!$AE$2:$AE$59,0))</f>
        <v/>
      </c>
      <c r="V16" s="8">
        <f>INDEX('V_Tüm Teknoloji'!U$2:U$59,MATCH(LARGE('V_Tüm Teknoloji'!$AE$2:$AE$59,ROW()-3),'V_Tüm Teknoloji'!$AE$2:$AE$59,0))</f>
        <v/>
      </c>
      <c r="W16" s="8">
        <f>INDEX('V_Tüm Teknoloji'!V$2:V$59,MATCH(LARGE('V_Tüm Teknoloji'!$AE$2:$AE$59,ROW()-3),'V_Tüm Teknoloji'!$AE$2:$AE$59,0))</f>
        <v/>
      </c>
      <c r="X16" s="8">
        <f>INDEX('V_Tüm Teknoloji'!W$2:W$59,MATCH(LARGE('V_Tüm Teknoloji'!$AE$2:$AE$59,ROW()-3),'V_Tüm Teknoloji'!$AE$2:$AE$59,0))</f>
        <v/>
      </c>
      <c r="Y16" s="8">
        <f>INDEX('V_Tüm Teknoloji'!X$2:X$59,MATCH(LARGE('V_Tüm Teknoloji'!$AE$2:$AE$59,ROW()-3),'V_Tüm Teknoloji'!$AE$2:$AE$59,0))</f>
        <v/>
      </c>
      <c r="Z16" s="8">
        <f>INDEX('V_Tüm Teknoloji'!Y$2:Y$59,MATCH(LARGE('V_Tüm Teknoloji'!$AE$2:$AE$59,ROW()-3),'V_Tüm Teknoloji'!$AE$2:$AE$59,0))</f>
        <v/>
      </c>
      <c r="AA16" s="8">
        <f>INDEX('V_Tüm Teknoloji'!Z$2:Z$59,MATCH(LARGE('V_Tüm Teknoloji'!$AE$2:$AE$59,ROW()-3),'V_Tüm Teknoloji'!$AE$2:$AE$59,0))</f>
        <v/>
      </c>
      <c r="AB16" s="8">
        <f>INDEX('V_Tüm Teknoloji'!AA$2:AA$59,MATCH(LARGE('V_Tüm Teknoloji'!$AE$2:$AE$59,ROW()-3),'V_Tüm Teknoloji'!$AE$2:$AE$59,0))</f>
        <v/>
      </c>
      <c r="AC16" s="8">
        <f>INDEX('V_Tüm Teknoloji'!AB$2:AB$59,MATCH(LARGE('V_Tüm Teknoloji'!$AE$2:$AE$59,ROW()-3),'V_Tüm Teknoloji'!$AE$2:$AE$59,0))</f>
        <v/>
      </c>
      <c r="AD16" s="8">
        <f>INDEX('V_Tüm Teknoloji'!AC$2:AC$59,MATCH(LARGE('V_Tüm Teknoloji'!$AE$2:$AE$59,ROW()-3),'V_Tüm Teknoloji'!$AE$2:$AE$59,0))</f>
        <v/>
      </c>
    </row>
    <row r="17">
      <c r="A17" t="n">
        <v>14</v>
      </c>
      <c r="B17" s="5">
        <f>INDEX('V_Tüm Teknoloji'!A$2:A$59,MATCH(LARGE('V_Tüm Teknoloji'!$AE$2:$AE$59,ROW()-3),'V_Tüm Teknoloji'!$AE$2:$AE$59,0))</f>
        <v/>
      </c>
      <c r="C17" s="5">
        <f>INDEX('V_Tüm Teknoloji'!B$2:B$59,MATCH(LARGE('V_Tüm Teknoloji'!$AE$2:$AE$59,ROW()-3),'V_Tüm Teknoloji'!$AE$2:$AE$59,0))</f>
        <v/>
      </c>
      <c r="D17" s="5">
        <f>INDEX('V_Tüm Teknoloji'!C$2:C$59,MATCH(LARGE('V_Tüm Teknoloji'!$AE$2:$AE$59,ROW()-3),'V_Tüm Teknoloji'!$AE$2:$AE$59,0))</f>
        <v/>
      </c>
      <c r="E17" s="8">
        <f>INDEX('V_Tüm Teknoloji'!D$2:D$59,MATCH(LARGE('V_Tüm Teknoloji'!$AE$2:$AE$59,ROW()-3),'V_Tüm Teknoloji'!$AE$2:$AE$59,0))</f>
        <v/>
      </c>
      <c r="F17" s="9">
        <f>INDEX('V_Tüm Teknoloji'!E$2:E$59,MATCH(LARGE('V_Tüm Teknoloji'!$AE$2:$AE$59,ROW()-3),'V_Tüm Teknoloji'!$AE$2:$AE$59,0))</f>
        <v/>
      </c>
      <c r="G17" s="9">
        <f>INDEX('V_Tüm Teknoloji'!F$2:F$59,MATCH(LARGE('V_Tüm Teknoloji'!$AE$2:$AE$59,ROW()-3),'V_Tüm Teknoloji'!$AE$2:$AE$59,0))</f>
        <v/>
      </c>
      <c r="H17" s="9">
        <f>INDEX('V_Tüm Teknoloji'!G$2:G$59,MATCH(LARGE('V_Tüm Teknoloji'!$AE$2:$AE$59,ROW()-3),'V_Tüm Teknoloji'!$AE$2:$AE$59,0))</f>
        <v/>
      </c>
      <c r="I17" s="9">
        <f>INDEX('V_Tüm Teknoloji'!H$2:H$59,MATCH(LARGE('V_Tüm Teknoloji'!$AE$2:$AE$59,ROW()-3),'V_Tüm Teknoloji'!$AE$2:$AE$59,0))</f>
        <v/>
      </c>
      <c r="J17" s="9">
        <f>INDEX('V_Tüm Teknoloji'!I$2:I$59,MATCH(LARGE('V_Tüm Teknoloji'!$AE$2:$AE$59,ROW()-3),'V_Tüm Teknoloji'!$AE$2:$AE$59,0))</f>
        <v/>
      </c>
      <c r="K17" s="10">
        <f>INDEX('V_Tüm Teknoloji'!J$2:J$59,MATCH(LARGE('V_Tüm Teknoloji'!$AE$2:$AE$59,ROW()-3),'V_Tüm Teknoloji'!$AE$2:$AE$59,0))</f>
        <v/>
      </c>
      <c r="L17" s="10">
        <f>INDEX('V_Tüm Teknoloji'!K$2:K$59,MATCH(LARGE('V_Tüm Teknoloji'!$AE$2:$AE$59,ROW()-3),'V_Tüm Teknoloji'!$AE$2:$AE$59,0))</f>
        <v/>
      </c>
      <c r="M17" s="8">
        <f>INDEX('V_Tüm Teknoloji'!L$2:L$59,MATCH(LARGE('V_Tüm Teknoloji'!$AE$2:$AE$59,ROW()-3),'V_Tüm Teknoloji'!$AE$2:$AE$59,0))</f>
        <v/>
      </c>
      <c r="N17" s="11">
        <f>INDEX('V_Tüm Teknoloji'!M$2:M$59,MATCH(LARGE('V_Tüm Teknoloji'!$AE$2:$AE$59,ROW()-3),'V_Tüm Teknoloji'!$AE$2:$AE$59,0))</f>
        <v/>
      </c>
      <c r="O17" s="11">
        <f>INDEX('V_Tüm Teknoloji'!N$2:N$59,MATCH(LARGE('V_Tüm Teknoloji'!$AE$2:$AE$59,ROW()-3),'V_Tüm Teknoloji'!$AE$2:$AE$59,0))</f>
        <v/>
      </c>
      <c r="P17" s="8">
        <f>INDEX('V_Tüm Teknoloji'!O$2:O$59,MATCH(LARGE('V_Tüm Teknoloji'!$AE$2:$AE$59,ROW()-3),'V_Tüm Teknoloji'!$AE$2:$AE$59,0))</f>
        <v/>
      </c>
      <c r="Q17" s="9">
        <f>INDEX('V_Tüm Teknoloji'!P$2:P$59,MATCH(LARGE('V_Tüm Teknoloji'!$AE$2:$AE$59,ROW()-3),'V_Tüm Teknoloji'!$AE$2:$AE$59,0))</f>
        <v/>
      </c>
      <c r="R17" s="5">
        <f>INDEX('V_Tüm Teknoloji'!Q$2:Q$59,MATCH(LARGE('V_Tüm Teknoloji'!$AE$2:$AE$59,ROW()-3),'V_Tüm Teknoloji'!$AE$2:$AE$59,0))</f>
        <v/>
      </c>
      <c r="S17" s="8">
        <f>INDEX('V_Tüm Teknoloji'!R$2:R$59,MATCH(LARGE('V_Tüm Teknoloji'!$AE$2:$AE$59,ROW()-3),'V_Tüm Teknoloji'!$AE$2:$AE$59,0))</f>
        <v/>
      </c>
      <c r="T17" s="8">
        <f>INDEX('V_Tüm Teknoloji'!S$2:S$59,MATCH(LARGE('V_Tüm Teknoloji'!$AE$2:$AE$59,ROW()-3),'V_Tüm Teknoloji'!$AE$2:$AE$59,0))</f>
        <v/>
      </c>
      <c r="U17" s="8">
        <f>INDEX('V_Tüm Teknoloji'!T$2:T$59,MATCH(LARGE('V_Tüm Teknoloji'!$AE$2:$AE$59,ROW()-3),'V_Tüm Teknoloji'!$AE$2:$AE$59,0))</f>
        <v/>
      </c>
      <c r="V17" s="8">
        <f>INDEX('V_Tüm Teknoloji'!U$2:U$59,MATCH(LARGE('V_Tüm Teknoloji'!$AE$2:$AE$59,ROW()-3),'V_Tüm Teknoloji'!$AE$2:$AE$59,0))</f>
        <v/>
      </c>
      <c r="W17" s="8">
        <f>INDEX('V_Tüm Teknoloji'!V$2:V$59,MATCH(LARGE('V_Tüm Teknoloji'!$AE$2:$AE$59,ROW()-3),'V_Tüm Teknoloji'!$AE$2:$AE$59,0))</f>
        <v/>
      </c>
      <c r="X17" s="8">
        <f>INDEX('V_Tüm Teknoloji'!W$2:W$59,MATCH(LARGE('V_Tüm Teknoloji'!$AE$2:$AE$59,ROW()-3),'V_Tüm Teknoloji'!$AE$2:$AE$59,0))</f>
        <v/>
      </c>
      <c r="Y17" s="8">
        <f>INDEX('V_Tüm Teknoloji'!X$2:X$59,MATCH(LARGE('V_Tüm Teknoloji'!$AE$2:$AE$59,ROW()-3),'V_Tüm Teknoloji'!$AE$2:$AE$59,0))</f>
        <v/>
      </c>
      <c r="Z17" s="8">
        <f>INDEX('V_Tüm Teknoloji'!Y$2:Y$59,MATCH(LARGE('V_Tüm Teknoloji'!$AE$2:$AE$59,ROW()-3),'V_Tüm Teknoloji'!$AE$2:$AE$59,0))</f>
        <v/>
      </c>
      <c r="AA17" s="8">
        <f>INDEX('V_Tüm Teknoloji'!Z$2:Z$59,MATCH(LARGE('V_Tüm Teknoloji'!$AE$2:$AE$59,ROW()-3),'V_Tüm Teknoloji'!$AE$2:$AE$59,0))</f>
        <v/>
      </c>
      <c r="AB17" s="8">
        <f>INDEX('V_Tüm Teknoloji'!AA$2:AA$59,MATCH(LARGE('V_Tüm Teknoloji'!$AE$2:$AE$59,ROW()-3),'V_Tüm Teknoloji'!$AE$2:$AE$59,0))</f>
        <v/>
      </c>
      <c r="AC17" s="8">
        <f>INDEX('V_Tüm Teknoloji'!AB$2:AB$59,MATCH(LARGE('V_Tüm Teknoloji'!$AE$2:$AE$59,ROW()-3),'V_Tüm Teknoloji'!$AE$2:$AE$59,0))</f>
        <v/>
      </c>
      <c r="AD17" s="8">
        <f>INDEX('V_Tüm Teknoloji'!AC$2:AC$59,MATCH(LARGE('V_Tüm Teknoloji'!$AE$2:$AE$59,ROW()-3),'V_Tüm Teknoloji'!$AE$2:$AE$59,0))</f>
        <v/>
      </c>
    </row>
    <row r="18">
      <c r="A18" t="n">
        <v>15</v>
      </c>
      <c r="B18" s="5">
        <f>INDEX('V_Tüm Teknoloji'!A$2:A$59,MATCH(LARGE('V_Tüm Teknoloji'!$AE$2:$AE$59,ROW()-3),'V_Tüm Teknoloji'!$AE$2:$AE$59,0))</f>
        <v/>
      </c>
      <c r="C18" s="5">
        <f>INDEX('V_Tüm Teknoloji'!B$2:B$59,MATCH(LARGE('V_Tüm Teknoloji'!$AE$2:$AE$59,ROW()-3),'V_Tüm Teknoloji'!$AE$2:$AE$59,0))</f>
        <v/>
      </c>
      <c r="D18" s="5">
        <f>INDEX('V_Tüm Teknoloji'!C$2:C$59,MATCH(LARGE('V_Tüm Teknoloji'!$AE$2:$AE$59,ROW()-3),'V_Tüm Teknoloji'!$AE$2:$AE$59,0))</f>
        <v/>
      </c>
      <c r="E18" s="8">
        <f>INDEX('V_Tüm Teknoloji'!D$2:D$59,MATCH(LARGE('V_Tüm Teknoloji'!$AE$2:$AE$59,ROW()-3),'V_Tüm Teknoloji'!$AE$2:$AE$59,0))</f>
        <v/>
      </c>
      <c r="F18" s="9">
        <f>INDEX('V_Tüm Teknoloji'!E$2:E$59,MATCH(LARGE('V_Tüm Teknoloji'!$AE$2:$AE$59,ROW()-3),'V_Tüm Teknoloji'!$AE$2:$AE$59,0))</f>
        <v/>
      </c>
      <c r="G18" s="9">
        <f>INDEX('V_Tüm Teknoloji'!F$2:F$59,MATCH(LARGE('V_Tüm Teknoloji'!$AE$2:$AE$59,ROW()-3),'V_Tüm Teknoloji'!$AE$2:$AE$59,0))</f>
        <v/>
      </c>
      <c r="H18" s="9">
        <f>INDEX('V_Tüm Teknoloji'!G$2:G$59,MATCH(LARGE('V_Tüm Teknoloji'!$AE$2:$AE$59,ROW()-3),'V_Tüm Teknoloji'!$AE$2:$AE$59,0))</f>
        <v/>
      </c>
      <c r="I18" s="9">
        <f>INDEX('V_Tüm Teknoloji'!H$2:H$59,MATCH(LARGE('V_Tüm Teknoloji'!$AE$2:$AE$59,ROW()-3),'V_Tüm Teknoloji'!$AE$2:$AE$59,0))</f>
        <v/>
      </c>
      <c r="J18" s="9">
        <f>INDEX('V_Tüm Teknoloji'!I$2:I$59,MATCH(LARGE('V_Tüm Teknoloji'!$AE$2:$AE$59,ROW()-3),'V_Tüm Teknoloji'!$AE$2:$AE$59,0))</f>
        <v/>
      </c>
      <c r="K18" s="10">
        <f>INDEX('V_Tüm Teknoloji'!J$2:J$59,MATCH(LARGE('V_Tüm Teknoloji'!$AE$2:$AE$59,ROW()-3),'V_Tüm Teknoloji'!$AE$2:$AE$59,0))</f>
        <v/>
      </c>
      <c r="L18" s="10">
        <f>INDEX('V_Tüm Teknoloji'!K$2:K$59,MATCH(LARGE('V_Tüm Teknoloji'!$AE$2:$AE$59,ROW()-3),'V_Tüm Teknoloji'!$AE$2:$AE$59,0))</f>
        <v/>
      </c>
      <c r="M18" s="8">
        <f>INDEX('V_Tüm Teknoloji'!L$2:L$59,MATCH(LARGE('V_Tüm Teknoloji'!$AE$2:$AE$59,ROW()-3),'V_Tüm Teknoloji'!$AE$2:$AE$59,0))</f>
        <v/>
      </c>
      <c r="N18" s="11">
        <f>INDEX('V_Tüm Teknoloji'!M$2:M$59,MATCH(LARGE('V_Tüm Teknoloji'!$AE$2:$AE$59,ROW()-3),'V_Tüm Teknoloji'!$AE$2:$AE$59,0))</f>
        <v/>
      </c>
      <c r="O18" s="11">
        <f>INDEX('V_Tüm Teknoloji'!N$2:N$59,MATCH(LARGE('V_Tüm Teknoloji'!$AE$2:$AE$59,ROW()-3),'V_Tüm Teknoloji'!$AE$2:$AE$59,0))</f>
        <v/>
      </c>
      <c r="P18" s="8">
        <f>INDEX('V_Tüm Teknoloji'!O$2:O$59,MATCH(LARGE('V_Tüm Teknoloji'!$AE$2:$AE$59,ROW()-3),'V_Tüm Teknoloji'!$AE$2:$AE$59,0))</f>
        <v/>
      </c>
      <c r="Q18" s="9">
        <f>INDEX('V_Tüm Teknoloji'!P$2:P$59,MATCH(LARGE('V_Tüm Teknoloji'!$AE$2:$AE$59,ROW()-3),'V_Tüm Teknoloji'!$AE$2:$AE$59,0))</f>
        <v/>
      </c>
      <c r="R18" s="5">
        <f>INDEX('V_Tüm Teknoloji'!Q$2:Q$59,MATCH(LARGE('V_Tüm Teknoloji'!$AE$2:$AE$59,ROW()-3),'V_Tüm Teknoloji'!$AE$2:$AE$59,0))</f>
        <v/>
      </c>
      <c r="S18" s="8">
        <f>INDEX('V_Tüm Teknoloji'!R$2:R$59,MATCH(LARGE('V_Tüm Teknoloji'!$AE$2:$AE$59,ROW()-3),'V_Tüm Teknoloji'!$AE$2:$AE$59,0))</f>
        <v/>
      </c>
      <c r="T18" s="8">
        <f>INDEX('V_Tüm Teknoloji'!S$2:S$59,MATCH(LARGE('V_Tüm Teknoloji'!$AE$2:$AE$59,ROW()-3),'V_Tüm Teknoloji'!$AE$2:$AE$59,0))</f>
        <v/>
      </c>
      <c r="U18" s="8">
        <f>INDEX('V_Tüm Teknoloji'!T$2:T$59,MATCH(LARGE('V_Tüm Teknoloji'!$AE$2:$AE$59,ROW()-3),'V_Tüm Teknoloji'!$AE$2:$AE$59,0))</f>
        <v/>
      </c>
      <c r="V18" s="8">
        <f>INDEX('V_Tüm Teknoloji'!U$2:U$59,MATCH(LARGE('V_Tüm Teknoloji'!$AE$2:$AE$59,ROW()-3),'V_Tüm Teknoloji'!$AE$2:$AE$59,0))</f>
        <v/>
      </c>
      <c r="W18" s="8">
        <f>INDEX('V_Tüm Teknoloji'!V$2:V$59,MATCH(LARGE('V_Tüm Teknoloji'!$AE$2:$AE$59,ROW()-3),'V_Tüm Teknoloji'!$AE$2:$AE$59,0))</f>
        <v/>
      </c>
      <c r="X18" s="8">
        <f>INDEX('V_Tüm Teknoloji'!W$2:W$59,MATCH(LARGE('V_Tüm Teknoloji'!$AE$2:$AE$59,ROW()-3),'V_Tüm Teknoloji'!$AE$2:$AE$59,0))</f>
        <v/>
      </c>
      <c r="Y18" s="8">
        <f>INDEX('V_Tüm Teknoloji'!X$2:X$59,MATCH(LARGE('V_Tüm Teknoloji'!$AE$2:$AE$59,ROW()-3),'V_Tüm Teknoloji'!$AE$2:$AE$59,0))</f>
        <v/>
      </c>
      <c r="Z18" s="8">
        <f>INDEX('V_Tüm Teknoloji'!Y$2:Y$59,MATCH(LARGE('V_Tüm Teknoloji'!$AE$2:$AE$59,ROW()-3),'V_Tüm Teknoloji'!$AE$2:$AE$59,0))</f>
        <v/>
      </c>
      <c r="AA18" s="8">
        <f>INDEX('V_Tüm Teknoloji'!Z$2:Z$59,MATCH(LARGE('V_Tüm Teknoloji'!$AE$2:$AE$59,ROW()-3),'V_Tüm Teknoloji'!$AE$2:$AE$59,0))</f>
        <v/>
      </c>
      <c r="AB18" s="8">
        <f>INDEX('V_Tüm Teknoloji'!AA$2:AA$59,MATCH(LARGE('V_Tüm Teknoloji'!$AE$2:$AE$59,ROW()-3),'V_Tüm Teknoloji'!$AE$2:$AE$59,0))</f>
        <v/>
      </c>
      <c r="AC18" s="8">
        <f>INDEX('V_Tüm Teknoloji'!AB$2:AB$59,MATCH(LARGE('V_Tüm Teknoloji'!$AE$2:$AE$59,ROW()-3),'V_Tüm Teknoloji'!$AE$2:$AE$59,0))</f>
        <v/>
      </c>
      <c r="AD18" s="8">
        <f>INDEX('V_Tüm Teknoloji'!AC$2:AC$59,MATCH(LARGE('V_Tüm Teknoloji'!$AE$2:$AE$59,ROW()-3),'V_Tüm Teknoloji'!$AE$2:$AE$59,0))</f>
        <v/>
      </c>
    </row>
    <row r="19">
      <c r="A19" t="n">
        <v>16</v>
      </c>
      <c r="B19" s="5">
        <f>INDEX('V_Tüm Teknoloji'!A$2:A$59,MATCH(LARGE('V_Tüm Teknoloji'!$AE$2:$AE$59,ROW()-3),'V_Tüm Teknoloji'!$AE$2:$AE$59,0))</f>
        <v/>
      </c>
      <c r="C19" s="5">
        <f>INDEX('V_Tüm Teknoloji'!B$2:B$59,MATCH(LARGE('V_Tüm Teknoloji'!$AE$2:$AE$59,ROW()-3),'V_Tüm Teknoloji'!$AE$2:$AE$59,0))</f>
        <v/>
      </c>
      <c r="D19" s="5">
        <f>INDEX('V_Tüm Teknoloji'!C$2:C$59,MATCH(LARGE('V_Tüm Teknoloji'!$AE$2:$AE$59,ROW()-3),'V_Tüm Teknoloji'!$AE$2:$AE$59,0))</f>
        <v/>
      </c>
      <c r="E19" s="8">
        <f>INDEX('V_Tüm Teknoloji'!D$2:D$59,MATCH(LARGE('V_Tüm Teknoloji'!$AE$2:$AE$59,ROW()-3),'V_Tüm Teknoloji'!$AE$2:$AE$59,0))</f>
        <v/>
      </c>
      <c r="F19" s="9">
        <f>INDEX('V_Tüm Teknoloji'!E$2:E$59,MATCH(LARGE('V_Tüm Teknoloji'!$AE$2:$AE$59,ROW()-3),'V_Tüm Teknoloji'!$AE$2:$AE$59,0))</f>
        <v/>
      </c>
      <c r="G19" s="9">
        <f>INDEX('V_Tüm Teknoloji'!F$2:F$59,MATCH(LARGE('V_Tüm Teknoloji'!$AE$2:$AE$59,ROW()-3),'V_Tüm Teknoloji'!$AE$2:$AE$59,0))</f>
        <v/>
      </c>
      <c r="H19" s="9">
        <f>INDEX('V_Tüm Teknoloji'!G$2:G$59,MATCH(LARGE('V_Tüm Teknoloji'!$AE$2:$AE$59,ROW()-3),'V_Tüm Teknoloji'!$AE$2:$AE$59,0))</f>
        <v/>
      </c>
      <c r="I19" s="9">
        <f>INDEX('V_Tüm Teknoloji'!H$2:H$59,MATCH(LARGE('V_Tüm Teknoloji'!$AE$2:$AE$59,ROW()-3),'V_Tüm Teknoloji'!$AE$2:$AE$59,0))</f>
        <v/>
      </c>
      <c r="J19" s="9">
        <f>INDEX('V_Tüm Teknoloji'!I$2:I$59,MATCH(LARGE('V_Tüm Teknoloji'!$AE$2:$AE$59,ROW()-3),'V_Tüm Teknoloji'!$AE$2:$AE$59,0))</f>
        <v/>
      </c>
      <c r="K19" s="10">
        <f>INDEX('V_Tüm Teknoloji'!J$2:J$59,MATCH(LARGE('V_Tüm Teknoloji'!$AE$2:$AE$59,ROW()-3),'V_Tüm Teknoloji'!$AE$2:$AE$59,0))</f>
        <v/>
      </c>
      <c r="L19" s="10">
        <f>INDEX('V_Tüm Teknoloji'!K$2:K$59,MATCH(LARGE('V_Tüm Teknoloji'!$AE$2:$AE$59,ROW()-3),'V_Tüm Teknoloji'!$AE$2:$AE$59,0))</f>
        <v/>
      </c>
      <c r="M19" s="8">
        <f>INDEX('V_Tüm Teknoloji'!L$2:L$59,MATCH(LARGE('V_Tüm Teknoloji'!$AE$2:$AE$59,ROW()-3),'V_Tüm Teknoloji'!$AE$2:$AE$59,0))</f>
        <v/>
      </c>
      <c r="N19" s="11">
        <f>INDEX('V_Tüm Teknoloji'!M$2:M$59,MATCH(LARGE('V_Tüm Teknoloji'!$AE$2:$AE$59,ROW()-3),'V_Tüm Teknoloji'!$AE$2:$AE$59,0))</f>
        <v/>
      </c>
      <c r="O19" s="11">
        <f>INDEX('V_Tüm Teknoloji'!N$2:N$59,MATCH(LARGE('V_Tüm Teknoloji'!$AE$2:$AE$59,ROW()-3),'V_Tüm Teknoloji'!$AE$2:$AE$59,0))</f>
        <v/>
      </c>
      <c r="P19" s="8">
        <f>INDEX('V_Tüm Teknoloji'!O$2:O$59,MATCH(LARGE('V_Tüm Teknoloji'!$AE$2:$AE$59,ROW()-3),'V_Tüm Teknoloji'!$AE$2:$AE$59,0))</f>
        <v/>
      </c>
      <c r="Q19" s="9">
        <f>INDEX('V_Tüm Teknoloji'!P$2:P$59,MATCH(LARGE('V_Tüm Teknoloji'!$AE$2:$AE$59,ROW()-3),'V_Tüm Teknoloji'!$AE$2:$AE$59,0))</f>
        <v/>
      </c>
      <c r="R19" s="5">
        <f>INDEX('V_Tüm Teknoloji'!Q$2:Q$59,MATCH(LARGE('V_Tüm Teknoloji'!$AE$2:$AE$59,ROW()-3),'V_Tüm Teknoloji'!$AE$2:$AE$59,0))</f>
        <v/>
      </c>
      <c r="S19" s="8">
        <f>INDEX('V_Tüm Teknoloji'!R$2:R$59,MATCH(LARGE('V_Tüm Teknoloji'!$AE$2:$AE$59,ROW()-3),'V_Tüm Teknoloji'!$AE$2:$AE$59,0))</f>
        <v/>
      </c>
      <c r="T19" s="8">
        <f>INDEX('V_Tüm Teknoloji'!S$2:S$59,MATCH(LARGE('V_Tüm Teknoloji'!$AE$2:$AE$59,ROW()-3),'V_Tüm Teknoloji'!$AE$2:$AE$59,0))</f>
        <v/>
      </c>
      <c r="U19" s="8">
        <f>INDEX('V_Tüm Teknoloji'!T$2:T$59,MATCH(LARGE('V_Tüm Teknoloji'!$AE$2:$AE$59,ROW()-3),'V_Tüm Teknoloji'!$AE$2:$AE$59,0))</f>
        <v/>
      </c>
      <c r="V19" s="8">
        <f>INDEX('V_Tüm Teknoloji'!U$2:U$59,MATCH(LARGE('V_Tüm Teknoloji'!$AE$2:$AE$59,ROW()-3),'V_Tüm Teknoloji'!$AE$2:$AE$59,0))</f>
        <v/>
      </c>
      <c r="W19" s="8">
        <f>INDEX('V_Tüm Teknoloji'!V$2:V$59,MATCH(LARGE('V_Tüm Teknoloji'!$AE$2:$AE$59,ROW()-3),'V_Tüm Teknoloji'!$AE$2:$AE$59,0))</f>
        <v/>
      </c>
      <c r="X19" s="8">
        <f>INDEX('V_Tüm Teknoloji'!W$2:W$59,MATCH(LARGE('V_Tüm Teknoloji'!$AE$2:$AE$59,ROW()-3),'V_Tüm Teknoloji'!$AE$2:$AE$59,0))</f>
        <v/>
      </c>
      <c r="Y19" s="8">
        <f>INDEX('V_Tüm Teknoloji'!X$2:X$59,MATCH(LARGE('V_Tüm Teknoloji'!$AE$2:$AE$59,ROW()-3),'V_Tüm Teknoloji'!$AE$2:$AE$59,0))</f>
        <v/>
      </c>
      <c r="Z19" s="8">
        <f>INDEX('V_Tüm Teknoloji'!Y$2:Y$59,MATCH(LARGE('V_Tüm Teknoloji'!$AE$2:$AE$59,ROW()-3),'V_Tüm Teknoloji'!$AE$2:$AE$59,0))</f>
        <v/>
      </c>
      <c r="AA19" s="8">
        <f>INDEX('V_Tüm Teknoloji'!Z$2:Z$59,MATCH(LARGE('V_Tüm Teknoloji'!$AE$2:$AE$59,ROW()-3),'V_Tüm Teknoloji'!$AE$2:$AE$59,0))</f>
        <v/>
      </c>
      <c r="AB19" s="8">
        <f>INDEX('V_Tüm Teknoloji'!AA$2:AA$59,MATCH(LARGE('V_Tüm Teknoloji'!$AE$2:$AE$59,ROW()-3),'V_Tüm Teknoloji'!$AE$2:$AE$59,0))</f>
        <v/>
      </c>
      <c r="AC19" s="8">
        <f>INDEX('V_Tüm Teknoloji'!AB$2:AB$59,MATCH(LARGE('V_Tüm Teknoloji'!$AE$2:$AE$59,ROW()-3),'V_Tüm Teknoloji'!$AE$2:$AE$59,0))</f>
        <v/>
      </c>
      <c r="AD19" s="8">
        <f>INDEX('V_Tüm Teknoloji'!AC$2:AC$59,MATCH(LARGE('V_Tüm Teknoloji'!$AE$2:$AE$59,ROW()-3),'V_Tüm Teknoloji'!$AE$2:$AE$59,0))</f>
        <v/>
      </c>
    </row>
    <row r="20">
      <c r="A20" t="n">
        <v>17</v>
      </c>
      <c r="B20" s="5">
        <f>INDEX('V_Tüm Teknoloji'!A$2:A$59,MATCH(LARGE('V_Tüm Teknoloji'!$AE$2:$AE$59,ROW()-3),'V_Tüm Teknoloji'!$AE$2:$AE$59,0))</f>
        <v/>
      </c>
      <c r="C20" s="5">
        <f>INDEX('V_Tüm Teknoloji'!B$2:B$59,MATCH(LARGE('V_Tüm Teknoloji'!$AE$2:$AE$59,ROW()-3),'V_Tüm Teknoloji'!$AE$2:$AE$59,0))</f>
        <v/>
      </c>
      <c r="D20" s="5">
        <f>INDEX('V_Tüm Teknoloji'!C$2:C$59,MATCH(LARGE('V_Tüm Teknoloji'!$AE$2:$AE$59,ROW()-3),'V_Tüm Teknoloji'!$AE$2:$AE$59,0))</f>
        <v/>
      </c>
      <c r="E20" s="8">
        <f>INDEX('V_Tüm Teknoloji'!D$2:D$59,MATCH(LARGE('V_Tüm Teknoloji'!$AE$2:$AE$59,ROW()-3),'V_Tüm Teknoloji'!$AE$2:$AE$59,0))</f>
        <v/>
      </c>
      <c r="F20" s="9">
        <f>INDEX('V_Tüm Teknoloji'!E$2:E$59,MATCH(LARGE('V_Tüm Teknoloji'!$AE$2:$AE$59,ROW()-3),'V_Tüm Teknoloji'!$AE$2:$AE$59,0))</f>
        <v/>
      </c>
      <c r="G20" s="9">
        <f>INDEX('V_Tüm Teknoloji'!F$2:F$59,MATCH(LARGE('V_Tüm Teknoloji'!$AE$2:$AE$59,ROW()-3),'V_Tüm Teknoloji'!$AE$2:$AE$59,0))</f>
        <v/>
      </c>
      <c r="H20" s="9">
        <f>INDEX('V_Tüm Teknoloji'!G$2:G$59,MATCH(LARGE('V_Tüm Teknoloji'!$AE$2:$AE$59,ROW()-3),'V_Tüm Teknoloji'!$AE$2:$AE$59,0))</f>
        <v/>
      </c>
      <c r="I20" s="9">
        <f>INDEX('V_Tüm Teknoloji'!H$2:H$59,MATCH(LARGE('V_Tüm Teknoloji'!$AE$2:$AE$59,ROW()-3),'V_Tüm Teknoloji'!$AE$2:$AE$59,0))</f>
        <v/>
      </c>
      <c r="J20" s="9">
        <f>INDEX('V_Tüm Teknoloji'!I$2:I$59,MATCH(LARGE('V_Tüm Teknoloji'!$AE$2:$AE$59,ROW()-3),'V_Tüm Teknoloji'!$AE$2:$AE$59,0))</f>
        <v/>
      </c>
      <c r="K20" s="10">
        <f>INDEX('V_Tüm Teknoloji'!J$2:J$59,MATCH(LARGE('V_Tüm Teknoloji'!$AE$2:$AE$59,ROW()-3),'V_Tüm Teknoloji'!$AE$2:$AE$59,0))</f>
        <v/>
      </c>
      <c r="L20" s="10">
        <f>INDEX('V_Tüm Teknoloji'!K$2:K$59,MATCH(LARGE('V_Tüm Teknoloji'!$AE$2:$AE$59,ROW()-3),'V_Tüm Teknoloji'!$AE$2:$AE$59,0))</f>
        <v/>
      </c>
      <c r="M20" s="8">
        <f>INDEX('V_Tüm Teknoloji'!L$2:L$59,MATCH(LARGE('V_Tüm Teknoloji'!$AE$2:$AE$59,ROW()-3),'V_Tüm Teknoloji'!$AE$2:$AE$59,0))</f>
        <v/>
      </c>
      <c r="N20" s="11">
        <f>INDEX('V_Tüm Teknoloji'!M$2:M$59,MATCH(LARGE('V_Tüm Teknoloji'!$AE$2:$AE$59,ROW()-3),'V_Tüm Teknoloji'!$AE$2:$AE$59,0))</f>
        <v/>
      </c>
      <c r="O20" s="11">
        <f>INDEX('V_Tüm Teknoloji'!N$2:N$59,MATCH(LARGE('V_Tüm Teknoloji'!$AE$2:$AE$59,ROW()-3),'V_Tüm Teknoloji'!$AE$2:$AE$59,0))</f>
        <v/>
      </c>
      <c r="P20" s="8">
        <f>INDEX('V_Tüm Teknoloji'!O$2:O$59,MATCH(LARGE('V_Tüm Teknoloji'!$AE$2:$AE$59,ROW()-3),'V_Tüm Teknoloji'!$AE$2:$AE$59,0))</f>
        <v/>
      </c>
      <c r="Q20" s="9">
        <f>INDEX('V_Tüm Teknoloji'!P$2:P$59,MATCH(LARGE('V_Tüm Teknoloji'!$AE$2:$AE$59,ROW()-3),'V_Tüm Teknoloji'!$AE$2:$AE$59,0))</f>
        <v/>
      </c>
      <c r="R20" s="5">
        <f>INDEX('V_Tüm Teknoloji'!Q$2:Q$59,MATCH(LARGE('V_Tüm Teknoloji'!$AE$2:$AE$59,ROW()-3),'V_Tüm Teknoloji'!$AE$2:$AE$59,0))</f>
        <v/>
      </c>
      <c r="S20" s="8">
        <f>INDEX('V_Tüm Teknoloji'!R$2:R$59,MATCH(LARGE('V_Tüm Teknoloji'!$AE$2:$AE$59,ROW()-3),'V_Tüm Teknoloji'!$AE$2:$AE$59,0))</f>
        <v/>
      </c>
      <c r="T20" s="8">
        <f>INDEX('V_Tüm Teknoloji'!S$2:S$59,MATCH(LARGE('V_Tüm Teknoloji'!$AE$2:$AE$59,ROW()-3),'V_Tüm Teknoloji'!$AE$2:$AE$59,0))</f>
        <v/>
      </c>
      <c r="U20" s="8">
        <f>INDEX('V_Tüm Teknoloji'!T$2:T$59,MATCH(LARGE('V_Tüm Teknoloji'!$AE$2:$AE$59,ROW()-3),'V_Tüm Teknoloji'!$AE$2:$AE$59,0))</f>
        <v/>
      </c>
      <c r="V20" s="8">
        <f>INDEX('V_Tüm Teknoloji'!U$2:U$59,MATCH(LARGE('V_Tüm Teknoloji'!$AE$2:$AE$59,ROW()-3),'V_Tüm Teknoloji'!$AE$2:$AE$59,0))</f>
        <v/>
      </c>
      <c r="W20" s="8">
        <f>INDEX('V_Tüm Teknoloji'!V$2:V$59,MATCH(LARGE('V_Tüm Teknoloji'!$AE$2:$AE$59,ROW()-3),'V_Tüm Teknoloji'!$AE$2:$AE$59,0))</f>
        <v/>
      </c>
      <c r="X20" s="8">
        <f>INDEX('V_Tüm Teknoloji'!W$2:W$59,MATCH(LARGE('V_Tüm Teknoloji'!$AE$2:$AE$59,ROW()-3),'V_Tüm Teknoloji'!$AE$2:$AE$59,0))</f>
        <v/>
      </c>
      <c r="Y20" s="8">
        <f>INDEX('V_Tüm Teknoloji'!X$2:X$59,MATCH(LARGE('V_Tüm Teknoloji'!$AE$2:$AE$59,ROW()-3),'V_Tüm Teknoloji'!$AE$2:$AE$59,0))</f>
        <v/>
      </c>
      <c r="Z20" s="8">
        <f>INDEX('V_Tüm Teknoloji'!Y$2:Y$59,MATCH(LARGE('V_Tüm Teknoloji'!$AE$2:$AE$59,ROW()-3),'V_Tüm Teknoloji'!$AE$2:$AE$59,0))</f>
        <v/>
      </c>
      <c r="AA20" s="8">
        <f>INDEX('V_Tüm Teknoloji'!Z$2:Z$59,MATCH(LARGE('V_Tüm Teknoloji'!$AE$2:$AE$59,ROW()-3),'V_Tüm Teknoloji'!$AE$2:$AE$59,0))</f>
        <v/>
      </c>
      <c r="AB20" s="8">
        <f>INDEX('V_Tüm Teknoloji'!AA$2:AA$59,MATCH(LARGE('V_Tüm Teknoloji'!$AE$2:$AE$59,ROW()-3),'V_Tüm Teknoloji'!$AE$2:$AE$59,0))</f>
        <v/>
      </c>
      <c r="AC20" s="8">
        <f>INDEX('V_Tüm Teknoloji'!AB$2:AB$59,MATCH(LARGE('V_Tüm Teknoloji'!$AE$2:$AE$59,ROW()-3),'V_Tüm Teknoloji'!$AE$2:$AE$59,0))</f>
        <v/>
      </c>
      <c r="AD20" s="8">
        <f>INDEX('V_Tüm Teknoloji'!AC$2:AC$59,MATCH(LARGE('V_Tüm Teknoloji'!$AE$2:$AE$59,ROW()-3),'V_Tüm Teknoloji'!$AE$2:$AE$59,0))</f>
        <v/>
      </c>
    </row>
    <row r="21">
      <c r="A21" t="n">
        <v>18</v>
      </c>
      <c r="B21" s="5">
        <f>INDEX('V_Tüm Teknoloji'!A$2:A$59,MATCH(LARGE('V_Tüm Teknoloji'!$AE$2:$AE$59,ROW()-3),'V_Tüm Teknoloji'!$AE$2:$AE$59,0))</f>
        <v/>
      </c>
      <c r="C21" s="5">
        <f>INDEX('V_Tüm Teknoloji'!B$2:B$59,MATCH(LARGE('V_Tüm Teknoloji'!$AE$2:$AE$59,ROW()-3),'V_Tüm Teknoloji'!$AE$2:$AE$59,0))</f>
        <v/>
      </c>
      <c r="D21" s="5">
        <f>INDEX('V_Tüm Teknoloji'!C$2:C$59,MATCH(LARGE('V_Tüm Teknoloji'!$AE$2:$AE$59,ROW()-3),'V_Tüm Teknoloji'!$AE$2:$AE$59,0))</f>
        <v/>
      </c>
      <c r="E21" s="8">
        <f>INDEX('V_Tüm Teknoloji'!D$2:D$59,MATCH(LARGE('V_Tüm Teknoloji'!$AE$2:$AE$59,ROW()-3),'V_Tüm Teknoloji'!$AE$2:$AE$59,0))</f>
        <v/>
      </c>
      <c r="F21" s="9">
        <f>INDEX('V_Tüm Teknoloji'!E$2:E$59,MATCH(LARGE('V_Tüm Teknoloji'!$AE$2:$AE$59,ROW()-3),'V_Tüm Teknoloji'!$AE$2:$AE$59,0))</f>
        <v/>
      </c>
      <c r="G21" s="9">
        <f>INDEX('V_Tüm Teknoloji'!F$2:F$59,MATCH(LARGE('V_Tüm Teknoloji'!$AE$2:$AE$59,ROW()-3),'V_Tüm Teknoloji'!$AE$2:$AE$59,0))</f>
        <v/>
      </c>
      <c r="H21" s="9">
        <f>INDEX('V_Tüm Teknoloji'!G$2:G$59,MATCH(LARGE('V_Tüm Teknoloji'!$AE$2:$AE$59,ROW()-3),'V_Tüm Teknoloji'!$AE$2:$AE$59,0))</f>
        <v/>
      </c>
      <c r="I21" s="9">
        <f>INDEX('V_Tüm Teknoloji'!H$2:H$59,MATCH(LARGE('V_Tüm Teknoloji'!$AE$2:$AE$59,ROW()-3),'V_Tüm Teknoloji'!$AE$2:$AE$59,0))</f>
        <v/>
      </c>
      <c r="J21" s="9">
        <f>INDEX('V_Tüm Teknoloji'!I$2:I$59,MATCH(LARGE('V_Tüm Teknoloji'!$AE$2:$AE$59,ROW()-3),'V_Tüm Teknoloji'!$AE$2:$AE$59,0))</f>
        <v/>
      </c>
      <c r="K21" s="10">
        <f>INDEX('V_Tüm Teknoloji'!J$2:J$59,MATCH(LARGE('V_Tüm Teknoloji'!$AE$2:$AE$59,ROW()-3),'V_Tüm Teknoloji'!$AE$2:$AE$59,0))</f>
        <v/>
      </c>
      <c r="L21" s="10">
        <f>INDEX('V_Tüm Teknoloji'!K$2:K$59,MATCH(LARGE('V_Tüm Teknoloji'!$AE$2:$AE$59,ROW()-3),'V_Tüm Teknoloji'!$AE$2:$AE$59,0))</f>
        <v/>
      </c>
      <c r="M21" s="8">
        <f>INDEX('V_Tüm Teknoloji'!L$2:L$59,MATCH(LARGE('V_Tüm Teknoloji'!$AE$2:$AE$59,ROW()-3),'V_Tüm Teknoloji'!$AE$2:$AE$59,0))</f>
        <v/>
      </c>
      <c r="N21" s="11">
        <f>INDEX('V_Tüm Teknoloji'!M$2:M$59,MATCH(LARGE('V_Tüm Teknoloji'!$AE$2:$AE$59,ROW()-3),'V_Tüm Teknoloji'!$AE$2:$AE$59,0))</f>
        <v/>
      </c>
      <c r="O21" s="11">
        <f>INDEX('V_Tüm Teknoloji'!N$2:N$59,MATCH(LARGE('V_Tüm Teknoloji'!$AE$2:$AE$59,ROW()-3),'V_Tüm Teknoloji'!$AE$2:$AE$59,0))</f>
        <v/>
      </c>
      <c r="P21" s="8">
        <f>INDEX('V_Tüm Teknoloji'!O$2:O$59,MATCH(LARGE('V_Tüm Teknoloji'!$AE$2:$AE$59,ROW()-3),'V_Tüm Teknoloji'!$AE$2:$AE$59,0))</f>
        <v/>
      </c>
      <c r="Q21" s="9">
        <f>INDEX('V_Tüm Teknoloji'!P$2:P$59,MATCH(LARGE('V_Tüm Teknoloji'!$AE$2:$AE$59,ROW()-3),'V_Tüm Teknoloji'!$AE$2:$AE$59,0))</f>
        <v/>
      </c>
      <c r="R21" s="5">
        <f>INDEX('V_Tüm Teknoloji'!Q$2:Q$59,MATCH(LARGE('V_Tüm Teknoloji'!$AE$2:$AE$59,ROW()-3),'V_Tüm Teknoloji'!$AE$2:$AE$59,0))</f>
        <v/>
      </c>
      <c r="S21" s="8">
        <f>INDEX('V_Tüm Teknoloji'!R$2:R$59,MATCH(LARGE('V_Tüm Teknoloji'!$AE$2:$AE$59,ROW()-3),'V_Tüm Teknoloji'!$AE$2:$AE$59,0))</f>
        <v/>
      </c>
      <c r="T21" s="8">
        <f>INDEX('V_Tüm Teknoloji'!S$2:S$59,MATCH(LARGE('V_Tüm Teknoloji'!$AE$2:$AE$59,ROW()-3),'V_Tüm Teknoloji'!$AE$2:$AE$59,0))</f>
        <v/>
      </c>
      <c r="U21" s="8">
        <f>INDEX('V_Tüm Teknoloji'!T$2:T$59,MATCH(LARGE('V_Tüm Teknoloji'!$AE$2:$AE$59,ROW()-3),'V_Tüm Teknoloji'!$AE$2:$AE$59,0))</f>
        <v/>
      </c>
      <c r="V21" s="8">
        <f>INDEX('V_Tüm Teknoloji'!U$2:U$59,MATCH(LARGE('V_Tüm Teknoloji'!$AE$2:$AE$59,ROW()-3),'V_Tüm Teknoloji'!$AE$2:$AE$59,0))</f>
        <v/>
      </c>
      <c r="W21" s="8">
        <f>INDEX('V_Tüm Teknoloji'!V$2:V$59,MATCH(LARGE('V_Tüm Teknoloji'!$AE$2:$AE$59,ROW()-3),'V_Tüm Teknoloji'!$AE$2:$AE$59,0))</f>
        <v/>
      </c>
      <c r="X21" s="8">
        <f>INDEX('V_Tüm Teknoloji'!W$2:W$59,MATCH(LARGE('V_Tüm Teknoloji'!$AE$2:$AE$59,ROW()-3),'V_Tüm Teknoloji'!$AE$2:$AE$59,0))</f>
        <v/>
      </c>
      <c r="Y21" s="8">
        <f>INDEX('V_Tüm Teknoloji'!X$2:X$59,MATCH(LARGE('V_Tüm Teknoloji'!$AE$2:$AE$59,ROW()-3),'V_Tüm Teknoloji'!$AE$2:$AE$59,0))</f>
        <v/>
      </c>
      <c r="Z21" s="8">
        <f>INDEX('V_Tüm Teknoloji'!Y$2:Y$59,MATCH(LARGE('V_Tüm Teknoloji'!$AE$2:$AE$59,ROW()-3),'V_Tüm Teknoloji'!$AE$2:$AE$59,0))</f>
        <v/>
      </c>
      <c r="AA21" s="8">
        <f>INDEX('V_Tüm Teknoloji'!Z$2:Z$59,MATCH(LARGE('V_Tüm Teknoloji'!$AE$2:$AE$59,ROW()-3),'V_Tüm Teknoloji'!$AE$2:$AE$59,0))</f>
        <v/>
      </c>
      <c r="AB21" s="8">
        <f>INDEX('V_Tüm Teknoloji'!AA$2:AA$59,MATCH(LARGE('V_Tüm Teknoloji'!$AE$2:$AE$59,ROW()-3),'V_Tüm Teknoloji'!$AE$2:$AE$59,0))</f>
        <v/>
      </c>
      <c r="AC21" s="8">
        <f>INDEX('V_Tüm Teknoloji'!AB$2:AB$59,MATCH(LARGE('V_Tüm Teknoloji'!$AE$2:$AE$59,ROW()-3),'V_Tüm Teknoloji'!$AE$2:$AE$59,0))</f>
        <v/>
      </c>
      <c r="AD21" s="8">
        <f>INDEX('V_Tüm Teknoloji'!AC$2:AC$59,MATCH(LARGE('V_Tüm Teknoloji'!$AE$2:$AE$59,ROW()-3),'V_Tüm Teknoloji'!$AE$2:$AE$59,0))</f>
        <v/>
      </c>
    </row>
    <row r="22">
      <c r="A22" t="n">
        <v>19</v>
      </c>
      <c r="B22" s="5">
        <f>INDEX('V_Tüm Teknoloji'!A$2:A$59,MATCH(LARGE('V_Tüm Teknoloji'!$AE$2:$AE$59,ROW()-3),'V_Tüm Teknoloji'!$AE$2:$AE$59,0))</f>
        <v/>
      </c>
      <c r="C22" s="5">
        <f>INDEX('V_Tüm Teknoloji'!B$2:B$59,MATCH(LARGE('V_Tüm Teknoloji'!$AE$2:$AE$59,ROW()-3),'V_Tüm Teknoloji'!$AE$2:$AE$59,0))</f>
        <v/>
      </c>
      <c r="D22" s="5">
        <f>INDEX('V_Tüm Teknoloji'!C$2:C$59,MATCH(LARGE('V_Tüm Teknoloji'!$AE$2:$AE$59,ROW()-3),'V_Tüm Teknoloji'!$AE$2:$AE$59,0))</f>
        <v/>
      </c>
      <c r="E22" s="8">
        <f>INDEX('V_Tüm Teknoloji'!D$2:D$59,MATCH(LARGE('V_Tüm Teknoloji'!$AE$2:$AE$59,ROW()-3),'V_Tüm Teknoloji'!$AE$2:$AE$59,0))</f>
        <v/>
      </c>
      <c r="F22" s="9">
        <f>INDEX('V_Tüm Teknoloji'!E$2:E$59,MATCH(LARGE('V_Tüm Teknoloji'!$AE$2:$AE$59,ROW()-3),'V_Tüm Teknoloji'!$AE$2:$AE$59,0))</f>
        <v/>
      </c>
      <c r="G22" s="9">
        <f>INDEX('V_Tüm Teknoloji'!F$2:F$59,MATCH(LARGE('V_Tüm Teknoloji'!$AE$2:$AE$59,ROW()-3),'V_Tüm Teknoloji'!$AE$2:$AE$59,0))</f>
        <v/>
      </c>
      <c r="H22" s="9">
        <f>INDEX('V_Tüm Teknoloji'!G$2:G$59,MATCH(LARGE('V_Tüm Teknoloji'!$AE$2:$AE$59,ROW()-3),'V_Tüm Teknoloji'!$AE$2:$AE$59,0))</f>
        <v/>
      </c>
      <c r="I22" s="9">
        <f>INDEX('V_Tüm Teknoloji'!H$2:H$59,MATCH(LARGE('V_Tüm Teknoloji'!$AE$2:$AE$59,ROW()-3),'V_Tüm Teknoloji'!$AE$2:$AE$59,0))</f>
        <v/>
      </c>
      <c r="J22" s="9">
        <f>INDEX('V_Tüm Teknoloji'!I$2:I$59,MATCH(LARGE('V_Tüm Teknoloji'!$AE$2:$AE$59,ROW()-3),'V_Tüm Teknoloji'!$AE$2:$AE$59,0))</f>
        <v/>
      </c>
      <c r="K22" s="10">
        <f>INDEX('V_Tüm Teknoloji'!J$2:J$59,MATCH(LARGE('V_Tüm Teknoloji'!$AE$2:$AE$59,ROW()-3),'V_Tüm Teknoloji'!$AE$2:$AE$59,0))</f>
        <v/>
      </c>
      <c r="L22" s="10">
        <f>INDEX('V_Tüm Teknoloji'!K$2:K$59,MATCH(LARGE('V_Tüm Teknoloji'!$AE$2:$AE$59,ROW()-3),'V_Tüm Teknoloji'!$AE$2:$AE$59,0))</f>
        <v/>
      </c>
      <c r="M22" s="8">
        <f>INDEX('V_Tüm Teknoloji'!L$2:L$59,MATCH(LARGE('V_Tüm Teknoloji'!$AE$2:$AE$59,ROW()-3),'V_Tüm Teknoloji'!$AE$2:$AE$59,0))</f>
        <v/>
      </c>
      <c r="N22" s="11">
        <f>INDEX('V_Tüm Teknoloji'!M$2:M$59,MATCH(LARGE('V_Tüm Teknoloji'!$AE$2:$AE$59,ROW()-3),'V_Tüm Teknoloji'!$AE$2:$AE$59,0))</f>
        <v/>
      </c>
      <c r="O22" s="11">
        <f>INDEX('V_Tüm Teknoloji'!N$2:N$59,MATCH(LARGE('V_Tüm Teknoloji'!$AE$2:$AE$59,ROW()-3),'V_Tüm Teknoloji'!$AE$2:$AE$59,0))</f>
        <v/>
      </c>
      <c r="P22" s="8">
        <f>INDEX('V_Tüm Teknoloji'!O$2:O$59,MATCH(LARGE('V_Tüm Teknoloji'!$AE$2:$AE$59,ROW()-3),'V_Tüm Teknoloji'!$AE$2:$AE$59,0))</f>
        <v/>
      </c>
      <c r="Q22" s="9">
        <f>INDEX('V_Tüm Teknoloji'!P$2:P$59,MATCH(LARGE('V_Tüm Teknoloji'!$AE$2:$AE$59,ROW()-3),'V_Tüm Teknoloji'!$AE$2:$AE$59,0))</f>
        <v/>
      </c>
      <c r="R22" s="5">
        <f>INDEX('V_Tüm Teknoloji'!Q$2:Q$59,MATCH(LARGE('V_Tüm Teknoloji'!$AE$2:$AE$59,ROW()-3),'V_Tüm Teknoloji'!$AE$2:$AE$59,0))</f>
        <v/>
      </c>
      <c r="S22" s="8">
        <f>INDEX('V_Tüm Teknoloji'!R$2:R$59,MATCH(LARGE('V_Tüm Teknoloji'!$AE$2:$AE$59,ROW()-3),'V_Tüm Teknoloji'!$AE$2:$AE$59,0))</f>
        <v/>
      </c>
      <c r="T22" s="8">
        <f>INDEX('V_Tüm Teknoloji'!S$2:S$59,MATCH(LARGE('V_Tüm Teknoloji'!$AE$2:$AE$59,ROW()-3),'V_Tüm Teknoloji'!$AE$2:$AE$59,0))</f>
        <v/>
      </c>
      <c r="U22" s="8">
        <f>INDEX('V_Tüm Teknoloji'!T$2:T$59,MATCH(LARGE('V_Tüm Teknoloji'!$AE$2:$AE$59,ROW()-3),'V_Tüm Teknoloji'!$AE$2:$AE$59,0))</f>
        <v/>
      </c>
      <c r="V22" s="8">
        <f>INDEX('V_Tüm Teknoloji'!U$2:U$59,MATCH(LARGE('V_Tüm Teknoloji'!$AE$2:$AE$59,ROW()-3),'V_Tüm Teknoloji'!$AE$2:$AE$59,0))</f>
        <v/>
      </c>
      <c r="W22" s="8">
        <f>INDEX('V_Tüm Teknoloji'!V$2:V$59,MATCH(LARGE('V_Tüm Teknoloji'!$AE$2:$AE$59,ROW()-3),'V_Tüm Teknoloji'!$AE$2:$AE$59,0))</f>
        <v/>
      </c>
      <c r="X22" s="8">
        <f>INDEX('V_Tüm Teknoloji'!W$2:W$59,MATCH(LARGE('V_Tüm Teknoloji'!$AE$2:$AE$59,ROW()-3),'V_Tüm Teknoloji'!$AE$2:$AE$59,0))</f>
        <v/>
      </c>
      <c r="Y22" s="8">
        <f>INDEX('V_Tüm Teknoloji'!X$2:X$59,MATCH(LARGE('V_Tüm Teknoloji'!$AE$2:$AE$59,ROW()-3),'V_Tüm Teknoloji'!$AE$2:$AE$59,0))</f>
        <v/>
      </c>
      <c r="Z22" s="8">
        <f>INDEX('V_Tüm Teknoloji'!Y$2:Y$59,MATCH(LARGE('V_Tüm Teknoloji'!$AE$2:$AE$59,ROW()-3),'V_Tüm Teknoloji'!$AE$2:$AE$59,0))</f>
        <v/>
      </c>
      <c r="AA22" s="8">
        <f>INDEX('V_Tüm Teknoloji'!Z$2:Z$59,MATCH(LARGE('V_Tüm Teknoloji'!$AE$2:$AE$59,ROW()-3),'V_Tüm Teknoloji'!$AE$2:$AE$59,0))</f>
        <v/>
      </c>
      <c r="AB22" s="8">
        <f>INDEX('V_Tüm Teknoloji'!AA$2:AA$59,MATCH(LARGE('V_Tüm Teknoloji'!$AE$2:$AE$59,ROW()-3),'V_Tüm Teknoloji'!$AE$2:$AE$59,0))</f>
        <v/>
      </c>
      <c r="AC22" s="8">
        <f>INDEX('V_Tüm Teknoloji'!AB$2:AB$59,MATCH(LARGE('V_Tüm Teknoloji'!$AE$2:$AE$59,ROW()-3),'V_Tüm Teknoloji'!$AE$2:$AE$59,0))</f>
        <v/>
      </c>
      <c r="AD22" s="8">
        <f>INDEX('V_Tüm Teknoloji'!AC$2:AC$59,MATCH(LARGE('V_Tüm Teknoloji'!$AE$2:$AE$59,ROW()-3),'V_Tüm Teknoloji'!$AE$2:$AE$59,0))</f>
        <v/>
      </c>
    </row>
    <row r="23">
      <c r="A23" t="n">
        <v>20</v>
      </c>
      <c r="B23" s="5">
        <f>INDEX('V_Tüm Teknoloji'!A$2:A$59,MATCH(LARGE('V_Tüm Teknoloji'!$AE$2:$AE$59,ROW()-3),'V_Tüm Teknoloji'!$AE$2:$AE$59,0))</f>
        <v/>
      </c>
      <c r="C23" s="5">
        <f>INDEX('V_Tüm Teknoloji'!B$2:B$59,MATCH(LARGE('V_Tüm Teknoloji'!$AE$2:$AE$59,ROW()-3),'V_Tüm Teknoloji'!$AE$2:$AE$59,0))</f>
        <v/>
      </c>
      <c r="D23" s="5">
        <f>INDEX('V_Tüm Teknoloji'!C$2:C$59,MATCH(LARGE('V_Tüm Teknoloji'!$AE$2:$AE$59,ROW()-3),'V_Tüm Teknoloji'!$AE$2:$AE$59,0))</f>
        <v/>
      </c>
      <c r="E23" s="8">
        <f>INDEX('V_Tüm Teknoloji'!D$2:D$59,MATCH(LARGE('V_Tüm Teknoloji'!$AE$2:$AE$59,ROW()-3),'V_Tüm Teknoloji'!$AE$2:$AE$59,0))</f>
        <v/>
      </c>
      <c r="F23" s="9">
        <f>INDEX('V_Tüm Teknoloji'!E$2:E$59,MATCH(LARGE('V_Tüm Teknoloji'!$AE$2:$AE$59,ROW()-3),'V_Tüm Teknoloji'!$AE$2:$AE$59,0))</f>
        <v/>
      </c>
      <c r="G23" s="9">
        <f>INDEX('V_Tüm Teknoloji'!F$2:F$59,MATCH(LARGE('V_Tüm Teknoloji'!$AE$2:$AE$59,ROW()-3),'V_Tüm Teknoloji'!$AE$2:$AE$59,0))</f>
        <v/>
      </c>
      <c r="H23" s="9">
        <f>INDEX('V_Tüm Teknoloji'!G$2:G$59,MATCH(LARGE('V_Tüm Teknoloji'!$AE$2:$AE$59,ROW()-3),'V_Tüm Teknoloji'!$AE$2:$AE$59,0))</f>
        <v/>
      </c>
      <c r="I23" s="9">
        <f>INDEX('V_Tüm Teknoloji'!H$2:H$59,MATCH(LARGE('V_Tüm Teknoloji'!$AE$2:$AE$59,ROW()-3),'V_Tüm Teknoloji'!$AE$2:$AE$59,0))</f>
        <v/>
      </c>
      <c r="J23" s="9">
        <f>INDEX('V_Tüm Teknoloji'!I$2:I$59,MATCH(LARGE('V_Tüm Teknoloji'!$AE$2:$AE$59,ROW()-3),'V_Tüm Teknoloji'!$AE$2:$AE$59,0))</f>
        <v/>
      </c>
      <c r="K23" s="10">
        <f>INDEX('V_Tüm Teknoloji'!J$2:J$59,MATCH(LARGE('V_Tüm Teknoloji'!$AE$2:$AE$59,ROW()-3),'V_Tüm Teknoloji'!$AE$2:$AE$59,0))</f>
        <v/>
      </c>
      <c r="L23" s="10">
        <f>INDEX('V_Tüm Teknoloji'!K$2:K$59,MATCH(LARGE('V_Tüm Teknoloji'!$AE$2:$AE$59,ROW()-3),'V_Tüm Teknoloji'!$AE$2:$AE$59,0))</f>
        <v/>
      </c>
      <c r="M23" s="8">
        <f>INDEX('V_Tüm Teknoloji'!L$2:L$59,MATCH(LARGE('V_Tüm Teknoloji'!$AE$2:$AE$59,ROW()-3),'V_Tüm Teknoloji'!$AE$2:$AE$59,0))</f>
        <v/>
      </c>
      <c r="N23" s="11">
        <f>INDEX('V_Tüm Teknoloji'!M$2:M$59,MATCH(LARGE('V_Tüm Teknoloji'!$AE$2:$AE$59,ROW()-3),'V_Tüm Teknoloji'!$AE$2:$AE$59,0))</f>
        <v/>
      </c>
      <c r="O23" s="11">
        <f>INDEX('V_Tüm Teknoloji'!N$2:N$59,MATCH(LARGE('V_Tüm Teknoloji'!$AE$2:$AE$59,ROW()-3),'V_Tüm Teknoloji'!$AE$2:$AE$59,0))</f>
        <v/>
      </c>
      <c r="P23" s="8">
        <f>INDEX('V_Tüm Teknoloji'!O$2:O$59,MATCH(LARGE('V_Tüm Teknoloji'!$AE$2:$AE$59,ROW()-3),'V_Tüm Teknoloji'!$AE$2:$AE$59,0))</f>
        <v/>
      </c>
      <c r="Q23" s="9">
        <f>INDEX('V_Tüm Teknoloji'!P$2:P$59,MATCH(LARGE('V_Tüm Teknoloji'!$AE$2:$AE$59,ROW()-3),'V_Tüm Teknoloji'!$AE$2:$AE$59,0))</f>
        <v/>
      </c>
      <c r="R23" s="5">
        <f>INDEX('V_Tüm Teknoloji'!Q$2:Q$59,MATCH(LARGE('V_Tüm Teknoloji'!$AE$2:$AE$59,ROW()-3),'V_Tüm Teknoloji'!$AE$2:$AE$59,0))</f>
        <v/>
      </c>
      <c r="S23" s="8">
        <f>INDEX('V_Tüm Teknoloji'!R$2:R$59,MATCH(LARGE('V_Tüm Teknoloji'!$AE$2:$AE$59,ROW()-3),'V_Tüm Teknoloji'!$AE$2:$AE$59,0))</f>
        <v/>
      </c>
      <c r="T23" s="8">
        <f>INDEX('V_Tüm Teknoloji'!S$2:S$59,MATCH(LARGE('V_Tüm Teknoloji'!$AE$2:$AE$59,ROW()-3),'V_Tüm Teknoloji'!$AE$2:$AE$59,0))</f>
        <v/>
      </c>
      <c r="U23" s="8">
        <f>INDEX('V_Tüm Teknoloji'!T$2:T$59,MATCH(LARGE('V_Tüm Teknoloji'!$AE$2:$AE$59,ROW()-3),'V_Tüm Teknoloji'!$AE$2:$AE$59,0))</f>
        <v/>
      </c>
      <c r="V23" s="8">
        <f>INDEX('V_Tüm Teknoloji'!U$2:U$59,MATCH(LARGE('V_Tüm Teknoloji'!$AE$2:$AE$59,ROW()-3),'V_Tüm Teknoloji'!$AE$2:$AE$59,0))</f>
        <v/>
      </c>
      <c r="W23" s="8">
        <f>INDEX('V_Tüm Teknoloji'!V$2:V$59,MATCH(LARGE('V_Tüm Teknoloji'!$AE$2:$AE$59,ROW()-3),'V_Tüm Teknoloji'!$AE$2:$AE$59,0))</f>
        <v/>
      </c>
      <c r="X23" s="8">
        <f>INDEX('V_Tüm Teknoloji'!W$2:W$59,MATCH(LARGE('V_Tüm Teknoloji'!$AE$2:$AE$59,ROW()-3),'V_Tüm Teknoloji'!$AE$2:$AE$59,0))</f>
        <v/>
      </c>
      <c r="Y23" s="8">
        <f>INDEX('V_Tüm Teknoloji'!X$2:X$59,MATCH(LARGE('V_Tüm Teknoloji'!$AE$2:$AE$59,ROW()-3),'V_Tüm Teknoloji'!$AE$2:$AE$59,0))</f>
        <v/>
      </c>
      <c r="Z23" s="8">
        <f>INDEX('V_Tüm Teknoloji'!Y$2:Y$59,MATCH(LARGE('V_Tüm Teknoloji'!$AE$2:$AE$59,ROW()-3),'V_Tüm Teknoloji'!$AE$2:$AE$59,0))</f>
        <v/>
      </c>
      <c r="AA23" s="8">
        <f>INDEX('V_Tüm Teknoloji'!Z$2:Z$59,MATCH(LARGE('V_Tüm Teknoloji'!$AE$2:$AE$59,ROW()-3),'V_Tüm Teknoloji'!$AE$2:$AE$59,0))</f>
        <v/>
      </c>
      <c r="AB23" s="8">
        <f>INDEX('V_Tüm Teknoloji'!AA$2:AA$59,MATCH(LARGE('V_Tüm Teknoloji'!$AE$2:$AE$59,ROW()-3),'V_Tüm Teknoloji'!$AE$2:$AE$59,0))</f>
        <v/>
      </c>
      <c r="AC23" s="8">
        <f>INDEX('V_Tüm Teknoloji'!AB$2:AB$59,MATCH(LARGE('V_Tüm Teknoloji'!$AE$2:$AE$59,ROW()-3),'V_Tüm Teknoloji'!$AE$2:$AE$59,0))</f>
        <v/>
      </c>
      <c r="AD23" s="8">
        <f>INDEX('V_Tüm Teknoloji'!AC$2:AC$59,MATCH(LARGE('V_Tüm Teknoloji'!$AE$2:$AE$59,ROW()-3),'V_Tüm Teknoloji'!$AE$2:$AE$59,0))</f>
        <v/>
      </c>
    </row>
    <row r="24">
      <c r="A24" t="n">
        <v>21</v>
      </c>
      <c r="B24" s="5">
        <f>INDEX('V_Tüm Teknoloji'!A$2:A$59,MATCH(LARGE('V_Tüm Teknoloji'!$AE$2:$AE$59,ROW()-3),'V_Tüm Teknoloji'!$AE$2:$AE$59,0))</f>
        <v/>
      </c>
      <c r="C24" s="5">
        <f>INDEX('V_Tüm Teknoloji'!B$2:B$59,MATCH(LARGE('V_Tüm Teknoloji'!$AE$2:$AE$59,ROW()-3),'V_Tüm Teknoloji'!$AE$2:$AE$59,0))</f>
        <v/>
      </c>
      <c r="D24" s="5">
        <f>INDEX('V_Tüm Teknoloji'!C$2:C$59,MATCH(LARGE('V_Tüm Teknoloji'!$AE$2:$AE$59,ROW()-3),'V_Tüm Teknoloji'!$AE$2:$AE$59,0))</f>
        <v/>
      </c>
      <c r="E24" s="8">
        <f>INDEX('V_Tüm Teknoloji'!D$2:D$59,MATCH(LARGE('V_Tüm Teknoloji'!$AE$2:$AE$59,ROW()-3),'V_Tüm Teknoloji'!$AE$2:$AE$59,0))</f>
        <v/>
      </c>
      <c r="F24" s="9">
        <f>INDEX('V_Tüm Teknoloji'!E$2:E$59,MATCH(LARGE('V_Tüm Teknoloji'!$AE$2:$AE$59,ROW()-3),'V_Tüm Teknoloji'!$AE$2:$AE$59,0))</f>
        <v/>
      </c>
      <c r="G24" s="9">
        <f>INDEX('V_Tüm Teknoloji'!F$2:F$59,MATCH(LARGE('V_Tüm Teknoloji'!$AE$2:$AE$59,ROW()-3),'V_Tüm Teknoloji'!$AE$2:$AE$59,0))</f>
        <v/>
      </c>
      <c r="H24" s="9">
        <f>INDEX('V_Tüm Teknoloji'!G$2:G$59,MATCH(LARGE('V_Tüm Teknoloji'!$AE$2:$AE$59,ROW()-3),'V_Tüm Teknoloji'!$AE$2:$AE$59,0))</f>
        <v/>
      </c>
      <c r="I24" s="9">
        <f>INDEX('V_Tüm Teknoloji'!H$2:H$59,MATCH(LARGE('V_Tüm Teknoloji'!$AE$2:$AE$59,ROW()-3),'V_Tüm Teknoloji'!$AE$2:$AE$59,0))</f>
        <v/>
      </c>
      <c r="J24" s="9">
        <f>INDEX('V_Tüm Teknoloji'!I$2:I$59,MATCH(LARGE('V_Tüm Teknoloji'!$AE$2:$AE$59,ROW()-3),'V_Tüm Teknoloji'!$AE$2:$AE$59,0))</f>
        <v/>
      </c>
      <c r="K24" s="10">
        <f>INDEX('V_Tüm Teknoloji'!J$2:J$59,MATCH(LARGE('V_Tüm Teknoloji'!$AE$2:$AE$59,ROW()-3),'V_Tüm Teknoloji'!$AE$2:$AE$59,0))</f>
        <v/>
      </c>
      <c r="L24" s="10">
        <f>INDEX('V_Tüm Teknoloji'!K$2:K$59,MATCH(LARGE('V_Tüm Teknoloji'!$AE$2:$AE$59,ROW()-3),'V_Tüm Teknoloji'!$AE$2:$AE$59,0))</f>
        <v/>
      </c>
      <c r="M24" s="8">
        <f>INDEX('V_Tüm Teknoloji'!L$2:L$59,MATCH(LARGE('V_Tüm Teknoloji'!$AE$2:$AE$59,ROW()-3),'V_Tüm Teknoloji'!$AE$2:$AE$59,0))</f>
        <v/>
      </c>
      <c r="N24" s="11">
        <f>INDEX('V_Tüm Teknoloji'!M$2:M$59,MATCH(LARGE('V_Tüm Teknoloji'!$AE$2:$AE$59,ROW()-3),'V_Tüm Teknoloji'!$AE$2:$AE$59,0))</f>
        <v/>
      </c>
      <c r="O24" s="11">
        <f>INDEX('V_Tüm Teknoloji'!N$2:N$59,MATCH(LARGE('V_Tüm Teknoloji'!$AE$2:$AE$59,ROW()-3),'V_Tüm Teknoloji'!$AE$2:$AE$59,0))</f>
        <v/>
      </c>
      <c r="P24" s="8">
        <f>INDEX('V_Tüm Teknoloji'!O$2:O$59,MATCH(LARGE('V_Tüm Teknoloji'!$AE$2:$AE$59,ROW()-3),'V_Tüm Teknoloji'!$AE$2:$AE$59,0))</f>
        <v/>
      </c>
      <c r="Q24" s="9">
        <f>INDEX('V_Tüm Teknoloji'!P$2:P$59,MATCH(LARGE('V_Tüm Teknoloji'!$AE$2:$AE$59,ROW()-3),'V_Tüm Teknoloji'!$AE$2:$AE$59,0))</f>
        <v/>
      </c>
      <c r="R24" s="5">
        <f>INDEX('V_Tüm Teknoloji'!Q$2:Q$59,MATCH(LARGE('V_Tüm Teknoloji'!$AE$2:$AE$59,ROW()-3),'V_Tüm Teknoloji'!$AE$2:$AE$59,0))</f>
        <v/>
      </c>
      <c r="S24" s="8">
        <f>INDEX('V_Tüm Teknoloji'!R$2:R$59,MATCH(LARGE('V_Tüm Teknoloji'!$AE$2:$AE$59,ROW()-3),'V_Tüm Teknoloji'!$AE$2:$AE$59,0))</f>
        <v/>
      </c>
      <c r="T24" s="8">
        <f>INDEX('V_Tüm Teknoloji'!S$2:S$59,MATCH(LARGE('V_Tüm Teknoloji'!$AE$2:$AE$59,ROW()-3),'V_Tüm Teknoloji'!$AE$2:$AE$59,0))</f>
        <v/>
      </c>
      <c r="U24" s="8">
        <f>INDEX('V_Tüm Teknoloji'!T$2:T$59,MATCH(LARGE('V_Tüm Teknoloji'!$AE$2:$AE$59,ROW()-3),'V_Tüm Teknoloji'!$AE$2:$AE$59,0))</f>
        <v/>
      </c>
      <c r="V24" s="8">
        <f>INDEX('V_Tüm Teknoloji'!U$2:U$59,MATCH(LARGE('V_Tüm Teknoloji'!$AE$2:$AE$59,ROW()-3),'V_Tüm Teknoloji'!$AE$2:$AE$59,0))</f>
        <v/>
      </c>
      <c r="W24" s="8">
        <f>INDEX('V_Tüm Teknoloji'!V$2:V$59,MATCH(LARGE('V_Tüm Teknoloji'!$AE$2:$AE$59,ROW()-3),'V_Tüm Teknoloji'!$AE$2:$AE$59,0))</f>
        <v/>
      </c>
      <c r="X24" s="8">
        <f>INDEX('V_Tüm Teknoloji'!W$2:W$59,MATCH(LARGE('V_Tüm Teknoloji'!$AE$2:$AE$59,ROW()-3),'V_Tüm Teknoloji'!$AE$2:$AE$59,0))</f>
        <v/>
      </c>
      <c r="Y24" s="8">
        <f>INDEX('V_Tüm Teknoloji'!X$2:X$59,MATCH(LARGE('V_Tüm Teknoloji'!$AE$2:$AE$59,ROW()-3),'V_Tüm Teknoloji'!$AE$2:$AE$59,0))</f>
        <v/>
      </c>
      <c r="Z24" s="8">
        <f>INDEX('V_Tüm Teknoloji'!Y$2:Y$59,MATCH(LARGE('V_Tüm Teknoloji'!$AE$2:$AE$59,ROW()-3),'V_Tüm Teknoloji'!$AE$2:$AE$59,0))</f>
        <v/>
      </c>
      <c r="AA24" s="8">
        <f>INDEX('V_Tüm Teknoloji'!Z$2:Z$59,MATCH(LARGE('V_Tüm Teknoloji'!$AE$2:$AE$59,ROW()-3),'V_Tüm Teknoloji'!$AE$2:$AE$59,0))</f>
        <v/>
      </c>
      <c r="AB24" s="8">
        <f>INDEX('V_Tüm Teknoloji'!AA$2:AA$59,MATCH(LARGE('V_Tüm Teknoloji'!$AE$2:$AE$59,ROW()-3),'V_Tüm Teknoloji'!$AE$2:$AE$59,0))</f>
        <v/>
      </c>
      <c r="AC24" s="8">
        <f>INDEX('V_Tüm Teknoloji'!AB$2:AB$59,MATCH(LARGE('V_Tüm Teknoloji'!$AE$2:$AE$59,ROW()-3),'V_Tüm Teknoloji'!$AE$2:$AE$59,0))</f>
        <v/>
      </c>
      <c r="AD24" s="8">
        <f>INDEX('V_Tüm Teknoloji'!AC$2:AC$59,MATCH(LARGE('V_Tüm Teknoloji'!$AE$2:$AE$59,ROW()-3),'V_Tüm Teknoloji'!$AE$2:$AE$59,0))</f>
        <v/>
      </c>
    </row>
    <row r="25">
      <c r="A25" t="n">
        <v>22</v>
      </c>
      <c r="B25" s="5">
        <f>INDEX('V_Tüm Teknoloji'!A$2:A$59,MATCH(LARGE('V_Tüm Teknoloji'!$AE$2:$AE$59,ROW()-3),'V_Tüm Teknoloji'!$AE$2:$AE$59,0))</f>
        <v/>
      </c>
      <c r="C25" s="5">
        <f>INDEX('V_Tüm Teknoloji'!B$2:B$59,MATCH(LARGE('V_Tüm Teknoloji'!$AE$2:$AE$59,ROW()-3),'V_Tüm Teknoloji'!$AE$2:$AE$59,0))</f>
        <v/>
      </c>
      <c r="D25" s="5">
        <f>INDEX('V_Tüm Teknoloji'!C$2:C$59,MATCH(LARGE('V_Tüm Teknoloji'!$AE$2:$AE$59,ROW()-3),'V_Tüm Teknoloji'!$AE$2:$AE$59,0))</f>
        <v/>
      </c>
      <c r="E25" s="8">
        <f>INDEX('V_Tüm Teknoloji'!D$2:D$59,MATCH(LARGE('V_Tüm Teknoloji'!$AE$2:$AE$59,ROW()-3),'V_Tüm Teknoloji'!$AE$2:$AE$59,0))</f>
        <v/>
      </c>
      <c r="F25" s="9">
        <f>INDEX('V_Tüm Teknoloji'!E$2:E$59,MATCH(LARGE('V_Tüm Teknoloji'!$AE$2:$AE$59,ROW()-3),'V_Tüm Teknoloji'!$AE$2:$AE$59,0))</f>
        <v/>
      </c>
      <c r="G25" s="9">
        <f>INDEX('V_Tüm Teknoloji'!F$2:F$59,MATCH(LARGE('V_Tüm Teknoloji'!$AE$2:$AE$59,ROW()-3),'V_Tüm Teknoloji'!$AE$2:$AE$59,0))</f>
        <v/>
      </c>
      <c r="H25" s="9">
        <f>INDEX('V_Tüm Teknoloji'!G$2:G$59,MATCH(LARGE('V_Tüm Teknoloji'!$AE$2:$AE$59,ROW()-3),'V_Tüm Teknoloji'!$AE$2:$AE$59,0))</f>
        <v/>
      </c>
      <c r="I25" s="9">
        <f>INDEX('V_Tüm Teknoloji'!H$2:H$59,MATCH(LARGE('V_Tüm Teknoloji'!$AE$2:$AE$59,ROW()-3),'V_Tüm Teknoloji'!$AE$2:$AE$59,0))</f>
        <v/>
      </c>
      <c r="J25" s="9">
        <f>INDEX('V_Tüm Teknoloji'!I$2:I$59,MATCH(LARGE('V_Tüm Teknoloji'!$AE$2:$AE$59,ROW()-3),'V_Tüm Teknoloji'!$AE$2:$AE$59,0))</f>
        <v/>
      </c>
      <c r="K25" s="10">
        <f>INDEX('V_Tüm Teknoloji'!J$2:J$59,MATCH(LARGE('V_Tüm Teknoloji'!$AE$2:$AE$59,ROW()-3),'V_Tüm Teknoloji'!$AE$2:$AE$59,0))</f>
        <v/>
      </c>
      <c r="L25" s="10">
        <f>INDEX('V_Tüm Teknoloji'!K$2:K$59,MATCH(LARGE('V_Tüm Teknoloji'!$AE$2:$AE$59,ROW()-3),'V_Tüm Teknoloji'!$AE$2:$AE$59,0))</f>
        <v/>
      </c>
      <c r="M25" s="8">
        <f>INDEX('V_Tüm Teknoloji'!L$2:L$59,MATCH(LARGE('V_Tüm Teknoloji'!$AE$2:$AE$59,ROW()-3),'V_Tüm Teknoloji'!$AE$2:$AE$59,0))</f>
        <v/>
      </c>
      <c r="N25" s="11">
        <f>INDEX('V_Tüm Teknoloji'!M$2:M$59,MATCH(LARGE('V_Tüm Teknoloji'!$AE$2:$AE$59,ROW()-3),'V_Tüm Teknoloji'!$AE$2:$AE$59,0))</f>
        <v/>
      </c>
      <c r="O25" s="11">
        <f>INDEX('V_Tüm Teknoloji'!N$2:N$59,MATCH(LARGE('V_Tüm Teknoloji'!$AE$2:$AE$59,ROW()-3),'V_Tüm Teknoloji'!$AE$2:$AE$59,0))</f>
        <v/>
      </c>
      <c r="P25" s="8">
        <f>INDEX('V_Tüm Teknoloji'!O$2:O$59,MATCH(LARGE('V_Tüm Teknoloji'!$AE$2:$AE$59,ROW()-3),'V_Tüm Teknoloji'!$AE$2:$AE$59,0))</f>
        <v/>
      </c>
      <c r="Q25" s="9">
        <f>INDEX('V_Tüm Teknoloji'!P$2:P$59,MATCH(LARGE('V_Tüm Teknoloji'!$AE$2:$AE$59,ROW()-3),'V_Tüm Teknoloji'!$AE$2:$AE$59,0))</f>
        <v/>
      </c>
      <c r="R25" s="5">
        <f>INDEX('V_Tüm Teknoloji'!Q$2:Q$59,MATCH(LARGE('V_Tüm Teknoloji'!$AE$2:$AE$59,ROW()-3),'V_Tüm Teknoloji'!$AE$2:$AE$59,0))</f>
        <v/>
      </c>
      <c r="S25" s="8">
        <f>INDEX('V_Tüm Teknoloji'!R$2:R$59,MATCH(LARGE('V_Tüm Teknoloji'!$AE$2:$AE$59,ROW()-3),'V_Tüm Teknoloji'!$AE$2:$AE$59,0))</f>
        <v/>
      </c>
      <c r="T25" s="8">
        <f>INDEX('V_Tüm Teknoloji'!S$2:S$59,MATCH(LARGE('V_Tüm Teknoloji'!$AE$2:$AE$59,ROW()-3),'V_Tüm Teknoloji'!$AE$2:$AE$59,0))</f>
        <v/>
      </c>
      <c r="U25" s="8">
        <f>INDEX('V_Tüm Teknoloji'!T$2:T$59,MATCH(LARGE('V_Tüm Teknoloji'!$AE$2:$AE$59,ROW()-3),'V_Tüm Teknoloji'!$AE$2:$AE$59,0))</f>
        <v/>
      </c>
      <c r="V25" s="8">
        <f>INDEX('V_Tüm Teknoloji'!U$2:U$59,MATCH(LARGE('V_Tüm Teknoloji'!$AE$2:$AE$59,ROW()-3),'V_Tüm Teknoloji'!$AE$2:$AE$59,0))</f>
        <v/>
      </c>
      <c r="W25" s="8">
        <f>INDEX('V_Tüm Teknoloji'!V$2:V$59,MATCH(LARGE('V_Tüm Teknoloji'!$AE$2:$AE$59,ROW()-3),'V_Tüm Teknoloji'!$AE$2:$AE$59,0))</f>
        <v/>
      </c>
      <c r="X25" s="8">
        <f>INDEX('V_Tüm Teknoloji'!W$2:W$59,MATCH(LARGE('V_Tüm Teknoloji'!$AE$2:$AE$59,ROW()-3),'V_Tüm Teknoloji'!$AE$2:$AE$59,0))</f>
        <v/>
      </c>
      <c r="Y25" s="8">
        <f>INDEX('V_Tüm Teknoloji'!X$2:X$59,MATCH(LARGE('V_Tüm Teknoloji'!$AE$2:$AE$59,ROW()-3),'V_Tüm Teknoloji'!$AE$2:$AE$59,0))</f>
        <v/>
      </c>
      <c r="Z25" s="8">
        <f>INDEX('V_Tüm Teknoloji'!Y$2:Y$59,MATCH(LARGE('V_Tüm Teknoloji'!$AE$2:$AE$59,ROW()-3),'V_Tüm Teknoloji'!$AE$2:$AE$59,0))</f>
        <v/>
      </c>
      <c r="AA25" s="8">
        <f>INDEX('V_Tüm Teknoloji'!Z$2:Z$59,MATCH(LARGE('V_Tüm Teknoloji'!$AE$2:$AE$59,ROW()-3),'V_Tüm Teknoloji'!$AE$2:$AE$59,0))</f>
        <v/>
      </c>
      <c r="AB25" s="8">
        <f>INDEX('V_Tüm Teknoloji'!AA$2:AA$59,MATCH(LARGE('V_Tüm Teknoloji'!$AE$2:$AE$59,ROW()-3),'V_Tüm Teknoloji'!$AE$2:$AE$59,0))</f>
        <v/>
      </c>
      <c r="AC25" s="8">
        <f>INDEX('V_Tüm Teknoloji'!AB$2:AB$59,MATCH(LARGE('V_Tüm Teknoloji'!$AE$2:$AE$59,ROW()-3),'V_Tüm Teknoloji'!$AE$2:$AE$59,0))</f>
        <v/>
      </c>
      <c r="AD25" s="8">
        <f>INDEX('V_Tüm Teknoloji'!AC$2:AC$59,MATCH(LARGE('V_Tüm Teknoloji'!$AE$2:$AE$59,ROW()-3),'V_Tüm Teknoloji'!$AE$2:$AE$59,0))</f>
        <v/>
      </c>
    </row>
    <row r="26">
      <c r="A26" t="n">
        <v>23</v>
      </c>
      <c r="B26" s="5">
        <f>INDEX('V_Tüm Teknoloji'!A$2:A$59,MATCH(LARGE('V_Tüm Teknoloji'!$AE$2:$AE$59,ROW()-3),'V_Tüm Teknoloji'!$AE$2:$AE$59,0))</f>
        <v/>
      </c>
      <c r="C26" s="5">
        <f>INDEX('V_Tüm Teknoloji'!B$2:B$59,MATCH(LARGE('V_Tüm Teknoloji'!$AE$2:$AE$59,ROW()-3),'V_Tüm Teknoloji'!$AE$2:$AE$59,0))</f>
        <v/>
      </c>
      <c r="D26" s="5">
        <f>INDEX('V_Tüm Teknoloji'!C$2:C$59,MATCH(LARGE('V_Tüm Teknoloji'!$AE$2:$AE$59,ROW()-3),'V_Tüm Teknoloji'!$AE$2:$AE$59,0))</f>
        <v/>
      </c>
      <c r="E26" s="8">
        <f>INDEX('V_Tüm Teknoloji'!D$2:D$59,MATCH(LARGE('V_Tüm Teknoloji'!$AE$2:$AE$59,ROW()-3),'V_Tüm Teknoloji'!$AE$2:$AE$59,0))</f>
        <v/>
      </c>
      <c r="F26" s="9">
        <f>INDEX('V_Tüm Teknoloji'!E$2:E$59,MATCH(LARGE('V_Tüm Teknoloji'!$AE$2:$AE$59,ROW()-3),'V_Tüm Teknoloji'!$AE$2:$AE$59,0))</f>
        <v/>
      </c>
      <c r="G26" s="9">
        <f>INDEX('V_Tüm Teknoloji'!F$2:F$59,MATCH(LARGE('V_Tüm Teknoloji'!$AE$2:$AE$59,ROW()-3),'V_Tüm Teknoloji'!$AE$2:$AE$59,0))</f>
        <v/>
      </c>
      <c r="H26" s="9">
        <f>INDEX('V_Tüm Teknoloji'!G$2:G$59,MATCH(LARGE('V_Tüm Teknoloji'!$AE$2:$AE$59,ROW()-3),'V_Tüm Teknoloji'!$AE$2:$AE$59,0))</f>
        <v/>
      </c>
      <c r="I26" s="9">
        <f>INDEX('V_Tüm Teknoloji'!H$2:H$59,MATCH(LARGE('V_Tüm Teknoloji'!$AE$2:$AE$59,ROW()-3),'V_Tüm Teknoloji'!$AE$2:$AE$59,0))</f>
        <v/>
      </c>
      <c r="J26" s="9">
        <f>INDEX('V_Tüm Teknoloji'!I$2:I$59,MATCH(LARGE('V_Tüm Teknoloji'!$AE$2:$AE$59,ROW()-3),'V_Tüm Teknoloji'!$AE$2:$AE$59,0))</f>
        <v/>
      </c>
      <c r="K26" s="10">
        <f>INDEX('V_Tüm Teknoloji'!J$2:J$59,MATCH(LARGE('V_Tüm Teknoloji'!$AE$2:$AE$59,ROW()-3),'V_Tüm Teknoloji'!$AE$2:$AE$59,0))</f>
        <v/>
      </c>
      <c r="L26" s="10">
        <f>INDEX('V_Tüm Teknoloji'!K$2:K$59,MATCH(LARGE('V_Tüm Teknoloji'!$AE$2:$AE$59,ROW()-3),'V_Tüm Teknoloji'!$AE$2:$AE$59,0))</f>
        <v/>
      </c>
      <c r="M26" s="8">
        <f>INDEX('V_Tüm Teknoloji'!L$2:L$59,MATCH(LARGE('V_Tüm Teknoloji'!$AE$2:$AE$59,ROW()-3),'V_Tüm Teknoloji'!$AE$2:$AE$59,0))</f>
        <v/>
      </c>
      <c r="N26" s="11">
        <f>INDEX('V_Tüm Teknoloji'!M$2:M$59,MATCH(LARGE('V_Tüm Teknoloji'!$AE$2:$AE$59,ROW()-3),'V_Tüm Teknoloji'!$AE$2:$AE$59,0))</f>
        <v/>
      </c>
      <c r="O26" s="11">
        <f>INDEX('V_Tüm Teknoloji'!N$2:N$59,MATCH(LARGE('V_Tüm Teknoloji'!$AE$2:$AE$59,ROW()-3),'V_Tüm Teknoloji'!$AE$2:$AE$59,0))</f>
        <v/>
      </c>
      <c r="P26" s="8">
        <f>INDEX('V_Tüm Teknoloji'!O$2:O$59,MATCH(LARGE('V_Tüm Teknoloji'!$AE$2:$AE$59,ROW()-3),'V_Tüm Teknoloji'!$AE$2:$AE$59,0))</f>
        <v/>
      </c>
      <c r="Q26" s="9">
        <f>INDEX('V_Tüm Teknoloji'!P$2:P$59,MATCH(LARGE('V_Tüm Teknoloji'!$AE$2:$AE$59,ROW()-3),'V_Tüm Teknoloji'!$AE$2:$AE$59,0))</f>
        <v/>
      </c>
      <c r="R26" s="5">
        <f>INDEX('V_Tüm Teknoloji'!Q$2:Q$59,MATCH(LARGE('V_Tüm Teknoloji'!$AE$2:$AE$59,ROW()-3),'V_Tüm Teknoloji'!$AE$2:$AE$59,0))</f>
        <v/>
      </c>
      <c r="S26" s="8">
        <f>INDEX('V_Tüm Teknoloji'!R$2:R$59,MATCH(LARGE('V_Tüm Teknoloji'!$AE$2:$AE$59,ROW()-3),'V_Tüm Teknoloji'!$AE$2:$AE$59,0))</f>
        <v/>
      </c>
      <c r="T26" s="8">
        <f>INDEX('V_Tüm Teknoloji'!S$2:S$59,MATCH(LARGE('V_Tüm Teknoloji'!$AE$2:$AE$59,ROW()-3),'V_Tüm Teknoloji'!$AE$2:$AE$59,0))</f>
        <v/>
      </c>
      <c r="U26" s="8">
        <f>INDEX('V_Tüm Teknoloji'!T$2:T$59,MATCH(LARGE('V_Tüm Teknoloji'!$AE$2:$AE$59,ROW()-3),'V_Tüm Teknoloji'!$AE$2:$AE$59,0))</f>
        <v/>
      </c>
      <c r="V26" s="8">
        <f>INDEX('V_Tüm Teknoloji'!U$2:U$59,MATCH(LARGE('V_Tüm Teknoloji'!$AE$2:$AE$59,ROW()-3),'V_Tüm Teknoloji'!$AE$2:$AE$59,0))</f>
        <v/>
      </c>
      <c r="W26" s="8">
        <f>INDEX('V_Tüm Teknoloji'!V$2:V$59,MATCH(LARGE('V_Tüm Teknoloji'!$AE$2:$AE$59,ROW()-3),'V_Tüm Teknoloji'!$AE$2:$AE$59,0))</f>
        <v/>
      </c>
      <c r="X26" s="8">
        <f>INDEX('V_Tüm Teknoloji'!W$2:W$59,MATCH(LARGE('V_Tüm Teknoloji'!$AE$2:$AE$59,ROW()-3),'V_Tüm Teknoloji'!$AE$2:$AE$59,0))</f>
        <v/>
      </c>
      <c r="Y26" s="8">
        <f>INDEX('V_Tüm Teknoloji'!X$2:X$59,MATCH(LARGE('V_Tüm Teknoloji'!$AE$2:$AE$59,ROW()-3),'V_Tüm Teknoloji'!$AE$2:$AE$59,0))</f>
        <v/>
      </c>
      <c r="Z26" s="8">
        <f>INDEX('V_Tüm Teknoloji'!Y$2:Y$59,MATCH(LARGE('V_Tüm Teknoloji'!$AE$2:$AE$59,ROW()-3),'V_Tüm Teknoloji'!$AE$2:$AE$59,0))</f>
        <v/>
      </c>
      <c r="AA26" s="8">
        <f>INDEX('V_Tüm Teknoloji'!Z$2:Z$59,MATCH(LARGE('V_Tüm Teknoloji'!$AE$2:$AE$59,ROW()-3),'V_Tüm Teknoloji'!$AE$2:$AE$59,0))</f>
        <v/>
      </c>
      <c r="AB26" s="8">
        <f>INDEX('V_Tüm Teknoloji'!AA$2:AA$59,MATCH(LARGE('V_Tüm Teknoloji'!$AE$2:$AE$59,ROW()-3),'V_Tüm Teknoloji'!$AE$2:$AE$59,0))</f>
        <v/>
      </c>
      <c r="AC26" s="8">
        <f>INDEX('V_Tüm Teknoloji'!AB$2:AB$59,MATCH(LARGE('V_Tüm Teknoloji'!$AE$2:$AE$59,ROW()-3),'V_Tüm Teknoloji'!$AE$2:$AE$59,0))</f>
        <v/>
      </c>
      <c r="AD26" s="8">
        <f>INDEX('V_Tüm Teknoloji'!AC$2:AC$59,MATCH(LARGE('V_Tüm Teknoloji'!$AE$2:$AE$59,ROW()-3),'V_Tüm Teknoloji'!$AE$2:$AE$59,0))</f>
        <v/>
      </c>
    </row>
    <row r="27">
      <c r="A27" t="n">
        <v>24</v>
      </c>
      <c r="B27" s="5">
        <f>INDEX('V_Tüm Teknoloji'!A$2:A$59,MATCH(LARGE('V_Tüm Teknoloji'!$AE$2:$AE$59,ROW()-3),'V_Tüm Teknoloji'!$AE$2:$AE$59,0))</f>
        <v/>
      </c>
      <c r="C27" s="5">
        <f>INDEX('V_Tüm Teknoloji'!B$2:B$59,MATCH(LARGE('V_Tüm Teknoloji'!$AE$2:$AE$59,ROW()-3),'V_Tüm Teknoloji'!$AE$2:$AE$59,0))</f>
        <v/>
      </c>
      <c r="D27" s="5">
        <f>INDEX('V_Tüm Teknoloji'!C$2:C$59,MATCH(LARGE('V_Tüm Teknoloji'!$AE$2:$AE$59,ROW()-3),'V_Tüm Teknoloji'!$AE$2:$AE$59,0))</f>
        <v/>
      </c>
      <c r="E27" s="8">
        <f>INDEX('V_Tüm Teknoloji'!D$2:D$59,MATCH(LARGE('V_Tüm Teknoloji'!$AE$2:$AE$59,ROW()-3),'V_Tüm Teknoloji'!$AE$2:$AE$59,0))</f>
        <v/>
      </c>
      <c r="F27" s="9">
        <f>INDEX('V_Tüm Teknoloji'!E$2:E$59,MATCH(LARGE('V_Tüm Teknoloji'!$AE$2:$AE$59,ROW()-3),'V_Tüm Teknoloji'!$AE$2:$AE$59,0))</f>
        <v/>
      </c>
      <c r="G27" s="9">
        <f>INDEX('V_Tüm Teknoloji'!F$2:F$59,MATCH(LARGE('V_Tüm Teknoloji'!$AE$2:$AE$59,ROW()-3),'V_Tüm Teknoloji'!$AE$2:$AE$59,0))</f>
        <v/>
      </c>
      <c r="H27" s="9">
        <f>INDEX('V_Tüm Teknoloji'!G$2:G$59,MATCH(LARGE('V_Tüm Teknoloji'!$AE$2:$AE$59,ROW()-3),'V_Tüm Teknoloji'!$AE$2:$AE$59,0))</f>
        <v/>
      </c>
      <c r="I27" s="9">
        <f>INDEX('V_Tüm Teknoloji'!H$2:H$59,MATCH(LARGE('V_Tüm Teknoloji'!$AE$2:$AE$59,ROW()-3),'V_Tüm Teknoloji'!$AE$2:$AE$59,0))</f>
        <v/>
      </c>
      <c r="J27" s="9">
        <f>INDEX('V_Tüm Teknoloji'!I$2:I$59,MATCH(LARGE('V_Tüm Teknoloji'!$AE$2:$AE$59,ROW()-3),'V_Tüm Teknoloji'!$AE$2:$AE$59,0))</f>
        <v/>
      </c>
      <c r="K27" s="10">
        <f>INDEX('V_Tüm Teknoloji'!J$2:J$59,MATCH(LARGE('V_Tüm Teknoloji'!$AE$2:$AE$59,ROW()-3),'V_Tüm Teknoloji'!$AE$2:$AE$59,0))</f>
        <v/>
      </c>
      <c r="L27" s="10">
        <f>INDEX('V_Tüm Teknoloji'!K$2:K$59,MATCH(LARGE('V_Tüm Teknoloji'!$AE$2:$AE$59,ROW()-3),'V_Tüm Teknoloji'!$AE$2:$AE$59,0))</f>
        <v/>
      </c>
      <c r="M27" s="8">
        <f>INDEX('V_Tüm Teknoloji'!L$2:L$59,MATCH(LARGE('V_Tüm Teknoloji'!$AE$2:$AE$59,ROW()-3),'V_Tüm Teknoloji'!$AE$2:$AE$59,0))</f>
        <v/>
      </c>
      <c r="N27" s="11">
        <f>INDEX('V_Tüm Teknoloji'!M$2:M$59,MATCH(LARGE('V_Tüm Teknoloji'!$AE$2:$AE$59,ROW()-3),'V_Tüm Teknoloji'!$AE$2:$AE$59,0))</f>
        <v/>
      </c>
      <c r="O27" s="11">
        <f>INDEX('V_Tüm Teknoloji'!N$2:N$59,MATCH(LARGE('V_Tüm Teknoloji'!$AE$2:$AE$59,ROW()-3),'V_Tüm Teknoloji'!$AE$2:$AE$59,0))</f>
        <v/>
      </c>
      <c r="P27" s="8">
        <f>INDEX('V_Tüm Teknoloji'!O$2:O$59,MATCH(LARGE('V_Tüm Teknoloji'!$AE$2:$AE$59,ROW()-3),'V_Tüm Teknoloji'!$AE$2:$AE$59,0))</f>
        <v/>
      </c>
      <c r="Q27" s="9">
        <f>INDEX('V_Tüm Teknoloji'!P$2:P$59,MATCH(LARGE('V_Tüm Teknoloji'!$AE$2:$AE$59,ROW()-3),'V_Tüm Teknoloji'!$AE$2:$AE$59,0))</f>
        <v/>
      </c>
      <c r="R27" s="5">
        <f>INDEX('V_Tüm Teknoloji'!Q$2:Q$59,MATCH(LARGE('V_Tüm Teknoloji'!$AE$2:$AE$59,ROW()-3),'V_Tüm Teknoloji'!$AE$2:$AE$59,0))</f>
        <v/>
      </c>
      <c r="S27" s="8">
        <f>INDEX('V_Tüm Teknoloji'!R$2:R$59,MATCH(LARGE('V_Tüm Teknoloji'!$AE$2:$AE$59,ROW()-3),'V_Tüm Teknoloji'!$AE$2:$AE$59,0))</f>
        <v/>
      </c>
      <c r="T27" s="8">
        <f>INDEX('V_Tüm Teknoloji'!S$2:S$59,MATCH(LARGE('V_Tüm Teknoloji'!$AE$2:$AE$59,ROW()-3),'V_Tüm Teknoloji'!$AE$2:$AE$59,0))</f>
        <v/>
      </c>
      <c r="U27" s="8">
        <f>INDEX('V_Tüm Teknoloji'!T$2:T$59,MATCH(LARGE('V_Tüm Teknoloji'!$AE$2:$AE$59,ROW()-3),'V_Tüm Teknoloji'!$AE$2:$AE$59,0))</f>
        <v/>
      </c>
      <c r="V27" s="8">
        <f>INDEX('V_Tüm Teknoloji'!U$2:U$59,MATCH(LARGE('V_Tüm Teknoloji'!$AE$2:$AE$59,ROW()-3),'V_Tüm Teknoloji'!$AE$2:$AE$59,0))</f>
        <v/>
      </c>
      <c r="W27" s="8">
        <f>INDEX('V_Tüm Teknoloji'!V$2:V$59,MATCH(LARGE('V_Tüm Teknoloji'!$AE$2:$AE$59,ROW()-3),'V_Tüm Teknoloji'!$AE$2:$AE$59,0))</f>
        <v/>
      </c>
      <c r="X27" s="8">
        <f>INDEX('V_Tüm Teknoloji'!W$2:W$59,MATCH(LARGE('V_Tüm Teknoloji'!$AE$2:$AE$59,ROW()-3),'V_Tüm Teknoloji'!$AE$2:$AE$59,0))</f>
        <v/>
      </c>
      <c r="Y27" s="8">
        <f>INDEX('V_Tüm Teknoloji'!X$2:X$59,MATCH(LARGE('V_Tüm Teknoloji'!$AE$2:$AE$59,ROW()-3),'V_Tüm Teknoloji'!$AE$2:$AE$59,0))</f>
        <v/>
      </c>
      <c r="Z27" s="8">
        <f>INDEX('V_Tüm Teknoloji'!Y$2:Y$59,MATCH(LARGE('V_Tüm Teknoloji'!$AE$2:$AE$59,ROW()-3),'V_Tüm Teknoloji'!$AE$2:$AE$59,0))</f>
        <v/>
      </c>
      <c r="AA27" s="8">
        <f>INDEX('V_Tüm Teknoloji'!Z$2:Z$59,MATCH(LARGE('V_Tüm Teknoloji'!$AE$2:$AE$59,ROW()-3),'V_Tüm Teknoloji'!$AE$2:$AE$59,0))</f>
        <v/>
      </c>
      <c r="AB27" s="8">
        <f>INDEX('V_Tüm Teknoloji'!AA$2:AA$59,MATCH(LARGE('V_Tüm Teknoloji'!$AE$2:$AE$59,ROW()-3),'V_Tüm Teknoloji'!$AE$2:$AE$59,0))</f>
        <v/>
      </c>
      <c r="AC27" s="8">
        <f>INDEX('V_Tüm Teknoloji'!AB$2:AB$59,MATCH(LARGE('V_Tüm Teknoloji'!$AE$2:$AE$59,ROW()-3),'V_Tüm Teknoloji'!$AE$2:$AE$59,0))</f>
        <v/>
      </c>
      <c r="AD27" s="8">
        <f>INDEX('V_Tüm Teknoloji'!AC$2:AC$59,MATCH(LARGE('V_Tüm Teknoloji'!$AE$2:$AE$59,ROW()-3),'V_Tüm Teknoloji'!$AE$2:$AE$59,0))</f>
        <v/>
      </c>
    </row>
    <row r="28">
      <c r="A28" t="n">
        <v>25</v>
      </c>
      <c r="B28" s="5">
        <f>INDEX('V_Tüm Teknoloji'!A$2:A$59,MATCH(LARGE('V_Tüm Teknoloji'!$AE$2:$AE$59,ROW()-3),'V_Tüm Teknoloji'!$AE$2:$AE$59,0))</f>
        <v/>
      </c>
      <c r="C28" s="5">
        <f>INDEX('V_Tüm Teknoloji'!B$2:B$59,MATCH(LARGE('V_Tüm Teknoloji'!$AE$2:$AE$59,ROW()-3),'V_Tüm Teknoloji'!$AE$2:$AE$59,0))</f>
        <v/>
      </c>
      <c r="D28" s="5">
        <f>INDEX('V_Tüm Teknoloji'!C$2:C$59,MATCH(LARGE('V_Tüm Teknoloji'!$AE$2:$AE$59,ROW()-3),'V_Tüm Teknoloji'!$AE$2:$AE$59,0))</f>
        <v/>
      </c>
      <c r="E28" s="8">
        <f>INDEX('V_Tüm Teknoloji'!D$2:D$59,MATCH(LARGE('V_Tüm Teknoloji'!$AE$2:$AE$59,ROW()-3),'V_Tüm Teknoloji'!$AE$2:$AE$59,0))</f>
        <v/>
      </c>
      <c r="F28" s="9">
        <f>INDEX('V_Tüm Teknoloji'!E$2:E$59,MATCH(LARGE('V_Tüm Teknoloji'!$AE$2:$AE$59,ROW()-3),'V_Tüm Teknoloji'!$AE$2:$AE$59,0))</f>
        <v/>
      </c>
      <c r="G28" s="9">
        <f>INDEX('V_Tüm Teknoloji'!F$2:F$59,MATCH(LARGE('V_Tüm Teknoloji'!$AE$2:$AE$59,ROW()-3),'V_Tüm Teknoloji'!$AE$2:$AE$59,0))</f>
        <v/>
      </c>
      <c r="H28" s="9">
        <f>INDEX('V_Tüm Teknoloji'!G$2:G$59,MATCH(LARGE('V_Tüm Teknoloji'!$AE$2:$AE$59,ROW()-3),'V_Tüm Teknoloji'!$AE$2:$AE$59,0))</f>
        <v/>
      </c>
      <c r="I28" s="9">
        <f>INDEX('V_Tüm Teknoloji'!H$2:H$59,MATCH(LARGE('V_Tüm Teknoloji'!$AE$2:$AE$59,ROW()-3),'V_Tüm Teknoloji'!$AE$2:$AE$59,0))</f>
        <v/>
      </c>
      <c r="J28" s="9">
        <f>INDEX('V_Tüm Teknoloji'!I$2:I$59,MATCH(LARGE('V_Tüm Teknoloji'!$AE$2:$AE$59,ROW()-3),'V_Tüm Teknoloji'!$AE$2:$AE$59,0))</f>
        <v/>
      </c>
      <c r="K28" s="10">
        <f>INDEX('V_Tüm Teknoloji'!J$2:J$59,MATCH(LARGE('V_Tüm Teknoloji'!$AE$2:$AE$59,ROW()-3),'V_Tüm Teknoloji'!$AE$2:$AE$59,0))</f>
        <v/>
      </c>
      <c r="L28" s="10">
        <f>INDEX('V_Tüm Teknoloji'!K$2:K$59,MATCH(LARGE('V_Tüm Teknoloji'!$AE$2:$AE$59,ROW()-3),'V_Tüm Teknoloji'!$AE$2:$AE$59,0))</f>
        <v/>
      </c>
      <c r="M28" s="8">
        <f>INDEX('V_Tüm Teknoloji'!L$2:L$59,MATCH(LARGE('V_Tüm Teknoloji'!$AE$2:$AE$59,ROW()-3),'V_Tüm Teknoloji'!$AE$2:$AE$59,0))</f>
        <v/>
      </c>
      <c r="N28" s="11">
        <f>INDEX('V_Tüm Teknoloji'!M$2:M$59,MATCH(LARGE('V_Tüm Teknoloji'!$AE$2:$AE$59,ROW()-3),'V_Tüm Teknoloji'!$AE$2:$AE$59,0))</f>
        <v/>
      </c>
      <c r="O28" s="11">
        <f>INDEX('V_Tüm Teknoloji'!N$2:N$59,MATCH(LARGE('V_Tüm Teknoloji'!$AE$2:$AE$59,ROW()-3),'V_Tüm Teknoloji'!$AE$2:$AE$59,0))</f>
        <v/>
      </c>
      <c r="P28" s="8">
        <f>INDEX('V_Tüm Teknoloji'!O$2:O$59,MATCH(LARGE('V_Tüm Teknoloji'!$AE$2:$AE$59,ROW()-3),'V_Tüm Teknoloji'!$AE$2:$AE$59,0))</f>
        <v/>
      </c>
      <c r="Q28" s="9">
        <f>INDEX('V_Tüm Teknoloji'!P$2:P$59,MATCH(LARGE('V_Tüm Teknoloji'!$AE$2:$AE$59,ROW()-3),'V_Tüm Teknoloji'!$AE$2:$AE$59,0))</f>
        <v/>
      </c>
      <c r="R28" s="5">
        <f>INDEX('V_Tüm Teknoloji'!Q$2:Q$59,MATCH(LARGE('V_Tüm Teknoloji'!$AE$2:$AE$59,ROW()-3),'V_Tüm Teknoloji'!$AE$2:$AE$59,0))</f>
        <v/>
      </c>
      <c r="S28" s="8">
        <f>INDEX('V_Tüm Teknoloji'!R$2:R$59,MATCH(LARGE('V_Tüm Teknoloji'!$AE$2:$AE$59,ROW()-3),'V_Tüm Teknoloji'!$AE$2:$AE$59,0))</f>
        <v/>
      </c>
      <c r="T28" s="8">
        <f>INDEX('V_Tüm Teknoloji'!S$2:S$59,MATCH(LARGE('V_Tüm Teknoloji'!$AE$2:$AE$59,ROW()-3),'V_Tüm Teknoloji'!$AE$2:$AE$59,0))</f>
        <v/>
      </c>
      <c r="U28" s="8">
        <f>INDEX('V_Tüm Teknoloji'!T$2:T$59,MATCH(LARGE('V_Tüm Teknoloji'!$AE$2:$AE$59,ROW()-3),'V_Tüm Teknoloji'!$AE$2:$AE$59,0))</f>
        <v/>
      </c>
      <c r="V28" s="8">
        <f>INDEX('V_Tüm Teknoloji'!U$2:U$59,MATCH(LARGE('V_Tüm Teknoloji'!$AE$2:$AE$59,ROW()-3),'V_Tüm Teknoloji'!$AE$2:$AE$59,0))</f>
        <v/>
      </c>
      <c r="W28" s="8">
        <f>INDEX('V_Tüm Teknoloji'!V$2:V$59,MATCH(LARGE('V_Tüm Teknoloji'!$AE$2:$AE$59,ROW()-3),'V_Tüm Teknoloji'!$AE$2:$AE$59,0))</f>
        <v/>
      </c>
      <c r="X28" s="8">
        <f>INDEX('V_Tüm Teknoloji'!W$2:W$59,MATCH(LARGE('V_Tüm Teknoloji'!$AE$2:$AE$59,ROW()-3),'V_Tüm Teknoloji'!$AE$2:$AE$59,0))</f>
        <v/>
      </c>
      <c r="Y28" s="8">
        <f>INDEX('V_Tüm Teknoloji'!X$2:X$59,MATCH(LARGE('V_Tüm Teknoloji'!$AE$2:$AE$59,ROW()-3),'V_Tüm Teknoloji'!$AE$2:$AE$59,0))</f>
        <v/>
      </c>
      <c r="Z28" s="8">
        <f>INDEX('V_Tüm Teknoloji'!Y$2:Y$59,MATCH(LARGE('V_Tüm Teknoloji'!$AE$2:$AE$59,ROW()-3),'V_Tüm Teknoloji'!$AE$2:$AE$59,0))</f>
        <v/>
      </c>
      <c r="AA28" s="8">
        <f>INDEX('V_Tüm Teknoloji'!Z$2:Z$59,MATCH(LARGE('V_Tüm Teknoloji'!$AE$2:$AE$59,ROW()-3),'V_Tüm Teknoloji'!$AE$2:$AE$59,0))</f>
        <v/>
      </c>
      <c r="AB28" s="8">
        <f>INDEX('V_Tüm Teknoloji'!AA$2:AA$59,MATCH(LARGE('V_Tüm Teknoloji'!$AE$2:$AE$59,ROW()-3),'V_Tüm Teknoloji'!$AE$2:$AE$59,0))</f>
        <v/>
      </c>
      <c r="AC28" s="8">
        <f>INDEX('V_Tüm Teknoloji'!AB$2:AB$59,MATCH(LARGE('V_Tüm Teknoloji'!$AE$2:$AE$59,ROW()-3),'V_Tüm Teknoloji'!$AE$2:$AE$59,0))</f>
        <v/>
      </c>
      <c r="AD28" s="8">
        <f>INDEX('V_Tüm Teknoloji'!AC$2:AC$59,MATCH(LARGE('V_Tüm Teknoloji'!$AE$2:$AE$59,ROW()-3),'V_Tüm Teknoloji'!$AE$2:$AE$59,0))</f>
        <v/>
      </c>
    </row>
    <row r="29">
      <c r="A29" t="n">
        <v>26</v>
      </c>
      <c r="B29" s="5">
        <f>INDEX('V_Tüm Teknoloji'!A$2:A$59,MATCH(LARGE('V_Tüm Teknoloji'!$AE$2:$AE$59,ROW()-3),'V_Tüm Teknoloji'!$AE$2:$AE$59,0))</f>
        <v/>
      </c>
      <c r="C29" s="5">
        <f>INDEX('V_Tüm Teknoloji'!B$2:B$59,MATCH(LARGE('V_Tüm Teknoloji'!$AE$2:$AE$59,ROW()-3),'V_Tüm Teknoloji'!$AE$2:$AE$59,0))</f>
        <v/>
      </c>
      <c r="D29" s="5">
        <f>INDEX('V_Tüm Teknoloji'!C$2:C$59,MATCH(LARGE('V_Tüm Teknoloji'!$AE$2:$AE$59,ROW()-3),'V_Tüm Teknoloji'!$AE$2:$AE$59,0))</f>
        <v/>
      </c>
      <c r="E29" s="8">
        <f>INDEX('V_Tüm Teknoloji'!D$2:D$59,MATCH(LARGE('V_Tüm Teknoloji'!$AE$2:$AE$59,ROW()-3),'V_Tüm Teknoloji'!$AE$2:$AE$59,0))</f>
        <v/>
      </c>
      <c r="F29" s="9">
        <f>INDEX('V_Tüm Teknoloji'!E$2:E$59,MATCH(LARGE('V_Tüm Teknoloji'!$AE$2:$AE$59,ROW()-3),'V_Tüm Teknoloji'!$AE$2:$AE$59,0))</f>
        <v/>
      </c>
      <c r="G29" s="9">
        <f>INDEX('V_Tüm Teknoloji'!F$2:F$59,MATCH(LARGE('V_Tüm Teknoloji'!$AE$2:$AE$59,ROW()-3),'V_Tüm Teknoloji'!$AE$2:$AE$59,0))</f>
        <v/>
      </c>
      <c r="H29" s="9">
        <f>INDEX('V_Tüm Teknoloji'!G$2:G$59,MATCH(LARGE('V_Tüm Teknoloji'!$AE$2:$AE$59,ROW()-3),'V_Tüm Teknoloji'!$AE$2:$AE$59,0))</f>
        <v/>
      </c>
      <c r="I29" s="9">
        <f>INDEX('V_Tüm Teknoloji'!H$2:H$59,MATCH(LARGE('V_Tüm Teknoloji'!$AE$2:$AE$59,ROW()-3),'V_Tüm Teknoloji'!$AE$2:$AE$59,0))</f>
        <v/>
      </c>
      <c r="J29" s="9">
        <f>INDEX('V_Tüm Teknoloji'!I$2:I$59,MATCH(LARGE('V_Tüm Teknoloji'!$AE$2:$AE$59,ROW()-3),'V_Tüm Teknoloji'!$AE$2:$AE$59,0))</f>
        <v/>
      </c>
      <c r="K29" s="10">
        <f>INDEX('V_Tüm Teknoloji'!J$2:J$59,MATCH(LARGE('V_Tüm Teknoloji'!$AE$2:$AE$59,ROW()-3),'V_Tüm Teknoloji'!$AE$2:$AE$59,0))</f>
        <v/>
      </c>
      <c r="L29" s="10">
        <f>INDEX('V_Tüm Teknoloji'!K$2:K$59,MATCH(LARGE('V_Tüm Teknoloji'!$AE$2:$AE$59,ROW()-3),'V_Tüm Teknoloji'!$AE$2:$AE$59,0))</f>
        <v/>
      </c>
      <c r="M29" s="8">
        <f>INDEX('V_Tüm Teknoloji'!L$2:L$59,MATCH(LARGE('V_Tüm Teknoloji'!$AE$2:$AE$59,ROW()-3),'V_Tüm Teknoloji'!$AE$2:$AE$59,0))</f>
        <v/>
      </c>
      <c r="N29" s="11">
        <f>INDEX('V_Tüm Teknoloji'!M$2:M$59,MATCH(LARGE('V_Tüm Teknoloji'!$AE$2:$AE$59,ROW()-3),'V_Tüm Teknoloji'!$AE$2:$AE$59,0))</f>
        <v/>
      </c>
      <c r="O29" s="11">
        <f>INDEX('V_Tüm Teknoloji'!N$2:N$59,MATCH(LARGE('V_Tüm Teknoloji'!$AE$2:$AE$59,ROW()-3),'V_Tüm Teknoloji'!$AE$2:$AE$59,0))</f>
        <v/>
      </c>
      <c r="P29" s="8">
        <f>INDEX('V_Tüm Teknoloji'!O$2:O$59,MATCH(LARGE('V_Tüm Teknoloji'!$AE$2:$AE$59,ROW()-3),'V_Tüm Teknoloji'!$AE$2:$AE$59,0))</f>
        <v/>
      </c>
      <c r="Q29" s="9">
        <f>INDEX('V_Tüm Teknoloji'!P$2:P$59,MATCH(LARGE('V_Tüm Teknoloji'!$AE$2:$AE$59,ROW()-3),'V_Tüm Teknoloji'!$AE$2:$AE$59,0))</f>
        <v/>
      </c>
      <c r="R29" s="5">
        <f>INDEX('V_Tüm Teknoloji'!Q$2:Q$59,MATCH(LARGE('V_Tüm Teknoloji'!$AE$2:$AE$59,ROW()-3),'V_Tüm Teknoloji'!$AE$2:$AE$59,0))</f>
        <v/>
      </c>
      <c r="S29" s="8">
        <f>INDEX('V_Tüm Teknoloji'!R$2:R$59,MATCH(LARGE('V_Tüm Teknoloji'!$AE$2:$AE$59,ROW()-3),'V_Tüm Teknoloji'!$AE$2:$AE$59,0))</f>
        <v/>
      </c>
      <c r="T29" s="8">
        <f>INDEX('V_Tüm Teknoloji'!S$2:S$59,MATCH(LARGE('V_Tüm Teknoloji'!$AE$2:$AE$59,ROW()-3),'V_Tüm Teknoloji'!$AE$2:$AE$59,0))</f>
        <v/>
      </c>
      <c r="U29" s="8">
        <f>INDEX('V_Tüm Teknoloji'!T$2:T$59,MATCH(LARGE('V_Tüm Teknoloji'!$AE$2:$AE$59,ROW()-3),'V_Tüm Teknoloji'!$AE$2:$AE$59,0))</f>
        <v/>
      </c>
      <c r="V29" s="8">
        <f>INDEX('V_Tüm Teknoloji'!U$2:U$59,MATCH(LARGE('V_Tüm Teknoloji'!$AE$2:$AE$59,ROW()-3),'V_Tüm Teknoloji'!$AE$2:$AE$59,0))</f>
        <v/>
      </c>
      <c r="W29" s="8">
        <f>INDEX('V_Tüm Teknoloji'!V$2:V$59,MATCH(LARGE('V_Tüm Teknoloji'!$AE$2:$AE$59,ROW()-3),'V_Tüm Teknoloji'!$AE$2:$AE$59,0))</f>
        <v/>
      </c>
      <c r="X29" s="8">
        <f>INDEX('V_Tüm Teknoloji'!W$2:W$59,MATCH(LARGE('V_Tüm Teknoloji'!$AE$2:$AE$59,ROW()-3),'V_Tüm Teknoloji'!$AE$2:$AE$59,0))</f>
        <v/>
      </c>
      <c r="Y29" s="8">
        <f>INDEX('V_Tüm Teknoloji'!X$2:X$59,MATCH(LARGE('V_Tüm Teknoloji'!$AE$2:$AE$59,ROW()-3),'V_Tüm Teknoloji'!$AE$2:$AE$59,0))</f>
        <v/>
      </c>
      <c r="Z29" s="8">
        <f>INDEX('V_Tüm Teknoloji'!Y$2:Y$59,MATCH(LARGE('V_Tüm Teknoloji'!$AE$2:$AE$59,ROW()-3),'V_Tüm Teknoloji'!$AE$2:$AE$59,0))</f>
        <v/>
      </c>
      <c r="AA29" s="8">
        <f>INDEX('V_Tüm Teknoloji'!Z$2:Z$59,MATCH(LARGE('V_Tüm Teknoloji'!$AE$2:$AE$59,ROW()-3),'V_Tüm Teknoloji'!$AE$2:$AE$59,0))</f>
        <v/>
      </c>
      <c r="AB29" s="8">
        <f>INDEX('V_Tüm Teknoloji'!AA$2:AA$59,MATCH(LARGE('V_Tüm Teknoloji'!$AE$2:$AE$59,ROW()-3),'V_Tüm Teknoloji'!$AE$2:$AE$59,0))</f>
        <v/>
      </c>
      <c r="AC29" s="8">
        <f>INDEX('V_Tüm Teknoloji'!AB$2:AB$59,MATCH(LARGE('V_Tüm Teknoloji'!$AE$2:$AE$59,ROW()-3),'V_Tüm Teknoloji'!$AE$2:$AE$59,0))</f>
        <v/>
      </c>
      <c r="AD29" s="8">
        <f>INDEX('V_Tüm Teknoloji'!AC$2:AC$59,MATCH(LARGE('V_Tüm Teknoloji'!$AE$2:$AE$59,ROW()-3),'V_Tüm Teknoloji'!$AE$2:$AE$59,0))</f>
        <v/>
      </c>
    </row>
    <row r="30">
      <c r="A30" t="n">
        <v>27</v>
      </c>
      <c r="B30" s="5">
        <f>INDEX('V_Tüm Teknoloji'!A$2:A$59,MATCH(LARGE('V_Tüm Teknoloji'!$AE$2:$AE$59,ROW()-3),'V_Tüm Teknoloji'!$AE$2:$AE$59,0))</f>
        <v/>
      </c>
      <c r="C30" s="5">
        <f>INDEX('V_Tüm Teknoloji'!B$2:B$59,MATCH(LARGE('V_Tüm Teknoloji'!$AE$2:$AE$59,ROW()-3),'V_Tüm Teknoloji'!$AE$2:$AE$59,0))</f>
        <v/>
      </c>
      <c r="D30" s="5">
        <f>INDEX('V_Tüm Teknoloji'!C$2:C$59,MATCH(LARGE('V_Tüm Teknoloji'!$AE$2:$AE$59,ROW()-3),'V_Tüm Teknoloji'!$AE$2:$AE$59,0))</f>
        <v/>
      </c>
      <c r="E30" s="8">
        <f>INDEX('V_Tüm Teknoloji'!D$2:D$59,MATCH(LARGE('V_Tüm Teknoloji'!$AE$2:$AE$59,ROW()-3),'V_Tüm Teknoloji'!$AE$2:$AE$59,0))</f>
        <v/>
      </c>
      <c r="F30" s="9">
        <f>INDEX('V_Tüm Teknoloji'!E$2:E$59,MATCH(LARGE('V_Tüm Teknoloji'!$AE$2:$AE$59,ROW()-3),'V_Tüm Teknoloji'!$AE$2:$AE$59,0))</f>
        <v/>
      </c>
      <c r="G30" s="9">
        <f>INDEX('V_Tüm Teknoloji'!F$2:F$59,MATCH(LARGE('V_Tüm Teknoloji'!$AE$2:$AE$59,ROW()-3),'V_Tüm Teknoloji'!$AE$2:$AE$59,0))</f>
        <v/>
      </c>
      <c r="H30" s="9">
        <f>INDEX('V_Tüm Teknoloji'!G$2:G$59,MATCH(LARGE('V_Tüm Teknoloji'!$AE$2:$AE$59,ROW()-3),'V_Tüm Teknoloji'!$AE$2:$AE$59,0))</f>
        <v/>
      </c>
      <c r="I30" s="9">
        <f>INDEX('V_Tüm Teknoloji'!H$2:H$59,MATCH(LARGE('V_Tüm Teknoloji'!$AE$2:$AE$59,ROW()-3),'V_Tüm Teknoloji'!$AE$2:$AE$59,0))</f>
        <v/>
      </c>
      <c r="J30" s="9">
        <f>INDEX('V_Tüm Teknoloji'!I$2:I$59,MATCH(LARGE('V_Tüm Teknoloji'!$AE$2:$AE$59,ROW()-3),'V_Tüm Teknoloji'!$AE$2:$AE$59,0))</f>
        <v/>
      </c>
      <c r="K30" s="10">
        <f>INDEX('V_Tüm Teknoloji'!J$2:J$59,MATCH(LARGE('V_Tüm Teknoloji'!$AE$2:$AE$59,ROW()-3),'V_Tüm Teknoloji'!$AE$2:$AE$59,0))</f>
        <v/>
      </c>
      <c r="L30" s="10">
        <f>INDEX('V_Tüm Teknoloji'!K$2:K$59,MATCH(LARGE('V_Tüm Teknoloji'!$AE$2:$AE$59,ROW()-3),'V_Tüm Teknoloji'!$AE$2:$AE$59,0))</f>
        <v/>
      </c>
      <c r="M30" s="8">
        <f>INDEX('V_Tüm Teknoloji'!L$2:L$59,MATCH(LARGE('V_Tüm Teknoloji'!$AE$2:$AE$59,ROW()-3),'V_Tüm Teknoloji'!$AE$2:$AE$59,0))</f>
        <v/>
      </c>
      <c r="N30" s="11">
        <f>INDEX('V_Tüm Teknoloji'!M$2:M$59,MATCH(LARGE('V_Tüm Teknoloji'!$AE$2:$AE$59,ROW()-3),'V_Tüm Teknoloji'!$AE$2:$AE$59,0))</f>
        <v/>
      </c>
      <c r="O30" s="11">
        <f>INDEX('V_Tüm Teknoloji'!N$2:N$59,MATCH(LARGE('V_Tüm Teknoloji'!$AE$2:$AE$59,ROW()-3),'V_Tüm Teknoloji'!$AE$2:$AE$59,0))</f>
        <v/>
      </c>
      <c r="P30" s="8">
        <f>INDEX('V_Tüm Teknoloji'!O$2:O$59,MATCH(LARGE('V_Tüm Teknoloji'!$AE$2:$AE$59,ROW()-3),'V_Tüm Teknoloji'!$AE$2:$AE$59,0))</f>
        <v/>
      </c>
      <c r="Q30" s="9">
        <f>INDEX('V_Tüm Teknoloji'!P$2:P$59,MATCH(LARGE('V_Tüm Teknoloji'!$AE$2:$AE$59,ROW()-3),'V_Tüm Teknoloji'!$AE$2:$AE$59,0))</f>
        <v/>
      </c>
      <c r="R30" s="5">
        <f>INDEX('V_Tüm Teknoloji'!Q$2:Q$59,MATCH(LARGE('V_Tüm Teknoloji'!$AE$2:$AE$59,ROW()-3),'V_Tüm Teknoloji'!$AE$2:$AE$59,0))</f>
        <v/>
      </c>
      <c r="S30" s="8">
        <f>INDEX('V_Tüm Teknoloji'!R$2:R$59,MATCH(LARGE('V_Tüm Teknoloji'!$AE$2:$AE$59,ROW()-3),'V_Tüm Teknoloji'!$AE$2:$AE$59,0))</f>
        <v/>
      </c>
      <c r="T30" s="8">
        <f>INDEX('V_Tüm Teknoloji'!S$2:S$59,MATCH(LARGE('V_Tüm Teknoloji'!$AE$2:$AE$59,ROW()-3),'V_Tüm Teknoloji'!$AE$2:$AE$59,0))</f>
        <v/>
      </c>
      <c r="U30" s="8">
        <f>INDEX('V_Tüm Teknoloji'!T$2:T$59,MATCH(LARGE('V_Tüm Teknoloji'!$AE$2:$AE$59,ROW()-3),'V_Tüm Teknoloji'!$AE$2:$AE$59,0))</f>
        <v/>
      </c>
      <c r="V30" s="8">
        <f>INDEX('V_Tüm Teknoloji'!U$2:U$59,MATCH(LARGE('V_Tüm Teknoloji'!$AE$2:$AE$59,ROW()-3),'V_Tüm Teknoloji'!$AE$2:$AE$59,0))</f>
        <v/>
      </c>
      <c r="W30" s="8">
        <f>INDEX('V_Tüm Teknoloji'!V$2:V$59,MATCH(LARGE('V_Tüm Teknoloji'!$AE$2:$AE$59,ROW()-3),'V_Tüm Teknoloji'!$AE$2:$AE$59,0))</f>
        <v/>
      </c>
      <c r="X30" s="8">
        <f>INDEX('V_Tüm Teknoloji'!W$2:W$59,MATCH(LARGE('V_Tüm Teknoloji'!$AE$2:$AE$59,ROW()-3),'V_Tüm Teknoloji'!$AE$2:$AE$59,0))</f>
        <v/>
      </c>
      <c r="Y30" s="8">
        <f>INDEX('V_Tüm Teknoloji'!X$2:X$59,MATCH(LARGE('V_Tüm Teknoloji'!$AE$2:$AE$59,ROW()-3),'V_Tüm Teknoloji'!$AE$2:$AE$59,0))</f>
        <v/>
      </c>
      <c r="Z30" s="8">
        <f>INDEX('V_Tüm Teknoloji'!Y$2:Y$59,MATCH(LARGE('V_Tüm Teknoloji'!$AE$2:$AE$59,ROW()-3),'V_Tüm Teknoloji'!$AE$2:$AE$59,0))</f>
        <v/>
      </c>
      <c r="AA30" s="8">
        <f>INDEX('V_Tüm Teknoloji'!Z$2:Z$59,MATCH(LARGE('V_Tüm Teknoloji'!$AE$2:$AE$59,ROW()-3),'V_Tüm Teknoloji'!$AE$2:$AE$59,0))</f>
        <v/>
      </c>
      <c r="AB30" s="8">
        <f>INDEX('V_Tüm Teknoloji'!AA$2:AA$59,MATCH(LARGE('V_Tüm Teknoloji'!$AE$2:$AE$59,ROW()-3),'V_Tüm Teknoloji'!$AE$2:$AE$59,0))</f>
        <v/>
      </c>
      <c r="AC30" s="8">
        <f>INDEX('V_Tüm Teknoloji'!AB$2:AB$59,MATCH(LARGE('V_Tüm Teknoloji'!$AE$2:$AE$59,ROW()-3),'V_Tüm Teknoloji'!$AE$2:$AE$59,0))</f>
        <v/>
      </c>
      <c r="AD30" s="8">
        <f>INDEX('V_Tüm Teknoloji'!AC$2:AC$59,MATCH(LARGE('V_Tüm Teknoloji'!$AE$2:$AE$59,ROW()-3),'V_Tüm Teknoloji'!$AE$2:$AE$59,0))</f>
        <v/>
      </c>
    </row>
    <row r="31">
      <c r="A31" t="n">
        <v>28</v>
      </c>
      <c r="B31" s="5">
        <f>INDEX('V_Tüm Teknoloji'!A$2:A$59,MATCH(LARGE('V_Tüm Teknoloji'!$AE$2:$AE$59,ROW()-3),'V_Tüm Teknoloji'!$AE$2:$AE$59,0))</f>
        <v/>
      </c>
      <c r="C31" s="5">
        <f>INDEX('V_Tüm Teknoloji'!B$2:B$59,MATCH(LARGE('V_Tüm Teknoloji'!$AE$2:$AE$59,ROW()-3),'V_Tüm Teknoloji'!$AE$2:$AE$59,0))</f>
        <v/>
      </c>
      <c r="D31" s="5">
        <f>INDEX('V_Tüm Teknoloji'!C$2:C$59,MATCH(LARGE('V_Tüm Teknoloji'!$AE$2:$AE$59,ROW()-3),'V_Tüm Teknoloji'!$AE$2:$AE$59,0))</f>
        <v/>
      </c>
      <c r="E31" s="8">
        <f>INDEX('V_Tüm Teknoloji'!D$2:D$59,MATCH(LARGE('V_Tüm Teknoloji'!$AE$2:$AE$59,ROW()-3),'V_Tüm Teknoloji'!$AE$2:$AE$59,0))</f>
        <v/>
      </c>
      <c r="F31" s="9">
        <f>INDEX('V_Tüm Teknoloji'!E$2:E$59,MATCH(LARGE('V_Tüm Teknoloji'!$AE$2:$AE$59,ROW()-3),'V_Tüm Teknoloji'!$AE$2:$AE$59,0))</f>
        <v/>
      </c>
      <c r="G31" s="9">
        <f>INDEX('V_Tüm Teknoloji'!F$2:F$59,MATCH(LARGE('V_Tüm Teknoloji'!$AE$2:$AE$59,ROW()-3),'V_Tüm Teknoloji'!$AE$2:$AE$59,0))</f>
        <v/>
      </c>
      <c r="H31" s="9">
        <f>INDEX('V_Tüm Teknoloji'!G$2:G$59,MATCH(LARGE('V_Tüm Teknoloji'!$AE$2:$AE$59,ROW()-3),'V_Tüm Teknoloji'!$AE$2:$AE$59,0))</f>
        <v/>
      </c>
      <c r="I31" s="9">
        <f>INDEX('V_Tüm Teknoloji'!H$2:H$59,MATCH(LARGE('V_Tüm Teknoloji'!$AE$2:$AE$59,ROW()-3),'V_Tüm Teknoloji'!$AE$2:$AE$59,0))</f>
        <v/>
      </c>
      <c r="J31" s="9">
        <f>INDEX('V_Tüm Teknoloji'!I$2:I$59,MATCH(LARGE('V_Tüm Teknoloji'!$AE$2:$AE$59,ROW()-3),'V_Tüm Teknoloji'!$AE$2:$AE$59,0))</f>
        <v/>
      </c>
      <c r="K31" s="10">
        <f>INDEX('V_Tüm Teknoloji'!J$2:J$59,MATCH(LARGE('V_Tüm Teknoloji'!$AE$2:$AE$59,ROW()-3),'V_Tüm Teknoloji'!$AE$2:$AE$59,0))</f>
        <v/>
      </c>
      <c r="L31" s="10">
        <f>INDEX('V_Tüm Teknoloji'!K$2:K$59,MATCH(LARGE('V_Tüm Teknoloji'!$AE$2:$AE$59,ROW()-3),'V_Tüm Teknoloji'!$AE$2:$AE$59,0))</f>
        <v/>
      </c>
      <c r="M31" s="8">
        <f>INDEX('V_Tüm Teknoloji'!L$2:L$59,MATCH(LARGE('V_Tüm Teknoloji'!$AE$2:$AE$59,ROW()-3),'V_Tüm Teknoloji'!$AE$2:$AE$59,0))</f>
        <v/>
      </c>
      <c r="N31" s="11">
        <f>INDEX('V_Tüm Teknoloji'!M$2:M$59,MATCH(LARGE('V_Tüm Teknoloji'!$AE$2:$AE$59,ROW()-3),'V_Tüm Teknoloji'!$AE$2:$AE$59,0))</f>
        <v/>
      </c>
      <c r="O31" s="11">
        <f>INDEX('V_Tüm Teknoloji'!N$2:N$59,MATCH(LARGE('V_Tüm Teknoloji'!$AE$2:$AE$59,ROW()-3),'V_Tüm Teknoloji'!$AE$2:$AE$59,0))</f>
        <v/>
      </c>
      <c r="P31" s="8">
        <f>INDEX('V_Tüm Teknoloji'!O$2:O$59,MATCH(LARGE('V_Tüm Teknoloji'!$AE$2:$AE$59,ROW()-3),'V_Tüm Teknoloji'!$AE$2:$AE$59,0))</f>
        <v/>
      </c>
      <c r="Q31" s="9">
        <f>INDEX('V_Tüm Teknoloji'!P$2:P$59,MATCH(LARGE('V_Tüm Teknoloji'!$AE$2:$AE$59,ROW()-3),'V_Tüm Teknoloji'!$AE$2:$AE$59,0))</f>
        <v/>
      </c>
      <c r="R31" s="5">
        <f>INDEX('V_Tüm Teknoloji'!Q$2:Q$59,MATCH(LARGE('V_Tüm Teknoloji'!$AE$2:$AE$59,ROW()-3),'V_Tüm Teknoloji'!$AE$2:$AE$59,0))</f>
        <v/>
      </c>
      <c r="S31" s="8">
        <f>INDEX('V_Tüm Teknoloji'!R$2:R$59,MATCH(LARGE('V_Tüm Teknoloji'!$AE$2:$AE$59,ROW()-3),'V_Tüm Teknoloji'!$AE$2:$AE$59,0))</f>
        <v/>
      </c>
      <c r="T31" s="8">
        <f>INDEX('V_Tüm Teknoloji'!S$2:S$59,MATCH(LARGE('V_Tüm Teknoloji'!$AE$2:$AE$59,ROW()-3),'V_Tüm Teknoloji'!$AE$2:$AE$59,0))</f>
        <v/>
      </c>
      <c r="U31" s="8">
        <f>INDEX('V_Tüm Teknoloji'!T$2:T$59,MATCH(LARGE('V_Tüm Teknoloji'!$AE$2:$AE$59,ROW()-3),'V_Tüm Teknoloji'!$AE$2:$AE$59,0))</f>
        <v/>
      </c>
      <c r="V31" s="8">
        <f>INDEX('V_Tüm Teknoloji'!U$2:U$59,MATCH(LARGE('V_Tüm Teknoloji'!$AE$2:$AE$59,ROW()-3),'V_Tüm Teknoloji'!$AE$2:$AE$59,0))</f>
        <v/>
      </c>
      <c r="W31" s="8">
        <f>INDEX('V_Tüm Teknoloji'!V$2:V$59,MATCH(LARGE('V_Tüm Teknoloji'!$AE$2:$AE$59,ROW()-3),'V_Tüm Teknoloji'!$AE$2:$AE$59,0))</f>
        <v/>
      </c>
      <c r="X31" s="8">
        <f>INDEX('V_Tüm Teknoloji'!W$2:W$59,MATCH(LARGE('V_Tüm Teknoloji'!$AE$2:$AE$59,ROW()-3),'V_Tüm Teknoloji'!$AE$2:$AE$59,0))</f>
        <v/>
      </c>
      <c r="Y31" s="8">
        <f>INDEX('V_Tüm Teknoloji'!X$2:X$59,MATCH(LARGE('V_Tüm Teknoloji'!$AE$2:$AE$59,ROW()-3),'V_Tüm Teknoloji'!$AE$2:$AE$59,0))</f>
        <v/>
      </c>
      <c r="Z31" s="8">
        <f>INDEX('V_Tüm Teknoloji'!Y$2:Y$59,MATCH(LARGE('V_Tüm Teknoloji'!$AE$2:$AE$59,ROW()-3),'V_Tüm Teknoloji'!$AE$2:$AE$59,0))</f>
        <v/>
      </c>
      <c r="AA31" s="8">
        <f>INDEX('V_Tüm Teknoloji'!Z$2:Z$59,MATCH(LARGE('V_Tüm Teknoloji'!$AE$2:$AE$59,ROW()-3),'V_Tüm Teknoloji'!$AE$2:$AE$59,0))</f>
        <v/>
      </c>
      <c r="AB31" s="8">
        <f>INDEX('V_Tüm Teknoloji'!AA$2:AA$59,MATCH(LARGE('V_Tüm Teknoloji'!$AE$2:$AE$59,ROW()-3),'V_Tüm Teknoloji'!$AE$2:$AE$59,0))</f>
        <v/>
      </c>
      <c r="AC31" s="8">
        <f>INDEX('V_Tüm Teknoloji'!AB$2:AB$59,MATCH(LARGE('V_Tüm Teknoloji'!$AE$2:$AE$59,ROW()-3),'V_Tüm Teknoloji'!$AE$2:$AE$59,0))</f>
        <v/>
      </c>
      <c r="AD31" s="8">
        <f>INDEX('V_Tüm Teknoloji'!AC$2:AC$59,MATCH(LARGE('V_Tüm Teknoloji'!$AE$2:$AE$59,ROW()-3),'V_Tüm Teknoloji'!$AE$2:$AE$59,0))</f>
        <v/>
      </c>
    </row>
    <row r="32">
      <c r="A32" t="n">
        <v>29</v>
      </c>
      <c r="B32" s="5">
        <f>INDEX('V_Tüm Teknoloji'!A$2:A$59,MATCH(LARGE('V_Tüm Teknoloji'!$AE$2:$AE$59,ROW()-3),'V_Tüm Teknoloji'!$AE$2:$AE$59,0))</f>
        <v/>
      </c>
      <c r="C32" s="5">
        <f>INDEX('V_Tüm Teknoloji'!B$2:B$59,MATCH(LARGE('V_Tüm Teknoloji'!$AE$2:$AE$59,ROW()-3),'V_Tüm Teknoloji'!$AE$2:$AE$59,0))</f>
        <v/>
      </c>
      <c r="D32" s="5">
        <f>INDEX('V_Tüm Teknoloji'!C$2:C$59,MATCH(LARGE('V_Tüm Teknoloji'!$AE$2:$AE$59,ROW()-3),'V_Tüm Teknoloji'!$AE$2:$AE$59,0))</f>
        <v/>
      </c>
      <c r="E32" s="8">
        <f>INDEX('V_Tüm Teknoloji'!D$2:D$59,MATCH(LARGE('V_Tüm Teknoloji'!$AE$2:$AE$59,ROW()-3),'V_Tüm Teknoloji'!$AE$2:$AE$59,0))</f>
        <v/>
      </c>
      <c r="F32" s="9">
        <f>INDEX('V_Tüm Teknoloji'!E$2:E$59,MATCH(LARGE('V_Tüm Teknoloji'!$AE$2:$AE$59,ROW()-3),'V_Tüm Teknoloji'!$AE$2:$AE$59,0))</f>
        <v/>
      </c>
      <c r="G32" s="9">
        <f>INDEX('V_Tüm Teknoloji'!F$2:F$59,MATCH(LARGE('V_Tüm Teknoloji'!$AE$2:$AE$59,ROW()-3),'V_Tüm Teknoloji'!$AE$2:$AE$59,0))</f>
        <v/>
      </c>
      <c r="H32" s="9">
        <f>INDEX('V_Tüm Teknoloji'!G$2:G$59,MATCH(LARGE('V_Tüm Teknoloji'!$AE$2:$AE$59,ROW()-3),'V_Tüm Teknoloji'!$AE$2:$AE$59,0))</f>
        <v/>
      </c>
      <c r="I32" s="9">
        <f>INDEX('V_Tüm Teknoloji'!H$2:H$59,MATCH(LARGE('V_Tüm Teknoloji'!$AE$2:$AE$59,ROW()-3),'V_Tüm Teknoloji'!$AE$2:$AE$59,0))</f>
        <v/>
      </c>
      <c r="J32" s="9">
        <f>INDEX('V_Tüm Teknoloji'!I$2:I$59,MATCH(LARGE('V_Tüm Teknoloji'!$AE$2:$AE$59,ROW()-3),'V_Tüm Teknoloji'!$AE$2:$AE$59,0))</f>
        <v/>
      </c>
      <c r="K32" s="10">
        <f>INDEX('V_Tüm Teknoloji'!J$2:J$59,MATCH(LARGE('V_Tüm Teknoloji'!$AE$2:$AE$59,ROW()-3),'V_Tüm Teknoloji'!$AE$2:$AE$59,0))</f>
        <v/>
      </c>
      <c r="L32" s="10">
        <f>INDEX('V_Tüm Teknoloji'!K$2:K$59,MATCH(LARGE('V_Tüm Teknoloji'!$AE$2:$AE$59,ROW()-3),'V_Tüm Teknoloji'!$AE$2:$AE$59,0))</f>
        <v/>
      </c>
      <c r="M32" s="8">
        <f>INDEX('V_Tüm Teknoloji'!L$2:L$59,MATCH(LARGE('V_Tüm Teknoloji'!$AE$2:$AE$59,ROW()-3),'V_Tüm Teknoloji'!$AE$2:$AE$59,0))</f>
        <v/>
      </c>
      <c r="N32" s="11">
        <f>INDEX('V_Tüm Teknoloji'!M$2:M$59,MATCH(LARGE('V_Tüm Teknoloji'!$AE$2:$AE$59,ROW()-3),'V_Tüm Teknoloji'!$AE$2:$AE$59,0))</f>
        <v/>
      </c>
      <c r="O32" s="11">
        <f>INDEX('V_Tüm Teknoloji'!N$2:N$59,MATCH(LARGE('V_Tüm Teknoloji'!$AE$2:$AE$59,ROW()-3),'V_Tüm Teknoloji'!$AE$2:$AE$59,0))</f>
        <v/>
      </c>
      <c r="P32" s="8">
        <f>INDEX('V_Tüm Teknoloji'!O$2:O$59,MATCH(LARGE('V_Tüm Teknoloji'!$AE$2:$AE$59,ROW()-3),'V_Tüm Teknoloji'!$AE$2:$AE$59,0))</f>
        <v/>
      </c>
      <c r="Q32" s="9">
        <f>INDEX('V_Tüm Teknoloji'!P$2:P$59,MATCH(LARGE('V_Tüm Teknoloji'!$AE$2:$AE$59,ROW()-3),'V_Tüm Teknoloji'!$AE$2:$AE$59,0))</f>
        <v/>
      </c>
      <c r="R32" s="5">
        <f>INDEX('V_Tüm Teknoloji'!Q$2:Q$59,MATCH(LARGE('V_Tüm Teknoloji'!$AE$2:$AE$59,ROW()-3),'V_Tüm Teknoloji'!$AE$2:$AE$59,0))</f>
        <v/>
      </c>
      <c r="S32" s="8">
        <f>INDEX('V_Tüm Teknoloji'!R$2:R$59,MATCH(LARGE('V_Tüm Teknoloji'!$AE$2:$AE$59,ROW()-3),'V_Tüm Teknoloji'!$AE$2:$AE$59,0))</f>
        <v/>
      </c>
      <c r="T32" s="8">
        <f>INDEX('V_Tüm Teknoloji'!S$2:S$59,MATCH(LARGE('V_Tüm Teknoloji'!$AE$2:$AE$59,ROW()-3),'V_Tüm Teknoloji'!$AE$2:$AE$59,0))</f>
        <v/>
      </c>
      <c r="U32" s="8">
        <f>INDEX('V_Tüm Teknoloji'!T$2:T$59,MATCH(LARGE('V_Tüm Teknoloji'!$AE$2:$AE$59,ROW()-3),'V_Tüm Teknoloji'!$AE$2:$AE$59,0))</f>
        <v/>
      </c>
      <c r="V32" s="8">
        <f>INDEX('V_Tüm Teknoloji'!U$2:U$59,MATCH(LARGE('V_Tüm Teknoloji'!$AE$2:$AE$59,ROW()-3),'V_Tüm Teknoloji'!$AE$2:$AE$59,0))</f>
        <v/>
      </c>
      <c r="W32" s="8">
        <f>INDEX('V_Tüm Teknoloji'!V$2:V$59,MATCH(LARGE('V_Tüm Teknoloji'!$AE$2:$AE$59,ROW()-3),'V_Tüm Teknoloji'!$AE$2:$AE$59,0))</f>
        <v/>
      </c>
      <c r="X32" s="8">
        <f>INDEX('V_Tüm Teknoloji'!W$2:W$59,MATCH(LARGE('V_Tüm Teknoloji'!$AE$2:$AE$59,ROW()-3),'V_Tüm Teknoloji'!$AE$2:$AE$59,0))</f>
        <v/>
      </c>
      <c r="Y32" s="8">
        <f>INDEX('V_Tüm Teknoloji'!X$2:X$59,MATCH(LARGE('V_Tüm Teknoloji'!$AE$2:$AE$59,ROW()-3),'V_Tüm Teknoloji'!$AE$2:$AE$59,0))</f>
        <v/>
      </c>
      <c r="Z32" s="8">
        <f>INDEX('V_Tüm Teknoloji'!Y$2:Y$59,MATCH(LARGE('V_Tüm Teknoloji'!$AE$2:$AE$59,ROW()-3),'V_Tüm Teknoloji'!$AE$2:$AE$59,0))</f>
        <v/>
      </c>
      <c r="AA32" s="8">
        <f>INDEX('V_Tüm Teknoloji'!Z$2:Z$59,MATCH(LARGE('V_Tüm Teknoloji'!$AE$2:$AE$59,ROW()-3),'V_Tüm Teknoloji'!$AE$2:$AE$59,0))</f>
        <v/>
      </c>
      <c r="AB32" s="8">
        <f>INDEX('V_Tüm Teknoloji'!AA$2:AA$59,MATCH(LARGE('V_Tüm Teknoloji'!$AE$2:$AE$59,ROW()-3),'V_Tüm Teknoloji'!$AE$2:$AE$59,0))</f>
        <v/>
      </c>
      <c r="AC32" s="8">
        <f>INDEX('V_Tüm Teknoloji'!AB$2:AB$59,MATCH(LARGE('V_Tüm Teknoloji'!$AE$2:$AE$59,ROW()-3),'V_Tüm Teknoloji'!$AE$2:$AE$59,0))</f>
        <v/>
      </c>
      <c r="AD32" s="8">
        <f>INDEX('V_Tüm Teknoloji'!AC$2:AC$59,MATCH(LARGE('V_Tüm Teknoloji'!$AE$2:$AE$59,ROW()-3),'V_Tüm Teknoloji'!$AE$2:$AE$59,0))</f>
        <v/>
      </c>
    </row>
    <row r="33">
      <c r="A33" t="n">
        <v>30</v>
      </c>
      <c r="B33" s="5">
        <f>INDEX('V_Tüm Teknoloji'!A$2:A$59,MATCH(LARGE('V_Tüm Teknoloji'!$AE$2:$AE$59,ROW()-3),'V_Tüm Teknoloji'!$AE$2:$AE$59,0))</f>
        <v/>
      </c>
      <c r="C33" s="5">
        <f>INDEX('V_Tüm Teknoloji'!B$2:B$59,MATCH(LARGE('V_Tüm Teknoloji'!$AE$2:$AE$59,ROW()-3),'V_Tüm Teknoloji'!$AE$2:$AE$59,0))</f>
        <v/>
      </c>
      <c r="D33" s="5">
        <f>INDEX('V_Tüm Teknoloji'!C$2:C$59,MATCH(LARGE('V_Tüm Teknoloji'!$AE$2:$AE$59,ROW()-3),'V_Tüm Teknoloji'!$AE$2:$AE$59,0))</f>
        <v/>
      </c>
      <c r="E33" s="8">
        <f>INDEX('V_Tüm Teknoloji'!D$2:D$59,MATCH(LARGE('V_Tüm Teknoloji'!$AE$2:$AE$59,ROW()-3),'V_Tüm Teknoloji'!$AE$2:$AE$59,0))</f>
        <v/>
      </c>
      <c r="F33" s="9">
        <f>INDEX('V_Tüm Teknoloji'!E$2:E$59,MATCH(LARGE('V_Tüm Teknoloji'!$AE$2:$AE$59,ROW()-3),'V_Tüm Teknoloji'!$AE$2:$AE$59,0))</f>
        <v/>
      </c>
      <c r="G33" s="9">
        <f>INDEX('V_Tüm Teknoloji'!F$2:F$59,MATCH(LARGE('V_Tüm Teknoloji'!$AE$2:$AE$59,ROW()-3),'V_Tüm Teknoloji'!$AE$2:$AE$59,0))</f>
        <v/>
      </c>
      <c r="H33" s="9">
        <f>INDEX('V_Tüm Teknoloji'!G$2:G$59,MATCH(LARGE('V_Tüm Teknoloji'!$AE$2:$AE$59,ROW()-3),'V_Tüm Teknoloji'!$AE$2:$AE$59,0))</f>
        <v/>
      </c>
      <c r="I33" s="9">
        <f>INDEX('V_Tüm Teknoloji'!H$2:H$59,MATCH(LARGE('V_Tüm Teknoloji'!$AE$2:$AE$59,ROW()-3),'V_Tüm Teknoloji'!$AE$2:$AE$59,0))</f>
        <v/>
      </c>
      <c r="J33" s="9">
        <f>INDEX('V_Tüm Teknoloji'!I$2:I$59,MATCH(LARGE('V_Tüm Teknoloji'!$AE$2:$AE$59,ROW()-3),'V_Tüm Teknoloji'!$AE$2:$AE$59,0))</f>
        <v/>
      </c>
      <c r="K33" s="10">
        <f>INDEX('V_Tüm Teknoloji'!J$2:J$59,MATCH(LARGE('V_Tüm Teknoloji'!$AE$2:$AE$59,ROW()-3),'V_Tüm Teknoloji'!$AE$2:$AE$59,0))</f>
        <v/>
      </c>
      <c r="L33" s="10">
        <f>INDEX('V_Tüm Teknoloji'!K$2:K$59,MATCH(LARGE('V_Tüm Teknoloji'!$AE$2:$AE$59,ROW()-3),'V_Tüm Teknoloji'!$AE$2:$AE$59,0))</f>
        <v/>
      </c>
      <c r="M33" s="8">
        <f>INDEX('V_Tüm Teknoloji'!L$2:L$59,MATCH(LARGE('V_Tüm Teknoloji'!$AE$2:$AE$59,ROW()-3),'V_Tüm Teknoloji'!$AE$2:$AE$59,0))</f>
        <v/>
      </c>
      <c r="N33" s="11">
        <f>INDEX('V_Tüm Teknoloji'!M$2:M$59,MATCH(LARGE('V_Tüm Teknoloji'!$AE$2:$AE$59,ROW()-3),'V_Tüm Teknoloji'!$AE$2:$AE$59,0))</f>
        <v/>
      </c>
      <c r="O33" s="11">
        <f>INDEX('V_Tüm Teknoloji'!N$2:N$59,MATCH(LARGE('V_Tüm Teknoloji'!$AE$2:$AE$59,ROW()-3),'V_Tüm Teknoloji'!$AE$2:$AE$59,0))</f>
        <v/>
      </c>
      <c r="P33" s="8">
        <f>INDEX('V_Tüm Teknoloji'!O$2:O$59,MATCH(LARGE('V_Tüm Teknoloji'!$AE$2:$AE$59,ROW()-3),'V_Tüm Teknoloji'!$AE$2:$AE$59,0))</f>
        <v/>
      </c>
      <c r="Q33" s="9">
        <f>INDEX('V_Tüm Teknoloji'!P$2:P$59,MATCH(LARGE('V_Tüm Teknoloji'!$AE$2:$AE$59,ROW()-3),'V_Tüm Teknoloji'!$AE$2:$AE$59,0))</f>
        <v/>
      </c>
      <c r="R33" s="5">
        <f>INDEX('V_Tüm Teknoloji'!Q$2:Q$59,MATCH(LARGE('V_Tüm Teknoloji'!$AE$2:$AE$59,ROW()-3),'V_Tüm Teknoloji'!$AE$2:$AE$59,0))</f>
        <v/>
      </c>
      <c r="S33" s="8">
        <f>INDEX('V_Tüm Teknoloji'!R$2:R$59,MATCH(LARGE('V_Tüm Teknoloji'!$AE$2:$AE$59,ROW()-3),'V_Tüm Teknoloji'!$AE$2:$AE$59,0))</f>
        <v/>
      </c>
      <c r="T33" s="8">
        <f>INDEX('V_Tüm Teknoloji'!S$2:S$59,MATCH(LARGE('V_Tüm Teknoloji'!$AE$2:$AE$59,ROW()-3),'V_Tüm Teknoloji'!$AE$2:$AE$59,0))</f>
        <v/>
      </c>
      <c r="U33" s="8">
        <f>INDEX('V_Tüm Teknoloji'!T$2:T$59,MATCH(LARGE('V_Tüm Teknoloji'!$AE$2:$AE$59,ROW()-3),'V_Tüm Teknoloji'!$AE$2:$AE$59,0))</f>
        <v/>
      </c>
      <c r="V33" s="8">
        <f>INDEX('V_Tüm Teknoloji'!U$2:U$59,MATCH(LARGE('V_Tüm Teknoloji'!$AE$2:$AE$59,ROW()-3),'V_Tüm Teknoloji'!$AE$2:$AE$59,0))</f>
        <v/>
      </c>
      <c r="W33" s="8">
        <f>INDEX('V_Tüm Teknoloji'!V$2:V$59,MATCH(LARGE('V_Tüm Teknoloji'!$AE$2:$AE$59,ROW()-3),'V_Tüm Teknoloji'!$AE$2:$AE$59,0))</f>
        <v/>
      </c>
      <c r="X33" s="8">
        <f>INDEX('V_Tüm Teknoloji'!W$2:W$59,MATCH(LARGE('V_Tüm Teknoloji'!$AE$2:$AE$59,ROW()-3),'V_Tüm Teknoloji'!$AE$2:$AE$59,0))</f>
        <v/>
      </c>
      <c r="Y33" s="8">
        <f>INDEX('V_Tüm Teknoloji'!X$2:X$59,MATCH(LARGE('V_Tüm Teknoloji'!$AE$2:$AE$59,ROW()-3),'V_Tüm Teknoloji'!$AE$2:$AE$59,0))</f>
        <v/>
      </c>
      <c r="Z33" s="8">
        <f>INDEX('V_Tüm Teknoloji'!Y$2:Y$59,MATCH(LARGE('V_Tüm Teknoloji'!$AE$2:$AE$59,ROW()-3),'V_Tüm Teknoloji'!$AE$2:$AE$59,0))</f>
        <v/>
      </c>
      <c r="AA33" s="8">
        <f>INDEX('V_Tüm Teknoloji'!Z$2:Z$59,MATCH(LARGE('V_Tüm Teknoloji'!$AE$2:$AE$59,ROW()-3),'V_Tüm Teknoloji'!$AE$2:$AE$59,0))</f>
        <v/>
      </c>
      <c r="AB33" s="8">
        <f>INDEX('V_Tüm Teknoloji'!AA$2:AA$59,MATCH(LARGE('V_Tüm Teknoloji'!$AE$2:$AE$59,ROW()-3),'V_Tüm Teknoloji'!$AE$2:$AE$59,0))</f>
        <v/>
      </c>
      <c r="AC33" s="8">
        <f>INDEX('V_Tüm Teknoloji'!AB$2:AB$59,MATCH(LARGE('V_Tüm Teknoloji'!$AE$2:$AE$59,ROW()-3),'V_Tüm Teknoloji'!$AE$2:$AE$59,0))</f>
        <v/>
      </c>
      <c r="AD33" s="8">
        <f>INDEX('V_Tüm Teknoloji'!AC$2:AC$59,MATCH(LARGE('V_Tüm Teknoloji'!$AE$2:$AE$59,ROW()-3),'V_Tüm Teknoloji'!$AE$2:$AE$59,0))</f>
        <v/>
      </c>
    </row>
    <row r="34">
      <c r="A34" t="n">
        <v>31</v>
      </c>
      <c r="B34" s="5">
        <f>INDEX('V_Tüm Teknoloji'!A$2:A$59,MATCH(LARGE('V_Tüm Teknoloji'!$AE$2:$AE$59,ROW()-3),'V_Tüm Teknoloji'!$AE$2:$AE$59,0))</f>
        <v/>
      </c>
      <c r="C34" s="5">
        <f>INDEX('V_Tüm Teknoloji'!B$2:B$59,MATCH(LARGE('V_Tüm Teknoloji'!$AE$2:$AE$59,ROW()-3),'V_Tüm Teknoloji'!$AE$2:$AE$59,0))</f>
        <v/>
      </c>
      <c r="D34" s="5">
        <f>INDEX('V_Tüm Teknoloji'!C$2:C$59,MATCH(LARGE('V_Tüm Teknoloji'!$AE$2:$AE$59,ROW()-3),'V_Tüm Teknoloji'!$AE$2:$AE$59,0))</f>
        <v/>
      </c>
      <c r="E34" s="8">
        <f>INDEX('V_Tüm Teknoloji'!D$2:D$59,MATCH(LARGE('V_Tüm Teknoloji'!$AE$2:$AE$59,ROW()-3),'V_Tüm Teknoloji'!$AE$2:$AE$59,0))</f>
        <v/>
      </c>
      <c r="F34" s="9">
        <f>INDEX('V_Tüm Teknoloji'!E$2:E$59,MATCH(LARGE('V_Tüm Teknoloji'!$AE$2:$AE$59,ROW()-3),'V_Tüm Teknoloji'!$AE$2:$AE$59,0))</f>
        <v/>
      </c>
      <c r="G34" s="9">
        <f>INDEX('V_Tüm Teknoloji'!F$2:F$59,MATCH(LARGE('V_Tüm Teknoloji'!$AE$2:$AE$59,ROW()-3),'V_Tüm Teknoloji'!$AE$2:$AE$59,0))</f>
        <v/>
      </c>
      <c r="H34" s="9">
        <f>INDEX('V_Tüm Teknoloji'!G$2:G$59,MATCH(LARGE('V_Tüm Teknoloji'!$AE$2:$AE$59,ROW()-3),'V_Tüm Teknoloji'!$AE$2:$AE$59,0))</f>
        <v/>
      </c>
      <c r="I34" s="9">
        <f>INDEX('V_Tüm Teknoloji'!H$2:H$59,MATCH(LARGE('V_Tüm Teknoloji'!$AE$2:$AE$59,ROW()-3),'V_Tüm Teknoloji'!$AE$2:$AE$59,0))</f>
        <v/>
      </c>
      <c r="J34" s="9">
        <f>INDEX('V_Tüm Teknoloji'!I$2:I$59,MATCH(LARGE('V_Tüm Teknoloji'!$AE$2:$AE$59,ROW()-3),'V_Tüm Teknoloji'!$AE$2:$AE$59,0))</f>
        <v/>
      </c>
      <c r="K34" s="10">
        <f>INDEX('V_Tüm Teknoloji'!J$2:J$59,MATCH(LARGE('V_Tüm Teknoloji'!$AE$2:$AE$59,ROW()-3),'V_Tüm Teknoloji'!$AE$2:$AE$59,0))</f>
        <v/>
      </c>
      <c r="L34" s="10">
        <f>INDEX('V_Tüm Teknoloji'!K$2:K$59,MATCH(LARGE('V_Tüm Teknoloji'!$AE$2:$AE$59,ROW()-3),'V_Tüm Teknoloji'!$AE$2:$AE$59,0))</f>
        <v/>
      </c>
      <c r="M34" s="8">
        <f>INDEX('V_Tüm Teknoloji'!L$2:L$59,MATCH(LARGE('V_Tüm Teknoloji'!$AE$2:$AE$59,ROW()-3),'V_Tüm Teknoloji'!$AE$2:$AE$59,0))</f>
        <v/>
      </c>
      <c r="N34" s="11">
        <f>INDEX('V_Tüm Teknoloji'!M$2:M$59,MATCH(LARGE('V_Tüm Teknoloji'!$AE$2:$AE$59,ROW()-3),'V_Tüm Teknoloji'!$AE$2:$AE$59,0))</f>
        <v/>
      </c>
      <c r="O34" s="11">
        <f>INDEX('V_Tüm Teknoloji'!N$2:N$59,MATCH(LARGE('V_Tüm Teknoloji'!$AE$2:$AE$59,ROW()-3),'V_Tüm Teknoloji'!$AE$2:$AE$59,0))</f>
        <v/>
      </c>
      <c r="P34" s="8">
        <f>INDEX('V_Tüm Teknoloji'!O$2:O$59,MATCH(LARGE('V_Tüm Teknoloji'!$AE$2:$AE$59,ROW()-3),'V_Tüm Teknoloji'!$AE$2:$AE$59,0))</f>
        <v/>
      </c>
      <c r="Q34" s="9">
        <f>INDEX('V_Tüm Teknoloji'!P$2:P$59,MATCH(LARGE('V_Tüm Teknoloji'!$AE$2:$AE$59,ROW()-3),'V_Tüm Teknoloji'!$AE$2:$AE$59,0))</f>
        <v/>
      </c>
      <c r="R34" s="5">
        <f>INDEX('V_Tüm Teknoloji'!Q$2:Q$59,MATCH(LARGE('V_Tüm Teknoloji'!$AE$2:$AE$59,ROW()-3),'V_Tüm Teknoloji'!$AE$2:$AE$59,0))</f>
        <v/>
      </c>
      <c r="S34" s="8">
        <f>INDEX('V_Tüm Teknoloji'!R$2:R$59,MATCH(LARGE('V_Tüm Teknoloji'!$AE$2:$AE$59,ROW()-3),'V_Tüm Teknoloji'!$AE$2:$AE$59,0))</f>
        <v/>
      </c>
      <c r="T34" s="8">
        <f>INDEX('V_Tüm Teknoloji'!S$2:S$59,MATCH(LARGE('V_Tüm Teknoloji'!$AE$2:$AE$59,ROW()-3),'V_Tüm Teknoloji'!$AE$2:$AE$59,0))</f>
        <v/>
      </c>
      <c r="U34" s="8">
        <f>INDEX('V_Tüm Teknoloji'!T$2:T$59,MATCH(LARGE('V_Tüm Teknoloji'!$AE$2:$AE$59,ROW()-3),'V_Tüm Teknoloji'!$AE$2:$AE$59,0))</f>
        <v/>
      </c>
      <c r="V34" s="8">
        <f>INDEX('V_Tüm Teknoloji'!U$2:U$59,MATCH(LARGE('V_Tüm Teknoloji'!$AE$2:$AE$59,ROW()-3),'V_Tüm Teknoloji'!$AE$2:$AE$59,0))</f>
        <v/>
      </c>
      <c r="W34" s="8">
        <f>INDEX('V_Tüm Teknoloji'!V$2:V$59,MATCH(LARGE('V_Tüm Teknoloji'!$AE$2:$AE$59,ROW()-3),'V_Tüm Teknoloji'!$AE$2:$AE$59,0))</f>
        <v/>
      </c>
      <c r="X34" s="8">
        <f>INDEX('V_Tüm Teknoloji'!W$2:W$59,MATCH(LARGE('V_Tüm Teknoloji'!$AE$2:$AE$59,ROW()-3),'V_Tüm Teknoloji'!$AE$2:$AE$59,0))</f>
        <v/>
      </c>
      <c r="Y34" s="8">
        <f>INDEX('V_Tüm Teknoloji'!X$2:X$59,MATCH(LARGE('V_Tüm Teknoloji'!$AE$2:$AE$59,ROW()-3),'V_Tüm Teknoloji'!$AE$2:$AE$59,0))</f>
        <v/>
      </c>
      <c r="Z34" s="8">
        <f>INDEX('V_Tüm Teknoloji'!Y$2:Y$59,MATCH(LARGE('V_Tüm Teknoloji'!$AE$2:$AE$59,ROW()-3),'V_Tüm Teknoloji'!$AE$2:$AE$59,0))</f>
        <v/>
      </c>
      <c r="AA34" s="8">
        <f>INDEX('V_Tüm Teknoloji'!Z$2:Z$59,MATCH(LARGE('V_Tüm Teknoloji'!$AE$2:$AE$59,ROW()-3),'V_Tüm Teknoloji'!$AE$2:$AE$59,0))</f>
        <v/>
      </c>
      <c r="AB34" s="8">
        <f>INDEX('V_Tüm Teknoloji'!AA$2:AA$59,MATCH(LARGE('V_Tüm Teknoloji'!$AE$2:$AE$59,ROW()-3),'V_Tüm Teknoloji'!$AE$2:$AE$59,0))</f>
        <v/>
      </c>
      <c r="AC34" s="8">
        <f>INDEX('V_Tüm Teknoloji'!AB$2:AB$59,MATCH(LARGE('V_Tüm Teknoloji'!$AE$2:$AE$59,ROW()-3),'V_Tüm Teknoloji'!$AE$2:$AE$59,0))</f>
        <v/>
      </c>
      <c r="AD34" s="8">
        <f>INDEX('V_Tüm Teknoloji'!AC$2:AC$59,MATCH(LARGE('V_Tüm Teknoloji'!$AE$2:$AE$59,ROW()-3),'V_Tüm Teknoloji'!$AE$2:$AE$59,0))</f>
        <v/>
      </c>
    </row>
    <row r="35">
      <c r="A35" t="n">
        <v>32</v>
      </c>
      <c r="B35" s="5">
        <f>INDEX('V_Tüm Teknoloji'!A$2:A$59,MATCH(LARGE('V_Tüm Teknoloji'!$AE$2:$AE$59,ROW()-3),'V_Tüm Teknoloji'!$AE$2:$AE$59,0))</f>
        <v/>
      </c>
      <c r="C35" s="5">
        <f>INDEX('V_Tüm Teknoloji'!B$2:B$59,MATCH(LARGE('V_Tüm Teknoloji'!$AE$2:$AE$59,ROW()-3),'V_Tüm Teknoloji'!$AE$2:$AE$59,0))</f>
        <v/>
      </c>
      <c r="D35" s="5">
        <f>INDEX('V_Tüm Teknoloji'!C$2:C$59,MATCH(LARGE('V_Tüm Teknoloji'!$AE$2:$AE$59,ROW()-3),'V_Tüm Teknoloji'!$AE$2:$AE$59,0))</f>
        <v/>
      </c>
      <c r="E35" s="8">
        <f>INDEX('V_Tüm Teknoloji'!D$2:D$59,MATCH(LARGE('V_Tüm Teknoloji'!$AE$2:$AE$59,ROW()-3),'V_Tüm Teknoloji'!$AE$2:$AE$59,0))</f>
        <v/>
      </c>
      <c r="F35" s="9">
        <f>INDEX('V_Tüm Teknoloji'!E$2:E$59,MATCH(LARGE('V_Tüm Teknoloji'!$AE$2:$AE$59,ROW()-3),'V_Tüm Teknoloji'!$AE$2:$AE$59,0))</f>
        <v/>
      </c>
      <c r="G35" s="9">
        <f>INDEX('V_Tüm Teknoloji'!F$2:F$59,MATCH(LARGE('V_Tüm Teknoloji'!$AE$2:$AE$59,ROW()-3),'V_Tüm Teknoloji'!$AE$2:$AE$59,0))</f>
        <v/>
      </c>
      <c r="H35" s="9">
        <f>INDEX('V_Tüm Teknoloji'!G$2:G$59,MATCH(LARGE('V_Tüm Teknoloji'!$AE$2:$AE$59,ROW()-3),'V_Tüm Teknoloji'!$AE$2:$AE$59,0))</f>
        <v/>
      </c>
      <c r="I35" s="9">
        <f>INDEX('V_Tüm Teknoloji'!H$2:H$59,MATCH(LARGE('V_Tüm Teknoloji'!$AE$2:$AE$59,ROW()-3),'V_Tüm Teknoloji'!$AE$2:$AE$59,0))</f>
        <v/>
      </c>
      <c r="J35" s="9">
        <f>INDEX('V_Tüm Teknoloji'!I$2:I$59,MATCH(LARGE('V_Tüm Teknoloji'!$AE$2:$AE$59,ROW()-3),'V_Tüm Teknoloji'!$AE$2:$AE$59,0))</f>
        <v/>
      </c>
      <c r="K35" s="10">
        <f>INDEX('V_Tüm Teknoloji'!J$2:J$59,MATCH(LARGE('V_Tüm Teknoloji'!$AE$2:$AE$59,ROW()-3),'V_Tüm Teknoloji'!$AE$2:$AE$59,0))</f>
        <v/>
      </c>
      <c r="L35" s="10">
        <f>INDEX('V_Tüm Teknoloji'!K$2:K$59,MATCH(LARGE('V_Tüm Teknoloji'!$AE$2:$AE$59,ROW()-3),'V_Tüm Teknoloji'!$AE$2:$AE$59,0))</f>
        <v/>
      </c>
      <c r="M35" s="8">
        <f>INDEX('V_Tüm Teknoloji'!L$2:L$59,MATCH(LARGE('V_Tüm Teknoloji'!$AE$2:$AE$59,ROW()-3),'V_Tüm Teknoloji'!$AE$2:$AE$59,0))</f>
        <v/>
      </c>
      <c r="N35" s="11">
        <f>INDEX('V_Tüm Teknoloji'!M$2:M$59,MATCH(LARGE('V_Tüm Teknoloji'!$AE$2:$AE$59,ROW()-3),'V_Tüm Teknoloji'!$AE$2:$AE$59,0))</f>
        <v/>
      </c>
      <c r="O35" s="11">
        <f>INDEX('V_Tüm Teknoloji'!N$2:N$59,MATCH(LARGE('V_Tüm Teknoloji'!$AE$2:$AE$59,ROW()-3),'V_Tüm Teknoloji'!$AE$2:$AE$59,0))</f>
        <v/>
      </c>
      <c r="P35" s="8">
        <f>INDEX('V_Tüm Teknoloji'!O$2:O$59,MATCH(LARGE('V_Tüm Teknoloji'!$AE$2:$AE$59,ROW()-3),'V_Tüm Teknoloji'!$AE$2:$AE$59,0))</f>
        <v/>
      </c>
      <c r="Q35" s="9">
        <f>INDEX('V_Tüm Teknoloji'!P$2:P$59,MATCH(LARGE('V_Tüm Teknoloji'!$AE$2:$AE$59,ROW()-3),'V_Tüm Teknoloji'!$AE$2:$AE$59,0))</f>
        <v/>
      </c>
      <c r="R35" s="5">
        <f>INDEX('V_Tüm Teknoloji'!Q$2:Q$59,MATCH(LARGE('V_Tüm Teknoloji'!$AE$2:$AE$59,ROW()-3),'V_Tüm Teknoloji'!$AE$2:$AE$59,0))</f>
        <v/>
      </c>
      <c r="S35" s="8">
        <f>INDEX('V_Tüm Teknoloji'!R$2:R$59,MATCH(LARGE('V_Tüm Teknoloji'!$AE$2:$AE$59,ROW()-3),'V_Tüm Teknoloji'!$AE$2:$AE$59,0))</f>
        <v/>
      </c>
      <c r="T35" s="8">
        <f>INDEX('V_Tüm Teknoloji'!S$2:S$59,MATCH(LARGE('V_Tüm Teknoloji'!$AE$2:$AE$59,ROW()-3),'V_Tüm Teknoloji'!$AE$2:$AE$59,0))</f>
        <v/>
      </c>
      <c r="U35" s="8">
        <f>INDEX('V_Tüm Teknoloji'!T$2:T$59,MATCH(LARGE('V_Tüm Teknoloji'!$AE$2:$AE$59,ROW()-3),'V_Tüm Teknoloji'!$AE$2:$AE$59,0))</f>
        <v/>
      </c>
      <c r="V35" s="8">
        <f>INDEX('V_Tüm Teknoloji'!U$2:U$59,MATCH(LARGE('V_Tüm Teknoloji'!$AE$2:$AE$59,ROW()-3),'V_Tüm Teknoloji'!$AE$2:$AE$59,0))</f>
        <v/>
      </c>
      <c r="W35" s="8">
        <f>INDEX('V_Tüm Teknoloji'!V$2:V$59,MATCH(LARGE('V_Tüm Teknoloji'!$AE$2:$AE$59,ROW()-3),'V_Tüm Teknoloji'!$AE$2:$AE$59,0))</f>
        <v/>
      </c>
      <c r="X35" s="8">
        <f>INDEX('V_Tüm Teknoloji'!W$2:W$59,MATCH(LARGE('V_Tüm Teknoloji'!$AE$2:$AE$59,ROW()-3),'V_Tüm Teknoloji'!$AE$2:$AE$59,0))</f>
        <v/>
      </c>
      <c r="Y35" s="8">
        <f>INDEX('V_Tüm Teknoloji'!X$2:X$59,MATCH(LARGE('V_Tüm Teknoloji'!$AE$2:$AE$59,ROW()-3),'V_Tüm Teknoloji'!$AE$2:$AE$59,0))</f>
        <v/>
      </c>
      <c r="Z35" s="8">
        <f>INDEX('V_Tüm Teknoloji'!Y$2:Y$59,MATCH(LARGE('V_Tüm Teknoloji'!$AE$2:$AE$59,ROW()-3),'V_Tüm Teknoloji'!$AE$2:$AE$59,0))</f>
        <v/>
      </c>
      <c r="AA35" s="8">
        <f>INDEX('V_Tüm Teknoloji'!Z$2:Z$59,MATCH(LARGE('V_Tüm Teknoloji'!$AE$2:$AE$59,ROW()-3),'V_Tüm Teknoloji'!$AE$2:$AE$59,0))</f>
        <v/>
      </c>
      <c r="AB35" s="8">
        <f>INDEX('V_Tüm Teknoloji'!AA$2:AA$59,MATCH(LARGE('V_Tüm Teknoloji'!$AE$2:$AE$59,ROW()-3),'V_Tüm Teknoloji'!$AE$2:$AE$59,0))</f>
        <v/>
      </c>
      <c r="AC35" s="8">
        <f>INDEX('V_Tüm Teknoloji'!AB$2:AB$59,MATCH(LARGE('V_Tüm Teknoloji'!$AE$2:$AE$59,ROW()-3),'V_Tüm Teknoloji'!$AE$2:$AE$59,0))</f>
        <v/>
      </c>
      <c r="AD35" s="8">
        <f>INDEX('V_Tüm Teknoloji'!AC$2:AC$59,MATCH(LARGE('V_Tüm Teknoloji'!$AE$2:$AE$59,ROW()-3),'V_Tüm Teknoloji'!$AE$2:$AE$59,0))</f>
        <v/>
      </c>
    </row>
    <row r="36">
      <c r="A36" t="n">
        <v>33</v>
      </c>
      <c r="B36" s="5">
        <f>INDEX('V_Tüm Teknoloji'!A$2:A$59,MATCH(LARGE('V_Tüm Teknoloji'!$AE$2:$AE$59,ROW()-3),'V_Tüm Teknoloji'!$AE$2:$AE$59,0))</f>
        <v/>
      </c>
      <c r="C36" s="5">
        <f>INDEX('V_Tüm Teknoloji'!B$2:B$59,MATCH(LARGE('V_Tüm Teknoloji'!$AE$2:$AE$59,ROW()-3),'V_Tüm Teknoloji'!$AE$2:$AE$59,0))</f>
        <v/>
      </c>
      <c r="D36" s="5">
        <f>INDEX('V_Tüm Teknoloji'!C$2:C$59,MATCH(LARGE('V_Tüm Teknoloji'!$AE$2:$AE$59,ROW()-3),'V_Tüm Teknoloji'!$AE$2:$AE$59,0))</f>
        <v/>
      </c>
      <c r="E36" s="8">
        <f>INDEX('V_Tüm Teknoloji'!D$2:D$59,MATCH(LARGE('V_Tüm Teknoloji'!$AE$2:$AE$59,ROW()-3),'V_Tüm Teknoloji'!$AE$2:$AE$59,0))</f>
        <v/>
      </c>
      <c r="F36" s="9">
        <f>INDEX('V_Tüm Teknoloji'!E$2:E$59,MATCH(LARGE('V_Tüm Teknoloji'!$AE$2:$AE$59,ROW()-3),'V_Tüm Teknoloji'!$AE$2:$AE$59,0))</f>
        <v/>
      </c>
      <c r="G36" s="9">
        <f>INDEX('V_Tüm Teknoloji'!F$2:F$59,MATCH(LARGE('V_Tüm Teknoloji'!$AE$2:$AE$59,ROW()-3),'V_Tüm Teknoloji'!$AE$2:$AE$59,0))</f>
        <v/>
      </c>
      <c r="H36" s="9">
        <f>INDEX('V_Tüm Teknoloji'!G$2:G$59,MATCH(LARGE('V_Tüm Teknoloji'!$AE$2:$AE$59,ROW()-3),'V_Tüm Teknoloji'!$AE$2:$AE$59,0))</f>
        <v/>
      </c>
      <c r="I36" s="9">
        <f>INDEX('V_Tüm Teknoloji'!H$2:H$59,MATCH(LARGE('V_Tüm Teknoloji'!$AE$2:$AE$59,ROW()-3),'V_Tüm Teknoloji'!$AE$2:$AE$59,0))</f>
        <v/>
      </c>
      <c r="J36" s="9">
        <f>INDEX('V_Tüm Teknoloji'!I$2:I$59,MATCH(LARGE('V_Tüm Teknoloji'!$AE$2:$AE$59,ROW()-3),'V_Tüm Teknoloji'!$AE$2:$AE$59,0))</f>
        <v/>
      </c>
      <c r="K36" s="10">
        <f>INDEX('V_Tüm Teknoloji'!J$2:J$59,MATCH(LARGE('V_Tüm Teknoloji'!$AE$2:$AE$59,ROW()-3),'V_Tüm Teknoloji'!$AE$2:$AE$59,0))</f>
        <v/>
      </c>
      <c r="L36" s="10">
        <f>INDEX('V_Tüm Teknoloji'!K$2:K$59,MATCH(LARGE('V_Tüm Teknoloji'!$AE$2:$AE$59,ROW()-3),'V_Tüm Teknoloji'!$AE$2:$AE$59,0))</f>
        <v/>
      </c>
      <c r="M36" s="8">
        <f>INDEX('V_Tüm Teknoloji'!L$2:L$59,MATCH(LARGE('V_Tüm Teknoloji'!$AE$2:$AE$59,ROW()-3),'V_Tüm Teknoloji'!$AE$2:$AE$59,0))</f>
        <v/>
      </c>
      <c r="N36" s="11">
        <f>INDEX('V_Tüm Teknoloji'!M$2:M$59,MATCH(LARGE('V_Tüm Teknoloji'!$AE$2:$AE$59,ROW()-3),'V_Tüm Teknoloji'!$AE$2:$AE$59,0))</f>
        <v/>
      </c>
      <c r="O36" s="11">
        <f>INDEX('V_Tüm Teknoloji'!N$2:N$59,MATCH(LARGE('V_Tüm Teknoloji'!$AE$2:$AE$59,ROW()-3),'V_Tüm Teknoloji'!$AE$2:$AE$59,0))</f>
        <v/>
      </c>
      <c r="P36" s="8">
        <f>INDEX('V_Tüm Teknoloji'!O$2:O$59,MATCH(LARGE('V_Tüm Teknoloji'!$AE$2:$AE$59,ROW()-3),'V_Tüm Teknoloji'!$AE$2:$AE$59,0))</f>
        <v/>
      </c>
      <c r="Q36" s="9">
        <f>INDEX('V_Tüm Teknoloji'!P$2:P$59,MATCH(LARGE('V_Tüm Teknoloji'!$AE$2:$AE$59,ROW()-3),'V_Tüm Teknoloji'!$AE$2:$AE$59,0))</f>
        <v/>
      </c>
      <c r="R36" s="5">
        <f>INDEX('V_Tüm Teknoloji'!Q$2:Q$59,MATCH(LARGE('V_Tüm Teknoloji'!$AE$2:$AE$59,ROW()-3),'V_Tüm Teknoloji'!$AE$2:$AE$59,0))</f>
        <v/>
      </c>
      <c r="S36" s="8">
        <f>INDEX('V_Tüm Teknoloji'!R$2:R$59,MATCH(LARGE('V_Tüm Teknoloji'!$AE$2:$AE$59,ROW()-3),'V_Tüm Teknoloji'!$AE$2:$AE$59,0))</f>
        <v/>
      </c>
      <c r="T36" s="8">
        <f>INDEX('V_Tüm Teknoloji'!S$2:S$59,MATCH(LARGE('V_Tüm Teknoloji'!$AE$2:$AE$59,ROW()-3),'V_Tüm Teknoloji'!$AE$2:$AE$59,0))</f>
        <v/>
      </c>
      <c r="U36" s="8">
        <f>INDEX('V_Tüm Teknoloji'!T$2:T$59,MATCH(LARGE('V_Tüm Teknoloji'!$AE$2:$AE$59,ROW()-3),'V_Tüm Teknoloji'!$AE$2:$AE$59,0))</f>
        <v/>
      </c>
      <c r="V36" s="8">
        <f>INDEX('V_Tüm Teknoloji'!U$2:U$59,MATCH(LARGE('V_Tüm Teknoloji'!$AE$2:$AE$59,ROW()-3),'V_Tüm Teknoloji'!$AE$2:$AE$59,0))</f>
        <v/>
      </c>
      <c r="W36" s="8">
        <f>INDEX('V_Tüm Teknoloji'!V$2:V$59,MATCH(LARGE('V_Tüm Teknoloji'!$AE$2:$AE$59,ROW()-3),'V_Tüm Teknoloji'!$AE$2:$AE$59,0))</f>
        <v/>
      </c>
      <c r="X36" s="8">
        <f>INDEX('V_Tüm Teknoloji'!W$2:W$59,MATCH(LARGE('V_Tüm Teknoloji'!$AE$2:$AE$59,ROW()-3),'V_Tüm Teknoloji'!$AE$2:$AE$59,0))</f>
        <v/>
      </c>
      <c r="Y36" s="8">
        <f>INDEX('V_Tüm Teknoloji'!X$2:X$59,MATCH(LARGE('V_Tüm Teknoloji'!$AE$2:$AE$59,ROW()-3),'V_Tüm Teknoloji'!$AE$2:$AE$59,0))</f>
        <v/>
      </c>
      <c r="Z36" s="8">
        <f>INDEX('V_Tüm Teknoloji'!Y$2:Y$59,MATCH(LARGE('V_Tüm Teknoloji'!$AE$2:$AE$59,ROW()-3),'V_Tüm Teknoloji'!$AE$2:$AE$59,0))</f>
        <v/>
      </c>
      <c r="AA36" s="8">
        <f>INDEX('V_Tüm Teknoloji'!Z$2:Z$59,MATCH(LARGE('V_Tüm Teknoloji'!$AE$2:$AE$59,ROW()-3),'V_Tüm Teknoloji'!$AE$2:$AE$59,0))</f>
        <v/>
      </c>
      <c r="AB36" s="8">
        <f>INDEX('V_Tüm Teknoloji'!AA$2:AA$59,MATCH(LARGE('V_Tüm Teknoloji'!$AE$2:$AE$59,ROW()-3),'V_Tüm Teknoloji'!$AE$2:$AE$59,0))</f>
        <v/>
      </c>
      <c r="AC36" s="8">
        <f>INDEX('V_Tüm Teknoloji'!AB$2:AB$59,MATCH(LARGE('V_Tüm Teknoloji'!$AE$2:$AE$59,ROW()-3),'V_Tüm Teknoloji'!$AE$2:$AE$59,0))</f>
        <v/>
      </c>
      <c r="AD36" s="8">
        <f>INDEX('V_Tüm Teknoloji'!AC$2:AC$59,MATCH(LARGE('V_Tüm Teknoloji'!$AE$2:$AE$59,ROW()-3),'V_Tüm Teknoloji'!$AE$2:$AE$59,0))</f>
        <v/>
      </c>
    </row>
    <row r="37">
      <c r="A37" t="n">
        <v>34</v>
      </c>
      <c r="B37" s="5">
        <f>INDEX('V_Tüm Teknoloji'!A$2:A$59,MATCH(LARGE('V_Tüm Teknoloji'!$AE$2:$AE$59,ROW()-3),'V_Tüm Teknoloji'!$AE$2:$AE$59,0))</f>
        <v/>
      </c>
      <c r="C37" s="5">
        <f>INDEX('V_Tüm Teknoloji'!B$2:B$59,MATCH(LARGE('V_Tüm Teknoloji'!$AE$2:$AE$59,ROW()-3),'V_Tüm Teknoloji'!$AE$2:$AE$59,0))</f>
        <v/>
      </c>
      <c r="D37" s="5">
        <f>INDEX('V_Tüm Teknoloji'!C$2:C$59,MATCH(LARGE('V_Tüm Teknoloji'!$AE$2:$AE$59,ROW()-3),'V_Tüm Teknoloji'!$AE$2:$AE$59,0))</f>
        <v/>
      </c>
      <c r="E37" s="8">
        <f>INDEX('V_Tüm Teknoloji'!D$2:D$59,MATCH(LARGE('V_Tüm Teknoloji'!$AE$2:$AE$59,ROW()-3),'V_Tüm Teknoloji'!$AE$2:$AE$59,0))</f>
        <v/>
      </c>
      <c r="F37" s="9">
        <f>INDEX('V_Tüm Teknoloji'!E$2:E$59,MATCH(LARGE('V_Tüm Teknoloji'!$AE$2:$AE$59,ROW()-3),'V_Tüm Teknoloji'!$AE$2:$AE$59,0))</f>
        <v/>
      </c>
      <c r="G37" s="9">
        <f>INDEX('V_Tüm Teknoloji'!F$2:F$59,MATCH(LARGE('V_Tüm Teknoloji'!$AE$2:$AE$59,ROW()-3),'V_Tüm Teknoloji'!$AE$2:$AE$59,0))</f>
        <v/>
      </c>
      <c r="H37" s="9">
        <f>INDEX('V_Tüm Teknoloji'!G$2:G$59,MATCH(LARGE('V_Tüm Teknoloji'!$AE$2:$AE$59,ROW()-3),'V_Tüm Teknoloji'!$AE$2:$AE$59,0))</f>
        <v/>
      </c>
      <c r="I37" s="9">
        <f>INDEX('V_Tüm Teknoloji'!H$2:H$59,MATCH(LARGE('V_Tüm Teknoloji'!$AE$2:$AE$59,ROW()-3),'V_Tüm Teknoloji'!$AE$2:$AE$59,0))</f>
        <v/>
      </c>
      <c r="J37" s="9">
        <f>INDEX('V_Tüm Teknoloji'!I$2:I$59,MATCH(LARGE('V_Tüm Teknoloji'!$AE$2:$AE$59,ROW()-3),'V_Tüm Teknoloji'!$AE$2:$AE$59,0))</f>
        <v/>
      </c>
      <c r="K37" s="10">
        <f>INDEX('V_Tüm Teknoloji'!J$2:J$59,MATCH(LARGE('V_Tüm Teknoloji'!$AE$2:$AE$59,ROW()-3),'V_Tüm Teknoloji'!$AE$2:$AE$59,0))</f>
        <v/>
      </c>
      <c r="L37" s="10">
        <f>INDEX('V_Tüm Teknoloji'!K$2:K$59,MATCH(LARGE('V_Tüm Teknoloji'!$AE$2:$AE$59,ROW()-3),'V_Tüm Teknoloji'!$AE$2:$AE$59,0))</f>
        <v/>
      </c>
      <c r="M37" s="8">
        <f>INDEX('V_Tüm Teknoloji'!L$2:L$59,MATCH(LARGE('V_Tüm Teknoloji'!$AE$2:$AE$59,ROW()-3),'V_Tüm Teknoloji'!$AE$2:$AE$59,0))</f>
        <v/>
      </c>
      <c r="N37" s="11">
        <f>INDEX('V_Tüm Teknoloji'!M$2:M$59,MATCH(LARGE('V_Tüm Teknoloji'!$AE$2:$AE$59,ROW()-3),'V_Tüm Teknoloji'!$AE$2:$AE$59,0))</f>
        <v/>
      </c>
      <c r="O37" s="11">
        <f>INDEX('V_Tüm Teknoloji'!N$2:N$59,MATCH(LARGE('V_Tüm Teknoloji'!$AE$2:$AE$59,ROW()-3),'V_Tüm Teknoloji'!$AE$2:$AE$59,0))</f>
        <v/>
      </c>
      <c r="P37" s="8">
        <f>INDEX('V_Tüm Teknoloji'!O$2:O$59,MATCH(LARGE('V_Tüm Teknoloji'!$AE$2:$AE$59,ROW()-3),'V_Tüm Teknoloji'!$AE$2:$AE$59,0))</f>
        <v/>
      </c>
      <c r="Q37" s="9">
        <f>INDEX('V_Tüm Teknoloji'!P$2:P$59,MATCH(LARGE('V_Tüm Teknoloji'!$AE$2:$AE$59,ROW()-3),'V_Tüm Teknoloji'!$AE$2:$AE$59,0))</f>
        <v/>
      </c>
      <c r="R37" s="5">
        <f>INDEX('V_Tüm Teknoloji'!Q$2:Q$59,MATCH(LARGE('V_Tüm Teknoloji'!$AE$2:$AE$59,ROW()-3),'V_Tüm Teknoloji'!$AE$2:$AE$59,0))</f>
        <v/>
      </c>
      <c r="S37" s="8">
        <f>INDEX('V_Tüm Teknoloji'!R$2:R$59,MATCH(LARGE('V_Tüm Teknoloji'!$AE$2:$AE$59,ROW()-3),'V_Tüm Teknoloji'!$AE$2:$AE$59,0))</f>
        <v/>
      </c>
      <c r="T37" s="8">
        <f>INDEX('V_Tüm Teknoloji'!S$2:S$59,MATCH(LARGE('V_Tüm Teknoloji'!$AE$2:$AE$59,ROW()-3),'V_Tüm Teknoloji'!$AE$2:$AE$59,0))</f>
        <v/>
      </c>
      <c r="U37" s="8">
        <f>INDEX('V_Tüm Teknoloji'!T$2:T$59,MATCH(LARGE('V_Tüm Teknoloji'!$AE$2:$AE$59,ROW()-3),'V_Tüm Teknoloji'!$AE$2:$AE$59,0))</f>
        <v/>
      </c>
      <c r="V37" s="8">
        <f>INDEX('V_Tüm Teknoloji'!U$2:U$59,MATCH(LARGE('V_Tüm Teknoloji'!$AE$2:$AE$59,ROW()-3),'V_Tüm Teknoloji'!$AE$2:$AE$59,0))</f>
        <v/>
      </c>
      <c r="W37" s="8">
        <f>INDEX('V_Tüm Teknoloji'!V$2:V$59,MATCH(LARGE('V_Tüm Teknoloji'!$AE$2:$AE$59,ROW()-3),'V_Tüm Teknoloji'!$AE$2:$AE$59,0))</f>
        <v/>
      </c>
      <c r="X37" s="8">
        <f>INDEX('V_Tüm Teknoloji'!W$2:W$59,MATCH(LARGE('V_Tüm Teknoloji'!$AE$2:$AE$59,ROW()-3),'V_Tüm Teknoloji'!$AE$2:$AE$59,0))</f>
        <v/>
      </c>
      <c r="Y37" s="8">
        <f>INDEX('V_Tüm Teknoloji'!X$2:X$59,MATCH(LARGE('V_Tüm Teknoloji'!$AE$2:$AE$59,ROW()-3),'V_Tüm Teknoloji'!$AE$2:$AE$59,0))</f>
        <v/>
      </c>
      <c r="Z37" s="8">
        <f>INDEX('V_Tüm Teknoloji'!Y$2:Y$59,MATCH(LARGE('V_Tüm Teknoloji'!$AE$2:$AE$59,ROW()-3),'V_Tüm Teknoloji'!$AE$2:$AE$59,0))</f>
        <v/>
      </c>
      <c r="AA37" s="8">
        <f>INDEX('V_Tüm Teknoloji'!Z$2:Z$59,MATCH(LARGE('V_Tüm Teknoloji'!$AE$2:$AE$59,ROW()-3),'V_Tüm Teknoloji'!$AE$2:$AE$59,0))</f>
        <v/>
      </c>
      <c r="AB37" s="8">
        <f>INDEX('V_Tüm Teknoloji'!AA$2:AA$59,MATCH(LARGE('V_Tüm Teknoloji'!$AE$2:$AE$59,ROW()-3),'V_Tüm Teknoloji'!$AE$2:$AE$59,0))</f>
        <v/>
      </c>
      <c r="AC37" s="8">
        <f>INDEX('V_Tüm Teknoloji'!AB$2:AB$59,MATCH(LARGE('V_Tüm Teknoloji'!$AE$2:$AE$59,ROW()-3),'V_Tüm Teknoloji'!$AE$2:$AE$59,0))</f>
        <v/>
      </c>
      <c r="AD37" s="8">
        <f>INDEX('V_Tüm Teknoloji'!AC$2:AC$59,MATCH(LARGE('V_Tüm Teknoloji'!$AE$2:$AE$59,ROW()-3),'V_Tüm Teknoloji'!$AE$2:$AE$59,0))</f>
        <v/>
      </c>
    </row>
    <row r="38">
      <c r="A38" t="n">
        <v>35</v>
      </c>
      <c r="B38" s="5">
        <f>INDEX('V_Tüm Teknoloji'!A$2:A$59,MATCH(LARGE('V_Tüm Teknoloji'!$AE$2:$AE$59,ROW()-3),'V_Tüm Teknoloji'!$AE$2:$AE$59,0))</f>
        <v/>
      </c>
      <c r="C38" s="5">
        <f>INDEX('V_Tüm Teknoloji'!B$2:B$59,MATCH(LARGE('V_Tüm Teknoloji'!$AE$2:$AE$59,ROW()-3),'V_Tüm Teknoloji'!$AE$2:$AE$59,0))</f>
        <v/>
      </c>
      <c r="D38" s="5">
        <f>INDEX('V_Tüm Teknoloji'!C$2:C$59,MATCH(LARGE('V_Tüm Teknoloji'!$AE$2:$AE$59,ROW()-3),'V_Tüm Teknoloji'!$AE$2:$AE$59,0))</f>
        <v/>
      </c>
      <c r="E38" s="8">
        <f>INDEX('V_Tüm Teknoloji'!D$2:D$59,MATCH(LARGE('V_Tüm Teknoloji'!$AE$2:$AE$59,ROW()-3),'V_Tüm Teknoloji'!$AE$2:$AE$59,0))</f>
        <v/>
      </c>
      <c r="F38" s="9">
        <f>INDEX('V_Tüm Teknoloji'!E$2:E$59,MATCH(LARGE('V_Tüm Teknoloji'!$AE$2:$AE$59,ROW()-3),'V_Tüm Teknoloji'!$AE$2:$AE$59,0))</f>
        <v/>
      </c>
      <c r="G38" s="9">
        <f>INDEX('V_Tüm Teknoloji'!F$2:F$59,MATCH(LARGE('V_Tüm Teknoloji'!$AE$2:$AE$59,ROW()-3),'V_Tüm Teknoloji'!$AE$2:$AE$59,0))</f>
        <v/>
      </c>
      <c r="H38" s="9">
        <f>INDEX('V_Tüm Teknoloji'!G$2:G$59,MATCH(LARGE('V_Tüm Teknoloji'!$AE$2:$AE$59,ROW()-3),'V_Tüm Teknoloji'!$AE$2:$AE$59,0))</f>
        <v/>
      </c>
      <c r="I38" s="9">
        <f>INDEX('V_Tüm Teknoloji'!H$2:H$59,MATCH(LARGE('V_Tüm Teknoloji'!$AE$2:$AE$59,ROW()-3),'V_Tüm Teknoloji'!$AE$2:$AE$59,0))</f>
        <v/>
      </c>
      <c r="J38" s="9">
        <f>INDEX('V_Tüm Teknoloji'!I$2:I$59,MATCH(LARGE('V_Tüm Teknoloji'!$AE$2:$AE$59,ROW()-3),'V_Tüm Teknoloji'!$AE$2:$AE$59,0))</f>
        <v/>
      </c>
      <c r="K38" s="10">
        <f>INDEX('V_Tüm Teknoloji'!J$2:J$59,MATCH(LARGE('V_Tüm Teknoloji'!$AE$2:$AE$59,ROW()-3),'V_Tüm Teknoloji'!$AE$2:$AE$59,0))</f>
        <v/>
      </c>
      <c r="L38" s="10">
        <f>INDEX('V_Tüm Teknoloji'!K$2:K$59,MATCH(LARGE('V_Tüm Teknoloji'!$AE$2:$AE$59,ROW()-3),'V_Tüm Teknoloji'!$AE$2:$AE$59,0))</f>
        <v/>
      </c>
      <c r="M38" s="8">
        <f>INDEX('V_Tüm Teknoloji'!L$2:L$59,MATCH(LARGE('V_Tüm Teknoloji'!$AE$2:$AE$59,ROW()-3),'V_Tüm Teknoloji'!$AE$2:$AE$59,0))</f>
        <v/>
      </c>
      <c r="N38" s="11">
        <f>INDEX('V_Tüm Teknoloji'!M$2:M$59,MATCH(LARGE('V_Tüm Teknoloji'!$AE$2:$AE$59,ROW()-3),'V_Tüm Teknoloji'!$AE$2:$AE$59,0))</f>
        <v/>
      </c>
      <c r="O38" s="11">
        <f>INDEX('V_Tüm Teknoloji'!N$2:N$59,MATCH(LARGE('V_Tüm Teknoloji'!$AE$2:$AE$59,ROW()-3),'V_Tüm Teknoloji'!$AE$2:$AE$59,0))</f>
        <v/>
      </c>
      <c r="P38" s="8">
        <f>INDEX('V_Tüm Teknoloji'!O$2:O$59,MATCH(LARGE('V_Tüm Teknoloji'!$AE$2:$AE$59,ROW()-3),'V_Tüm Teknoloji'!$AE$2:$AE$59,0))</f>
        <v/>
      </c>
      <c r="Q38" s="9">
        <f>INDEX('V_Tüm Teknoloji'!P$2:P$59,MATCH(LARGE('V_Tüm Teknoloji'!$AE$2:$AE$59,ROW()-3),'V_Tüm Teknoloji'!$AE$2:$AE$59,0))</f>
        <v/>
      </c>
      <c r="R38" s="5">
        <f>INDEX('V_Tüm Teknoloji'!Q$2:Q$59,MATCH(LARGE('V_Tüm Teknoloji'!$AE$2:$AE$59,ROW()-3),'V_Tüm Teknoloji'!$AE$2:$AE$59,0))</f>
        <v/>
      </c>
      <c r="S38" s="8">
        <f>INDEX('V_Tüm Teknoloji'!R$2:R$59,MATCH(LARGE('V_Tüm Teknoloji'!$AE$2:$AE$59,ROW()-3),'V_Tüm Teknoloji'!$AE$2:$AE$59,0))</f>
        <v/>
      </c>
      <c r="T38" s="8">
        <f>INDEX('V_Tüm Teknoloji'!S$2:S$59,MATCH(LARGE('V_Tüm Teknoloji'!$AE$2:$AE$59,ROW()-3),'V_Tüm Teknoloji'!$AE$2:$AE$59,0))</f>
        <v/>
      </c>
      <c r="U38" s="8">
        <f>INDEX('V_Tüm Teknoloji'!T$2:T$59,MATCH(LARGE('V_Tüm Teknoloji'!$AE$2:$AE$59,ROW()-3),'V_Tüm Teknoloji'!$AE$2:$AE$59,0))</f>
        <v/>
      </c>
      <c r="V38" s="8">
        <f>INDEX('V_Tüm Teknoloji'!U$2:U$59,MATCH(LARGE('V_Tüm Teknoloji'!$AE$2:$AE$59,ROW()-3),'V_Tüm Teknoloji'!$AE$2:$AE$59,0))</f>
        <v/>
      </c>
      <c r="W38" s="8">
        <f>INDEX('V_Tüm Teknoloji'!V$2:V$59,MATCH(LARGE('V_Tüm Teknoloji'!$AE$2:$AE$59,ROW()-3),'V_Tüm Teknoloji'!$AE$2:$AE$59,0))</f>
        <v/>
      </c>
      <c r="X38" s="8">
        <f>INDEX('V_Tüm Teknoloji'!W$2:W$59,MATCH(LARGE('V_Tüm Teknoloji'!$AE$2:$AE$59,ROW()-3),'V_Tüm Teknoloji'!$AE$2:$AE$59,0))</f>
        <v/>
      </c>
      <c r="Y38" s="8">
        <f>INDEX('V_Tüm Teknoloji'!X$2:X$59,MATCH(LARGE('V_Tüm Teknoloji'!$AE$2:$AE$59,ROW()-3),'V_Tüm Teknoloji'!$AE$2:$AE$59,0))</f>
        <v/>
      </c>
      <c r="Z38" s="8">
        <f>INDEX('V_Tüm Teknoloji'!Y$2:Y$59,MATCH(LARGE('V_Tüm Teknoloji'!$AE$2:$AE$59,ROW()-3),'V_Tüm Teknoloji'!$AE$2:$AE$59,0))</f>
        <v/>
      </c>
      <c r="AA38" s="8">
        <f>INDEX('V_Tüm Teknoloji'!Z$2:Z$59,MATCH(LARGE('V_Tüm Teknoloji'!$AE$2:$AE$59,ROW()-3),'V_Tüm Teknoloji'!$AE$2:$AE$59,0))</f>
        <v/>
      </c>
      <c r="AB38" s="8">
        <f>INDEX('V_Tüm Teknoloji'!AA$2:AA$59,MATCH(LARGE('V_Tüm Teknoloji'!$AE$2:$AE$59,ROW()-3),'V_Tüm Teknoloji'!$AE$2:$AE$59,0))</f>
        <v/>
      </c>
      <c r="AC38" s="8">
        <f>INDEX('V_Tüm Teknoloji'!AB$2:AB$59,MATCH(LARGE('V_Tüm Teknoloji'!$AE$2:$AE$59,ROW()-3),'V_Tüm Teknoloji'!$AE$2:$AE$59,0))</f>
        <v/>
      </c>
      <c r="AD38" s="8">
        <f>INDEX('V_Tüm Teknoloji'!AC$2:AC$59,MATCH(LARGE('V_Tüm Teknoloji'!$AE$2:$AE$59,ROW()-3),'V_Tüm Teknoloji'!$AE$2:$AE$59,0))</f>
        <v/>
      </c>
    </row>
    <row r="39">
      <c r="A39" t="n">
        <v>36</v>
      </c>
      <c r="B39" s="5">
        <f>INDEX('V_Tüm Teknoloji'!A$2:A$59,MATCH(LARGE('V_Tüm Teknoloji'!$AE$2:$AE$59,ROW()-3),'V_Tüm Teknoloji'!$AE$2:$AE$59,0))</f>
        <v/>
      </c>
      <c r="C39" s="5">
        <f>INDEX('V_Tüm Teknoloji'!B$2:B$59,MATCH(LARGE('V_Tüm Teknoloji'!$AE$2:$AE$59,ROW()-3),'V_Tüm Teknoloji'!$AE$2:$AE$59,0))</f>
        <v/>
      </c>
      <c r="D39" s="5">
        <f>INDEX('V_Tüm Teknoloji'!C$2:C$59,MATCH(LARGE('V_Tüm Teknoloji'!$AE$2:$AE$59,ROW()-3),'V_Tüm Teknoloji'!$AE$2:$AE$59,0))</f>
        <v/>
      </c>
      <c r="E39" s="8">
        <f>INDEX('V_Tüm Teknoloji'!D$2:D$59,MATCH(LARGE('V_Tüm Teknoloji'!$AE$2:$AE$59,ROW()-3),'V_Tüm Teknoloji'!$AE$2:$AE$59,0))</f>
        <v/>
      </c>
      <c r="F39" s="9">
        <f>INDEX('V_Tüm Teknoloji'!E$2:E$59,MATCH(LARGE('V_Tüm Teknoloji'!$AE$2:$AE$59,ROW()-3),'V_Tüm Teknoloji'!$AE$2:$AE$59,0))</f>
        <v/>
      </c>
      <c r="G39" s="9">
        <f>INDEX('V_Tüm Teknoloji'!F$2:F$59,MATCH(LARGE('V_Tüm Teknoloji'!$AE$2:$AE$59,ROW()-3),'V_Tüm Teknoloji'!$AE$2:$AE$59,0))</f>
        <v/>
      </c>
      <c r="H39" s="9">
        <f>INDEX('V_Tüm Teknoloji'!G$2:G$59,MATCH(LARGE('V_Tüm Teknoloji'!$AE$2:$AE$59,ROW()-3),'V_Tüm Teknoloji'!$AE$2:$AE$59,0))</f>
        <v/>
      </c>
      <c r="I39" s="9">
        <f>INDEX('V_Tüm Teknoloji'!H$2:H$59,MATCH(LARGE('V_Tüm Teknoloji'!$AE$2:$AE$59,ROW()-3),'V_Tüm Teknoloji'!$AE$2:$AE$59,0))</f>
        <v/>
      </c>
      <c r="J39" s="9">
        <f>INDEX('V_Tüm Teknoloji'!I$2:I$59,MATCH(LARGE('V_Tüm Teknoloji'!$AE$2:$AE$59,ROW()-3),'V_Tüm Teknoloji'!$AE$2:$AE$59,0))</f>
        <v/>
      </c>
      <c r="K39" s="10">
        <f>INDEX('V_Tüm Teknoloji'!J$2:J$59,MATCH(LARGE('V_Tüm Teknoloji'!$AE$2:$AE$59,ROW()-3),'V_Tüm Teknoloji'!$AE$2:$AE$59,0))</f>
        <v/>
      </c>
      <c r="L39" s="10">
        <f>INDEX('V_Tüm Teknoloji'!K$2:K$59,MATCH(LARGE('V_Tüm Teknoloji'!$AE$2:$AE$59,ROW()-3),'V_Tüm Teknoloji'!$AE$2:$AE$59,0))</f>
        <v/>
      </c>
      <c r="M39" s="8">
        <f>INDEX('V_Tüm Teknoloji'!L$2:L$59,MATCH(LARGE('V_Tüm Teknoloji'!$AE$2:$AE$59,ROW()-3),'V_Tüm Teknoloji'!$AE$2:$AE$59,0))</f>
        <v/>
      </c>
      <c r="N39" s="11">
        <f>INDEX('V_Tüm Teknoloji'!M$2:M$59,MATCH(LARGE('V_Tüm Teknoloji'!$AE$2:$AE$59,ROW()-3),'V_Tüm Teknoloji'!$AE$2:$AE$59,0))</f>
        <v/>
      </c>
      <c r="O39" s="11">
        <f>INDEX('V_Tüm Teknoloji'!N$2:N$59,MATCH(LARGE('V_Tüm Teknoloji'!$AE$2:$AE$59,ROW()-3),'V_Tüm Teknoloji'!$AE$2:$AE$59,0))</f>
        <v/>
      </c>
      <c r="P39" s="8">
        <f>INDEX('V_Tüm Teknoloji'!O$2:O$59,MATCH(LARGE('V_Tüm Teknoloji'!$AE$2:$AE$59,ROW()-3),'V_Tüm Teknoloji'!$AE$2:$AE$59,0))</f>
        <v/>
      </c>
      <c r="Q39" s="9">
        <f>INDEX('V_Tüm Teknoloji'!P$2:P$59,MATCH(LARGE('V_Tüm Teknoloji'!$AE$2:$AE$59,ROW()-3),'V_Tüm Teknoloji'!$AE$2:$AE$59,0))</f>
        <v/>
      </c>
      <c r="R39" s="5">
        <f>INDEX('V_Tüm Teknoloji'!Q$2:Q$59,MATCH(LARGE('V_Tüm Teknoloji'!$AE$2:$AE$59,ROW()-3),'V_Tüm Teknoloji'!$AE$2:$AE$59,0))</f>
        <v/>
      </c>
      <c r="S39" s="8">
        <f>INDEX('V_Tüm Teknoloji'!R$2:R$59,MATCH(LARGE('V_Tüm Teknoloji'!$AE$2:$AE$59,ROW()-3),'V_Tüm Teknoloji'!$AE$2:$AE$59,0))</f>
        <v/>
      </c>
      <c r="T39" s="8">
        <f>INDEX('V_Tüm Teknoloji'!S$2:S$59,MATCH(LARGE('V_Tüm Teknoloji'!$AE$2:$AE$59,ROW()-3),'V_Tüm Teknoloji'!$AE$2:$AE$59,0))</f>
        <v/>
      </c>
      <c r="U39" s="8">
        <f>INDEX('V_Tüm Teknoloji'!T$2:T$59,MATCH(LARGE('V_Tüm Teknoloji'!$AE$2:$AE$59,ROW()-3),'V_Tüm Teknoloji'!$AE$2:$AE$59,0))</f>
        <v/>
      </c>
      <c r="V39" s="8">
        <f>INDEX('V_Tüm Teknoloji'!U$2:U$59,MATCH(LARGE('V_Tüm Teknoloji'!$AE$2:$AE$59,ROW()-3),'V_Tüm Teknoloji'!$AE$2:$AE$59,0))</f>
        <v/>
      </c>
      <c r="W39" s="8">
        <f>INDEX('V_Tüm Teknoloji'!V$2:V$59,MATCH(LARGE('V_Tüm Teknoloji'!$AE$2:$AE$59,ROW()-3),'V_Tüm Teknoloji'!$AE$2:$AE$59,0))</f>
        <v/>
      </c>
      <c r="X39" s="8">
        <f>INDEX('V_Tüm Teknoloji'!W$2:W$59,MATCH(LARGE('V_Tüm Teknoloji'!$AE$2:$AE$59,ROW()-3),'V_Tüm Teknoloji'!$AE$2:$AE$59,0))</f>
        <v/>
      </c>
      <c r="Y39" s="8">
        <f>INDEX('V_Tüm Teknoloji'!X$2:X$59,MATCH(LARGE('V_Tüm Teknoloji'!$AE$2:$AE$59,ROW()-3),'V_Tüm Teknoloji'!$AE$2:$AE$59,0))</f>
        <v/>
      </c>
      <c r="Z39" s="8">
        <f>INDEX('V_Tüm Teknoloji'!Y$2:Y$59,MATCH(LARGE('V_Tüm Teknoloji'!$AE$2:$AE$59,ROW()-3),'V_Tüm Teknoloji'!$AE$2:$AE$59,0))</f>
        <v/>
      </c>
      <c r="AA39" s="8">
        <f>INDEX('V_Tüm Teknoloji'!Z$2:Z$59,MATCH(LARGE('V_Tüm Teknoloji'!$AE$2:$AE$59,ROW()-3),'V_Tüm Teknoloji'!$AE$2:$AE$59,0))</f>
        <v/>
      </c>
      <c r="AB39" s="8">
        <f>INDEX('V_Tüm Teknoloji'!AA$2:AA$59,MATCH(LARGE('V_Tüm Teknoloji'!$AE$2:$AE$59,ROW()-3),'V_Tüm Teknoloji'!$AE$2:$AE$59,0))</f>
        <v/>
      </c>
      <c r="AC39" s="8">
        <f>INDEX('V_Tüm Teknoloji'!AB$2:AB$59,MATCH(LARGE('V_Tüm Teknoloji'!$AE$2:$AE$59,ROW()-3),'V_Tüm Teknoloji'!$AE$2:$AE$59,0))</f>
        <v/>
      </c>
      <c r="AD39" s="8">
        <f>INDEX('V_Tüm Teknoloji'!AC$2:AC$59,MATCH(LARGE('V_Tüm Teknoloji'!$AE$2:$AE$59,ROW()-3),'V_Tüm Teknoloji'!$AE$2:$AE$59,0))</f>
        <v/>
      </c>
    </row>
    <row r="40">
      <c r="A40" t="n">
        <v>37</v>
      </c>
      <c r="B40" s="5">
        <f>INDEX('V_Tüm Teknoloji'!A$2:A$59,MATCH(LARGE('V_Tüm Teknoloji'!$AE$2:$AE$59,ROW()-3),'V_Tüm Teknoloji'!$AE$2:$AE$59,0))</f>
        <v/>
      </c>
      <c r="C40" s="5">
        <f>INDEX('V_Tüm Teknoloji'!B$2:B$59,MATCH(LARGE('V_Tüm Teknoloji'!$AE$2:$AE$59,ROW()-3),'V_Tüm Teknoloji'!$AE$2:$AE$59,0))</f>
        <v/>
      </c>
      <c r="D40" s="5">
        <f>INDEX('V_Tüm Teknoloji'!C$2:C$59,MATCH(LARGE('V_Tüm Teknoloji'!$AE$2:$AE$59,ROW()-3),'V_Tüm Teknoloji'!$AE$2:$AE$59,0))</f>
        <v/>
      </c>
      <c r="E40" s="8">
        <f>INDEX('V_Tüm Teknoloji'!D$2:D$59,MATCH(LARGE('V_Tüm Teknoloji'!$AE$2:$AE$59,ROW()-3),'V_Tüm Teknoloji'!$AE$2:$AE$59,0))</f>
        <v/>
      </c>
      <c r="F40" s="9">
        <f>INDEX('V_Tüm Teknoloji'!E$2:E$59,MATCH(LARGE('V_Tüm Teknoloji'!$AE$2:$AE$59,ROW()-3),'V_Tüm Teknoloji'!$AE$2:$AE$59,0))</f>
        <v/>
      </c>
      <c r="G40" s="9">
        <f>INDEX('V_Tüm Teknoloji'!F$2:F$59,MATCH(LARGE('V_Tüm Teknoloji'!$AE$2:$AE$59,ROW()-3),'V_Tüm Teknoloji'!$AE$2:$AE$59,0))</f>
        <v/>
      </c>
      <c r="H40" s="9">
        <f>INDEX('V_Tüm Teknoloji'!G$2:G$59,MATCH(LARGE('V_Tüm Teknoloji'!$AE$2:$AE$59,ROW()-3),'V_Tüm Teknoloji'!$AE$2:$AE$59,0))</f>
        <v/>
      </c>
      <c r="I40" s="9">
        <f>INDEX('V_Tüm Teknoloji'!H$2:H$59,MATCH(LARGE('V_Tüm Teknoloji'!$AE$2:$AE$59,ROW()-3),'V_Tüm Teknoloji'!$AE$2:$AE$59,0))</f>
        <v/>
      </c>
      <c r="J40" s="9">
        <f>INDEX('V_Tüm Teknoloji'!I$2:I$59,MATCH(LARGE('V_Tüm Teknoloji'!$AE$2:$AE$59,ROW()-3),'V_Tüm Teknoloji'!$AE$2:$AE$59,0))</f>
        <v/>
      </c>
      <c r="K40" s="10">
        <f>INDEX('V_Tüm Teknoloji'!J$2:J$59,MATCH(LARGE('V_Tüm Teknoloji'!$AE$2:$AE$59,ROW()-3),'V_Tüm Teknoloji'!$AE$2:$AE$59,0))</f>
        <v/>
      </c>
      <c r="L40" s="10">
        <f>INDEX('V_Tüm Teknoloji'!K$2:K$59,MATCH(LARGE('V_Tüm Teknoloji'!$AE$2:$AE$59,ROW()-3),'V_Tüm Teknoloji'!$AE$2:$AE$59,0))</f>
        <v/>
      </c>
      <c r="M40" s="8">
        <f>INDEX('V_Tüm Teknoloji'!L$2:L$59,MATCH(LARGE('V_Tüm Teknoloji'!$AE$2:$AE$59,ROW()-3),'V_Tüm Teknoloji'!$AE$2:$AE$59,0))</f>
        <v/>
      </c>
      <c r="N40" s="11">
        <f>INDEX('V_Tüm Teknoloji'!M$2:M$59,MATCH(LARGE('V_Tüm Teknoloji'!$AE$2:$AE$59,ROW()-3),'V_Tüm Teknoloji'!$AE$2:$AE$59,0))</f>
        <v/>
      </c>
      <c r="O40" s="11">
        <f>INDEX('V_Tüm Teknoloji'!N$2:N$59,MATCH(LARGE('V_Tüm Teknoloji'!$AE$2:$AE$59,ROW()-3),'V_Tüm Teknoloji'!$AE$2:$AE$59,0))</f>
        <v/>
      </c>
      <c r="P40" s="8">
        <f>INDEX('V_Tüm Teknoloji'!O$2:O$59,MATCH(LARGE('V_Tüm Teknoloji'!$AE$2:$AE$59,ROW()-3),'V_Tüm Teknoloji'!$AE$2:$AE$59,0))</f>
        <v/>
      </c>
      <c r="Q40" s="9">
        <f>INDEX('V_Tüm Teknoloji'!P$2:P$59,MATCH(LARGE('V_Tüm Teknoloji'!$AE$2:$AE$59,ROW()-3),'V_Tüm Teknoloji'!$AE$2:$AE$59,0))</f>
        <v/>
      </c>
      <c r="R40" s="5">
        <f>INDEX('V_Tüm Teknoloji'!Q$2:Q$59,MATCH(LARGE('V_Tüm Teknoloji'!$AE$2:$AE$59,ROW()-3),'V_Tüm Teknoloji'!$AE$2:$AE$59,0))</f>
        <v/>
      </c>
      <c r="S40" s="8">
        <f>INDEX('V_Tüm Teknoloji'!R$2:R$59,MATCH(LARGE('V_Tüm Teknoloji'!$AE$2:$AE$59,ROW()-3),'V_Tüm Teknoloji'!$AE$2:$AE$59,0))</f>
        <v/>
      </c>
      <c r="T40" s="8">
        <f>INDEX('V_Tüm Teknoloji'!S$2:S$59,MATCH(LARGE('V_Tüm Teknoloji'!$AE$2:$AE$59,ROW()-3),'V_Tüm Teknoloji'!$AE$2:$AE$59,0))</f>
        <v/>
      </c>
      <c r="U40" s="8">
        <f>INDEX('V_Tüm Teknoloji'!T$2:T$59,MATCH(LARGE('V_Tüm Teknoloji'!$AE$2:$AE$59,ROW()-3),'V_Tüm Teknoloji'!$AE$2:$AE$59,0))</f>
        <v/>
      </c>
      <c r="V40" s="8">
        <f>INDEX('V_Tüm Teknoloji'!U$2:U$59,MATCH(LARGE('V_Tüm Teknoloji'!$AE$2:$AE$59,ROW()-3),'V_Tüm Teknoloji'!$AE$2:$AE$59,0))</f>
        <v/>
      </c>
      <c r="W40" s="8">
        <f>INDEX('V_Tüm Teknoloji'!V$2:V$59,MATCH(LARGE('V_Tüm Teknoloji'!$AE$2:$AE$59,ROW()-3),'V_Tüm Teknoloji'!$AE$2:$AE$59,0))</f>
        <v/>
      </c>
      <c r="X40" s="8">
        <f>INDEX('V_Tüm Teknoloji'!W$2:W$59,MATCH(LARGE('V_Tüm Teknoloji'!$AE$2:$AE$59,ROW()-3),'V_Tüm Teknoloji'!$AE$2:$AE$59,0))</f>
        <v/>
      </c>
      <c r="Y40" s="8">
        <f>INDEX('V_Tüm Teknoloji'!X$2:X$59,MATCH(LARGE('V_Tüm Teknoloji'!$AE$2:$AE$59,ROW()-3),'V_Tüm Teknoloji'!$AE$2:$AE$59,0))</f>
        <v/>
      </c>
      <c r="Z40" s="8">
        <f>INDEX('V_Tüm Teknoloji'!Y$2:Y$59,MATCH(LARGE('V_Tüm Teknoloji'!$AE$2:$AE$59,ROW()-3),'V_Tüm Teknoloji'!$AE$2:$AE$59,0))</f>
        <v/>
      </c>
      <c r="AA40" s="8">
        <f>INDEX('V_Tüm Teknoloji'!Z$2:Z$59,MATCH(LARGE('V_Tüm Teknoloji'!$AE$2:$AE$59,ROW()-3),'V_Tüm Teknoloji'!$AE$2:$AE$59,0))</f>
        <v/>
      </c>
      <c r="AB40" s="8">
        <f>INDEX('V_Tüm Teknoloji'!AA$2:AA$59,MATCH(LARGE('V_Tüm Teknoloji'!$AE$2:$AE$59,ROW()-3),'V_Tüm Teknoloji'!$AE$2:$AE$59,0))</f>
        <v/>
      </c>
      <c r="AC40" s="8">
        <f>INDEX('V_Tüm Teknoloji'!AB$2:AB$59,MATCH(LARGE('V_Tüm Teknoloji'!$AE$2:$AE$59,ROW()-3),'V_Tüm Teknoloji'!$AE$2:$AE$59,0))</f>
        <v/>
      </c>
      <c r="AD40" s="8">
        <f>INDEX('V_Tüm Teknoloji'!AC$2:AC$59,MATCH(LARGE('V_Tüm Teknoloji'!$AE$2:$AE$59,ROW()-3),'V_Tüm Teknoloji'!$AE$2:$AE$59,0))</f>
        <v/>
      </c>
    </row>
    <row r="41">
      <c r="A41" t="n">
        <v>38</v>
      </c>
      <c r="B41" s="5">
        <f>INDEX('V_Tüm Teknoloji'!A$2:A$59,MATCH(LARGE('V_Tüm Teknoloji'!$AE$2:$AE$59,ROW()-3),'V_Tüm Teknoloji'!$AE$2:$AE$59,0))</f>
        <v/>
      </c>
      <c r="C41" s="5">
        <f>INDEX('V_Tüm Teknoloji'!B$2:B$59,MATCH(LARGE('V_Tüm Teknoloji'!$AE$2:$AE$59,ROW()-3),'V_Tüm Teknoloji'!$AE$2:$AE$59,0))</f>
        <v/>
      </c>
      <c r="D41" s="5">
        <f>INDEX('V_Tüm Teknoloji'!C$2:C$59,MATCH(LARGE('V_Tüm Teknoloji'!$AE$2:$AE$59,ROW()-3),'V_Tüm Teknoloji'!$AE$2:$AE$59,0))</f>
        <v/>
      </c>
      <c r="E41" s="8">
        <f>INDEX('V_Tüm Teknoloji'!D$2:D$59,MATCH(LARGE('V_Tüm Teknoloji'!$AE$2:$AE$59,ROW()-3),'V_Tüm Teknoloji'!$AE$2:$AE$59,0))</f>
        <v/>
      </c>
      <c r="F41" s="9">
        <f>INDEX('V_Tüm Teknoloji'!E$2:E$59,MATCH(LARGE('V_Tüm Teknoloji'!$AE$2:$AE$59,ROW()-3),'V_Tüm Teknoloji'!$AE$2:$AE$59,0))</f>
        <v/>
      </c>
      <c r="G41" s="9">
        <f>INDEX('V_Tüm Teknoloji'!F$2:F$59,MATCH(LARGE('V_Tüm Teknoloji'!$AE$2:$AE$59,ROW()-3),'V_Tüm Teknoloji'!$AE$2:$AE$59,0))</f>
        <v/>
      </c>
      <c r="H41" s="9">
        <f>INDEX('V_Tüm Teknoloji'!G$2:G$59,MATCH(LARGE('V_Tüm Teknoloji'!$AE$2:$AE$59,ROW()-3),'V_Tüm Teknoloji'!$AE$2:$AE$59,0))</f>
        <v/>
      </c>
      <c r="I41" s="9">
        <f>INDEX('V_Tüm Teknoloji'!H$2:H$59,MATCH(LARGE('V_Tüm Teknoloji'!$AE$2:$AE$59,ROW()-3),'V_Tüm Teknoloji'!$AE$2:$AE$59,0))</f>
        <v/>
      </c>
      <c r="J41" s="9">
        <f>INDEX('V_Tüm Teknoloji'!I$2:I$59,MATCH(LARGE('V_Tüm Teknoloji'!$AE$2:$AE$59,ROW()-3),'V_Tüm Teknoloji'!$AE$2:$AE$59,0))</f>
        <v/>
      </c>
      <c r="K41" s="10">
        <f>INDEX('V_Tüm Teknoloji'!J$2:J$59,MATCH(LARGE('V_Tüm Teknoloji'!$AE$2:$AE$59,ROW()-3),'V_Tüm Teknoloji'!$AE$2:$AE$59,0))</f>
        <v/>
      </c>
      <c r="L41" s="10">
        <f>INDEX('V_Tüm Teknoloji'!K$2:K$59,MATCH(LARGE('V_Tüm Teknoloji'!$AE$2:$AE$59,ROW()-3),'V_Tüm Teknoloji'!$AE$2:$AE$59,0))</f>
        <v/>
      </c>
      <c r="M41" s="8">
        <f>INDEX('V_Tüm Teknoloji'!L$2:L$59,MATCH(LARGE('V_Tüm Teknoloji'!$AE$2:$AE$59,ROW()-3),'V_Tüm Teknoloji'!$AE$2:$AE$59,0))</f>
        <v/>
      </c>
      <c r="N41" s="11">
        <f>INDEX('V_Tüm Teknoloji'!M$2:M$59,MATCH(LARGE('V_Tüm Teknoloji'!$AE$2:$AE$59,ROW()-3),'V_Tüm Teknoloji'!$AE$2:$AE$59,0))</f>
        <v/>
      </c>
      <c r="O41" s="11">
        <f>INDEX('V_Tüm Teknoloji'!N$2:N$59,MATCH(LARGE('V_Tüm Teknoloji'!$AE$2:$AE$59,ROW()-3),'V_Tüm Teknoloji'!$AE$2:$AE$59,0))</f>
        <v/>
      </c>
      <c r="P41" s="8">
        <f>INDEX('V_Tüm Teknoloji'!O$2:O$59,MATCH(LARGE('V_Tüm Teknoloji'!$AE$2:$AE$59,ROW()-3),'V_Tüm Teknoloji'!$AE$2:$AE$59,0))</f>
        <v/>
      </c>
      <c r="Q41" s="9">
        <f>INDEX('V_Tüm Teknoloji'!P$2:P$59,MATCH(LARGE('V_Tüm Teknoloji'!$AE$2:$AE$59,ROW()-3),'V_Tüm Teknoloji'!$AE$2:$AE$59,0))</f>
        <v/>
      </c>
      <c r="R41" s="5">
        <f>INDEX('V_Tüm Teknoloji'!Q$2:Q$59,MATCH(LARGE('V_Tüm Teknoloji'!$AE$2:$AE$59,ROW()-3),'V_Tüm Teknoloji'!$AE$2:$AE$59,0))</f>
        <v/>
      </c>
      <c r="S41" s="8">
        <f>INDEX('V_Tüm Teknoloji'!R$2:R$59,MATCH(LARGE('V_Tüm Teknoloji'!$AE$2:$AE$59,ROW()-3),'V_Tüm Teknoloji'!$AE$2:$AE$59,0))</f>
        <v/>
      </c>
      <c r="T41" s="8">
        <f>INDEX('V_Tüm Teknoloji'!S$2:S$59,MATCH(LARGE('V_Tüm Teknoloji'!$AE$2:$AE$59,ROW()-3),'V_Tüm Teknoloji'!$AE$2:$AE$59,0))</f>
        <v/>
      </c>
      <c r="U41" s="8">
        <f>INDEX('V_Tüm Teknoloji'!T$2:T$59,MATCH(LARGE('V_Tüm Teknoloji'!$AE$2:$AE$59,ROW()-3),'V_Tüm Teknoloji'!$AE$2:$AE$59,0))</f>
        <v/>
      </c>
      <c r="V41" s="8">
        <f>INDEX('V_Tüm Teknoloji'!U$2:U$59,MATCH(LARGE('V_Tüm Teknoloji'!$AE$2:$AE$59,ROW()-3),'V_Tüm Teknoloji'!$AE$2:$AE$59,0))</f>
        <v/>
      </c>
      <c r="W41" s="8">
        <f>INDEX('V_Tüm Teknoloji'!V$2:V$59,MATCH(LARGE('V_Tüm Teknoloji'!$AE$2:$AE$59,ROW()-3),'V_Tüm Teknoloji'!$AE$2:$AE$59,0))</f>
        <v/>
      </c>
      <c r="X41" s="8">
        <f>INDEX('V_Tüm Teknoloji'!W$2:W$59,MATCH(LARGE('V_Tüm Teknoloji'!$AE$2:$AE$59,ROW()-3),'V_Tüm Teknoloji'!$AE$2:$AE$59,0))</f>
        <v/>
      </c>
      <c r="Y41" s="8">
        <f>INDEX('V_Tüm Teknoloji'!X$2:X$59,MATCH(LARGE('V_Tüm Teknoloji'!$AE$2:$AE$59,ROW()-3),'V_Tüm Teknoloji'!$AE$2:$AE$59,0))</f>
        <v/>
      </c>
      <c r="Z41" s="8">
        <f>INDEX('V_Tüm Teknoloji'!Y$2:Y$59,MATCH(LARGE('V_Tüm Teknoloji'!$AE$2:$AE$59,ROW()-3),'V_Tüm Teknoloji'!$AE$2:$AE$59,0))</f>
        <v/>
      </c>
      <c r="AA41" s="8">
        <f>INDEX('V_Tüm Teknoloji'!Z$2:Z$59,MATCH(LARGE('V_Tüm Teknoloji'!$AE$2:$AE$59,ROW()-3),'V_Tüm Teknoloji'!$AE$2:$AE$59,0))</f>
        <v/>
      </c>
      <c r="AB41" s="8">
        <f>INDEX('V_Tüm Teknoloji'!AA$2:AA$59,MATCH(LARGE('V_Tüm Teknoloji'!$AE$2:$AE$59,ROW()-3),'V_Tüm Teknoloji'!$AE$2:$AE$59,0))</f>
        <v/>
      </c>
      <c r="AC41" s="8">
        <f>INDEX('V_Tüm Teknoloji'!AB$2:AB$59,MATCH(LARGE('V_Tüm Teknoloji'!$AE$2:$AE$59,ROW()-3),'V_Tüm Teknoloji'!$AE$2:$AE$59,0))</f>
        <v/>
      </c>
      <c r="AD41" s="8">
        <f>INDEX('V_Tüm Teknoloji'!AC$2:AC$59,MATCH(LARGE('V_Tüm Teknoloji'!$AE$2:$AE$59,ROW()-3),'V_Tüm Teknoloji'!$AE$2:$AE$59,0))</f>
        <v/>
      </c>
    </row>
    <row r="42">
      <c r="A42" t="n">
        <v>39</v>
      </c>
      <c r="B42" s="5">
        <f>INDEX('V_Tüm Teknoloji'!A$2:A$59,MATCH(LARGE('V_Tüm Teknoloji'!$AE$2:$AE$59,ROW()-3),'V_Tüm Teknoloji'!$AE$2:$AE$59,0))</f>
        <v/>
      </c>
      <c r="C42" s="5">
        <f>INDEX('V_Tüm Teknoloji'!B$2:B$59,MATCH(LARGE('V_Tüm Teknoloji'!$AE$2:$AE$59,ROW()-3),'V_Tüm Teknoloji'!$AE$2:$AE$59,0))</f>
        <v/>
      </c>
      <c r="D42" s="5">
        <f>INDEX('V_Tüm Teknoloji'!C$2:C$59,MATCH(LARGE('V_Tüm Teknoloji'!$AE$2:$AE$59,ROW()-3),'V_Tüm Teknoloji'!$AE$2:$AE$59,0))</f>
        <v/>
      </c>
      <c r="E42" s="8">
        <f>INDEX('V_Tüm Teknoloji'!D$2:D$59,MATCH(LARGE('V_Tüm Teknoloji'!$AE$2:$AE$59,ROW()-3),'V_Tüm Teknoloji'!$AE$2:$AE$59,0))</f>
        <v/>
      </c>
      <c r="F42" s="9">
        <f>INDEX('V_Tüm Teknoloji'!E$2:E$59,MATCH(LARGE('V_Tüm Teknoloji'!$AE$2:$AE$59,ROW()-3),'V_Tüm Teknoloji'!$AE$2:$AE$59,0))</f>
        <v/>
      </c>
      <c r="G42" s="9">
        <f>INDEX('V_Tüm Teknoloji'!F$2:F$59,MATCH(LARGE('V_Tüm Teknoloji'!$AE$2:$AE$59,ROW()-3),'V_Tüm Teknoloji'!$AE$2:$AE$59,0))</f>
        <v/>
      </c>
      <c r="H42" s="9">
        <f>INDEX('V_Tüm Teknoloji'!G$2:G$59,MATCH(LARGE('V_Tüm Teknoloji'!$AE$2:$AE$59,ROW()-3),'V_Tüm Teknoloji'!$AE$2:$AE$59,0))</f>
        <v/>
      </c>
      <c r="I42" s="9">
        <f>INDEX('V_Tüm Teknoloji'!H$2:H$59,MATCH(LARGE('V_Tüm Teknoloji'!$AE$2:$AE$59,ROW()-3),'V_Tüm Teknoloji'!$AE$2:$AE$59,0))</f>
        <v/>
      </c>
      <c r="J42" s="9">
        <f>INDEX('V_Tüm Teknoloji'!I$2:I$59,MATCH(LARGE('V_Tüm Teknoloji'!$AE$2:$AE$59,ROW()-3),'V_Tüm Teknoloji'!$AE$2:$AE$59,0))</f>
        <v/>
      </c>
      <c r="K42" s="10">
        <f>INDEX('V_Tüm Teknoloji'!J$2:J$59,MATCH(LARGE('V_Tüm Teknoloji'!$AE$2:$AE$59,ROW()-3),'V_Tüm Teknoloji'!$AE$2:$AE$59,0))</f>
        <v/>
      </c>
      <c r="L42" s="10">
        <f>INDEX('V_Tüm Teknoloji'!K$2:K$59,MATCH(LARGE('V_Tüm Teknoloji'!$AE$2:$AE$59,ROW()-3),'V_Tüm Teknoloji'!$AE$2:$AE$59,0))</f>
        <v/>
      </c>
      <c r="M42" s="8">
        <f>INDEX('V_Tüm Teknoloji'!L$2:L$59,MATCH(LARGE('V_Tüm Teknoloji'!$AE$2:$AE$59,ROW()-3),'V_Tüm Teknoloji'!$AE$2:$AE$59,0))</f>
        <v/>
      </c>
      <c r="N42" s="11">
        <f>INDEX('V_Tüm Teknoloji'!M$2:M$59,MATCH(LARGE('V_Tüm Teknoloji'!$AE$2:$AE$59,ROW()-3),'V_Tüm Teknoloji'!$AE$2:$AE$59,0))</f>
        <v/>
      </c>
      <c r="O42" s="11">
        <f>INDEX('V_Tüm Teknoloji'!N$2:N$59,MATCH(LARGE('V_Tüm Teknoloji'!$AE$2:$AE$59,ROW()-3),'V_Tüm Teknoloji'!$AE$2:$AE$59,0))</f>
        <v/>
      </c>
      <c r="P42" s="8">
        <f>INDEX('V_Tüm Teknoloji'!O$2:O$59,MATCH(LARGE('V_Tüm Teknoloji'!$AE$2:$AE$59,ROW()-3),'V_Tüm Teknoloji'!$AE$2:$AE$59,0))</f>
        <v/>
      </c>
      <c r="Q42" s="9">
        <f>INDEX('V_Tüm Teknoloji'!P$2:P$59,MATCH(LARGE('V_Tüm Teknoloji'!$AE$2:$AE$59,ROW()-3),'V_Tüm Teknoloji'!$AE$2:$AE$59,0))</f>
        <v/>
      </c>
      <c r="R42" s="5">
        <f>INDEX('V_Tüm Teknoloji'!Q$2:Q$59,MATCH(LARGE('V_Tüm Teknoloji'!$AE$2:$AE$59,ROW()-3),'V_Tüm Teknoloji'!$AE$2:$AE$59,0))</f>
        <v/>
      </c>
      <c r="S42" s="8">
        <f>INDEX('V_Tüm Teknoloji'!R$2:R$59,MATCH(LARGE('V_Tüm Teknoloji'!$AE$2:$AE$59,ROW()-3),'V_Tüm Teknoloji'!$AE$2:$AE$59,0))</f>
        <v/>
      </c>
      <c r="T42" s="8">
        <f>INDEX('V_Tüm Teknoloji'!S$2:S$59,MATCH(LARGE('V_Tüm Teknoloji'!$AE$2:$AE$59,ROW()-3),'V_Tüm Teknoloji'!$AE$2:$AE$59,0))</f>
        <v/>
      </c>
      <c r="U42" s="8">
        <f>INDEX('V_Tüm Teknoloji'!T$2:T$59,MATCH(LARGE('V_Tüm Teknoloji'!$AE$2:$AE$59,ROW()-3),'V_Tüm Teknoloji'!$AE$2:$AE$59,0))</f>
        <v/>
      </c>
      <c r="V42" s="8">
        <f>INDEX('V_Tüm Teknoloji'!U$2:U$59,MATCH(LARGE('V_Tüm Teknoloji'!$AE$2:$AE$59,ROW()-3),'V_Tüm Teknoloji'!$AE$2:$AE$59,0))</f>
        <v/>
      </c>
      <c r="W42" s="8">
        <f>INDEX('V_Tüm Teknoloji'!V$2:V$59,MATCH(LARGE('V_Tüm Teknoloji'!$AE$2:$AE$59,ROW()-3),'V_Tüm Teknoloji'!$AE$2:$AE$59,0))</f>
        <v/>
      </c>
      <c r="X42" s="8">
        <f>INDEX('V_Tüm Teknoloji'!W$2:W$59,MATCH(LARGE('V_Tüm Teknoloji'!$AE$2:$AE$59,ROW()-3),'V_Tüm Teknoloji'!$AE$2:$AE$59,0))</f>
        <v/>
      </c>
      <c r="Y42" s="8">
        <f>INDEX('V_Tüm Teknoloji'!X$2:X$59,MATCH(LARGE('V_Tüm Teknoloji'!$AE$2:$AE$59,ROW()-3),'V_Tüm Teknoloji'!$AE$2:$AE$59,0))</f>
        <v/>
      </c>
      <c r="Z42" s="8">
        <f>INDEX('V_Tüm Teknoloji'!Y$2:Y$59,MATCH(LARGE('V_Tüm Teknoloji'!$AE$2:$AE$59,ROW()-3),'V_Tüm Teknoloji'!$AE$2:$AE$59,0))</f>
        <v/>
      </c>
      <c r="AA42" s="8">
        <f>INDEX('V_Tüm Teknoloji'!Z$2:Z$59,MATCH(LARGE('V_Tüm Teknoloji'!$AE$2:$AE$59,ROW()-3),'V_Tüm Teknoloji'!$AE$2:$AE$59,0))</f>
        <v/>
      </c>
      <c r="AB42" s="8">
        <f>INDEX('V_Tüm Teknoloji'!AA$2:AA$59,MATCH(LARGE('V_Tüm Teknoloji'!$AE$2:$AE$59,ROW()-3),'V_Tüm Teknoloji'!$AE$2:$AE$59,0))</f>
        <v/>
      </c>
      <c r="AC42" s="8">
        <f>INDEX('V_Tüm Teknoloji'!AB$2:AB$59,MATCH(LARGE('V_Tüm Teknoloji'!$AE$2:$AE$59,ROW()-3),'V_Tüm Teknoloji'!$AE$2:$AE$59,0))</f>
        <v/>
      </c>
      <c r="AD42" s="8">
        <f>INDEX('V_Tüm Teknoloji'!AC$2:AC$59,MATCH(LARGE('V_Tüm Teknoloji'!$AE$2:$AE$59,ROW()-3),'V_Tüm Teknoloji'!$AE$2:$AE$59,0))</f>
        <v/>
      </c>
    </row>
    <row r="43">
      <c r="A43" t="n">
        <v>40</v>
      </c>
      <c r="B43" s="5">
        <f>INDEX('V_Tüm Teknoloji'!A$2:A$59,MATCH(LARGE('V_Tüm Teknoloji'!$AE$2:$AE$59,ROW()-3),'V_Tüm Teknoloji'!$AE$2:$AE$59,0))</f>
        <v/>
      </c>
      <c r="C43" s="5">
        <f>INDEX('V_Tüm Teknoloji'!B$2:B$59,MATCH(LARGE('V_Tüm Teknoloji'!$AE$2:$AE$59,ROW()-3),'V_Tüm Teknoloji'!$AE$2:$AE$59,0))</f>
        <v/>
      </c>
      <c r="D43" s="5">
        <f>INDEX('V_Tüm Teknoloji'!C$2:C$59,MATCH(LARGE('V_Tüm Teknoloji'!$AE$2:$AE$59,ROW()-3),'V_Tüm Teknoloji'!$AE$2:$AE$59,0))</f>
        <v/>
      </c>
      <c r="E43" s="8">
        <f>INDEX('V_Tüm Teknoloji'!D$2:D$59,MATCH(LARGE('V_Tüm Teknoloji'!$AE$2:$AE$59,ROW()-3),'V_Tüm Teknoloji'!$AE$2:$AE$59,0))</f>
        <v/>
      </c>
      <c r="F43" s="9">
        <f>INDEX('V_Tüm Teknoloji'!E$2:E$59,MATCH(LARGE('V_Tüm Teknoloji'!$AE$2:$AE$59,ROW()-3),'V_Tüm Teknoloji'!$AE$2:$AE$59,0))</f>
        <v/>
      </c>
      <c r="G43" s="9">
        <f>INDEX('V_Tüm Teknoloji'!F$2:F$59,MATCH(LARGE('V_Tüm Teknoloji'!$AE$2:$AE$59,ROW()-3),'V_Tüm Teknoloji'!$AE$2:$AE$59,0))</f>
        <v/>
      </c>
      <c r="H43" s="9">
        <f>INDEX('V_Tüm Teknoloji'!G$2:G$59,MATCH(LARGE('V_Tüm Teknoloji'!$AE$2:$AE$59,ROW()-3),'V_Tüm Teknoloji'!$AE$2:$AE$59,0))</f>
        <v/>
      </c>
      <c r="I43" s="9">
        <f>INDEX('V_Tüm Teknoloji'!H$2:H$59,MATCH(LARGE('V_Tüm Teknoloji'!$AE$2:$AE$59,ROW()-3),'V_Tüm Teknoloji'!$AE$2:$AE$59,0))</f>
        <v/>
      </c>
      <c r="J43" s="9">
        <f>INDEX('V_Tüm Teknoloji'!I$2:I$59,MATCH(LARGE('V_Tüm Teknoloji'!$AE$2:$AE$59,ROW()-3),'V_Tüm Teknoloji'!$AE$2:$AE$59,0))</f>
        <v/>
      </c>
      <c r="K43" s="10">
        <f>INDEX('V_Tüm Teknoloji'!J$2:J$59,MATCH(LARGE('V_Tüm Teknoloji'!$AE$2:$AE$59,ROW()-3),'V_Tüm Teknoloji'!$AE$2:$AE$59,0))</f>
        <v/>
      </c>
      <c r="L43" s="10">
        <f>INDEX('V_Tüm Teknoloji'!K$2:K$59,MATCH(LARGE('V_Tüm Teknoloji'!$AE$2:$AE$59,ROW()-3),'V_Tüm Teknoloji'!$AE$2:$AE$59,0))</f>
        <v/>
      </c>
      <c r="M43" s="8">
        <f>INDEX('V_Tüm Teknoloji'!L$2:L$59,MATCH(LARGE('V_Tüm Teknoloji'!$AE$2:$AE$59,ROW()-3),'V_Tüm Teknoloji'!$AE$2:$AE$59,0))</f>
        <v/>
      </c>
      <c r="N43" s="11">
        <f>INDEX('V_Tüm Teknoloji'!M$2:M$59,MATCH(LARGE('V_Tüm Teknoloji'!$AE$2:$AE$59,ROW()-3),'V_Tüm Teknoloji'!$AE$2:$AE$59,0))</f>
        <v/>
      </c>
      <c r="O43" s="11">
        <f>INDEX('V_Tüm Teknoloji'!N$2:N$59,MATCH(LARGE('V_Tüm Teknoloji'!$AE$2:$AE$59,ROW()-3),'V_Tüm Teknoloji'!$AE$2:$AE$59,0))</f>
        <v/>
      </c>
      <c r="P43" s="8">
        <f>INDEX('V_Tüm Teknoloji'!O$2:O$59,MATCH(LARGE('V_Tüm Teknoloji'!$AE$2:$AE$59,ROW()-3),'V_Tüm Teknoloji'!$AE$2:$AE$59,0))</f>
        <v/>
      </c>
      <c r="Q43" s="9">
        <f>INDEX('V_Tüm Teknoloji'!P$2:P$59,MATCH(LARGE('V_Tüm Teknoloji'!$AE$2:$AE$59,ROW()-3),'V_Tüm Teknoloji'!$AE$2:$AE$59,0))</f>
        <v/>
      </c>
      <c r="R43" s="5">
        <f>INDEX('V_Tüm Teknoloji'!Q$2:Q$59,MATCH(LARGE('V_Tüm Teknoloji'!$AE$2:$AE$59,ROW()-3),'V_Tüm Teknoloji'!$AE$2:$AE$59,0))</f>
        <v/>
      </c>
      <c r="S43" s="8">
        <f>INDEX('V_Tüm Teknoloji'!R$2:R$59,MATCH(LARGE('V_Tüm Teknoloji'!$AE$2:$AE$59,ROW()-3),'V_Tüm Teknoloji'!$AE$2:$AE$59,0))</f>
        <v/>
      </c>
      <c r="T43" s="8">
        <f>INDEX('V_Tüm Teknoloji'!S$2:S$59,MATCH(LARGE('V_Tüm Teknoloji'!$AE$2:$AE$59,ROW()-3),'V_Tüm Teknoloji'!$AE$2:$AE$59,0))</f>
        <v/>
      </c>
      <c r="U43" s="8">
        <f>INDEX('V_Tüm Teknoloji'!T$2:T$59,MATCH(LARGE('V_Tüm Teknoloji'!$AE$2:$AE$59,ROW()-3),'V_Tüm Teknoloji'!$AE$2:$AE$59,0))</f>
        <v/>
      </c>
      <c r="V43" s="8">
        <f>INDEX('V_Tüm Teknoloji'!U$2:U$59,MATCH(LARGE('V_Tüm Teknoloji'!$AE$2:$AE$59,ROW()-3),'V_Tüm Teknoloji'!$AE$2:$AE$59,0))</f>
        <v/>
      </c>
      <c r="W43" s="8">
        <f>INDEX('V_Tüm Teknoloji'!V$2:V$59,MATCH(LARGE('V_Tüm Teknoloji'!$AE$2:$AE$59,ROW()-3),'V_Tüm Teknoloji'!$AE$2:$AE$59,0))</f>
        <v/>
      </c>
      <c r="X43" s="8">
        <f>INDEX('V_Tüm Teknoloji'!W$2:W$59,MATCH(LARGE('V_Tüm Teknoloji'!$AE$2:$AE$59,ROW()-3),'V_Tüm Teknoloji'!$AE$2:$AE$59,0))</f>
        <v/>
      </c>
      <c r="Y43" s="8">
        <f>INDEX('V_Tüm Teknoloji'!X$2:X$59,MATCH(LARGE('V_Tüm Teknoloji'!$AE$2:$AE$59,ROW()-3),'V_Tüm Teknoloji'!$AE$2:$AE$59,0))</f>
        <v/>
      </c>
      <c r="Z43" s="8">
        <f>INDEX('V_Tüm Teknoloji'!Y$2:Y$59,MATCH(LARGE('V_Tüm Teknoloji'!$AE$2:$AE$59,ROW()-3),'V_Tüm Teknoloji'!$AE$2:$AE$59,0))</f>
        <v/>
      </c>
      <c r="AA43" s="8">
        <f>INDEX('V_Tüm Teknoloji'!Z$2:Z$59,MATCH(LARGE('V_Tüm Teknoloji'!$AE$2:$AE$59,ROW()-3),'V_Tüm Teknoloji'!$AE$2:$AE$59,0))</f>
        <v/>
      </c>
      <c r="AB43" s="8">
        <f>INDEX('V_Tüm Teknoloji'!AA$2:AA$59,MATCH(LARGE('V_Tüm Teknoloji'!$AE$2:$AE$59,ROW()-3),'V_Tüm Teknoloji'!$AE$2:$AE$59,0))</f>
        <v/>
      </c>
      <c r="AC43" s="8">
        <f>INDEX('V_Tüm Teknoloji'!AB$2:AB$59,MATCH(LARGE('V_Tüm Teknoloji'!$AE$2:$AE$59,ROW()-3),'V_Tüm Teknoloji'!$AE$2:$AE$59,0))</f>
        <v/>
      </c>
      <c r="AD43" s="8">
        <f>INDEX('V_Tüm Teknoloji'!AC$2:AC$59,MATCH(LARGE('V_Tüm Teknoloji'!$AE$2:$AE$59,ROW()-3),'V_Tüm Teknoloji'!$AE$2:$AE$59,0))</f>
        <v/>
      </c>
    </row>
    <row r="44">
      <c r="A44" t="n">
        <v>41</v>
      </c>
      <c r="B44" s="5">
        <f>INDEX('V_Tüm Teknoloji'!A$2:A$59,MATCH(LARGE('V_Tüm Teknoloji'!$AE$2:$AE$59,ROW()-3),'V_Tüm Teknoloji'!$AE$2:$AE$59,0))</f>
        <v/>
      </c>
      <c r="C44" s="5">
        <f>INDEX('V_Tüm Teknoloji'!B$2:B$59,MATCH(LARGE('V_Tüm Teknoloji'!$AE$2:$AE$59,ROW()-3),'V_Tüm Teknoloji'!$AE$2:$AE$59,0))</f>
        <v/>
      </c>
      <c r="D44" s="5">
        <f>INDEX('V_Tüm Teknoloji'!C$2:C$59,MATCH(LARGE('V_Tüm Teknoloji'!$AE$2:$AE$59,ROW()-3),'V_Tüm Teknoloji'!$AE$2:$AE$59,0))</f>
        <v/>
      </c>
      <c r="E44" s="8">
        <f>INDEX('V_Tüm Teknoloji'!D$2:D$59,MATCH(LARGE('V_Tüm Teknoloji'!$AE$2:$AE$59,ROW()-3),'V_Tüm Teknoloji'!$AE$2:$AE$59,0))</f>
        <v/>
      </c>
      <c r="F44" s="9">
        <f>INDEX('V_Tüm Teknoloji'!E$2:E$59,MATCH(LARGE('V_Tüm Teknoloji'!$AE$2:$AE$59,ROW()-3),'V_Tüm Teknoloji'!$AE$2:$AE$59,0))</f>
        <v/>
      </c>
      <c r="G44" s="9">
        <f>INDEX('V_Tüm Teknoloji'!F$2:F$59,MATCH(LARGE('V_Tüm Teknoloji'!$AE$2:$AE$59,ROW()-3),'V_Tüm Teknoloji'!$AE$2:$AE$59,0))</f>
        <v/>
      </c>
      <c r="H44" s="9">
        <f>INDEX('V_Tüm Teknoloji'!G$2:G$59,MATCH(LARGE('V_Tüm Teknoloji'!$AE$2:$AE$59,ROW()-3),'V_Tüm Teknoloji'!$AE$2:$AE$59,0))</f>
        <v/>
      </c>
      <c r="I44" s="9">
        <f>INDEX('V_Tüm Teknoloji'!H$2:H$59,MATCH(LARGE('V_Tüm Teknoloji'!$AE$2:$AE$59,ROW()-3),'V_Tüm Teknoloji'!$AE$2:$AE$59,0))</f>
        <v/>
      </c>
      <c r="J44" s="9">
        <f>INDEX('V_Tüm Teknoloji'!I$2:I$59,MATCH(LARGE('V_Tüm Teknoloji'!$AE$2:$AE$59,ROW()-3),'V_Tüm Teknoloji'!$AE$2:$AE$59,0))</f>
        <v/>
      </c>
      <c r="K44" s="10">
        <f>INDEX('V_Tüm Teknoloji'!J$2:J$59,MATCH(LARGE('V_Tüm Teknoloji'!$AE$2:$AE$59,ROW()-3),'V_Tüm Teknoloji'!$AE$2:$AE$59,0))</f>
        <v/>
      </c>
      <c r="L44" s="10">
        <f>INDEX('V_Tüm Teknoloji'!K$2:K$59,MATCH(LARGE('V_Tüm Teknoloji'!$AE$2:$AE$59,ROW()-3),'V_Tüm Teknoloji'!$AE$2:$AE$59,0))</f>
        <v/>
      </c>
      <c r="M44" s="8">
        <f>INDEX('V_Tüm Teknoloji'!L$2:L$59,MATCH(LARGE('V_Tüm Teknoloji'!$AE$2:$AE$59,ROW()-3),'V_Tüm Teknoloji'!$AE$2:$AE$59,0))</f>
        <v/>
      </c>
      <c r="N44" s="11">
        <f>INDEX('V_Tüm Teknoloji'!M$2:M$59,MATCH(LARGE('V_Tüm Teknoloji'!$AE$2:$AE$59,ROW()-3),'V_Tüm Teknoloji'!$AE$2:$AE$59,0))</f>
        <v/>
      </c>
      <c r="O44" s="11">
        <f>INDEX('V_Tüm Teknoloji'!N$2:N$59,MATCH(LARGE('V_Tüm Teknoloji'!$AE$2:$AE$59,ROW()-3),'V_Tüm Teknoloji'!$AE$2:$AE$59,0))</f>
        <v/>
      </c>
      <c r="P44" s="8">
        <f>INDEX('V_Tüm Teknoloji'!O$2:O$59,MATCH(LARGE('V_Tüm Teknoloji'!$AE$2:$AE$59,ROW()-3),'V_Tüm Teknoloji'!$AE$2:$AE$59,0))</f>
        <v/>
      </c>
      <c r="Q44" s="9">
        <f>INDEX('V_Tüm Teknoloji'!P$2:P$59,MATCH(LARGE('V_Tüm Teknoloji'!$AE$2:$AE$59,ROW()-3),'V_Tüm Teknoloji'!$AE$2:$AE$59,0))</f>
        <v/>
      </c>
      <c r="R44" s="5">
        <f>INDEX('V_Tüm Teknoloji'!Q$2:Q$59,MATCH(LARGE('V_Tüm Teknoloji'!$AE$2:$AE$59,ROW()-3),'V_Tüm Teknoloji'!$AE$2:$AE$59,0))</f>
        <v/>
      </c>
      <c r="S44" s="8">
        <f>INDEX('V_Tüm Teknoloji'!R$2:R$59,MATCH(LARGE('V_Tüm Teknoloji'!$AE$2:$AE$59,ROW()-3),'V_Tüm Teknoloji'!$AE$2:$AE$59,0))</f>
        <v/>
      </c>
      <c r="T44" s="8">
        <f>INDEX('V_Tüm Teknoloji'!S$2:S$59,MATCH(LARGE('V_Tüm Teknoloji'!$AE$2:$AE$59,ROW()-3),'V_Tüm Teknoloji'!$AE$2:$AE$59,0))</f>
        <v/>
      </c>
      <c r="U44" s="8">
        <f>INDEX('V_Tüm Teknoloji'!T$2:T$59,MATCH(LARGE('V_Tüm Teknoloji'!$AE$2:$AE$59,ROW()-3),'V_Tüm Teknoloji'!$AE$2:$AE$59,0))</f>
        <v/>
      </c>
      <c r="V44" s="8">
        <f>INDEX('V_Tüm Teknoloji'!U$2:U$59,MATCH(LARGE('V_Tüm Teknoloji'!$AE$2:$AE$59,ROW()-3),'V_Tüm Teknoloji'!$AE$2:$AE$59,0))</f>
        <v/>
      </c>
      <c r="W44" s="8">
        <f>INDEX('V_Tüm Teknoloji'!V$2:V$59,MATCH(LARGE('V_Tüm Teknoloji'!$AE$2:$AE$59,ROW()-3),'V_Tüm Teknoloji'!$AE$2:$AE$59,0))</f>
        <v/>
      </c>
      <c r="X44" s="8">
        <f>INDEX('V_Tüm Teknoloji'!W$2:W$59,MATCH(LARGE('V_Tüm Teknoloji'!$AE$2:$AE$59,ROW()-3),'V_Tüm Teknoloji'!$AE$2:$AE$59,0))</f>
        <v/>
      </c>
      <c r="Y44" s="8">
        <f>INDEX('V_Tüm Teknoloji'!X$2:X$59,MATCH(LARGE('V_Tüm Teknoloji'!$AE$2:$AE$59,ROW()-3),'V_Tüm Teknoloji'!$AE$2:$AE$59,0))</f>
        <v/>
      </c>
      <c r="Z44" s="8">
        <f>INDEX('V_Tüm Teknoloji'!Y$2:Y$59,MATCH(LARGE('V_Tüm Teknoloji'!$AE$2:$AE$59,ROW()-3),'V_Tüm Teknoloji'!$AE$2:$AE$59,0))</f>
        <v/>
      </c>
      <c r="AA44" s="8">
        <f>INDEX('V_Tüm Teknoloji'!Z$2:Z$59,MATCH(LARGE('V_Tüm Teknoloji'!$AE$2:$AE$59,ROW()-3),'V_Tüm Teknoloji'!$AE$2:$AE$59,0))</f>
        <v/>
      </c>
      <c r="AB44" s="8">
        <f>INDEX('V_Tüm Teknoloji'!AA$2:AA$59,MATCH(LARGE('V_Tüm Teknoloji'!$AE$2:$AE$59,ROW()-3),'V_Tüm Teknoloji'!$AE$2:$AE$59,0))</f>
        <v/>
      </c>
      <c r="AC44" s="8">
        <f>INDEX('V_Tüm Teknoloji'!AB$2:AB$59,MATCH(LARGE('V_Tüm Teknoloji'!$AE$2:$AE$59,ROW()-3),'V_Tüm Teknoloji'!$AE$2:$AE$59,0))</f>
        <v/>
      </c>
      <c r="AD44" s="8">
        <f>INDEX('V_Tüm Teknoloji'!AC$2:AC$59,MATCH(LARGE('V_Tüm Teknoloji'!$AE$2:$AE$59,ROW()-3),'V_Tüm Teknoloji'!$AE$2:$AE$59,0))</f>
        <v/>
      </c>
    </row>
    <row r="45">
      <c r="A45" t="n">
        <v>42</v>
      </c>
      <c r="B45" s="5">
        <f>INDEX('V_Tüm Teknoloji'!A$2:A$59,MATCH(LARGE('V_Tüm Teknoloji'!$AE$2:$AE$59,ROW()-3),'V_Tüm Teknoloji'!$AE$2:$AE$59,0))</f>
        <v/>
      </c>
      <c r="C45" s="5">
        <f>INDEX('V_Tüm Teknoloji'!B$2:B$59,MATCH(LARGE('V_Tüm Teknoloji'!$AE$2:$AE$59,ROW()-3),'V_Tüm Teknoloji'!$AE$2:$AE$59,0))</f>
        <v/>
      </c>
      <c r="D45" s="5">
        <f>INDEX('V_Tüm Teknoloji'!C$2:C$59,MATCH(LARGE('V_Tüm Teknoloji'!$AE$2:$AE$59,ROW()-3),'V_Tüm Teknoloji'!$AE$2:$AE$59,0))</f>
        <v/>
      </c>
      <c r="E45" s="8">
        <f>INDEX('V_Tüm Teknoloji'!D$2:D$59,MATCH(LARGE('V_Tüm Teknoloji'!$AE$2:$AE$59,ROW()-3),'V_Tüm Teknoloji'!$AE$2:$AE$59,0))</f>
        <v/>
      </c>
      <c r="F45" s="9">
        <f>INDEX('V_Tüm Teknoloji'!E$2:E$59,MATCH(LARGE('V_Tüm Teknoloji'!$AE$2:$AE$59,ROW()-3),'V_Tüm Teknoloji'!$AE$2:$AE$59,0))</f>
        <v/>
      </c>
      <c r="G45" s="9">
        <f>INDEX('V_Tüm Teknoloji'!F$2:F$59,MATCH(LARGE('V_Tüm Teknoloji'!$AE$2:$AE$59,ROW()-3),'V_Tüm Teknoloji'!$AE$2:$AE$59,0))</f>
        <v/>
      </c>
      <c r="H45" s="9">
        <f>INDEX('V_Tüm Teknoloji'!G$2:G$59,MATCH(LARGE('V_Tüm Teknoloji'!$AE$2:$AE$59,ROW()-3),'V_Tüm Teknoloji'!$AE$2:$AE$59,0))</f>
        <v/>
      </c>
      <c r="I45" s="9">
        <f>INDEX('V_Tüm Teknoloji'!H$2:H$59,MATCH(LARGE('V_Tüm Teknoloji'!$AE$2:$AE$59,ROW()-3),'V_Tüm Teknoloji'!$AE$2:$AE$59,0))</f>
        <v/>
      </c>
      <c r="J45" s="9">
        <f>INDEX('V_Tüm Teknoloji'!I$2:I$59,MATCH(LARGE('V_Tüm Teknoloji'!$AE$2:$AE$59,ROW()-3),'V_Tüm Teknoloji'!$AE$2:$AE$59,0))</f>
        <v/>
      </c>
      <c r="K45" s="10">
        <f>INDEX('V_Tüm Teknoloji'!J$2:J$59,MATCH(LARGE('V_Tüm Teknoloji'!$AE$2:$AE$59,ROW()-3),'V_Tüm Teknoloji'!$AE$2:$AE$59,0))</f>
        <v/>
      </c>
      <c r="L45" s="10">
        <f>INDEX('V_Tüm Teknoloji'!K$2:K$59,MATCH(LARGE('V_Tüm Teknoloji'!$AE$2:$AE$59,ROW()-3),'V_Tüm Teknoloji'!$AE$2:$AE$59,0))</f>
        <v/>
      </c>
      <c r="M45" s="8">
        <f>INDEX('V_Tüm Teknoloji'!L$2:L$59,MATCH(LARGE('V_Tüm Teknoloji'!$AE$2:$AE$59,ROW()-3),'V_Tüm Teknoloji'!$AE$2:$AE$59,0))</f>
        <v/>
      </c>
      <c r="N45" s="11">
        <f>INDEX('V_Tüm Teknoloji'!M$2:M$59,MATCH(LARGE('V_Tüm Teknoloji'!$AE$2:$AE$59,ROW()-3),'V_Tüm Teknoloji'!$AE$2:$AE$59,0))</f>
        <v/>
      </c>
      <c r="O45" s="11">
        <f>INDEX('V_Tüm Teknoloji'!N$2:N$59,MATCH(LARGE('V_Tüm Teknoloji'!$AE$2:$AE$59,ROW()-3),'V_Tüm Teknoloji'!$AE$2:$AE$59,0))</f>
        <v/>
      </c>
      <c r="P45" s="8">
        <f>INDEX('V_Tüm Teknoloji'!O$2:O$59,MATCH(LARGE('V_Tüm Teknoloji'!$AE$2:$AE$59,ROW()-3),'V_Tüm Teknoloji'!$AE$2:$AE$59,0))</f>
        <v/>
      </c>
      <c r="Q45" s="9">
        <f>INDEX('V_Tüm Teknoloji'!P$2:P$59,MATCH(LARGE('V_Tüm Teknoloji'!$AE$2:$AE$59,ROW()-3),'V_Tüm Teknoloji'!$AE$2:$AE$59,0))</f>
        <v/>
      </c>
      <c r="R45" s="5">
        <f>INDEX('V_Tüm Teknoloji'!Q$2:Q$59,MATCH(LARGE('V_Tüm Teknoloji'!$AE$2:$AE$59,ROW()-3),'V_Tüm Teknoloji'!$AE$2:$AE$59,0))</f>
        <v/>
      </c>
      <c r="S45" s="8">
        <f>INDEX('V_Tüm Teknoloji'!R$2:R$59,MATCH(LARGE('V_Tüm Teknoloji'!$AE$2:$AE$59,ROW()-3),'V_Tüm Teknoloji'!$AE$2:$AE$59,0))</f>
        <v/>
      </c>
      <c r="T45" s="8">
        <f>INDEX('V_Tüm Teknoloji'!S$2:S$59,MATCH(LARGE('V_Tüm Teknoloji'!$AE$2:$AE$59,ROW()-3),'V_Tüm Teknoloji'!$AE$2:$AE$59,0))</f>
        <v/>
      </c>
      <c r="U45" s="8">
        <f>INDEX('V_Tüm Teknoloji'!T$2:T$59,MATCH(LARGE('V_Tüm Teknoloji'!$AE$2:$AE$59,ROW()-3),'V_Tüm Teknoloji'!$AE$2:$AE$59,0))</f>
        <v/>
      </c>
      <c r="V45" s="8">
        <f>INDEX('V_Tüm Teknoloji'!U$2:U$59,MATCH(LARGE('V_Tüm Teknoloji'!$AE$2:$AE$59,ROW()-3),'V_Tüm Teknoloji'!$AE$2:$AE$59,0))</f>
        <v/>
      </c>
      <c r="W45" s="8">
        <f>INDEX('V_Tüm Teknoloji'!V$2:V$59,MATCH(LARGE('V_Tüm Teknoloji'!$AE$2:$AE$59,ROW()-3),'V_Tüm Teknoloji'!$AE$2:$AE$59,0))</f>
        <v/>
      </c>
      <c r="X45" s="8">
        <f>INDEX('V_Tüm Teknoloji'!W$2:W$59,MATCH(LARGE('V_Tüm Teknoloji'!$AE$2:$AE$59,ROW()-3),'V_Tüm Teknoloji'!$AE$2:$AE$59,0))</f>
        <v/>
      </c>
      <c r="Y45" s="8">
        <f>INDEX('V_Tüm Teknoloji'!X$2:X$59,MATCH(LARGE('V_Tüm Teknoloji'!$AE$2:$AE$59,ROW()-3),'V_Tüm Teknoloji'!$AE$2:$AE$59,0))</f>
        <v/>
      </c>
      <c r="Z45" s="8">
        <f>INDEX('V_Tüm Teknoloji'!Y$2:Y$59,MATCH(LARGE('V_Tüm Teknoloji'!$AE$2:$AE$59,ROW()-3),'V_Tüm Teknoloji'!$AE$2:$AE$59,0))</f>
        <v/>
      </c>
      <c r="AA45" s="8">
        <f>INDEX('V_Tüm Teknoloji'!Z$2:Z$59,MATCH(LARGE('V_Tüm Teknoloji'!$AE$2:$AE$59,ROW()-3),'V_Tüm Teknoloji'!$AE$2:$AE$59,0))</f>
        <v/>
      </c>
      <c r="AB45" s="8">
        <f>INDEX('V_Tüm Teknoloji'!AA$2:AA$59,MATCH(LARGE('V_Tüm Teknoloji'!$AE$2:$AE$59,ROW()-3),'V_Tüm Teknoloji'!$AE$2:$AE$59,0))</f>
        <v/>
      </c>
      <c r="AC45" s="8">
        <f>INDEX('V_Tüm Teknoloji'!AB$2:AB$59,MATCH(LARGE('V_Tüm Teknoloji'!$AE$2:$AE$59,ROW()-3),'V_Tüm Teknoloji'!$AE$2:$AE$59,0))</f>
        <v/>
      </c>
      <c r="AD45" s="8">
        <f>INDEX('V_Tüm Teknoloji'!AC$2:AC$59,MATCH(LARGE('V_Tüm Teknoloji'!$AE$2:$AE$59,ROW()-3),'V_Tüm Teknoloji'!$AE$2:$AE$59,0))</f>
        <v/>
      </c>
    </row>
    <row r="46">
      <c r="A46" t="n">
        <v>43</v>
      </c>
      <c r="B46" s="5">
        <f>INDEX('V_Tüm Teknoloji'!A$2:A$59,MATCH(LARGE('V_Tüm Teknoloji'!$AE$2:$AE$59,ROW()-3),'V_Tüm Teknoloji'!$AE$2:$AE$59,0))</f>
        <v/>
      </c>
      <c r="C46" s="5">
        <f>INDEX('V_Tüm Teknoloji'!B$2:B$59,MATCH(LARGE('V_Tüm Teknoloji'!$AE$2:$AE$59,ROW()-3),'V_Tüm Teknoloji'!$AE$2:$AE$59,0))</f>
        <v/>
      </c>
      <c r="D46" s="5">
        <f>INDEX('V_Tüm Teknoloji'!C$2:C$59,MATCH(LARGE('V_Tüm Teknoloji'!$AE$2:$AE$59,ROW()-3),'V_Tüm Teknoloji'!$AE$2:$AE$59,0))</f>
        <v/>
      </c>
      <c r="E46" s="8">
        <f>INDEX('V_Tüm Teknoloji'!D$2:D$59,MATCH(LARGE('V_Tüm Teknoloji'!$AE$2:$AE$59,ROW()-3),'V_Tüm Teknoloji'!$AE$2:$AE$59,0))</f>
        <v/>
      </c>
      <c r="F46" s="9">
        <f>INDEX('V_Tüm Teknoloji'!E$2:E$59,MATCH(LARGE('V_Tüm Teknoloji'!$AE$2:$AE$59,ROW()-3),'V_Tüm Teknoloji'!$AE$2:$AE$59,0))</f>
        <v/>
      </c>
      <c r="G46" s="9">
        <f>INDEX('V_Tüm Teknoloji'!F$2:F$59,MATCH(LARGE('V_Tüm Teknoloji'!$AE$2:$AE$59,ROW()-3),'V_Tüm Teknoloji'!$AE$2:$AE$59,0))</f>
        <v/>
      </c>
      <c r="H46" s="9">
        <f>INDEX('V_Tüm Teknoloji'!G$2:G$59,MATCH(LARGE('V_Tüm Teknoloji'!$AE$2:$AE$59,ROW()-3),'V_Tüm Teknoloji'!$AE$2:$AE$59,0))</f>
        <v/>
      </c>
      <c r="I46" s="9">
        <f>INDEX('V_Tüm Teknoloji'!H$2:H$59,MATCH(LARGE('V_Tüm Teknoloji'!$AE$2:$AE$59,ROW()-3),'V_Tüm Teknoloji'!$AE$2:$AE$59,0))</f>
        <v/>
      </c>
      <c r="J46" s="9">
        <f>INDEX('V_Tüm Teknoloji'!I$2:I$59,MATCH(LARGE('V_Tüm Teknoloji'!$AE$2:$AE$59,ROW()-3),'V_Tüm Teknoloji'!$AE$2:$AE$59,0))</f>
        <v/>
      </c>
      <c r="K46" s="10">
        <f>INDEX('V_Tüm Teknoloji'!J$2:J$59,MATCH(LARGE('V_Tüm Teknoloji'!$AE$2:$AE$59,ROW()-3),'V_Tüm Teknoloji'!$AE$2:$AE$59,0))</f>
        <v/>
      </c>
      <c r="L46" s="10">
        <f>INDEX('V_Tüm Teknoloji'!K$2:K$59,MATCH(LARGE('V_Tüm Teknoloji'!$AE$2:$AE$59,ROW()-3),'V_Tüm Teknoloji'!$AE$2:$AE$59,0))</f>
        <v/>
      </c>
      <c r="M46" s="8">
        <f>INDEX('V_Tüm Teknoloji'!L$2:L$59,MATCH(LARGE('V_Tüm Teknoloji'!$AE$2:$AE$59,ROW()-3),'V_Tüm Teknoloji'!$AE$2:$AE$59,0))</f>
        <v/>
      </c>
      <c r="N46" s="11">
        <f>INDEX('V_Tüm Teknoloji'!M$2:M$59,MATCH(LARGE('V_Tüm Teknoloji'!$AE$2:$AE$59,ROW()-3),'V_Tüm Teknoloji'!$AE$2:$AE$59,0))</f>
        <v/>
      </c>
      <c r="O46" s="11">
        <f>INDEX('V_Tüm Teknoloji'!N$2:N$59,MATCH(LARGE('V_Tüm Teknoloji'!$AE$2:$AE$59,ROW()-3),'V_Tüm Teknoloji'!$AE$2:$AE$59,0))</f>
        <v/>
      </c>
      <c r="P46" s="8">
        <f>INDEX('V_Tüm Teknoloji'!O$2:O$59,MATCH(LARGE('V_Tüm Teknoloji'!$AE$2:$AE$59,ROW()-3),'V_Tüm Teknoloji'!$AE$2:$AE$59,0))</f>
        <v/>
      </c>
      <c r="Q46" s="9">
        <f>INDEX('V_Tüm Teknoloji'!P$2:P$59,MATCH(LARGE('V_Tüm Teknoloji'!$AE$2:$AE$59,ROW()-3),'V_Tüm Teknoloji'!$AE$2:$AE$59,0))</f>
        <v/>
      </c>
      <c r="R46" s="5">
        <f>INDEX('V_Tüm Teknoloji'!Q$2:Q$59,MATCH(LARGE('V_Tüm Teknoloji'!$AE$2:$AE$59,ROW()-3),'V_Tüm Teknoloji'!$AE$2:$AE$59,0))</f>
        <v/>
      </c>
      <c r="S46" s="8">
        <f>INDEX('V_Tüm Teknoloji'!R$2:R$59,MATCH(LARGE('V_Tüm Teknoloji'!$AE$2:$AE$59,ROW()-3),'V_Tüm Teknoloji'!$AE$2:$AE$59,0))</f>
        <v/>
      </c>
      <c r="T46" s="8">
        <f>INDEX('V_Tüm Teknoloji'!S$2:S$59,MATCH(LARGE('V_Tüm Teknoloji'!$AE$2:$AE$59,ROW()-3),'V_Tüm Teknoloji'!$AE$2:$AE$59,0))</f>
        <v/>
      </c>
      <c r="U46" s="8">
        <f>INDEX('V_Tüm Teknoloji'!T$2:T$59,MATCH(LARGE('V_Tüm Teknoloji'!$AE$2:$AE$59,ROW()-3),'V_Tüm Teknoloji'!$AE$2:$AE$59,0))</f>
        <v/>
      </c>
      <c r="V46" s="8">
        <f>INDEX('V_Tüm Teknoloji'!U$2:U$59,MATCH(LARGE('V_Tüm Teknoloji'!$AE$2:$AE$59,ROW()-3),'V_Tüm Teknoloji'!$AE$2:$AE$59,0))</f>
        <v/>
      </c>
      <c r="W46" s="8">
        <f>INDEX('V_Tüm Teknoloji'!V$2:V$59,MATCH(LARGE('V_Tüm Teknoloji'!$AE$2:$AE$59,ROW()-3),'V_Tüm Teknoloji'!$AE$2:$AE$59,0))</f>
        <v/>
      </c>
      <c r="X46" s="8">
        <f>INDEX('V_Tüm Teknoloji'!W$2:W$59,MATCH(LARGE('V_Tüm Teknoloji'!$AE$2:$AE$59,ROW()-3),'V_Tüm Teknoloji'!$AE$2:$AE$59,0))</f>
        <v/>
      </c>
      <c r="Y46" s="8">
        <f>INDEX('V_Tüm Teknoloji'!X$2:X$59,MATCH(LARGE('V_Tüm Teknoloji'!$AE$2:$AE$59,ROW()-3),'V_Tüm Teknoloji'!$AE$2:$AE$59,0))</f>
        <v/>
      </c>
      <c r="Z46" s="8">
        <f>INDEX('V_Tüm Teknoloji'!Y$2:Y$59,MATCH(LARGE('V_Tüm Teknoloji'!$AE$2:$AE$59,ROW()-3),'V_Tüm Teknoloji'!$AE$2:$AE$59,0))</f>
        <v/>
      </c>
      <c r="AA46" s="8">
        <f>INDEX('V_Tüm Teknoloji'!Z$2:Z$59,MATCH(LARGE('V_Tüm Teknoloji'!$AE$2:$AE$59,ROW()-3),'V_Tüm Teknoloji'!$AE$2:$AE$59,0))</f>
        <v/>
      </c>
      <c r="AB46" s="8">
        <f>INDEX('V_Tüm Teknoloji'!AA$2:AA$59,MATCH(LARGE('V_Tüm Teknoloji'!$AE$2:$AE$59,ROW()-3),'V_Tüm Teknoloji'!$AE$2:$AE$59,0))</f>
        <v/>
      </c>
      <c r="AC46" s="8">
        <f>INDEX('V_Tüm Teknoloji'!AB$2:AB$59,MATCH(LARGE('V_Tüm Teknoloji'!$AE$2:$AE$59,ROW()-3),'V_Tüm Teknoloji'!$AE$2:$AE$59,0))</f>
        <v/>
      </c>
      <c r="AD46" s="8">
        <f>INDEX('V_Tüm Teknoloji'!AC$2:AC$59,MATCH(LARGE('V_Tüm Teknoloji'!$AE$2:$AE$59,ROW()-3),'V_Tüm Teknoloji'!$AE$2:$AE$59,0))</f>
        <v/>
      </c>
    </row>
    <row r="47">
      <c r="A47" t="n">
        <v>44</v>
      </c>
      <c r="B47" s="5">
        <f>INDEX('V_Tüm Teknoloji'!A$2:A$59,MATCH(LARGE('V_Tüm Teknoloji'!$AE$2:$AE$59,ROW()-3),'V_Tüm Teknoloji'!$AE$2:$AE$59,0))</f>
        <v/>
      </c>
      <c r="C47" s="5">
        <f>INDEX('V_Tüm Teknoloji'!B$2:B$59,MATCH(LARGE('V_Tüm Teknoloji'!$AE$2:$AE$59,ROW()-3),'V_Tüm Teknoloji'!$AE$2:$AE$59,0))</f>
        <v/>
      </c>
      <c r="D47" s="5">
        <f>INDEX('V_Tüm Teknoloji'!C$2:C$59,MATCH(LARGE('V_Tüm Teknoloji'!$AE$2:$AE$59,ROW()-3),'V_Tüm Teknoloji'!$AE$2:$AE$59,0))</f>
        <v/>
      </c>
      <c r="E47" s="8">
        <f>INDEX('V_Tüm Teknoloji'!D$2:D$59,MATCH(LARGE('V_Tüm Teknoloji'!$AE$2:$AE$59,ROW()-3),'V_Tüm Teknoloji'!$AE$2:$AE$59,0))</f>
        <v/>
      </c>
      <c r="F47" s="9">
        <f>INDEX('V_Tüm Teknoloji'!E$2:E$59,MATCH(LARGE('V_Tüm Teknoloji'!$AE$2:$AE$59,ROW()-3),'V_Tüm Teknoloji'!$AE$2:$AE$59,0))</f>
        <v/>
      </c>
      <c r="G47" s="9">
        <f>INDEX('V_Tüm Teknoloji'!F$2:F$59,MATCH(LARGE('V_Tüm Teknoloji'!$AE$2:$AE$59,ROW()-3),'V_Tüm Teknoloji'!$AE$2:$AE$59,0))</f>
        <v/>
      </c>
      <c r="H47" s="9">
        <f>INDEX('V_Tüm Teknoloji'!G$2:G$59,MATCH(LARGE('V_Tüm Teknoloji'!$AE$2:$AE$59,ROW()-3),'V_Tüm Teknoloji'!$AE$2:$AE$59,0))</f>
        <v/>
      </c>
      <c r="I47" s="9">
        <f>INDEX('V_Tüm Teknoloji'!H$2:H$59,MATCH(LARGE('V_Tüm Teknoloji'!$AE$2:$AE$59,ROW()-3),'V_Tüm Teknoloji'!$AE$2:$AE$59,0))</f>
        <v/>
      </c>
      <c r="J47" s="9">
        <f>INDEX('V_Tüm Teknoloji'!I$2:I$59,MATCH(LARGE('V_Tüm Teknoloji'!$AE$2:$AE$59,ROW()-3),'V_Tüm Teknoloji'!$AE$2:$AE$59,0))</f>
        <v/>
      </c>
      <c r="K47" s="10">
        <f>INDEX('V_Tüm Teknoloji'!J$2:J$59,MATCH(LARGE('V_Tüm Teknoloji'!$AE$2:$AE$59,ROW()-3),'V_Tüm Teknoloji'!$AE$2:$AE$59,0))</f>
        <v/>
      </c>
      <c r="L47" s="10">
        <f>INDEX('V_Tüm Teknoloji'!K$2:K$59,MATCH(LARGE('V_Tüm Teknoloji'!$AE$2:$AE$59,ROW()-3),'V_Tüm Teknoloji'!$AE$2:$AE$59,0))</f>
        <v/>
      </c>
      <c r="M47" s="8">
        <f>INDEX('V_Tüm Teknoloji'!L$2:L$59,MATCH(LARGE('V_Tüm Teknoloji'!$AE$2:$AE$59,ROW()-3),'V_Tüm Teknoloji'!$AE$2:$AE$59,0))</f>
        <v/>
      </c>
      <c r="N47" s="11">
        <f>INDEX('V_Tüm Teknoloji'!M$2:M$59,MATCH(LARGE('V_Tüm Teknoloji'!$AE$2:$AE$59,ROW()-3),'V_Tüm Teknoloji'!$AE$2:$AE$59,0))</f>
        <v/>
      </c>
      <c r="O47" s="11">
        <f>INDEX('V_Tüm Teknoloji'!N$2:N$59,MATCH(LARGE('V_Tüm Teknoloji'!$AE$2:$AE$59,ROW()-3),'V_Tüm Teknoloji'!$AE$2:$AE$59,0))</f>
        <v/>
      </c>
      <c r="P47" s="8">
        <f>INDEX('V_Tüm Teknoloji'!O$2:O$59,MATCH(LARGE('V_Tüm Teknoloji'!$AE$2:$AE$59,ROW()-3),'V_Tüm Teknoloji'!$AE$2:$AE$59,0))</f>
        <v/>
      </c>
      <c r="Q47" s="9">
        <f>INDEX('V_Tüm Teknoloji'!P$2:P$59,MATCH(LARGE('V_Tüm Teknoloji'!$AE$2:$AE$59,ROW()-3),'V_Tüm Teknoloji'!$AE$2:$AE$59,0))</f>
        <v/>
      </c>
      <c r="R47" s="5">
        <f>INDEX('V_Tüm Teknoloji'!Q$2:Q$59,MATCH(LARGE('V_Tüm Teknoloji'!$AE$2:$AE$59,ROW()-3),'V_Tüm Teknoloji'!$AE$2:$AE$59,0))</f>
        <v/>
      </c>
      <c r="S47" s="8">
        <f>INDEX('V_Tüm Teknoloji'!R$2:R$59,MATCH(LARGE('V_Tüm Teknoloji'!$AE$2:$AE$59,ROW()-3),'V_Tüm Teknoloji'!$AE$2:$AE$59,0))</f>
        <v/>
      </c>
      <c r="T47" s="8">
        <f>INDEX('V_Tüm Teknoloji'!S$2:S$59,MATCH(LARGE('V_Tüm Teknoloji'!$AE$2:$AE$59,ROW()-3),'V_Tüm Teknoloji'!$AE$2:$AE$59,0))</f>
        <v/>
      </c>
      <c r="U47" s="8">
        <f>INDEX('V_Tüm Teknoloji'!T$2:T$59,MATCH(LARGE('V_Tüm Teknoloji'!$AE$2:$AE$59,ROW()-3),'V_Tüm Teknoloji'!$AE$2:$AE$59,0))</f>
        <v/>
      </c>
      <c r="V47" s="8">
        <f>INDEX('V_Tüm Teknoloji'!U$2:U$59,MATCH(LARGE('V_Tüm Teknoloji'!$AE$2:$AE$59,ROW()-3),'V_Tüm Teknoloji'!$AE$2:$AE$59,0))</f>
        <v/>
      </c>
      <c r="W47" s="8">
        <f>INDEX('V_Tüm Teknoloji'!V$2:V$59,MATCH(LARGE('V_Tüm Teknoloji'!$AE$2:$AE$59,ROW()-3),'V_Tüm Teknoloji'!$AE$2:$AE$59,0))</f>
        <v/>
      </c>
      <c r="X47" s="8">
        <f>INDEX('V_Tüm Teknoloji'!W$2:W$59,MATCH(LARGE('V_Tüm Teknoloji'!$AE$2:$AE$59,ROW()-3),'V_Tüm Teknoloji'!$AE$2:$AE$59,0))</f>
        <v/>
      </c>
      <c r="Y47" s="8">
        <f>INDEX('V_Tüm Teknoloji'!X$2:X$59,MATCH(LARGE('V_Tüm Teknoloji'!$AE$2:$AE$59,ROW()-3),'V_Tüm Teknoloji'!$AE$2:$AE$59,0))</f>
        <v/>
      </c>
      <c r="Z47" s="8">
        <f>INDEX('V_Tüm Teknoloji'!Y$2:Y$59,MATCH(LARGE('V_Tüm Teknoloji'!$AE$2:$AE$59,ROW()-3),'V_Tüm Teknoloji'!$AE$2:$AE$59,0))</f>
        <v/>
      </c>
      <c r="AA47" s="8">
        <f>INDEX('V_Tüm Teknoloji'!Z$2:Z$59,MATCH(LARGE('V_Tüm Teknoloji'!$AE$2:$AE$59,ROW()-3),'V_Tüm Teknoloji'!$AE$2:$AE$59,0))</f>
        <v/>
      </c>
      <c r="AB47" s="8">
        <f>INDEX('V_Tüm Teknoloji'!AA$2:AA$59,MATCH(LARGE('V_Tüm Teknoloji'!$AE$2:$AE$59,ROW()-3),'V_Tüm Teknoloji'!$AE$2:$AE$59,0))</f>
        <v/>
      </c>
      <c r="AC47" s="8">
        <f>INDEX('V_Tüm Teknoloji'!AB$2:AB$59,MATCH(LARGE('V_Tüm Teknoloji'!$AE$2:$AE$59,ROW()-3),'V_Tüm Teknoloji'!$AE$2:$AE$59,0))</f>
        <v/>
      </c>
      <c r="AD47" s="8">
        <f>INDEX('V_Tüm Teknoloji'!AC$2:AC$59,MATCH(LARGE('V_Tüm Teknoloji'!$AE$2:$AE$59,ROW()-3),'V_Tüm Teknoloji'!$AE$2:$AE$59,0))</f>
        <v/>
      </c>
    </row>
    <row r="48">
      <c r="A48" t="n">
        <v>45</v>
      </c>
      <c r="B48" s="5">
        <f>INDEX('V_Tüm Teknoloji'!A$2:A$59,MATCH(LARGE('V_Tüm Teknoloji'!$AE$2:$AE$59,ROW()-3),'V_Tüm Teknoloji'!$AE$2:$AE$59,0))</f>
        <v/>
      </c>
      <c r="C48" s="5">
        <f>INDEX('V_Tüm Teknoloji'!B$2:B$59,MATCH(LARGE('V_Tüm Teknoloji'!$AE$2:$AE$59,ROW()-3),'V_Tüm Teknoloji'!$AE$2:$AE$59,0))</f>
        <v/>
      </c>
      <c r="D48" s="5">
        <f>INDEX('V_Tüm Teknoloji'!C$2:C$59,MATCH(LARGE('V_Tüm Teknoloji'!$AE$2:$AE$59,ROW()-3),'V_Tüm Teknoloji'!$AE$2:$AE$59,0))</f>
        <v/>
      </c>
      <c r="E48" s="8">
        <f>INDEX('V_Tüm Teknoloji'!D$2:D$59,MATCH(LARGE('V_Tüm Teknoloji'!$AE$2:$AE$59,ROW()-3),'V_Tüm Teknoloji'!$AE$2:$AE$59,0))</f>
        <v/>
      </c>
      <c r="F48" s="9">
        <f>INDEX('V_Tüm Teknoloji'!E$2:E$59,MATCH(LARGE('V_Tüm Teknoloji'!$AE$2:$AE$59,ROW()-3),'V_Tüm Teknoloji'!$AE$2:$AE$59,0))</f>
        <v/>
      </c>
      <c r="G48" s="9">
        <f>INDEX('V_Tüm Teknoloji'!F$2:F$59,MATCH(LARGE('V_Tüm Teknoloji'!$AE$2:$AE$59,ROW()-3),'V_Tüm Teknoloji'!$AE$2:$AE$59,0))</f>
        <v/>
      </c>
      <c r="H48" s="9">
        <f>INDEX('V_Tüm Teknoloji'!G$2:G$59,MATCH(LARGE('V_Tüm Teknoloji'!$AE$2:$AE$59,ROW()-3),'V_Tüm Teknoloji'!$AE$2:$AE$59,0))</f>
        <v/>
      </c>
      <c r="I48" s="9">
        <f>INDEX('V_Tüm Teknoloji'!H$2:H$59,MATCH(LARGE('V_Tüm Teknoloji'!$AE$2:$AE$59,ROW()-3),'V_Tüm Teknoloji'!$AE$2:$AE$59,0))</f>
        <v/>
      </c>
      <c r="J48" s="9">
        <f>INDEX('V_Tüm Teknoloji'!I$2:I$59,MATCH(LARGE('V_Tüm Teknoloji'!$AE$2:$AE$59,ROW()-3),'V_Tüm Teknoloji'!$AE$2:$AE$59,0))</f>
        <v/>
      </c>
      <c r="K48" s="10">
        <f>INDEX('V_Tüm Teknoloji'!J$2:J$59,MATCH(LARGE('V_Tüm Teknoloji'!$AE$2:$AE$59,ROW()-3),'V_Tüm Teknoloji'!$AE$2:$AE$59,0))</f>
        <v/>
      </c>
      <c r="L48" s="10">
        <f>INDEX('V_Tüm Teknoloji'!K$2:K$59,MATCH(LARGE('V_Tüm Teknoloji'!$AE$2:$AE$59,ROW()-3),'V_Tüm Teknoloji'!$AE$2:$AE$59,0))</f>
        <v/>
      </c>
      <c r="M48" s="8">
        <f>INDEX('V_Tüm Teknoloji'!L$2:L$59,MATCH(LARGE('V_Tüm Teknoloji'!$AE$2:$AE$59,ROW()-3),'V_Tüm Teknoloji'!$AE$2:$AE$59,0))</f>
        <v/>
      </c>
      <c r="N48" s="11">
        <f>INDEX('V_Tüm Teknoloji'!M$2:M$59,MATCH(LARGE('V_Tüm Teknoloji'!$AE$2:$AE$59,ROW()-3),'V_Tüm Teknoloji'!$AE$2:$AE$59,0))</f>
        <v/>
      </c>
      <c r="O48" s="11">
        <f>INDEX('V_Tüm Teknoloji'!N$2:N$59,MATCH(LARGE('V_Tüm Teknoloji'!$AE$2:$AE$59,ROW()-3),'V_Tüm Teknoloji'!$AE$2:$AE$59,0))</f>
        <v/>
      </c>
      <c r="P48" s="8">
        <f>INDEX('V_Tüm Teknoloji'!O$2:O$59,MATCH(LARGE('V_Tüm Teknoloji'!$AE$2:$AE$59,ROW()-3),'V_Tüm Teknoloji'!$AE$2:$AE$59,0))</f>
        <v/>
      </c>
      <c r="Q48" s="9">
        <f>INDEX('V_Tüm Teknoloji'!P$2:P$59,MATCH(LARGE('V_Tüm Teknoloji'!$AE$2:$AE$59,ROW()-3),'V_Tüm Teknoloji'!$AE$2:$AE$59,0))</f>
        <v/>
      </c>
      <c r="R48" s="5">
        <f>INDEX('V_Tüm Teknoloji'!Q$2:Q$59,MATCH(LARGE('V_Tüm Teknoloji'!$AE$2:$AE$59,ROW()-3),'V_Tüm Teknoloji'!$AE$2:$AE$59,0))</f>
        <v/>
      </c>
      <c r="S48" s="8">
        <f>INDEX('V_Tüm Teknoloji'!R$2:R$59,MATCH(LARGE('V_Tüm Teknoloji'!$AE$2:$AE$59,ROW()-3),'V_Tüm Teknoloji'!$AE$2:$AE$59,0))</f>
        <v/>
      </c>
      <c r="T48" s="8">
        <f>INDEX('V_Tüm Teknoloji'!S$2:S$59,MATCH(LARGE('V_Tüm Teknoloji'!$AE$2:$AE$59,ROW()-3),'V_Tüm Teknoloji'!$AE$2:$AE$59,0))</f>
        <v/>
      </c>
      <c r="U48" s="8">
        <f>INDEX('V_Tüm Teknoloji'!T$2:T$59,MATCH(LARGE('V_Tüm Teknoloji'!$AE$2:$AE$59,ROW()-3),'V_Tüm Teknoloji'!$AE$2:$AE$59,0))</f>
        <v/>
      </c>
      <c r="V48" s="8">
        <f>INDEX('V_Tüm Teknoloji'!U$2:U$59,MATCH(LARGE('V_Tüm Teknoloji'!$AE$2:$AE$59,ROW()-3),'V_Tüm Teknoloji'!$AE$2:$AE$59,0))</f>
        <v/>
      </c>
      <c r="W48" s="8">
        <f>INDEX('V_Tüm Teknoloji'!V$2:V$59,MATCH(LARGE('V_Tüm Teknoloji'!$AE$2:$AE$59,ROW()-3),'V_Tüm Teknoloji'!$AE$2:$AE$59,0))</f>
        <v/>
      </c>
      <c r="X48" s="8">
        <f>INDEX('V_Tüm Teknoloji'!W$2:W$59,MATCH(LARGE('V_Tüm Teknoloji'!$AE$2:$AE$59,ROW()-3),'V_Tüm Teknoloji'!$AE$2:$AE$59,0))</f>
        <v/>
      </c>
      <c r="Y48" s="8">
        <f>INDEX('V_Tüm Teknoloji'!X$2:X$59,MATCH(LARGE('V_Tüm Teknoloji'!$AE$2:$AE$59,ROW()-3),'V_Tüm Teknoloji'!$AE$2:$AE$59,0))</f>
        <v/>
      </c>
      <c r="Z48" s="8">
        <f>INDEX('V_Tüm Teknoloji'!Y$2:Y$59,MATCH(LARGE('V_Tüm Teknoloji'!$AE$2:$AE$59,ROW()-3),'V_Tüm Teknoloji'!$AE$2:$AE$59,0))</f>
        <v/>
      </c>
      <c r="AA48" s="8">
        <f>INDEX('V_Tüm Teknoloji'!Z$2:Z$59,MATCH(LARGE('V_Tüm Teknoloji'!$AE$2:$AE$59,ROW()-3),'V_Tüm Teknoloji'!$AE$2:$AE$59,0))</f>
        <v/>
      </c>
      <c r="AB48" s="8">
        <f>INDEX('V_Tüm Teknoloji'!AA$2:AA$59,MATCH(LARGE('V_Tüm Teknoloji'!$AE$2:$AE$59,ROW()-3),'V_Tüm Teknoloji'!$AE$2:$AE$59,0))</f>
        <v/>
      </c>
      <c r="AC48" s="8">
        <f>INDEX('V_Tüm Teknoloji'!AB$2:AB$59,MATCH(LARGE('V_Tüm Teknoloji'!$AE$2:$AE$59,ROW()-3),'V_Tüm Teknoloji'!$AE$2:$AE$59,0))</f>
        <v/>
      </c>
      <c r="AD48" s="8">
        <f>INDEX('V_Tüm Teknoloji'!AC$2:AC$59,MATCH(LARGE('V_Tüm Teknoloji'!$AE$2:$AE$59,ROW()-3),'V_Tüm Teknoloji'!$AE$2:$AE$59,0))</f>
        <v/>
      </c>
    </row>
    <row r="49">
      <c r="A49" t="n">
        <v>46</v>
      </c>
      <c r="B49" s="5">
        <f>INDEX('V_Tüm Teknoloji'!A$2:A$59,MATCH(LARGE('V_Tüm Teknoloji'!$AE$2:$AE$59,ROW()-3),'V_Tüm Teknoloji'!$AE$2:$AE$59,0))</f>
        <v/>
      </c>
      <c r="C49" s="5">
        <f>INDEX('V_Tüm Teknoloji'!B$2:B$59,MATCH(LARGE('V_Tüm Teknoloji'!$AE$2:$AE$59,ROW()-3),'V_Tüm Teknoloji'!$AE$2:$AE$59,0))</f>
        <v/>
      </c>
      <c r="D49" s="5">
        <f>INDEX('V_Tüm Teknoloji'!C$2:C$59,MATCH(LARGE('V_Tüm Teknoloji'!$AE$2:$AE$59,ROW()-3),'V_Tüm Teknoloji'!$AE$2:$AE$59,0))</f>
        <v/>
      </c>
      <c r="E49" s="8">
        <f>INDEX('V_Tüm Teknoloji'!D$2:D$59,MATCH(LARGE('V_Tüm Teknoloji'!$AE$2:$AE$59,ROW()-3),'V_Tüm Teknoloji'!$AE$2:$AE$59,0))</f>
        <v/>
      </c>
      <c r="F49" s="9">
        <f>INDEX('V_Tüm Teknoloji'!E$2:E$59,MATCH(LARGE('V_Tüm Teknoloji'!$AE$2:$AE$59,ROW()-3),'V_Tüm Teknoloji'!$AE$2:$AE$59,0))</f>
        <v/>
      </c>
      <c r="G49" s="9">
        <f>INDEX('V_Tüm Teknoloji'!F$2:F$59,MATCH(LARGE('V_Tüm Teknoloji'!$AE$2:$AE$59,ROW()-3),'V_Tüm Teknoloji'!$AE$2:$AE$59,0))</f>
        <v/>
      </c>
      <c r="H49" s="9">
        <f>INDEX('V_Tüm Teknoloji'!G$2:G$59,MATCH(LARGE('V_Tüm Teknoloji'!$AE$2:$AE$59,ROW()-3),'V_Tüm Teknoloji'!$AE$2:$AE$59,0))</f>
        <v/>
      </c>
      <c r="I49" s="9">
        <f>INDEX('V_Tüm Teknoloji'!H$2:H$59,MATCH(LARGE('V_Tüm Teknoloji'!$AE$2:$AE$59,ROW()-3),'V_Tüm Teknoloji'!$AE$2:$AE$59,0))</f>
        <v/>
      </c>
      <c r="J49" s="9">
        <f>INDEX('V_Tüm Teknoloji'!I$2:I$59,MATCH(LARGE('V_Tüm Teknoloji'!$AE$2:$AE$59,ROW()-3),'V_Tüm Teknoloji'!$AE$2:$AE$59,0))</f>
        <v/>
      </c>
      <c r="K49" s="10">
        <f>INDEX('V_Tüm Teknoloji'!J$2:J$59,MATCH(LARGE('V_Tüm Teknoloji'!$AE$2:$AE$59,ROW()-3),'V_Tüm Teknoloji'!$AE$2:$AE$59,0))</f>
        <v/>
      </c>
      <c r="L49" s="10">
        <f>INDEX('V_Tüm Teknoloji'!K$2:K$59,MATCH(LARGE('V_Tüm Teknoloji'!$AE$2:$AE$59,ROW()-3),'V_Tüm Teknoloji'!$AE$2:$AE$59,0))</f>
        <v/>
      </c>
      <c r="M49" s="8">
        <f>INDEX('V_Tüm Teknoloji'!L$2:L$59,MATCH(LARGE('V_Tüm Teknoloji'!$AE$2:$AE$59,ROW()-3),'V_Tüm Teknoloji'!$AE$2:$AE$59,0))</f>
        <v/>
      </c>
      <c r="N49" s="11">
        <f>INDEX('V_Tüm Teknoloji'!M$2:M$59,MATCH(LARGE('V_Tüm Teknoloji'!$AE$2:$AE$59,ROW()-3),'V_Tüm Teknoloji'!$AE$2:$AE$59,0))</f>
        <v/>
      </c>
      <c r="O49" s="11">
        <f>INDEX('V_Tüm Teknoloji'!N$2:N$59,MATCH(LARGE('V_Tüm Teknoloji'!$AE$2:$AE$59,ROW()-3),'V_Tüm Teknoloji'!$AE$2:$AE$59,0))</f>
        <v/>
      </c>
      <c r="P49" s="8">
        <f>INDEX('V_Tüm Teknoloji'!O$2:O$59,MATCH(LARGE('V_Tüm Teknoloji'!$AE$2:$AE$59,ROW()-3),'V_Tüm Teknoloji'!$AE$2:$AE$59,0))</f>
        <v/>
      </c>
      <c r="Q49" s="9">
        <f>INDEX('V_Tüm Teknoloji'!P$2:P$59,MATCH(LARGE('V_Tüm Teknoloji'!$AE$2:$AE$59,ROW()-3),'V_Tüm Teknoloji'!$AE$2:$AE$59,0))</f>
        <v/>
      </c>
      <c r="R49" s="5">
        <f>INDEX('V_Tüm Teknoloji'!Q$2:Q$59,MATCH(LARGE('V_Tüm Teknoloji'!$AE$2:$AE$59,ROW()-3),'V_Tüm Teknoloji'!$AE$2:$AE$59,0))</f>
        <v/>
      </c>
      <c r="S49" s="8">
        <f>INDEX('V_Tüm Teknoloji'!R$2:R$59,MATCH(LARGE('V_Tüm Teknoloji'!$AE$2:$AE$59,ROW()-3),'V_Tüm Teknoloji'!$AE$2:$AE$59,0))</f>
        <v/>
      </c>
      <c r="T49" s="8">
        <f>INDEX('V_Tüm Teknoloji'!S$2:S$59,MATCH(LARGE('V_Tüm Teknoloji'!$AE$2:$AE$59,ROW()-3),'V_Tüm Teknoloji'!$AE$2:$AE$59,0))</f>
        <v/>
      </c>
      <c r="U49" s="8">
        <f>INDEX('V_Tüm Teknoloji'!T$2:T$59,MATCH(LARGE('V_Tüm Teknoloji'!$AE$2:$AE$59,ROW()-3),'V_Tüm Teknoloji'!$AE$2:$AE$59,0))</f>
        <v/>
      </c>
      <c r="V49" s="8">
        <f>INDEX('V_Tüm Teknoloji'!U$2:U$59,MATCH(LARGE('V_Tüm Teknoloji'!$AE$2:$AE$59,ROW()-3),'V_Tüm Teknoloji'!$AE$2:$AE$59,0))</f>
        <v/>
      </c>
      <c r="W49" s="8">
        <f>INDEX('V_Tüm Teknoloji'!V$2:V$59,MATCH(LARGE('V_Tüm Teknoloji'!$AE$2:$AE$59,ROW()-3),'V_Tüm Teknoloji'!$AE$2:$AE$59,0))</f>
        <v/>
      </c>
      <c r="X49" s="8">
        <f>INDEX('V_Tüm Teknoloji'!W$2:W$59,MATCH(LARGE('V_Tüm Teknoloji'!$AE$2:$AE$59,ROW()-3),'V_Tüm Teknoloji'!$AE$2:$AE$59,0))</f>
        <v/>
      </c>
      <c r="Y49" s="8">
        <f>INDEX('V_Tüm Teknoloji'!X$2:X$59,MATCH(LARGE('V_Tüm Teknoloji'!$AE$2:$AE$59,ROW()-3),'V_Tüm Teknoloji'!$AE$2:$AE$59,0))</f>
        <v/>
      </c>
      <c r="Z49" s="8">
        <f>INDEX('V_Tüm Teknoloji'!Y$2:Y$59,MATCH(LARGE('V_Tüm Teknoloji'!$AE$2:$AE$59,ROW()-3),'V_Tüm Teknoloji'!$AE$2:$AE$59,0))</f>
        <v/>
      </c>
      <c r="AA49" s="8">
        <f>INDEX('V_Tüm Teknoloji'!Z$2:Z$59,MATCH(LARGE('V_Tüm Teknoloji'!$AE$2:$AE$59,ROW()-3),'V_Tüm Teknoloji'!$AE$2:$AE$59,0))</f>
        <v/>
      </c>
      <c r="AB49" s="8">
        <f>INDEX('V_Tüm Teknoloji'!AA$2:AA$59,MATCH(LARGE('V_Tüm Teknoloji'!$AE$2:$AE$59,ROW()-3),'V_Tüm Teknoloji'!$AE$2:$AE$59,0))</f>
        <v/>
      </c>
      <c r="AC49" s="8">
        <f>INDEX('V_Tüm Teknoloji'!AB$2:AB$59,MATCH(LARGE('V_Tüm Teknoloji'!$AE$2:$AE$59,ROW()-3),'V_Tüm Teknoloji'!$AE$2:$AE$59,0))</f>
        <v/>
      </c>
      <c r="AD49" s="8">
        <f>INDEX('V_Tüm Teknoloji'!AC$2:AC$59,MATCH(LARGE('V_Tüm Teknoloji'!$AE$2:$AE$59,ROW()-3),'V_Tüm Teknoloji'!$AE$2:$AE$59,0))</f>
        <v/>
      </c>
    </row>
    <row r="50">
      <c r="A50" t="n">
        <v>47</v>
      </c>
      <c r="B50" s="5">
        <f>INDEX('V_Tüm Teknoloji'!A$2:A$59,MATCH(LARGE('V_Tüm Teknoloji'!$AE$2:$AE$59,ROW()-3),'V_Tüm Teknoloji'!$AE$2:$AE$59,0))</f>
        <v/>
      </c>
      <c r="C50" s="5">
        <f>INDEX('V_Tüm Teknoloji'!B$2:B$59,MATCH(LARGE('V_Tüm Teknoloji'!$AE$2:$AE$59,ROW()-3),'V_Tüm Teknoloji'!$AE$2:$AE$59,0))</f>
        <v/>
      </c>
      <c r="D50" s="5">
        <f>INDEX('V_Tüm Teknoloji'!C$2:C$59,MATCH(LARGE('V_Tüm Teknoloji'!$AE$2:$AE$59,ROW()-3),'V_Tüm Teknoloji'!$AE$2:$AE$59,0))</f>
        <v/>
      </c>
      <c r="E50" s="8">
        <f>INDEX('V_Tüm Teknoloji'!D$2:D$59,MATCH(LARGE('V_Tüm Teknoloji'!$AE$2:$AE$59,ROW()-3),'V_Tüm Teknoloji'!$AE$2:$AE$59,0))</f>
        <v/>
      </c>
      <c r="F50" s="9">
        <f>INDEX('V_Tüm Teknoloji'!E$2:E$59,MATCH(LARGE('V_Tüm Teknoloji'!$AE$2:$AE$59,ROW()-3),'V_Tüm Teknoloji'!$AE$2:$AE$59,0))</f>
        <v/>
      </c>
      <c r="G50" s="9">
        <f>INDEX('V_Tüm Teknoloji'!F$2:F$59,MATCH(LARGE('V_Tüm Teknoloji'!$AE$2:$AE$59,ROW()-3),'V_Tüm Teknoloji'!$AE$2:$AE$59,0))</f>
        <v/>
      </c>
      <c r="H50" s="9">
        <f>INDEX('V_Tüm Teknoloji'!G$2:G$59,MATCH(LARGE('V_Tüm Teknoloji'!$AE$2:$AE$59,ROW()-3),'V_Tüm Teknoloji'!$AE$2:$AE$59,0))</f>
        <v/>
      </c>
      <c r="I50" s="9">
        <f>INDEX('V_Tüm Teknoloji'!H$2:H$59,MATCH(LARGE('V_Tüm Teknoloji'!$AE$2:$AE$59,ROW()-3),'V_Tüm Teknoloji'!$AE$2:$AE$59,0))</f>
        <v/>
      </c>
      <c r="J50" s="9">
        <f>INDEX('V_Tüm Teknoloji'!I$2:I$59,MATCH(LARGE('V_Tüm Teknoloji'!$AE$2:$AE$59,ROW()-3),'V_Tüm Teknoloji'!$AE$2:$AE$59,0))</f>
        <v/>
      </c>
      <c r="K50" s="10">
        <f>INDEX('V_Tüm Teknoloji'!J$2:J$59,MATCH(LARGE('V_Tüm Teknoloji'!$AE$2:$AE$59,ROW()-3),'V_Tüm Teknoloji'!$AE$2:$AE$59,0))</f>
        <v/>
      </c>
      <c r="L50" s="10">
        <f>INDEX('V_Tüm Teknoloji'!K$2:K$59,MATCH(LARGE('V_Tüm Teknoloji'!$AE$2:$AE$59,ROW()-3),'V_Tüm Teknoloji'!$AE$2:$AE$59,0))</f>
        <v/>
      </c>
      <c r="M50" s="8">
        <f>INDEX('V_Tüm Teknoloji'!L$2:L$59,MATCH(LARGE('V_Tüm Teknoloji'!$AE$2:$AE$59,ROW()-3),'V_Tüm Teknoloji'!$AE$2:$AE$59,0))</f>
        <v/>
      </c>
      <c r="N50" s="11">
        <f>INDEX('V_Tüm Teknoloji'!M$2:M$59,MATCH(LARGE('V_Tüm Teknoloji'!$AE$2:$AE$59,ROW()-3),'V_Tüm Teknoloji'!$AE$2:$AE$59,0))</f>
        <v/>
      </c>
      <c r="O50" s="11">
        <f>INDEX('V_Tüm Teknoloji'!N$2:N$59,MATCH(LARGE('V_Tüm Teknoloji'!$AE$2:$AE$59,ROW()-3),'V_Tüm Teknoloji'!$AE$2:$AE$59,0))</f>
        <v/>
      </c>
      <c r="P50" s="8">
        <f>INDEX('V_Tüm Teknoloji'!O$2:O$59,MATCH(LARGE('V_Tüm Teknoloji'!$AE$2:$AE$59,ROW()-3),'V_Tüm Teknoloji'!$AE$2:$AE$59,0))</f>
        <v/>
      </c>
      <c r="Q50" s="9">
        <f>INDEX('V_Tüm Teknoloji'!P$2:P$59,MATCH(LARGE('V_Tüm Teknoloji'!$AE$2:$AE$59,ROW()-3),'V_Tüm Teknoloji'!$AE$2:$AE$59,0))</f>
        <v/>
      </c>
      <c r="R50" s="5">
        <f>INDEX('V_Tüm Teknoloji'!Q$2:Q$59,MATCH(LARGE('V_Tüm Teknoloji'!$AE$2:$AE$59,ROW()-3),'V_Tüm Teknoloji'!$AE$2:$AE$59,0))</f>
        <v/>
      </c>
      <c r="S50" s="8">
        <f>INDEX('V_Tüm Teknoloji'!R$2:R$59,MATCH(LARGE('V_Tüm Teknoloji'!$AE$2:$AE$59,ROW()-3),'V_Tüm Teknoloji'!$AE$2:$AE$59,0))</f>
        <v/>
      </c>
      <c r="T50" s="8">
        <f>INDEX('V_Tüm Teknoloji'!S$2:S$59,MATCH(LARGE('V_Tüm Teknoloji'!$AE$2:$AE$59,ROW()-3),'V_Tüm Teknoloji'!$AE$2:$AE$59,0))</f>
        <v/>
      </c>
      <c r="U50" s="8">
        <f>INDEX('V_Tüm Teknoloji'!T$2:T$59,MATCH(LARGE('V_Tüm Teknoloji'!$AE$2:$AE$59,ROW()-3),'V_Tüm Teknoloji'!$AE$2:$AE$59,0))</f>
        <v/>
      </c>
      <c r="V50" s="8">
        <f>INDEX('V_Tüm Teknoloji'!U$2:U$59,MATCH(LARGE('V_Tüm Teknoloji'!$AE$2:$AE$59,ROW()-3),'V_Tüm Teknoloji'!$AE$2:$AE$59,0))</f>
        <v/>
      </c>
      <c r="W50" s="8">
        <f>INDEX('V_Tüm Teknoloji'!V$2:V$59,MATCH(LARGE('V_Tüm Teknoloji'!$AE$2:$AE$59,ROW()-3),'V_Tüm Teknoloji'!$AE$2:$AE$59,0))</f>
        <v/>
      </c>
      <c r="X50" s="8">
        <f>INDEX('V_Tüm Teknoloji'!W$2:W$59,MATCH(LARGE('V_Tüm Teknoloji'!$AE$2:$AE$59,ROW()-3),'V_Tüm Teknoloji'!$AE$2:$AE$59,0))</f>
        <v/>
      </c>
      <c r="Y50" s="8">
        <f>INDEX('V_Tüm Teknoloji'!X$2:X$59,MATCH(LARGE('V_Tüm Teknoloji'!$AE$2:$AE$59,ROW()-3),'V_Tüm Teknoloji'!$AE$2:$AE$59,0))</f>
        <v/>
      </c>
      <c r="Z50" s="8">
        <f>INDEX('V_Tüm Teknoloji'!Y$2:Y$59,MATCH(LARGE('V_Tüm Teknoloji'!$AE$2:$AE$59,ROW()-3),'V_Tüm Teknoloji'!$AE$2:$AE$59,0))</f>
        <v/>
      </c>
      <c r="AA50" s="8">
        <f>INDEX('V_Tüm Teknoloji'!Z$2:Z$59,MATCH(LARGE('V_Tüm Teknoloji'!$AE$2:$AE$59,ROW()-3),'V_Tüm Teknoloji'!$AE$2:$AE$59,0))</f>
        <v/>
      </c>
      <c r="AB50" s="8">
        <f>INDEX('V_Tüm Teknoloji'!AA$2:AA$59,MATCH(LARGE('V_Tüm Teknoloji'!$AE$2:$AE$59,ROW()-3),'V_Tüm Teknoloji'!$AE$2:$AE$59,0))</f>
        <v/>
      </c>
      <c r="AC50" s="8">
        <f>INDEX('V_Tüm Teknoloji'!AB$2:AB$59,MATCH(LARGE('V_Tüm Teknoloji'!$AE$2:$AE$59,ROW()-3),'V_Tüm Teknoloji'!$AE$2:$AE$59,0))</f>
        <v/>
      </c>
      <c r="AD50" s="8">
        <f>INDEX('V_Tüm Teknoloji'!AC$2:AC$59,MATCH(LARGE('V_Tüm Teknoloji'!$AE$2:$AE$59,ROW()-3),'V_Tüm Teknoloji'!$AE$2:$AE$59,0))</f>
        <v/>
      </c>
    </row>
    <row r="51">
      <c r="A51" t="n">
        <v>48</v>
      </c>
      <c r="B51" s="5">
        <f>INDEX('V_Tüm Teknoloji'!A$2:A$59,MATCH(LARGE('V_Tüm Teknoloji'!$AE$2:$AE$59,ROW()-3),'V_Tüm Teknoloji'!$AE$2:$AE$59,0))</f>
        <v/>
      </c>
      <c r="C51" s="5">
        <f>INDEX('V_Tüm Teknoloji'!B$2:B$59,MATCH(LARGE('V_Tüm Teknoloji'!$AE$2:$AE$59,ROW()-3),'V_Tüm Teknoloji'!$AE$2:$AE$59,0))</f>
        <v/>
      </c>
      <c r="D51" s="5">
        <f>INDEX('V_Tüm Teknoloji'!C$2:C$59,MATCH(LARGE('V_Tüm Teknoloji'!$AE$2:$AE$59,ROW()-3),'V_Tüm Teknoloji'!$AE$2:$AE$59,0))</f>
        <v/>
      </c>
      <c r="E51" s="8">
        <f>INDEX('V_Tüm Teknoloji'!D$2:D$59,MATCH(LARGE('V_Tüm Teknoloji'!$AE$2:$AE$59,ROW()-3),'V_Tüm Teknoloji'!$AE$2:$AE$59,0))</f>
        <v/>
      </c>
      <c r="F51" s="9">
        <f>INDEX('V_Tüm Teknoloji'!E$2:E$59,MATCH(LARGE('V_Tüm Teknoloji'!$AE$2:$AE$59,ROW()-3),'V_Tüm Teknoloji'!$AE$2:$AE$59,0))</f>
        <v/>
      </c>
      <c r="G51" s="9">
        <f>INDEX('V_Tüm Teknoloji'!F$2:F$59,MATCH(LARGE('V_Tüm Teknoloji'!$AE$2:$AE$59,ROW()-3),'V_Tüm Teknoloji'!$AE$2:$AE$59,0))</f>
        <v/>
      </c>
      <c r="H51" s="9">
        <f>INDEX('V_Tüm Teknoloji'!G$2:G$59,MATCH(LARGE('V_Tüm Teknoloji'!$AE$2:$AE$59,ROW()-3),'V_Tüm Teknoloji'!$AE$2:$AE$59,0))</f>
        <v/>
      </c>
      <c r="I51" s="9">
        <f>INDEX('V_Tüm Teknoloji'!H$2:H$59,MATCH(LARGE('V_Tüm Teknoloji'!$AE$2:$AE$59,ROW()-3),'V_Tüm Teknoloji'!$AE$2:$AE$59,0))</f>
        <v/>
      </c>
      <c r="J51" s="9">
        <f>INDEX('V_Tüm Teknoloji'!I$2:I$59,MATCH(LARGE('V_Tüm Teknoloji'!$AE$2:$AE$59,ROW()-3),'V_Tüm Teknoloji'!$AE$2:$AE$59,0))</f>
        <v/>
      </c>
      <c r="K51" s="10">
        <f>INDEX('V_Tüm Teknoloji'!J$2:J$59,MATCH(LARGE('V_Tüm Teknoloji'!$AE$2:$AE$59,ROW()-3),'V_Tüm Teknoloji'!$AE$2:$AE$59,0))</f>
        <v/>
      </c>
      <c r="L51" s="10">
        <f>INDEX('V_Tüm Teknoloji'!K$2:K$59,MATCH(LARGE('V_Tüm Teknoloji'!$AE$2:$AE$59,ROW()-3),'V_Tüm Teknoloji'!$AE$2:$AE$59,0))</f>
        <v/>
      </c>
      <c r="M51" s="8">
        <f>INDEX('V_Tüm Teknoloji'!L$2:L$59,MATCH(LARGE('V_Tüm Teknoloji'!$AE$2:$AE$59,ROW()-3),'V_Tüm Teknoloji'!$AE$2:$AE$59,0))</f>
        <v/>
      </c>
      <c r="N51" s="11">
        <f>INDEX('V_Tüm Teknoloji'!M$2:M$59,MATCH(LARGE('V_Tüm Teknoloji'!$AE$2:$AE$59,ROW()-3),'V_Tüm Teknoloji'!$AE$2:$AE$59,0))</f>
        <v/>
      </c>
      <c r="O51" s="11">
        <f>INDEX('V_Tüm Teknoloji'!N$2:N$59,MATCH(LARGE('V_Tüm Teknoloji'!$AE$2:$AE$59,ROW()-3),'V_Tüm Teknoloji'!$AE$2:$AE$59,0))</f>
        <v/>
      </c>
      <c r="P51" s="8">
        <f>INDEX('V_Tüm Teknoloji'!O$2:O$59,MATCH(LARGE('V_Tüm Teknoloji'!$AE$2:$AE$59,ROW()-3),'V_Tüm Teknoloji'!$AE$2:$AE$59,0))</f>
        <v/>
      </c>
      <c r="Q51" s="9">
        <f>INDEX('V_Tüm Teknoloji'!P$2:P$59,MATCH(LARGE('V_Tüm Teknoloji'!$AE$2:$AE$59,ROW()-3),'V_Tüm Teknoloji'!$AE$2:$AE$59,0))</f>
        <v/>
      </c>
      <c r="R51" s="5">
        <f>INDEX('V_Tüm Teknoloji'!Q$2:Q$59,MATCH(LARGE('V_Tüm Teknoloji'!$AE$2:$AE$59,ROW()-3),'V_Tüm Teknoloji'!$AE$2:$AE$59,0))</f>
        <v/>
      </c>
      <c r="S51" s="8">
        <f>INDEX('V_Tüm Teknoloji'!R$2:R$59,MATCH(LARGE('V_Tüm Teknoloji'!$AE$2:$AE$59,ROW()-3),'V_Tüm Teknoloji'!$AE$2:$AE$59,0))</f>
        <v/>
      </c>
      <c r="T51" s="8">
        <f>INDEX('V_Tüm Teknoloji'!S$2:S$59,MATCH(LARGE('V_Tüm Teknoloji'!$AE$2:$AE$59,ROW()-3),'V_Tüm Teknoloji'!$AE$2:$AE$59,0))</f>
        <v/>
      </c>
      <c r="U51" s="8">
        <f>INDEX('V_Tüm Teknoloji'!T$2:T$59,MATCH(LARGE('V_Tüm Teknoloji'!$AE$2:$AE$59,ROW()-3),'V_Tüm Teknoloji'!$AE$2:$AE$59,0))</f>
        <v/>
      </c>
      <c r="V51" s="8">
        <f>INDEX('V_Tüm Teknoloji'!U$2:U$59,MATCH(LARGE('V_Tüm Teknoloji'!$AE$2:$AE$59,ROW()-3),'V_Tüm Teknoloji'!$AE$2:$AE$59,0))</f>
        <v/>
      </c>
      <c r="W51" s="8">
        <f>INDEX('V_Tüm Teknoloji'!V$2:V$59,MATCH(LARGE('V_Tüm Teknoloji'!$AE$2:$AE$59,ROW()-3),'V_Tüm Teknoloji'!$AE$2:$AE$59,0))</f>
        <v/>
      </c>
      <c r="X51" s="8">
        <f>INDEX('V_Tüm Teknoloji'!W$2:W$59,MATCH(LARGE('V_Tüm Teknoloji'!$AE$2:$AE$59,ROW()-3),'V_Tüm Teknoloji'!$AE$2:$AE$59,0))</f>
        <v/>
      </c>
      <c r="Y51" s="8">
        <f>INDEX('V_Tüm Teknoloji'!X$2:X$59,MATCH(LARGE('V_Tüm Teknoloji'!$AE$2:$AE$59,ROW()-3),'V_Tüm Teknoloji'!$AE$2:$AE$59,0))</f>
        <v/>
      </c>
      <c r="Z51" s="8">
        <f>INDEX('V_Tüm Teknoloji'!Y$2:Y$59,MATCH(LARGE('V_Tüm Teknoloji'!$AE$2:$AE$59,ROW()-3),'V_Tüm Teknoloji'!$AE$2:$AE$59,0))</f>
        <v/>
      </c>
      <c r="AA51" s="8">
        <f>INDEX('V_Tüm Teknoloji'!Z$2:Z$59,MATCH(LARGE('V_Tüm Teknoloji'!$AE$2:$AE$59,ROW()-3),'V_Tüm Teknoloji'!$AE$2:$AE$59,0))</f>
        <v/>
      </c>
      <c r="AB51" s="8">
        <f>INDEX('V_Tüm Teknoloji'!AA$2:AA$59,MATCH(LARGE('V_Tüm Teknoloji'!$AE$2:$AE$59,ROW()-3),'V_Tüm Teknoloji'!$AE$2:$AE$59,0))</f>
        <v/>
      </c>
      <c r="AC51" s="8">
        <f>INDEX('V_Tüm Teknoloji'!AB$2:AB$59,MATCH(LARGE('V_Tüm Teknoloji'!$AE$2:$AE$59,ROW()-3),'V_Tüm Teknoloji'!$AE$2:$AE$59,0))</f>
        <v/>
      </c>
      <c r="AD51" s="8">
        <f>INDEX('V_Tüm Teknoloji'!AC$2:AC$59,MATCH(LARGE('V_Tüm Teknoloji'!$AE$2:$AE$59,ROW()-3),'V_Tüm Teknoloji'!$AE$2:$AE$59,0))</f>
        <v/>
      </c>
    </row>
    <row r="52">
      <c r="A52" t="n">
        <v>49</v>
      </c>
      <c r="B52" s="5">
        <f>INDEX('V_Tüm Teknoloji'!A$2:A$59,MATCH(LARGE('V_Tüm Teknoloji'!$AE$2:$AE$59,ROW()-3),'V_Tüm Teknoloji'!$AE$2:$AE$59,0))</f>
        <v/>
      </c>
      <c r="C52" s="5">
        <f>INDEX('V_Tüm Teknoloji'!B$2:B$59,MATCH(LARGE('V_Tüm Teknoloji'!$AE$2:$AE$59,ROW()-3),'V_Tüm Teknoloji'!$AE$2:$AE$59,0))</f>
        <v/>
      </c>
      <c r="D52" s="5">
        <f>INDEX('V_Tüm Teknoloji'!C$2:C$59,MATCH(LARGE('V_Tüm Teknoloji'!$AE$2:$AE$59,ROW()-3),'V_Tüm Teknoloji'!$AE$2:$AE$59,0))</f>
        <v/>
      </c>
      <c r="E52" s="8">
        <f>INDEX('V_Tüm Teknoloji'!D$2:D$59,MATCH(LARGE('V_Tüm Teknoloji'!$AE$2:$AE$59,ROW()-3),'V_Tüm Teknoloji'!$AE$2:$AE$59,0))</f>
        <v/>
      </c>
      <c r="F52" s="9">
        <f>INDEX('V_Tüm Teknoloji'!E$2:E$59,MATCH(LARGE('V_Tüm Teknoloji'!$AE$2:$AE$59,ROW()-3),'V_Tüm Teknoloji'!$AE$2:$AE$59,0))</f>
        <v/>
      </c>
      <c r="G52" s="9">
        <f>INDEX('V_Tüm Teknoloji'!F$2:F$59,MATCH(LARGE('V_Tüm Teknoloji'!$AE$2:$AE$59,ROW()-3),'V_Tüm Teknoloji'!$AE$2:$AE$59,0))</f>
        <v/>
      </c>
      <c r="H52" s="9">
        <f>INDEX('V_Tüm Teknoloji'!G$2:G$59,MATCH(LARGE('V_Tüm Teknoloji'!$AE$2:$AE$59,ROW()-3),'V_Tüm Teknoloji'!$AE$2:$AE$59,0))</f>
        <v/>
      </c>
      <c r="I52" s="9">
        <f>INDEX('V_Tüm Teknoloji'!H$2:H$59,MATCH(LARGE('V_Tüm Teknoloji'!$AE$2:$AE$59,ROW()-3),'V_Tüm Teknoloji'!$AE$2:$AE$59,0))</f>
        <v/>
      </c>
      <c r="J52" s="9">
        <f>INDEX('V_Tüm Teknoloji'!I$2:I$59,MATCH(LARGE('V_Tüm Teknoloji'!$AE$2:$AE$59,ROW()-3),'V_Tüm Teknoloji'!$AE$2:$AE$59,0))</f>
        <v/>
      </c>
      <c r="K52" s="10">
        <f>INDEX('V_Tüm Teknoloji'!J$2:J$59,MATCH(LARGE('V_Tüm Teknoloji'!$AE$2:$AE$59,ROW()-3),'V_Tüm Teknoloji'!$AE$2:$AE$59,0))</f>
        <v/>
      </c>
      <c r="L52" s="10">
        <f>INDEX('V_Tüm Teknoloji'!K$2:K$59,MATCH(LARGE('V_Tüm Teknoloji'!$AE$2:$AE$59,ROW()-3),'V_Tüm Teknoloji'!$AE$2:$AE$59,0))</f>
        <v/>
      </c>
      <c r="M52" s="8">
        <f>INDEX('V_Tüm Teknoloji'!L$2:L$59,MATCH(LARGE('V_Tüm Teknoloji'!$AE$2:$AE$59,ROW()-3),'V_Tüm Teknoloji'!$AE$2:$AE$59,0))</f>
        <v/>
      </c>
      <c r="N52" s="11">
        <f>INDEX('V_Tüm Teknoloji'!M$2:M$59,MATCH(LARGE('V_Tüm Teknoloji'!$AE$2:$AE$59,ROW()-3),'V_Tüm Teknoloji'!$AE$2:$AE$59,0))</f>
        <v/>
      </c>
      <c r="O52" s="11">
        <f>INDEX('V_Tüm Teknoloji'!N$2:N$59,MATCH(LARGE('V_Tüm Teknoloji'!$AE$2:$AE$59,ROW()-3),'V_Tüm Teknoloji'!$AE$2:$AE$59,0))</f>
        <v/>
      </c>
      <c r="P52" s="8">
        <f>INDEX('V_Tüm Teknoloji'!O$2:O$59,MATCH(LARGE('V_Tüm Teknoloji'!$AE$2:$AE$59,ROW()-3),'V_Tüm Teknoloji'!$AE$2:$AE$59,0))</f>
        <v/>
      </c>
      <c r="Q52" s="9">
        <f>INDEX('V_Tüm Teknoloji'!P$2:P$59,MATCH(LARGE('V_Tüm Teknoloji'!$AE$2:$AE$59,ROW()-3),'V_Tüm Teknoloji'!$AE$2:$AE$59,0))</f>
        <v/>
      </c>
      <c r="R52" s="5">
        <f>INDEX('V_Tüm Teknoloji'!Q$2:Q$59,MATCH(LARGE('V_Tüm Teknoloji'!$AE$2:$AE$59,ROW()-3),'V_Tüm Teknoloji'!$AE$2:$AE$59,0))</f>
        <v/>
      </c>
      <c r="S52" s="8">
        <f>INDEX('V_Tüm Teknoloji'!R$2:R$59,MATCH(LARGE('V_Tüm Teknoloji'!$AE$2:$AE$59,ROW()-3),'V_Tüm Teknoloji'!$AE$2:$AE$59,0))</f>
        <v/>
      </c>
      <c r="T52" s="8">
        <f>INDEX('V_Tüm Teknoloji'!S$2:S$59,MATCH(LARGE('V_Tüm Teknoloji'!$AE$2:$AE$59,ROW()-3),'V_Tüm Teknoloji'!$AE$2:$AE$59,0))</f>
        <v/>
      </c>
      <c r="U52" s="8">
        <f>INDEX('V_Tüm Teknoloji'!T$2:T$59,MATCH(LARGE('V_Tüm Teknoloji'!$AE$2:$AE$59,ROW()-3),'V_Tüm Teknoloji'!$AE$2:$AE$59,0))</f>
        <v/>
      </c>
      <c r="V52" s="8">
        <f>INDEX('V_Tüm Teknoloji'!U$2:U$59,MATCH(LARGE('V_Tüm Teknoloji'!$AE$2:$AE$59,ROW()-3),'V_Tüm Teknoloji'!$AE$2:$AE$59,0))</f>
        <v/>
      </c>
      <c r="W52" s="8">
        <f>INDEX('V_Tüm Teknoloji'!V$2:V$59,MATCH(LARGE('V_Tüm Teknoloji'!$AE$2:$AE$59,ROW()-3),'V_Tüm Teknoloji'!$AE$2:$AE$59,0))</f>
        <v/>
      </c>
      <c r="X52" s="8">
        <f>INDEX('V_Tüm Teknoloji'!W$2:W$59,MATCH(LARGE('V_Tüm Teknoloji'!$AE$2:$AE$59,ROW()-3),'V_Tüm Teknoloji'!$AE$2:$AE$59,0))</f>
        <v/>
      </c>
      <c r="Y52" s="8">
        <f>INDEX('V_Tüm Teknoloji'!X$2:X$59,MATCH(LARGE('V_Tüm Teknoloji'!$AE$2:$AE$59,ROW()-3),'V_Tüm Teknoloji'!$AE$2:$AE$59,0))</f>
        <v/>
      </c>
      <c r="Z52" s="8">
        <f>INDEX('V_Tüm Teknoloji'!Y$2:Y$59,MATCH(LARGE('V_Tüm Teknoloji'!$AE$2:$AE$59,ROW()-3),'V_Tüm Teknoloji'!$AE$2:$AE$59,0))</f>
        <v/>
      </c>
      <c r="AA52" s="8">
        <f>INDEX('V_Tüm Teknoloji'!Z$2:Z$59,MATCH(LARGE('V_Tüm Teknoloji'!$AE$2:$AE$59,ROW()-3),'V_Tüm Teknoloji'!$AE$2:$AE$59,0))</f>
        <v/>
      </c>
      <c r="AB52" s="8">
        <f>INDEX('V_Tüm Teknoloji'!AA$2:AA$59,MATCH(LARGE('V_Tüm Teknoloji'!$AE$2:$AE$59,ROW()-3),'V_Tüm Teknoloji'!$AE$2:$AE$59,0))</f>
        <v/>
      </c>
      <c r="AC52" s="8">
        <f>INDEX('V_Tüm Teknoloji'!AB$2:AB$59,MATCH(LARGE('V_Tüm Teknoloji'!$AE$2:$AE$59,ROW()-3),'V_Tüm Teknoloji'!$AE$2:$AE$59,0))</f>
        <v/>
      </c>
      <c r="AD52" s="8">
        <f>INDEX('V_Tüm Teknoloji'!AC$2:AC$59,MATCH(LARGE('V_Tüm Teknoloji'!$AE$2:$AE$59,ROW()-3),'V_Tüm Teknoloji'!$AE$2:$AE$59,0))</f>
        <v/>
      </c>
    </row>
    <row r="53">
      <c r="A53" t="n">
        <v>50</v>
      </c>
      <c r="B53" s="5">
        <f>INDEX('V_Tüm Teknoloji'!A$2:A$59,MATCH(LARGE('V_Tüm Teknoloji'!$AE$2:$AE$59,ROW()-3),'V_Tüm Teknoloji'!$AE$2:$AE$59,0))</f>
        <v/>
      </c>
      <c r="C53" s="5">
        <f>INDEX('V_Tüm Teknoloji'!B$2:B$59,MATCH(LARGE('V_Tüm Teknoloji'!$AE$2:$AE$59,ROW()-3),'V_Tüm Teknoloji'!$AE$2:$AE$59,0))</f>
        <v/>
      </c>
      <c r="D53" s="5">
        <f>INDEX('V_Tüm Teknoloji'!C$2:C$59,MATCH(LARGE('V_Tüm Teknoloji'!$AE$2:$AE$59,ROW()-3),'V_Tüm Teknoloji'!$AE$2:$AE$59,0))</f>
        <v/>
      </c>
      <c r="E53" s="8">
        <f>INDEX('V_Tüm Teknoloji'!D$2:D$59,MATCH(LARGE('V_Tüm Teknoloji'!$AE$2:$AE$59,ROW()-3),'V_Tüm Teknoloji'!$AE$2:$AE$59,0))</f>
        <v/>
      </c>
      <c r="F53" s="9">
        <f>INDEX('V_Tüm Teknoloji'!E$2:E$59,MATCH(LARGE('V_Tüm Teknoloji'!$AE$2:$AE$59,ROW()-3),'V_Tüm Teknoloji'!$AE$2:$AE$59,0))</f>
        <v/>
      </c>
      <c r="G53" s="9">
        <f>INDEX('V_Tüm Teknoloji'!F$2:F$59,MATCH(LARGE('V_Tüm Teknoloji'!$AE$2:$AE$59,ROW()-3),'V_Tüm Teknoloji'!$AE$2:$AE$59,0))</f>
        <v/>
      </c>
      <c r="H53" s="9">
        <f>INDEX('V_Tüm Teknoloji'!G$2:G$59,MATCH(LARGE('V_Tüm Teknoloji'!$AE$2:$AE$59,ROW()-3),'V_Tüm Teknoloji'!$AE$2:$AE$59,0))</f>
        <v/>
      </c>
      <c r="I53" s="9">
        <f>INDEX('V_Tüm Teknoloji'!H$2:H$59,MATCH(LARGE('V_Tüm Teknoloji'!$AE$2:$AE$59,ROW()-3),'V_Tüm Teknoloji'!$AE$2:$AE$59,0))</f>
        <v/>
      </c>
      <c r="J53" s="9">
        <f>INDEX('V_Tüm Teknoloji'!I$2:I$59,MATCH(LARGE('V_Tüm Teknoloji'!$AE$2:$AE$59,ROW()-3),'V_Tüm Teknoloji'!$AE$2:$AE$59,0))</f>
        <v/>
      </c>
      <c r="K53" s="10">
        <f>INDEX('V_Tüm Teknoloji'!J$2:J$59,MATCH(LARGE('V_Tüm Teknoloji'!$AE$2:$AE$59,ROW()-3),'V_Tüm Teknoloji'!$AE$2:$AE$59,0))</f>
        <v/>
      </c>
      <c r="L53" s="10">
        <f>INDEX('V_Tüm Teknoloji'!K$2:K$59,MATCH(LARGE('V_Tüm Teknoloji'!$AE$2:$AE$59,ROW()-3),'V_Tüm Teknoloji'!$AE$2:$AE$59,0))</f>
        <v/>
      </c>
      <c r="M53" s="8">
        <f>INDEX('V_Tüm Teknoloji'!L$2:L$59,MATCH(LARGE('V_Tüm Teknoloji'!$AE$2:$AE$59,ROW()-3),'V_Tüm Teknoloji'!$AE$2:$AE$59,0))</f>
        <v/>
      </c>
      <c r="N53" s="11">
        <f>INDEX('V_Tüm Teknoloji'!M$2:M$59,MATCH(LARGE('V_Tüm Teknoloji'!$AE$2:$AE$59,ROW()-3),'V_Tüm Teknoloji'!$AE$2:$AE$59,0))</f>
        <v/>
      </c>
      <c r="O53" s="11">
        <f>INDEX('V_Tüm Teknoloji'!N$2:N$59,MATCH(LARGE('V_Tüm Teknoloji'!$AE$2:$AE$59,ROW()-3),'V_Tüm Teknoloji'!$AE$2:$AE$59,0))</f>
        <v/>
      </c>
      <c r="P53" s="8">
        <f>INDEX('V_Tüm Teknoloji'!O$2:O$59,MATCH(LARGE('V_Tüm Teknoloji'!$AE$2:$AE$59,ROW()-3),'V_Tüm Teknoloji'!$AE$2:$AE$59,0))</f>
        <v/>
      </c>
      <c r="Q53" s="9">
        <f>INDEX('V_Tüm Teknoloji'!P$2:P$59,MATCH(LARGE('V_Tüm Teknoloji'!$AE$2:$AE$59,ROW()-3),'V_Tüm Teknoloji'!$AE$2:$AE$59,0))</f>
        <v/>
      </c>
      <c r="R53" s="5">
        <f>INDEX('V_Tüm Teknoloji'!Q$2:Q$59,MATCH(LARGE('V_Tüm Teknoloji'!$AE$2:$AE$59,ROW()-3),'V_Tüm Teknoloji'!$AE$2:$AE$59,0))</f>
        <v/>
      </c>
      <c r="S53" s="8">
        <f>INDEX('V_Tüm Teknoloji'!R$2:R$59,MATCH(LARGE('V_Tüm Teknoloji'!$AE$2:$AE$59,ROW()-3),'V_Tüm Teknoloji'!$AE$2:$AE$59,0))</f>
        <v/>
      </c>
      <c r="T53" s="8">
        <f>INDEX('V_Tüm Teknoloji'!S$2:S$59,MATCH(LARGE('V_Tüm Teknoloji'!$AE$2:$AE$59,ROW()-3),'V_Tüm Teknoloji'!$AE$2:$AE$59,0))</f>
        <v/>
      </c>
      <c r="U53" s="8">
        <f>INDEX('V_Tüm Teknoloji'!T$2:T$59,MATCH(LARGE('V_Tüm Teknoloji'!$AE$2:$AE$59,ROW()-3),'V_Tüm Teknoloji'!$AE$2:$AE$59,0))</f>
        <v/>
      </c>
      <c r="V53" s="8">
        <f>INDEX('V_Tüm Teknoloji'!U$2:U$59,MATCH(LARGE('V_Tüm Teknoloji'!$AE$2:$AE$59,ROW()-3),'V_Tüm Teknoloji'!$AE$2:$AE$59,0))</f>
        <v/>
      </c>
      <c r="W53" s="8">
        <f>INDEX('V_Tüm Teknoloji'!V$2:V$59,MATCH(LARGE('V_Tüm Teknoloji'!$AE$2:$AE$59,ROW()-3),'V_Tüm Teknoloji'!$AE$2:$AE$59,0))</f>
        <v/>
      </c>
      <c r="X53" s="8">
        <f>INDEX('V_Tüm Teknoloji'!W$2:W$59,MATCH(LARGE('V_Tüm Teknoloji'!$AE$2:$AE$59,ROW()-3),'V_Tüm Teknoloji'!$AE$2:$AE$59,0))</f>
        <v/>
      </c>
      <c r="Y53" s="8">
        <f>INDEX('V_Tüm Teknoloji'!X$2:X$59,MATCH(LARGE('V_Tüm Teknoloji'!$AE$2:$AE$59,ROW()-3),'V_Tüm Teknoloji'!$AE$2:$AE$59,0))</f>
        <v/>
      </c>
      <c r="Z53" s="8">
        <f>INDEX('V_Tüm Teknoloji'!Y$2:Y$59,MATCH(LARGE('V_Tüm Teknoloji'!$AE$2:$AE$59,ROW()-3),'V_Tüm Teknoloji'!$AE$2:$AE$59,0))</f>
        <v/>
      </c>
      <c r="AA53" s="8">
        <f>INDEX('V_Tüm Teknoloji'!Z$2:Z$59,MATCH(LARGE('V_Tüm Teknoloji'!$AE$2:$AE$59,ROW()-3),'V_Tüm Teknoloji'!$AE$2:$AE$59,0))</f>
        <v/>
      </c>
      <c r="AB53" s="8">
        <f>INDEX('V_Tüm Teknoloji'!AA$2:AA$59,MATCH(LARGE('V_Tüm Teknoloji'!$AE$2:$AE$59,ROW()-3),'V_Tüm Teknoloji'!$AE$2:$AE$59,0))</f>
        <v/>
      </c>
      <c r="AC53" s="8">
        <f>INDEX('V_Tüm Teknoloji'!AB$2:AB$59,MATCH(LARGE('V_Tüm Teknoloji'!$AE$2:$AE$59,ROW()-3),'V_Tüm Teknoloji'!$AE$2:$AE$59,0))</f>
        <v/>
      </c>
      <c r="AD53" s="8">
        <f>INDEX('V_Tüm Teknoloji'!AC$2:AC$59,MATCH(LARGE('V_Tüm Teknoloji'!$AE$2:$AE$59,ROW()-3),'V_Tüm Teknoloji'!$AE$2:$AE$59,0))</f>
        <v/>
      </c>
    </row>
    <row r="54">
      <c r="A54" t="n">
        <v>51</v>
      </c>
      <c r="B54" s="5">
        <f>INDEX('V_Tüm Teknoloji'!A$2:A$59,MATCH(LARGE('V_Tüm Teknoloji'!$AE$2:$AE$59,ROW()-3),'V_Tüm Teknoloji'!$AE$2:$AE$59,0))</f>
        <v/>
      </c>
      <c r="C54" s="5">
        <f>INDEX('V_Tüm Teknoloji'!B$2:B$59,MATCH(LARGE('V_Tüm Teknoloji'!$AE$2:$AE$59,ROW()-3),'V_Tüm Teknoloji'!$AE$2:$AE$59,0))</f>
        <v/>
      </c>
      <c r="D54" s="5">
        <f>INDEX('V_Tüm Teknoloji'!C$2:C$59,MATCH(LARGE('V_Tüm Teknoloji'!$AE$2:$AE$59,ROW()-3),'V_Tüm Teknoloji'!$AE$2:$AE$59,0))</f>
        <v/>
      </c>
      <c r="E54" s="8">
        <f>INDEX('V_Tüm Teknoloji'!D$2:D$59,MATCH(LARGE('V_Tüm Teknoloji'!$AE$2:$AE$59,ROW()-3),'V_Tüm Teknoloji'!$AE$2:$AE$59,0))</f>
        <v/>
      </c>
      <c r="F54" s="9">
        <f>INDEX('V_Tüm Teknoloji'!E$2:E$59,MATCH(LARGE('V_Tüm Teknoloji'!$AE$2:$AE$59,ROW()-3),'V_Tüm Teknoloji'!$AE$2:$AE$59,0))</f>
        <v/>
      </c>
      <c r="G54" s="9">
        <f>INDEX('V_Tüm Teknoloji'!F$2:F$59,MATCH(LARGE('V_Tüm Teknoloji'!$AE$2:$AE$59,ROW()-3),'V_Tüm Teknoloji'!$AE$2:$AE$59,0))</f>
        <v/>
      </c>
      <c r="H54" s="9">
        <f>INDEX('V_Tüm Teknoloji'!G$2:G$59,MATCH(LARGE('V_Tüm Teknoloji'!$AE$2:$AE$59,ROW()-3),'V_Tüm Teknoloji'!$AE$2:$AE$59,0))</f>
        <v/>
      </c>
      <c r="I54" s="9">
        <f>INDEX('V_Tüm Teknoloji'!H$2:H$59,MATCH(LARGE('V_Tüm Teknoloji'!$AE$2:$AE$59,ROW()-3),'V_Tüm Teknoloji'!$AE$2:$AE$59,0))</f>
        <v/>
      </c>
      <c r="J54" s="9">
        <f>INDEX('V_Tüm Teknoloji'!I$2:I$59,MATCH(LARGE('V_Tüm Teknoloji'!$AE$2:$AE$59,ROW()-3),'V_Tüm Teknoloji'!$AE$2:$AE$59,0))</f>
        <v/>
      </c>
      <c r="K54" s="10">
        <f>INDEX('V_Tüm Teknoloji'!J$2:J$59,MATCH(LARGE('V_Tüm Teknoloji'!$AE$2:$AE$59,ROW()-3),'V_Tüm Teknoloji'!$AE$2:$AE$59,0))</f>
        <v/>
      </c>
      <c r="L54" s="10">
        <f>INDEX('V_Tüm Teknoloji'!K$2:K$59,MATCH(LARGE('V_Tüm Teknoloji'!$AE$2:$AE$59,ROW()-3),'V_Tüm Teknoloji'!$AE$2:$AE$59,0))</f>
        <v/>
      </c>
      <c r="M54" s="8">
        <f>INDEX('V_Tüm Teknoloji'!L$2:L$59,MATCH(LARGE('V_Tüm Teknoloji'!$AE$2:$AE$59,ROW()-3),'V_Tüm Teknoloji'!$AE$2:$AE$59,0))</f>
        <v/>
      </c>
      <c r="N54" s="11">
        <f>INDEX('V_Tüm Teknoloji'!M$2:M$59,MATCH(LARGE('V_Tüm Teknoloji'!$AE$2:$AE$59,ROW()-3),'V_Tüm Teknoloji'!$AE$2:$AE$59,0))</f>
        <v/>
      </c>
      <c r="O54" s="11">
        <f>INDEX('V_Tüm Teknoloji'!N$2:N$59,MATCH(LARGE('V_Tüm Teknoloji'!$AE$2:$AE$59,ROW()-3),'V_Tüm Teknoloji'!$AE$2:$AE$59,0))</f>
        <v/>
      </c>
      <c r="P54" s="8">
        <f>INDEX('V_Tüm Teknoloji'!O$2:O$59,MATCH(LARGE('V_Tüm Teknoloji'!$AE$2:$AE$59,ROW()-3),'V_Tüm Teknoloji'!$AE$2:$AE$59,0))</f>
        <v/>
      </c>
      <c r="Q54" s="9">
        <f>INDEX('V_Tüm Teknoloji'!P$2:P$59,MATCH(LARGE('V_Tüm Teknoloji'!$AE$2:$AE$59,ROW()-3),'V_Tüm Teknoloji'!$AE$2:$AE$59,0))</f>
        <v/>
      </c>
      <c r="R54" s="5">
        <f>INDEX('V_Tüm Teknoloji'!Q$2:Q$59,MATCH(LARGE('V_Tüm Teknoloji'!$AE$2:$AE$59,ROW()-3),'V_Tüm Teknoloji'!$AE$2:$AE$59,0))</f>
        <v/>
      </c>
      <c r="S54" s="8">
        <f>INDEX('V_Tüm Teknoloji'!R$2:R$59,MATCH(LARGE('V_Tüm Teknoloji'!$AE$2:$AE$59,ROW()-3),'V_Tüm Teknoloji'!$AE$2:$AE$59,0))</f>
        <v/>
      </c>
      <c r="T54" s="8">
        <f>INDEX('V_Tüm Teknoloji'!S$2:S$59,MATCH(LARGE('V_Tüm Teknoloji'!$AE$2:$AE$59,ROW()-3),'V_Tüm Teknoloji'!$AE$2:$AE$59,0))</f>
        <v/>
      </c>
      <c r="U54" s="8">
        <f>INDEX('V_Tüm Teknoloji'!T$2:T$59,MATCH(LARGE('V_Tüm Teknoloji'!$AE$2:$AE$59,ROW()-3),'V_Tüm Teknoloji'!$AE$2:$AE$59,0))</f>
        <v/>
      </c>
      <c r="V54" s="8">
        <f>INDEX('V_Tüm Teknoloji'!U$2:U$59,MATCH(LARGE('V_Tüm Teknoloji'!$AE$2:$AE$59,ROW()-3),'V_Tüm Teknoloji'!$AE$2:$AE$59,0))</f>
        <v/>
      </c>
      <c r="W54" s="8">
        <f>INDEX('V_Tüm Teknoloji'!V$2:V$59,MATCH(LARGE('V_Tüm Teknoloji'!$AE$2:$AE$59,ROW()-3),'V_Tüm Teknoloji'!$AE$2:$AE$59,0))</f>
        <v/>
      </c>
      <c r="X54" s="8">
        <f>INDEX('V_Tüm Teknoloji'!W$2:W$59,MATCH(LARGE('V_Tüm Teknoloji'!$AE$2:$AE$59,ROW()-3),'V_Tüm Teknoloji'!$AE$2:$AE$59,0))</f>
        <v/>
      </c>
      <c r="Y54" s="8">
        <f>INDEX('V_Tüm Teknoloji'!X$2:X$59,MATCH(LARGE('V_Tüm Teknoloji'!$AE$2:$AE$59,ROW()-3),'V_Tüm Teknoloji'!$AE$2:$AE$59,0))</f>
        <v/>
      </c>
      <c r="Z54" s="8">
        <f>INDEX('V_Tüm Teknoloji'!Y$2:Y$59,MATCH(LARGE('V_Tüm Teknoloji'!$AE$2:$AE$59,ROW()-3),'V_Tüm Teknoloji'!$AE$2:$AE$59,0))</f>
        <v/>
      </c>
      <c r="AA54" s="8">
        <f>INDEX('V_Tüm Teknoloji'!Z$2:Z$59,MATCH(LARGE('V_Tüm Teknoloji'!$AE$2:$AE$59,ROW()-3),'V_Tüm Teknoloji'!$AE$2:$AE$59,0))</f>
        <v/>
      </c>
      <c r="AB54" s="8">
        <f>INDEX('V_Tüm Teknoloji'!AA$2:AA$59,MATCH(LARGE('V_Tüm Teknoloji'!$AE$2:$AE$59,ROW()-3),'V_Tüm Teknoloji'!$AE$2:$AE$59,0))</f>
        <v/>
      </c>
      <c r="AC54" s="8">
        <f>INDEX('V_Tüm Teknoloji'!AB$2:AB$59,MATCH(LARGE('V_Tüm Teknoloji'!$AE$2:$AE$59,ROW()-3),'V_Tüm Teknoloji'!$AE$2:$AE$59,0))</f>
        <v/>
      </c>
      <c r="AD54" s="8">
        <f>INDEX('V_Tüm Teknoloji'!AC$2:AC$59,MATCH(LARGE('V_Tüm Teknoloji'!$AE$2:$AE$59,ROW()-3),'V_Tüm Teknoloji'!$AE$2:$AE$59,0))</f>
        <v/>
      </c>
    </row>
    <row r="55">
      <c r="A55" t="n">
        <v>52</v>
      </c>
      <c r="B55" s="5">
        <f>INDEX('V_Tüm Teknoloji'!A$2:A$59,MATCH(LARGE('V_Tüm Teknoloji'!$AE$2:$AE$59,ROW()-3),'V_Tüm Teknoloji'!$AE$2:$AE$59,0))</f>
        <v/>
      </c>
      <c r="C55" s="5">
        <f>INDEX('V_Tüm Teknoloji'!B$2:B$59,MATCH(LARGE('V_Tüm Teknoloji'!$AE$2:$AE$59,ROW()-3),'V_Tüm Teknoloji'!$AE$2:$AE$59,0))</f>
        <v/>
      </c>
      <c r="D55" s="5">
        <f>INDEX('V_Tüm Teknoloji'!C$2:C$59,MATCH(LARGE('V_Tüm Teknoloji'!$AE$2:$AE$59,ROW()-3),'V_Tüm Teknoloji'!$AE$2:$AE$59,0))</f>
        <v/>
      </c>
      <c r="E55" s="8">
        <f>INDEX('V_Tüm Teknoloji'!D$2:D$59,MATCH(LARGE('V_Tüm Teknoloji'!$AE$2:$AE$59,ROW()-3),'V_Tüm Teknoloji'!$AE$2:$AE$59,0))</f>
        <v/>
      </c>
      <c r="F55" s="9">
        <f>INDEX('V_Tüm Teknoloji'!E$2:E$59,MATCH(LARGE('V_Tüm Teknoloji'!$AE$2:$AE$59,ROW()-3),'V_Tüm Teknoloji'!$AE$2:$AE$59,0))</f>
        <v/>
      </c>
      <c r="G55" s="9">
        <f>INDEX('V_Tüm Teknoloji'!F$2:F$59,MATCH(LARGE('V_Tüm Teknoloji'!$AE$2:$AE$59,ROW()-3),'V_Tüm Teknoloji'!$AE$2:$AE$59,0))</f>
        <v/>
      </c>
      <c r="H55" s="9">
        <f>INDEX('V_Tüm Teknoloji'!G$2:G$59,MATCH(LARGE('V_Tüm Teknoloji'!$AE$2:$AE$59,ROW()-3),'V_Tüm Teknoloji'!$AE$2:$AE$59,0))</f>
        <v/>
      </c>
      <c r="I55" s="9">
        <f>INDEX('V_Tüm Teknoloji'!H$2:H$59,MATCH(LARGE('V_Tüm Teknoloji'!$AE$2:$AE$59,ROW()-3),'V_Tüm Teknoloji'!$AE$2:$AE$59,0))</f>
        <v/>
      </c>
      <c r="J55" s="9">
        <f>INDEX('V_Tüm Teknoloji'!I$2:I$59,MATCH(LARGE('V_Tüm Teknoloji'!$AE$2:$AE$59,ROW()-3),'V_Tüm Teknoloji'!$AE$2:$AE$59,0))</f>
        <v/>
      </c>
      <c r="K55" s="10">
        <f>INDEX('V_Tüm Teknoloji'!J$2:J$59,MATCH(LARGE('V_Tüm Teknoloji'!$AE$2:$AE$59,ROW()-3),'V_Tüm Teknoloji'!$AE$2:$AE$59,0))</f>
        <v/>
      </c>
      <c r="L55" s="10">
        <f>INDEX('V_Tüm Teknoloji'!K$2:K$59,MATCH(LARGE('V_Tüm Teknoloji'!$AE$2:$AE$59,ROW()-3),'V_Tüm Teknoloji'!$AE$2:$AE$59,0))</f>
        <v/>
      </c>
      <c r="M55" s="8">
        <f>INDEX('V_Tüm Teknoloji'!L$2:L$59,MATCH(LARGE('V_Tüm Teknoloji'!$AE$2:$AE$59,ROW()-3),'V_Tüm Teknoloji'!$AE$2:$AE$59,0))</f>
        <v/>
      </c>
      <c r="N55" s="11">
        <f>INDEX('V_Tüm Teknoloji'!M$2:M$59,MATCH(LARGE('V_Tüm Teknoloji'!$AE$2:$AE$59,ROW()-3),'V_Tüm Teknoloji'!$AE$2:$AE$59,0))</f>
        <v/>
      </c>
      <c r="O55" s="11">
        <f>INDEX('V_Tüm Teknoloji'!N$2:N$59,MATCH(LARGE('V_Tüm Teknoloji'!$AE$2:$AE$59,ROW()-3),'V_Tüm Teknoloji'!$AE$2:$AE$59,0))</f>
        <v/>
      </c>
      <c r="P55" s="8">
        <f>INDEX('V_Tüm Teknoloji'!O$2:O$59,MATCH(LARGE('V_Tüm Teknoloji'!$AE$2:$AE$59,ROW()-3),'V_Tüm Teknoloji'!$AE$2:$AE$59,0))</f>
        <v/>
      </c>
      <c r="Q55" s="9">
        <f>INDEX('V_Tüm Teknoloji'!P$2:P$59,MATCH(LARGE('V_Tüm Teknoloji'!$AE$2:$AE$59,ROW()-3),'V_Tüm Teknoloji'!$AE$2:$AE$59,0))</f>
        <v/>
      </c>
      <c r="R55" s="5">
        <f>INDEX('V_Tüm Teknoloji'!Q$2:Q$59,MATCH(LARGE('V_Tüm Teknoloji'!$AE$2:$AE$59,ROW()-3),'V_Tüm Teknoloji'!$AE$2:$AE$59,0))</f>
        <v/>
      </c>
      <c r="S55" s="8">
        <f>INDEX('V_Tüm Teknoloji'!R$2:R$59,MATCH(LARGE('V_Tüm Teknoloji'!$AE$2:$AE$59,ROW()-3),'V_Tüm Teknoloji'!$AE$2:$AE$59,0))</f>
        <v/>
      </c>
      <c r="T55" s="8">
        <f>INDEX('V_Tüm Teknoloji'!S$2:S$59,MATCH(LARGE('V_Tüm Teknoloji'!$AE$2:$AE$59,ROW()-3),'V_Tüm Teknoloji'!$AE$2:$AE$59,0))</f>
        <v/>
      </c>
      <c r="U55" s="8">
        <f>INDEX('V_Tüm Teknoloji'!T$2:T$59,MATCH(LARGE('V_Tüm Teknoloji'!$AE$2:$AE$59,ROW()-3),'V_Tüm Teknoloji'!$AE$2:$AE$59,0))</f>
        <v/>
      </c>
      <c r="V55" s="8">
        <f>INDEX('V_Tüm Teknoloji'!U$2:U$59,MATCH(LARGE('V_Tüm Teknoloji'!$AE$2:$AE$59,ROW()-3),'V_Tüm Teknoloji'!$AE$2:$AE$59,0))</f>
        <v/>
      </c>
      <c r="W55" s="8">
        <f>INDEX('V_Tüm Teknoloji'!V$2:V$59,MATCH(LARGE('V_Tüm Teknoloji'!$AE$2:$AE$59,ROW()-3),'V_Tüm Teknoloji'!$AE$2:$AE$59,0))</f>
        <v/>
      </c>
      <c r="X55" s="8">
        <f>INDEX('V_Tüm Teknoloji'!W$2:W$59,MATCH(LARGE('V_Tüm Teknoloji'!$AE$2:$AE$59,ROW()-3),'V_Tüm Teknoloji'!$AE$2:$AE$59,0))</f>
        <v/>
      </c>
      <c r="Y55" s="8">
        <f>INDEX('V_Tüm Teknoloji'!X$2:X$59,MATCH(LARGE('V_Tüm Teknoloji'!$AE$2:$AE$59,ROW()-3),'V_Tüm Teknoloji'!$AE$2:$AE$59,0))</f>
        <v/>
      </c>
      <c r="Z55" s="8">
        <f>INDEX('V_Tüm Teknoloji'!Y$2:Y$59,MATCH(LARGE('V_Tüm Teknoloji'!$AE$2:$AE$59,ROW()-3),'V_Tüm Teknoloji'!$AE$2:$AE$59,0))</f>
        <v/>
      </c>
      <c r="AA55" s="8">
        <f>INDEX('V_Tüm Teknoloji'!Z$2:Z$59,MATCH(LARGE('V_Tüm Teknoloji'!$AE$2:$AE$59,ROW()-3),'V_Tüm Teknoloji'!$AE$2:$AE$59,0))</f>
        <v/>
      </c>
      <c r="AB55" s="8">
        <f>INDEX('V_Tüm Teknoloji'!AA$2:AA$59,MATCH(LARGE('V_Tüm Teknoloji'!$AE$2:$AE$59,ROW()-3),'V_Tüm Teknoloji'!$AE$2:$AE$59,0))</f>
        <v/>
      </c>
      <c r="AC55" s="8">
        <f>INDEX('V_Tüm Teknoloji'!AB$2:AB$59,MATCH(LARGE('V_Tüm Teknoloji'!$AE$2:$AE$59,ROW()-3),'V_Tüm Teknoloji'!$AE$2:$AE$59,0))</f>
        <v/>
      </c>
      <c r="AD55" s="8">
        <f>INDEX('V_Tüm Teknoloji'!AC$2:AC$59,MATCH(LARGE('V_Tüm Teknoloji'!$AE$2:$AE$59,ROW()-3),'V_Tüm Teknoloji'!$AE$2:$AE$59,0))</f>
        <v/>
      </c>
    </row>
    <row r="56">
      <c r="A56" t="n">
        <v>53</v>
      </c>
      <c r="B56" s="5">
        <f>INDEX('V_Tüm Teknoloji'!A$2:A$59,MATCH(LARGE('V_Tüm Teknoloji'!$AE$2:$AE$59,ROW()-3),'V_Tüm Teknoloji'!$AE$2:$AE$59,0))</f>
        <v/>
      </c>
      <c r="C56" s="5">
        <f>INDEX('V_Tüm Teknoloji'!B$2:B$59,MATCH(LARGE('V_Tüm Teknoloji'!$AE$2:$AE$59,ROW()-3),'V_Tüm Teknoloji'!$AE$2:$AE$59,0))</f>
        <v/>
      </c>
      <c r="D56" s="5">
        <f>INDEX('V_Tüm Teknoloji'!C$2:C$59,MATCH(LARGE('V_Tüm Teknoloji'!$AE$2:$AE$59,ROW()-3),'V_Tüm Teknoloji'!$AE$2:$AE$59,0))</f>
        <v/>
      </c>
      <c r="E56" s="8">
        <f>INDEX('V_Tüm Teknoloji'!D$2:D$59,MATCH(LARGE('V_Tüm Teknoloji'!$AE$2:$AE$59,ROW()-3),'V_Tüm Teknoloji'!$AE$2:$AE$59,0))</f>
        <v/>
      </c>
      <c r="F56" s="9">
        <f>INDEX('V_Tüm Teknoloji'!E$2:E$59,MATCH(LARGE('V_Tüm Teknoloji'!$AE$2:$AE$59,ROW()-3),'V_Tüm Teknoloji'!$AE$2:$AE$59,0))</f>
        <v/>
      </c>
      <c r="G56" s="9">
        <f>INDEX('V_Tüm Teknoloji'!F$2:F$59,MATCH(LARGE('V_Tüm Teknoloji'!$AE$2:$AE$59,ROW()-3),'V_Tüm Teknoloji'!$AE$2:$AE$59,0))</f>
        <v/>
      </c>
      <c r="H56" s="9">
        <f>INDEX('V_Tüm Teknoloji'!G$2:G$59,MATCH(LARGE('V_Tüm Teknoloji'!$AE$2:$AE$59,ROW()-3),'V_Tüm Teknoloji'!$AE$2:$AE$59,0))</f>
        <v/>
      </c>
      <c r="I56" s="9">
        <f>INDEX('V_Tüm Teknoloji'!H$2:H$59,MATCH(LARGE('V_Tüm Teknoloji'!$AE$2:$AE$59,ROW()-3),'V_Tüm Teknoloji'!$AE$2:$AE$59,0))</f>
        <v/>
      </c>
      <c r="J56" s="9">
        <f>INDEX('V_Tüm Teknoloji'!I$2:I$59,MATCH(LARGE('V_Tüm Teknoloji'!$AE$2:$AE$59,ROW()-3),'V_Tüm Teknoloji'!$AE$2:$AE$59,0))</f>
        <v/>
      </c>
      <c r="K56" s="10">
        <f>INDEX('V_Tüm Teknoloji'!J$2:J$59,MATCH(LARGE('V_Tüm Teknoloji'!$AE$2:$AE$59,ROW()-3),'V_Tüm Teknoloji'!$AE$2:$AE$59,0))</f>
        <v/>
      </c>
      <c r="L56" s="10">
        <f>INDEX('V_Tüm Teknoloji'!K$2:K$59,MATCH(LARGE('V_Tüm Teknoloji'!$AE$2:$AE$59,ROW()-3),'V_Tüm Teknoloji'!$AE$2:$AE$59,0))</f>
        <v/>
      </c>
      <c r="M56" s="8">
        <f>INDEX('V_Tüm Teknoloji'!L$2:L$59,MATCH(LARGE('V_Tüm Teknoloji'!$AE$2:$AE$59,ROW()-3),'V_Tüm Teknoloji'!$AE$2:$AE$59,0))</f>
        <v/>
      </c>
      <c r="N56" s="11">
        <f>INDEX('V_Tüm Teknoloji'!M$2:M$59,MATCH(LARGE('V_Tüm Teknoloji'!$AE$2:$AE$59,ROW()-3),'V_Tüm Teknoloji'!$AE$2:$AE$59,0))</f>
        <v/>
      </c>
      <c r="O56" s="11">
        <f>INDEX('V_Tüm Teknoloji'!N$2:N$59,MATCH(LARGE('V_Tüm Teknoloji'!$AE$2:$AE$59,ROW()-3),'V_Tüm Teknoloji'!$AE$2:$AE$59,0))</f>
        <v/>
      </c>
      <c r="P56" s="8">
        <f>INDEX('V_Tüm Teknoloji'!O$2:O$59,MATCH(LARGE('V_Tüm Teknoloji'!$AE$2:$AE$59,ROW()-3),'V_Tüm Teknoloji'!$AE$2:$AE$59,0))</f>
        <v/>
      </c>
      <c r="Q56" s="9">
        <f>INDEX('V_Tüm Teknoloji'!P$2:P$59,MATCH(LARGE('V_Tüm Teknoloji'!$AE$2:$AE$59,ROW()-3),'V_Tüm Teknoloji'!$AE$2:$AE$59,0))</f>
        <v/>
      </c>
      <c r="R56" s="5">
        <f>INDEX('V_Tüm Teknoloji'!Q$2:Q$59,MATCH(LARGE('V_Tüm Teknoloji'!$AE$2:$AE$59,ROW()-3),'V_Tüm Teknoloji'!$AE$2:$AE$59,0))</f>
        <v/>
      </c>
      <c r="S56" s="8">
        <f>INDEX('V_Tüm Teknoloji'!R$2:R$59,MATCH(LARGE('V_Tüm Teknoloji'!$AE$2:$AE$59,ROW()-3),'V_Tüm Teknoloji'!$AE$2:$AE$59,0))</f>
        <v/>
      </c>
      <c r="T56" s="8">
        <f>INDEX('V_Tüm Teknoloji'!S$2:S$59,MATCH(LARGE('V_Tüm Teknoloji'!$AE$2:$AE$59,ROW()-3),'V_Tüm Teknoloji'!$AE$2:$AE$59,0))</f>
        <v/>
      </c>
      <c r="U56" s="8">
        <f>INDEX('V_Tüm Teknoloji'!T$2:T$59,MATCH(LARGE('V_Tüm Teknoloji'!$AE$2:$AE$59,ROW()-3),'V_Tüm Teknoloji'!$AE$2:$AE$59,0))</f>
        <v/>
      </c>
      <c r="V56" s="8">
        <f>INDEX('V_Tüm Teknoloji'!U$2:U$59,MATCH(LARGE('V_Tüm Teknoloji'!$AE$2:$AE$59,ROW()-3),'V_Tüm Teknoloji'!$AE$2:$AE$59,0))</f>
        <v/>
      </c>
      <c r="W56" s="8">
        <f>INDEX('V_Tüm Teknoloji'!V$2:V$59,MATCH(LARGE('V_Tüm Teknoloji'!$AE$2:$AE$59,ROW()-3),'V_Tüm Teknoloji'!$AE$2:$AE$59,0))</f>
        <v/>
      </c>
      <c r="X56" s="8">
        <f>INDEX('V_Tüm Teknoloji'!W$2:W$59,MATCH(LARGE('V_Tüm Teknoloji'!$AE$2:$AE$59,ROW()-3),'V_Tüm Teknoloji'!$AE$2:$AE$59,0))</f>
        <v/>
      </c>
      <c r="Y56" s="8">
        <f>INDEX('V_Tüm Teknoloji'!X$2:X$59,MATCH(LARGE('V_Tüm Teknoloji'!$AE$2:$AE$59,ROW()-3),'V_Tüm Teknoloji'!$AE$2:$AE$59,0))</f>
        <v/>
      </c>
      <c r="Z56" s="8">
        <f>INDEX('V_Tüm Teknoloji'!Y$2:Y$59,MATCH(LARGE('V_Tüm Teknoloji'!$AE$2:$AE$59,ROW()-3),'V_Tüm Teknoloji'!$AE$2:$AE$59,0))</f>
        <v/>
      </c>
      <c r="AA56" s="8">
        <f>INDEX('V_Tüm Teknoloji'!Z$2:Z$59,MATCH(LARGE('V_Tüm Teknoloji'!$AE$2:$AE$59,ROW()-3),'V_Tüm Teknoloji'!$AE$2:$AE$59,0))</f>
        <v/>
      </c>
      <c r="AB56" s="8">
        <f>INDEX('V_Tüm Teknoloji'!AA$2:AA$59,MATCH(LARGE('V_Tüm Teknoloji'!$AE$2:$AE$59,ROW()-3),'V_Tüm Teknoloji'!$AE$2:$AE$59,0))</f>
        <v/>
      </c>
      <c r="AC56" s="8">
        <f>INDEX('V_Tüm Teknoloji'!AB$2:AB$59,MATCH(LARGE('V_Tüm Teknoloji'!$AE$2:$AE$59,ROW()-3),'V_Tüm Teknoloji'!$AE$2:$AE$59,0))</f>
        <v/>
      </c>
      <c r="AD56" s="8">
        <f>INDEX('V_Tüm Teknoloji'!AC$2:AC$59,MATCH(LARGE('V_Tüm Teknoloji'!$AE$2:$AE$59,ROW()-3),'V_Tüm Teknoloji'!$AE$2:$AE$59,0))</f>
        <v/>
      </c>
    </row>
    <row r="57">
      <c r="A57" t="n">
        <v>54</v>
      </c>
      <c r="B57" s="5">
        <f>INDEX('V_Tüm Teknoloji'!A$2:A$59,MATCH(LARGE('V_Tüm Teknoloji'!$AE$2:$AE$59,ROW()-3),'V_Tüm Teknoloji'!$AE$2:$AE$59,0))</f>
        <v/>
      </c>
      <c r="C57" s="5">
        <f>INDEX('V_Tüm Teknoloji'!B$2:B$59,MATCH(LARGE('V_Tüm Teknoloji'!$AE$2:$AE$59,ROW()-3),'V_Tüm Teknoloji'!$AE$2:$AE$59,0))</f>
        <v/>
      </c>
      <c r="D57" s="5">
        <f>INDEX('V_Tüm Teknoloji'!C$2:C$59,MATCH(LARGE('V_Tüm Teknoloji'!$AE$2:$AE$59,ROW()-3),'V_Tüm Teknoloji'!$AE$2:$AE$59,0))</f>
        <v/>
      </c>
      <c r="E57" s="8">
        <f>INDEX('V_Tüm Teknoloji'!D$2:D$59,MATCH(LARGE('V_Tüm Teknoloji'!$AE$2:$AE$59,ROW()-3),'V_Tüm Teknoloji'!$AE$2:$AE$59,0))</f>
        <v/>
      </c>
      <c r="F57" s="9">
        <f>INDEX('V_Tüm Teknoloji'!E$2:E$59,MATCH(LARGE('V_Tüm Teknoloji'!$AE$2:$AE$59,ROW()-3),'V_Tüm Teknoloji'!$AE$2:$AE$59,0))</f>
        <v/>
      </c>
      <c r="G57" s="9">
        <f>INDEX('V_Tüm Teknoloji'!F$2:F$59,MATCH(LARGE('V_Tüm Teknoloji'!$AE$2:$AE$59,ROW()-3),'V_Tüm Teknoloji'!$AE$2:$AE$59,0))</f>
        <v/>
      </c>
      <c r="H57" s="9">
        <f>INDEX('V_Tüm Teknoloji'!G$2:G$59,MATCH(LARGE('V_Tüm Teknoloji'!$AE$2:$AE$59,ROW()-3),'V_Tüm Teknoloji'!$AE$2:$AE$59,0))</f>
        <v/>
      </c>
      <c r="I57" s="9">
        <f>INDEX('V_Tüm Teknoloji'!H$2:H$59,MATCH(LARGE('V_Tüm Teknoloji'!$AE$2:$AE$59,ROW()-3),'V_Tüm Teknoloji'!$AE$2:$AE$59,0))</f>
        <v/>
      </c>
      <c r="J57" s="9">
        <f>INDEX('V_Tüm Teknoloji'!I$2:I$59,MATCH(LARGE('V_Tüm Teknoloji'!$AE$2:$AE$59,ROW()-3),'V_Tüm Teknoloji'!$AE$2:$AE$59,0))</f>
        <v/>
      </c>
      <c r="K57" s="10">
        <f>INDEX('V_Tüm Teknoloji'!J$2:J$59,MATCH(LARGE('V_Tüm Teknoloji'!$AE$2:$AE$59,ROW()-3),'V_Tüm Teknoloji'!$AE$2:$AE$59,0))</f>
        <v/>
      </c>
      <c r="L57" s="10">
        <f>INDEX('V_Tüm Teknoloji'!K$2:K$59,MATCH(LARGE('V_Tüm Teknoloji'!$AE$2:$AE$59,ROW()-3),'V_Tüm Teknoloji'!$AE$2:$AE$59,0))</f>
        <v/>
      </c>
      <c r="M57" s="8">
        <f>INDEX('V_Tüm Teknoloji'!L$2:L$59,MATCH(LARGE('V_Tüm Teknoloji'!$AE$2:$AE$59,ROW()-3),'V_Tüm Teknoloji'!$AE$2:$AE$59,0))</f>
        <v/>
      </c>
      <c r="N57" s="11">
        <f>INDEX('V_Tüm Teknoloji'!M$2:M$59,MATCH(LARGE('V_Tüm Teknoloji'!$AE$2:$AE$59,ROW()-3),'V_Tüm Teknoloji'!$AE$2:$AE$59,0))</f>
        <v/>
      </c>
      <c r="O57" s="11">
        <f>INDEX('V_Tüm Teknoloji'!N$2:N$59,MATCH(LARGE('V_Tüm Teknoloji'!$AE$2:$AE$59,ROW()-3),'V_Tüm Teknoloji'!$AE$2:$AE$59,0))</f>
        <v/>
      </c>
      <c r="P57" s="8">
        <f>INDEX('V_Tüm Teknoloji'!O$2:O$59,MATCH(LARGE('V_Tüm Teknoloji'!$AE$2:$AE$59,ROW()-3),'V_Tüm Teknoloji'!$AE$2:$AE$59,0))</f>
        <v/>
      </c>
      <c r="Q57" s="9">
        <f>INDEX('V_Tüm Teknoloji'!P$2:P$59,MATCH(LARGE('V_Tüm Teknoloji'!$AE$2:$AE$59,ROW()-3),'V_Tüm Teknoloji'!$AE$2:$AE$59,0))</f>
        <v/>
      </c>
      <c r="R57" s="5">
        <f>INDEX('V_Tüm Teknoloji'!Q$2:Q$59,MATCH(LARGE('V_Tüm Teknoloji'!$AE$2:$AE$59,ROW()-3),'V_Tüm Teknoloji'!$AE$2:$AE$59,0))</f>
        <v/>
      </c>
      <c r="S57" s="8">
        <f>INDEX('V_Tüm Teknoloji'!R$2:R$59,MATCH(LARGE('V_Tüm Teknoloji'!$AE$2:$AE$59,ROW()-3),'V_Tüm Teknoloji'!$AE$2:$AE$59,0))</f>
        <v/>
      </c>
      <c r="T57" s="8">
        <f>INDEX('V_Tüm Teknoloji'!S$2:S$59,MATCH(LARGE('V_Tüm Teknoloji'!$AE$2:$AE$59,ROW()-3),'V_Tüm Teknoloji'!$AE$2:$AE$59,0))</f>
        <v/>
      </c>
      <c r="U57" s="8">
        <f>INDEX('V_Tüm Teknoloji'!T$2:T$59,MATCH(LARGE('V_Tüm Teknoloji'!$AE$2:$AE$59,ROW()-3),'V_Tüm Teknoloji'!$AE$2:$AE$59,0))</f>
        <v/>
      </c>
      <c r="V57" s="8">
        <f>INDEX('V_Tüm Teknoloji'!U$2:U$59,MATCH(LARGE('V_Tüm Teknoloji'!$AE$2:$AE$59,ROW()-3),'V_Tüm Teknoloji'!$AE$2:$AE$59,0))</f>
        <v/>
      </c>
      <c r="W57" s="8">
        <f>INDEX('V_Tüm Teknoloji'!V$2:V$59,MATCH(LARGE('V_Tüm Teknoloji'!$AE$2:$AE$59,ROW()-3),'V_Tüm Teknoloji'!$AE$2:$AE$59,0))</f>
        <v/>
      </c>
      <c r="X57" s="8">
        <f>INDEX('V_Tüm Teknoloji'!W$2:W$59,MATCH(LARGE('V_Tüm Teknoloji'!$AE$2:$AE$59,ROW()-3),'V_Tüm Teknoloji'!$AE$2:$AE$59,0))</f>
        <v/>
      </c>
      <c r="Y57" s="8">
        <f>INDEX('V_Tüm Teknoloji'!X$2:X$59,MATCH(LARGE('V_Tüm Teknoloji'!$AE$2:$AE$59,ROW()-3),'V_Tüm Teknoloji'!$AE$2:$AE$59,0))</f>
        <v/>
      </c>
      <c r="Z57" s="8">
        <f>INDEX('V_Tüm Teknoloji'!Y$2:Y$59,MATCH(LARGE('V_Tüm Teknoloji'!$AE$2:$AE$59,ROW()-3),'V_Tüm Teknoloji'!$AE$2:$AE$59,0))</f>
        <v/>
      </c>
      <c r="AA57" s="8">
        <f>INDEX('V_Tüm Teknoloji'!Z$2:Z$59,MATCH(LARGE('V_Tüm Teknoloji'!$AE$2:$AE$59,ROW()-3),'V_Tüm Teknoloji'!$AE$2:$AE$59,0))</f>
        <v/>
      </c>
      <c r="AB57" s="8">
        <f>INDEX('V_Tüm Teknoloji'!AA$2:AA$59,MATCH(LARGE('V_Tüm Teknoloji'!$AE$2:$AE$59,ROW()-3),'V_Tüm Teknoloji'!$AE$2:$AE$59,0))</f>
        <v/>
      </c>
      <c r="AC57" s="8">
        <f>INDEX('V_Tüm Teknoloji'!AB$2:AB$59,MATCH(LARGE('V_Tüm Teknoloji'!$AE$2:$AE$59,ROW()-3),'V_Tüm Teknoloji'!$AE$2:$AE$59,0))</f>
        <v/>
      </c>
      <c r="AD57" s="8">
        <f>INDEX('V_Tüm Teknoloji'!AC$2:AC$59,MATCH(LARGE('V_Tüm Teknoloji'!$AE$2:$AE$59,ROW()-3),'V_Tüm Teknoloji'!$AE$2:$AE$59,0))</f>
        <v/>
      </c>
    </row>
    <row r="58">
      <c r="A58" t="n">
        <v>55</v>
      </c>
      <c r="B58" s="5">
        <f>INDEX('V_Tüm Teknoloji'!A$2:A$59,MATCH(LARGE('V_Tüm Teknoloji'!$AE$2:$AE$59,ROW()-3),'V_Tüm Teknoloji'!$AE$2:$AE$59,0))</f>
        <v/>
      </c>
      <c r="C58" s="5">
        <f>INDEX('V_Tüm Teknoloji'!B$2:B$59,MATCH(LARGE('V_Tüm Teknoloji'!$AE$2:$AE$59,ROW()-3),'V_Tüm Teknoloji'!$AE$2:$AE$59,0))</f>
        <v/>
      </c>
      <c r="D58" s="5">
        <f>INDEX('V_Tüm Teknoloji'!C$2:C$59,MATCH(LARGE('V_Tüm Teknoloji'!$AE$2:$AE$59,ROW()-3),'V_Tüm Teknoloji'!$AE$2:$AE$59,0))</f>
        <v/>
      </c>
      <c r="E58" s="8">
        <f>INDEX('V_Tüm Teknoloji'!D$2:D$59,MATCH(LARGE('V_Tüm Teknoloji'!$AE$2:$AE$59,ROW()-3),'V_Tüm Teknoloji'!$AE$2:$AE$59,0))</f>
        <v/>
      </c>
      <c r="F58" s="9">
        <f>INDEX('V_Tüm Teknoloji'!E$2:E$59,MATCH(LARGE('V_Tüm Teknoloji'!$AE$2:$AE$59,ROW()-3),'V_Tüm Teknoloji'!$AE$2:$AE$59,0))</f>
        <v/>
      </c>
      <c r="G58" s="9">
        <f>INDEX('V_Tüm Teknoloji'!F$2:F$59,MATCH(LARGE('V_Tüm Teknoloji'!$AE$2:$AE$59,ROW()-3),'V_Tüm Teknoloji'!$AE$2:$AE$59,0))</f>
        <v/>
      </c>
      <c r="H58" s="9">
        <f>INDEX('V_Tüm Teknoloji'!G$2:G$59,MATCH(LARGE('V_Tüm Teknoloji'!$AE$2:$AE$59,ROW()-3),'V_Tüm Teknoloji'!$AE$2:$AE$59,0))</f>
        <v/>
      </c>
      <c r="I58" s="9">
        <f>INDEX('V_Tüm Teknoloji'!H$2:H$59,MATCH(LARGE('V_Tüm Teknoloji'!$AE$2:$AE$59,ROW()-3),'V_Tüm Teknoloji'!$AE$2:$AE$59,0))</f>
        <v/>
      </c>
      <c r="J58" s="9">
        <f>INDEX('V_Tüm Teknoloji'!I$2:I$59,MATCH(LARGE('V_Tüm Teknoloji'!$AE$2:$AE$59,ROW()-3),'V_Tüm Teknoloji'!$AE$2:$AE$59,0))</f>
        <v/>
      </c>
      <c r="K58" s="10">
        <f>INDEX('V_Tüm Teknoloji'!J$2:J$59,MATCH(LARGE('V_Tüm Teknoloji'!$AE$2:$AE$59,ROW()-3),'V_Tüm Teknoloji'!$AE$2:$AE$59,0))</f>
        <v/>
      </c>
      <c r="L58" s="10">
        <f>INDEX('V_Tüm Teknoloji'!K$2:K$59,MATCH(LARGE('V_Tüm Teknoloji'!$AE$2:$AE$59,ROW()-3),'V_Tüm Teknoloji'!$AE$2:$AE$59,0))</f>
        <v/>
      </c>
      <c r="M58" s="8">
        <f>INDEX('V_Tüm Teknoloji'!L$2:L$59,MATCH(LARGE('V_Tüm Teknoloji'!$AE$2:$AE$59,ROW()-3),'V_Tüm Teknoloji'!$AE$2:$AE$59,0))</f>
        <v/>
      </c>
      <c r="N58" s="11">
        <f>INDEX('V_Tüm Teknoloji'!M$2:M$59,MATCH(LARGE('V_Tüm Teknoloji'!$AE$2:$AE$59,ROW()-3),'V_Tüm Teknoloji'!$AE$2:$AE$59,0))</f>
        <v/>
      </c>
      <c r="O58" s="11">
        <f>INDEX('V_Tüm Teknoloji'!N$2:N$59,MATCH(LARGE('V_Tüm Teknoloji'!$AE$2:$AE$59,ROW()-3),'V_Tüm Teknoloji'!$AE$2:$AE$59,0))</f>
        <v/>
      </c>
      <c r="P58" s="8">
        <f>INDEX('V_Tüm Teknoloji'!O$2:O$59,MATCH(LARGE('V_Tüm Teknoloji'!$AE$2:$AE$59,ROW()-3),'V_Tüm Teknoloji'!$AE$2:$AE$59,0))</f>
        <v/>
      </c>
      <c r="Q58" s="9">
        <f>INDEX('V_Tüm Teknoloji'!P$2:P$59,MATCH(LARGE('V_Tüm Teknoloji'!$AE$2:$AE$59,ROW()-3),'V_Tüm Teknoloji'!$AE$2:$AE$59,0))</f>
        <v/>
      </c>
      <c r="R58" s="5">
        <f>INDEX('V_Tüm Teknoloji'!Q$2:Q$59,MATCH(LARGE('V_Tüm Teknoloji'!$AE$2:$AE$59,ROW()-3),'V_Tüm Teknoloji'!$AE$2:$AE$59,0))</f>
        <v/>
      </c>
      <c r="S58" s="8">
        <f>INDEX('V_Tüm Teknoloji'!R$2:R$59,MATCH(LARGE('V_Tüm Teknoloji'!$AE$2:$AE$59,ROW()-3),'V_Tüm Teknoloji'!$AE$2:$AE$59,0))</f>
        <v/>
      </c>
      <c r="T58" s="8">
        <f>INDEX('V_Tüm Teknoloji'!S$2:S$59,MATCH(LARGE('V_Tüm Teknoloji'!$AE$2:$AE$59,ROW()-3),'V_Tüm Teknoloji'!$AE$2:$AE$59,0))</f>
        <v/>
      </c>
      <c r="U58" s="8">
        <f>INDEX('V_Tüm Teknoloji'!T$2:T$59,MATCH(LARGE('V_Tüm Teknoloji'!$AE$2:$AE$59,ROW()-3),'V_Tüm Teknoloji'!$AE$2:$AE$59,0))</f>
        <v/>
      </c>
      <c r="V58" s="8">
        <f>INDEX('V_Tüm Teknoloji'!U$2:U$59,MATCH(LARGE('V_Tüm Teknoloji'!$AE$2:$AE$59,ROW()-3),'V_Tüm Teknoloji'!$AE$2:$AE$59,0))</f>
        <v/>
      </c>
      <c r="W58" s="8">
        <f>INDEX('V_Tüm Teknoloji'!V$2:V$59,MATCH(LARGE('V_Tüm Teknoloji'!$AE$2:$AE$59,ROW()-3),'V_Tüm Teknoloji'!$AE$2:$AE$59,0))</f>
        <v/>
      </c>
      <c r="X58" s="8">
        <f>INDEX('V_Tüm Teknoloji'!W$2:W$59,MATCH(LARGE('V_Tüm Teknoloji'!$AE$2:$AE$59,ROW()-3),'V_Tüm Teknoloji'!$AE$2:$AE$59,0))</f>
        <v/>
      </c>
      <c r="Y58" s="8">
        <f>INDEX('V_Tüm Teknoloji'!X$2:X$59,MATCH(LARGE('V_Tüm Teknoloji'!$AE$2:$AE$59,ROW()-3),'V_Tüm Teknoloji'!$AE$2:$AE$59,0))</f>
        <v/>
      </c>
      <c r="Z58" s="8">
        <f>INDEX('V_Tüm Teknoloji'!Y$2:Y$59,MATCH(LARGE('V_Tüm Teknoloji'!$AE$2:$AE$59,ROW()-3),'V_Tüm Teknoloji'!$AE$2:$AE$59,0))</f>
        <v/>
      </c>
      <c r="AA58" s="8">
        <f>INDEX('V_Tüm Teknoloji'!Z$2:Z$59,MATCH(LARGE('V_Tüm Teknoloji'!$AE$2:$AE$59,ROW()-3),'V_Tüm Teknoloji'!$AE$2:$AE$59,0))</f>
        <v/>
      </c>
      <c r="AB58" s="8">
        <f>INDEX('V_Tüm Teknoloji'!AA$2:AA$59,MATCH(LARGE('V_Tüm Teknoloji'!$AE$2:$AE$59,ROW()-3),'V_Tüm Teknoloji'!$AE$2:$AE$59,0))</f>
        <v/>
      </c>
      <c r="AC58" s="8">
        <f>INDEX('V_Tüm Teknoloji'!AB$2:AB$59,MATCH(LARGE('V_Tüm Teknoloji'!$AE$2:$AE$59,ROW()-3),'V_Tüm Teknoloji'!$AE$2:$AE$59,0))</f>
        <v/>
      </c>
      <c r="AD58" s="8">
        <f>INDEX('V_Tüm Teknoloji'!AC$2:AC$59,MATCH(LARGE('V_Tüm Teknoloji'!$AE$2:$AE$59,ROW()-3),'V_Tüm Teknoloji'!$AE$2:$AE$59,0))</f>
        <v/>
      </c>
    </row>
    <row r="59">
      <c r="A59" t="n">
        <v>56</v>
      </c>
      <c r="B59" s="5">
        <f>INDEX('V_Tüm Teknoloji'!A$2:A$59,MATCH(LARGE('V_Tüm Teknoloji'!$AE$2:$AE$59,ROW()-3),'V_Tüm Teknoloji'!$AE$2:$AE$59,0))</f>
        <v/>
      </c>
      <c r="C59" s="5">
        <f>INDEX('V_Tüm Teknoloji'!B$2:B$59,MATCH(LARGE('V_Tüm Teknoloji'!$AE$2:$AE$59,ROW()-3),'V_Tüm Teknoloji'!$AE$2:$AE$59,0))</f>
        <v/>
      </c>
      <c r="D59" s="5">
        <f>INDEX('V_Tüm Teknoloji'!C$2:C$59,MATCH(LARGE('V_Tüm Teknoloji'!$AE$2:$AE$59,ROW()-3),'V_Tüm Teknoloji'!$AE$2:$AE$59,0))</f>
        <v/>
      </c>
      <c r="E59" s="8">
        <f>INDEX('V_Tüm Teknoloji'!D$2:D$59,MATCH(LARGE('V_Tüm Teknoloji'!$AE$2:$AE$59,ROW()-3),'V_Tüm Teknoloji'!$AE$2:$AE$59,0))</f>
        <v/>
      </c>
      <c r="F59" s="9">
        <f>INDEX('V_Tüm Teknoloji'!E$2:E$59,MATCH(LARGE('V_Tüm Teknoloji'!$AE$2:$AE$59,ROW()-3),'V_Tüm Teknoloji'!$AE$2:$AE$59,0))</f>
        <v/>
      </c>
      <c r="G59" s="9">
        <f>INDEX('V_Tüm Teknoloji'!F$2:F$59,MATCH(LARGE('V_Tüm Teknoloji'!$AE$2:$AE$59,ROW()-3),'V_Tüm Teknoloji'!$AE$2:$AE$59,0))</f>
        <v/>
      </c>
      <c r="H59" s="9">
        <f>INDEX('V_Tüm Teknoloji'!G$2:G$59,MATCH(LARGE('V_Tüm Teknoloji'!$AE$2:$AE$59,ROW()-3),'V_Tüm Teknoloji'!$AE$2:$AE$59,0))</f>
        <v/>
      </c>
      <c r="I59" s="9">
        <f>INDEX('V_Tüm Teknoloji'!H$2:H$59,MATCH(LARGE('V_Tüm Teknoloji'!$AE$2:$AE$59,ROW()-3),'V_Tüm Teknoloji'!$AE$2:$AE$59,0))</f>
        <v/>
      </c>
      <c r="J59" s="9">
        <f>INDEX('V_Tüm Teknoloji'!I$2:I$59,MATCH(LARGE('V_Tüm Teknoloji'!$AE$2:$AE$59,ROW()-3),'V_Tüm Teknoloji'!$AE$2:$AE$59,0))</f>
        <v/>
      </c>
      <c r="K59" s="10">
        <f>INDEX('V_Tüm Teknoloji'!J$2:J$59,MATCH(LARGE('V_Tüm Teknoloji'!$AE$2:$AE$59,ROW()-3),'V_Tüm Teknoloji'!$AE$2:$AE$59,0))</f>
        <v/>
      </c>
      <c r="L59" s="10">
        <f>INDEX('V_Tüm Teknoloji'!K$2:K$59,MATCH(LARGE('V_Tüm Teknoloji'!$AE$2:$AE$59,ROW()-3),'V_Tüm Teknoloji'!$AE$2:$AE$59,0))</f>
        <v/>
      </c>
      <c r="M59" s="8">
        <f>INDEX('V_Tüm Teknoloji'!L$2:L$59,MATCH(LARGE('V_Tüm Teknoloji'!$AE$2:$AE$59,ROW()-3),'V_Tüm Teknoloji'!$AE$2:$AE$59,0))</f>
        <v/>
      </c>
      <c r="N59" s="11">
        <f>INDEX('V_Tüm Teknoloji'!M$2:M$59,MATCH(LARGE('V_Tüm Teknoloji'!$AE$2:$AE$59,ROW()-3),'V_Tüm Teknoloji'!$AE$2:$AE$59,0))</f>
        <v/>
      </c>
      <c r="O59" s="11">
        <f>INDEX('V_Tüm Teknoloji'!N$2:N$59,MATCH(LARGE('V_Tüm Teknoloji'!$AE$2:$AE$59,ROW()-3),'V_Tüm Teknoloji'!$AE$2:$AE$59,0))</f>
        <v/>
      </c>
      <c r="P59" s="8">
        <f>INDEX('V_Tüm Teknoloji'!O$2:O$59,MATCH(LARGE('V_Tüm Teknoloji'!$AE$2:$AE$59,ROW()-3),'V_Tüm Teknoloji'!$AE$2:$AE$59,0))</f>
        <v/>
      </c>
      <c r="Q59" s="9">
        <f>INDEX('V_Tüm Teknoloji'!P$2:P$59,MATCH(LARGE('V_Tüm Teknoloji'!$AE$2:$AE$59,ROW()-3),'V_Tüm Teknoloji'!$AE$2:$AE$59,0))</f>
        <v/>
      </c>
      <c r="R59" s="5">
        <f>INDEX('V_Tüm Teknoloji'!Q$2:Q$59,MATCH(LARGE('V_Tüm Teknoloji'!$AE$2:$AE$59,ROW()-3),'V_Tüm Teknoloji'!$AE$2:$AE$59,0))</f>
        <v/>
      </c>
      <c r="S59" s="8">
        <f>INDEX('V_Tüm Teknoloji'!R$2:R$59,MATCH(LARGE('V_Tüm Teknoloji'!$AE$2:$AE$59,ROW()-3),'V_Tüm Teknoloji'!$AE$2:$AE$59,0))</f>
        <v/>
      </c>
      <c r="T59" s="8">
        <f>INDEX('V_Tüm Teknoloji'!S$2:S$59,MATCH(LARGE('V_Tüm Teknoloji'!$AE$2:$AE$59,ROW()-3),'V_Tüm Teknoloji'!$AE$2:$AE$59,0))</f>
        <v/>
      </c>
      <c r="U59" s="8">
        <f>INDEX('V_Tüm Teknoloji'!T$2:T$59,MATCH(LARGE('V_Tüm Teknoloji'!$AE$2:$AE$59,ROW()-3),'V_Tüm Teknoloji'!$AE$2:$AE$59,0))</f>
        <v/>
      </c>
      <c r="V59" s="8">
        <f>INDEX('V_Tüm Teknoloji'!U$2:U$59,MATCH(LARGE('V_Tüm Teknoloji'!$AE$2:$AE$59,ROW()-3),'V_Tüm Teknoloji'!$AE$2:$AE$59,0))</f>
        <v/>
      </c>
      <c r="W59" s="8">
        <f>INDEX('V_Tüm Teknoloji'!V$2:V$59,MATCH(LARGE('V_Tüm Teknoloji'!$AE$2:$AE$59,ROW()-3),'V_Tüm Teknoloji'!$AE$2:$AE$59,0))</f>
        <v/>
      </c>
      <c r="X59" s="8">
        <f>INDEX('V_Tüm Teknoloji'!W$2:W$59,MATCH(LARGE('V_Tüm Teknoloji'!$AE$2:$AE$59,ROW()-3),'V_Tüm Teknoloji'!$AE$2:$AE$59,0))</f>
        <v/>
      </c>
      <c r="Y59" s="8">
        <f>INDEX('V_Tüm Teknoloji'!X$2:X$59,MATCH(LARGE('V_Tüm Teknoloji'!$AE$2:$AE$59,ROW()-3),'V_Tüm Teknoloji'!$AE$2:$AE$59,0))</f>
        <v/>
      </c>
      <c r="Z59" s="8">
        <f>INDEX('V_Tüm Teknoloji'!Y$2:Y$59,MATCH(LARGE('V_Tüm Teknoloji'!$AE$2:$AE$59,ROW()-3),'V_Tüm Teknoloji'!$AE$2:$AE$59,0))</f>
        <v/>
      </c>
      <c r="AA59" s="8">
        <f>INDEX('V_Tüm Teknoloji'!Z$2:Z$59,MATCH(LARGE('V_Tüm Teknoloji'!$AE$2:$AE$59,ROW()-3),'V_Tüm Teknoloji'!$AE$2:$AE$59,0))</f>
        <v/>
      </c>
      <c r="AB59" s="8">
        <f>INDEX('V_Tüm Teknoloji'!AA$2:AA$59,MATCH(LARGE('V_Tüm Teknoloji'!$AE$2:$AE$59,ROW()-3),'V_Tüm Teknoloji'!$AE$2:$AE$59,0))</f>
        <v/>
      </c>
      <c r="AC59" s="8">
        <f>INDEX('V_Tüm Teknoloji'!AB$2:AB$59,MATCH(LARGE('V_Tüm Teknoloji'!$AE$2:$AE$59,ROW()-3),'V_Tüm Teknoloji'!$AE$2:$AE$59,0))</f>
        <v/>
      </c>
      <c r="AD59" s="8">
        <f>INDEX('V_Tüm Teknoloji'!AC$2:AC$59,MATCH(LARGE('V_Tüm Teknoloji'!$AE$2:$AE$59,ROW()-3),'V_Tüm Teknoloji'!$AE$2:$AE$59,0))</f>
        <v/>
      </c>
    </row>
    <row r="60">
      <c r="A60" t="n">
        <v>57</v>
      </c>
      <c r="B60" s="5">
        <f>INDEX('V_Tüm Teknoloji'!A$2:A$59,MATCH(LARGE('V_Tüm Teknoloji'!$AE$2:$AE$59,ROW()-3),'V_Tüm Teknoloji'!$AE$2:$AE$59,0))</f>
        <v/>
      </c>
      <c r="C60" s="5">
        <f>INDEX('V_Tüm Teknoloji'!B$2:B$59,MATCH(LARGE('V_Tüm Teknoloji'!$AE$2:$AE$59,ROW()-3),'V_Tüm Teknoloji'!$AE$2:$AE$59,0))</f>
        <v/>
      </c>
      <c r="D60" s="5">
        <f>INDEX('V_Tüm Teknoloji'!C$2:C$59,MATCH(LARGE('V_Tüm Teknoloji'!$AE$2:$AE$59,ROW()-3),'V_Tüm Teknoloji'!$AE$2:$AE$59,0))</f>
        <v/>
      </c>
      <c r="E60" s="8">
        <f>INDEX('V_Tüm Teknoloji'!D$2:D$59,MATCH(LARGE('V_Tüm Teknoloji'!$AE$2:$AE$59,ROW()-3),'V_Tüm Teknoloji'!$AE$2:$AE$59,0))</f>
        <v/>
      </c>
      <c r="F60" s="9">
        <f>INDEX('V_Tüm Teknoloji'!E$2:E$59,MATCH(LARGE('V_Tüm Teknoloji'!$AE$2:$AE$59,ROW()-3),'V_Tüm Teknoloji'!$AE$2:$AE$59,0))</f>
        <v/>
      </c>
      <c r="G60" s="9">
        <f>INDEX('V_Tüm Teknoloji'!F$2:F$59,MATCH(LARGE('V_Tüm Teknoloji'!$AE$2:$AE$59,ROW()-3),'V_Tüm Teknoloji'!$AE$2:$AE$59,0))</f>
        <v/>
      </c>
      <c r="H60" s="9">
        <f>INDEX('V_Tüm Teknoloji'!G$2:G$59,MATCH(LARGE('V_Tüm Teknoloji'!$AE$2:$AE$59,ROW()-3),'V_Tüm Teknoloji'!$AE$2:$AE$59,0))</f>
        <v/>
      </c>
      <c r="I60" s="9">
        <f>INDEX('V_Tüm Teknoloji'!H$2:H$59,MATCH(LARGE('V_Tüm Teknoloji'!$AE$2:$AE$59,ROW()-3),'V_Tüm Teknoloji'!$AE$2:$AE$59,0))</f>
        <v/>
      </c>
      <c r="J60" s="9">
        <f>INDEX('V_Tüm Teknoloji'!I$2:I$59,MATCH(LARGE('V_Tüm Teknoloji'!$AE$2:$AE$59,ROW()-3),'V_Tüm Teknoloji'!$AE$2:$AE$59,0))</f>
        <v/>
      </c>
      <c r="K60" s="10">
        <f>INDEX('V_Tüm Teknoloji'!J$2:J$59,MATCH(LARGE('V_Tüm Teknoloji'!$AE$2:$AE$59,ROW()-3),'V_Tüm Teknoloji'!$AE$2:$AE$59,0))</f>
        <v/>
      </c>
      <c r="L60" s="10">
        <f>INDEX('V_Tüm Teknoloji'!K$2:K$59,MATCH(LARGE('V_Tüm Teknoloji'!$AE$2:$AE$59,ROW()-3),'V_Tüm Teknoloji'!$AE$2:$AE$59,0))</f>
        <v/>
      </c>
      <c r="M60" s="8">
        <f>INDEX('V_Tüm Teknoloji'!L$2:L$59,MATCH(LARGE('V_Tüm Teknoloji'!$AE$2:$AE$59,ROW()-3),'V_Tüm Teknoloji'!$AE$2:$AE$59,0))</f>
        <v/>
      </c>
      <c r="N60" s="11">
        <f>INDEX('V_Tüm Teknoloji'!M$2:M$59,MATCH(LARGE('V_Tüm Teknoloji'!$AE$2:$AE$59,ROW()-3),'V_Tüm Teknoloji'!$AE$2:$AE$59,0))</f>
        <v/>
      </c>
      <c r="O60" s="11">
        <f>INDEX('V_Tüm Teknoloji'!N$2:N$59,MATCH(LARGE('V_Tüm Teknoloji'!$AE$2:$AE$59,ROW()-3),'V_Tüm Teknoloji'!$AE$2:$AE$59,0))</f>
        <v/>
      </c>
      <c r="P60" s="8">
        <f>INDEX('V_Tüm Teknoloji'!O$2:O$59,MATCH(LARGE('V_Tüm Teknoloji'!$AE$2:$AE$59,ROW()-3),'V_Tüm Teknoloji'!$AE$2:$AE$59,0))</f>
        <v/>
      </c>
      <c r="Q60" s="9">
        <f>INDEX('V_Tüm Teknoloji'!P$2:P$59,MATCH(LARGE('V_Tüm Teknoloji'!$AE$2:$AE$59,ROW()-3),'V_Tüm Teknoloji'!$AE$2:$AE$59,0))</f>
        <v/>
      </c>
      <c r="R60" s="5">
        <f>INDEX('V_Tüm Teknoloji'!Q$2:Q$59,MATCH(LARGE('V_Tüm Teknoloji'!$AE$2:$AE$59,ROW()-3),'V_Tüm Teknoloji'!$AE$2:$AE$59,0))</f>
        <v/>
      </c>
      <c r="S60" s="8">
        <f>INDEX('V_Tüm Teknoloji'!R$2:R$59,MATCH(LARGE('V_Tüm Teknoloji'!$AE$2:$AE$59,ROW()-3),'V_Tüm Teknoloji'!$AE$2:$AE$59,0))</f>
        <v/>
      </c>
      <c r="T60" s="8">
        <f>INDEX('V_Tüm Teknoloji'!S$2:S$59,MATCH(LARGE('V_Tüm Teknoloji'!$AE$2:$AE$59,ROW()-3),'V_Tüm Teknoloji'!$AE$2:$AE$59,0))</f>
        <v/>
      </c>
      <c r="U60" s="8">
        <f>INDEX('V_Tüm Teknoloji'!T$2:T$59,MATCH(LARGE('V_Tüm Teknoloji'!$AE$2:$AE$59,ROW()-3),'V_Tüm Teknoloji'!$AE$2:$AE$59,0))</f>
        <v/>
      </c>
      <c r="V60" s="8">
        <f>INDEX('V_Tüm Teknoloji'!U$2:U$59,MATCH(LARGE('V_Tüm Teknoloji'!$AE$2:$AE$59,ROW()-3),'V_Tüm Teknoloji'!$AE$2:$AE$59,0))</f>
        <v/>
      </c>
      <c r="W60" s="8">
        <f>INDEX('V_Tüm Teknoloji'!V$2:V$59,MATCH(LARGE('V_Tüm Teknoloji'!$AE$2:$AE$59,ROW()-3),'V_Tüm Teknoloji'!$AE$2:$AE$59,0))</f>
        <v/>
      </c>
      <c r="X60" s="8">
        <f>INDEX('V_Tüm Teknoloji'!W$2:W$59,MATCH(LARGE('V_Tüm Teknoloji'!$AE$2:$AE$59,ROW()-3),'V_Tüm Teknoloji'!$AE$2:$AE$59,0))</f>
        <v/>
      </c>
      <c r="Y60" s="8">
        <f>INDEX('V_Tüm Teknoloji'!X$2:X$59,MATCH(LARGE('V_Tüm Teknoloji'!$AE$2:$AE$59,ROW()-3),'V_Tüm Teknoloji'!$AE$2:$AE$59,0))</f>
        <v/>
      </c>
      <c r="Z60" s="8">
        <f>INDEX('V_Tüm Teknoloji'!Y$2:Y$59,MATCH(LARGE('V_Tüm Teknoloji'!$AE$2:$AE$59,ROW()-3),'V_Tüm Teknoloji'!$AE$2:$AE$59,0))</f>
        <v/>
      </c>
      <c r="AA60" s="8">
        <f>INDEX('V_Tüm Teknoloji'!Z$2:Z$59,MATCH(LARGE('V_Tüm Teknoloji'!$AE$2:$AE$59,ROW()-3),'V_Tüm Teknoloji'!$AE$2:$AE$59,0))</f>
        <v/>
      </c>
      <c r="AB60" s="8">
        <f>INDEX('V_Tüm Teknoloji'!AA$2:AA$59,MATCH(LARGE('V_Tüm Teknoloji'!$AE$2:$AE$59,ROW()-3),'V_Tüm Teknoloji'!$AE$2:$AE$59,0))</f>
        <v/>
      </c>
      <c r="AC60" s="8">
        <f>INDEX('V_Tüm Teknoloji'!AB$2:AB$59,MATCH(LARGE('V_Tüm Teknoloji'!$AE$2:$AE$59,ROW()-3),'V_Tüm Teknoloji'!$AE$2:$AE$59,0))</f>
        <v/>
      </c>
      <c r="AD60" s="8">
        <f>INDEX('V_Tüm Teknoloji'!AC$2:AC$59,MATCH(LARGE('V_Tüm Teknoloji'!$AE$2:$AE$59,ROW()-3),'V_Tüm Teknoloji'!$AE$2:$AE$59,0))</f>
        <v/>
      </c>
    </row>
    <row r="61">
      <c r="A61" t="n">
        <v>58</v>
      </c>
      <c r="B61" s="5">
        <f>INDEX('V_Tüm Teknoloji'!A$2:A$59,MATCH(LARGE('V_Tüm Teknoloji'!$AE$2:$AE$59,ROW()-3),'V_Tüm Teknoloji'!$AE$2:$AE$59,0))</f>
        <v/>
      </c>
      <c r="C61" s="5">
        <f>INDEX('V_Tüm Teknoloji'!B$2:B$59,MATCH(LARGE('V_Tüm Teknoloji'!$AE$2:$AE$59,ROW()-3),'V_Tüm Teknoloji'!$AE$2:$AE$59,0))</f>
        <v/>
      </c>
      <c r="D61" s="5">
        <f>INDEX('V_Tüm Teknoloji'!C$2:C$59,MATCH(LARGE('V_Tüm Teknoloji'!$AE$2:$AE$59,ROW()-3),'V_Tüm Teknoloji'!$AE$2:$AE$59,0))</f>
        <v/>
      </c>
      <c r="E61" s="8">
        <f>INDEX('V_Tüm Teknoloji'!D$2:D$59,MATCH(LARGE('V_Tüm Teknoloji'!$AE$2:$AE$59,ROW()-3),'V_Tüm Teknoloji'!$AE$2:$AE$59,0))</f>
        <v/>
      </c>
      <c r="F61" s="9">
        <f>INDEX('V_Tüm Teknoloji'!E$2:E$59,MATCH(LARGE('V_Tüm Teknoloji'!$AE$2:$AE$59,ROW()-3),'V_Tüm Teknoloji'!$AE$2:$AE$59,0))</f>
        <v/>
      </c>
      <c r="G61" s="9">
        <f>INDEX('V_Tüm Teknoloji'!F$2:F$59,MATCH(LARGE('V_Tüm Teknoloji'!$AE$2:$AE$59,ROW()-3),'V_Tüm Teknoloji'!$AE$2:$AE$59,0))</f>
        <v/>
      </c>
      <c r="H61" s="9">
        <f>INDEX('V_Tüm Teknoloji'!G$2:G$59,MATCH(LARGE('V_Tüm Teknoloji'!$AE$2:$AE$59,ROW()-3),'V_Tüm Teknoloji'!$AE$2:$AE$59,0))</f>
        <v/>
      </c>
      <c r="I61" s="9">
        <f>INDEX('V_Tüm Teknoloji'!H$2:H$59,MATCH(LARGE('V_Tüm Teknoloji'!$AE$2:$AE$59,ROW()-3),'V_Tüm Teknoloji'!$AE$2:$AE$59,0))</f>
        <v/>
      </c>
      <c r="J61" s="9">
        <f>INDEX('V_Tüm Teknoloji'!I$2:I$59,MATCH(LARGE('V_Tüm Teknoloji'!$AE$2:$AE$59,ROW()-3),'V_Tüm Teknoloji'!$AE$2:$AE$59,0))</f>
        <v/>
      </c>
      <c r="K61" s="10">
        <f>INDEX('V_Tüm Teknoloji'!J$2:J$59,MATCH(LARGE('V_Tüm Teknoloji'!$AE$2:$AE$59,ROW()-3),'V_Tüm Teknoloji'!$AE$2:$AE$59,0))</f>
        <v/>
      </c>
      <c r="L61" s="10">
        <f>INDEX('V_Tüm Teknoloji'!K$2:K$59,MATCH(LARGE('V_Tüm Teknoloji'!$AE$2:$AE$59,ROW()-3),'V_Tüm Teknoloji'!$AE$2:$AE$59,0))</f>
        <v/>
      </c>
      <c r="M61" s="8">
        <f>INDEX('V_Tüm Teknoloji'!L$2:L$59,MATCH(LARGE('V_Tüm Teknoloji'!$AE$2:$AE$59,ROW()-3),'V_Tüm Teknoloji'!$AE$2:$AE$59,0))</f>
        <v/>
      </c>
      <c r="N61" s="11">
        <f>INDEX('V_Tüm Teknoloji'!M$2:M$59,MATCH(LARGE('V_Tüm Teknoloji'!$AE$2:$AE$59,ROW()-3),'V_Tüm Teknoloji'!$AE$2:$AE$59,0))</f>
        <v/>
      </c>
      <c r="O61" s="11">
        <f>INDEX('V_Tüm Teknoloji'!N$2:N$59,MATCH(LARGE('V_Tüm Teknoloji'!$AE$2:$AE$59,ROW()-3),'V_Tüm Teknoloji'!$AE$2:$AE$59,0))</f>
        <v/>
      </c>
      <c r="P61" s="8">
        <f>INDEX('V_Tüm Teknoloji'!O$2:O$59,MATCH(LARGE('V_Tüm Teknoloji'!$AE$2:$AE$59,ROW()-3),'V_Tüm Teknoloji'!$AE$2:$AE$59,0))</f>
        <v/>
      </c>
      <c r="Q61" s="9">
        <f>INDEX('V_Tüm Teknoloji'!P$2:P$59,MATCH(LARGE('V_Tüm Teknoloji'!$AE$2:$AE$59,ROW()-3),'V_Tüm Teknoloji'!$AE$2:$AE$59,0))</f>
        <v/>
      </c>
      <c r="R61" s="5">
        <f>INDEX('V_Tüm Teknoloji'!Q$2:Q$59,MATCH(LARGE('V_Tüm Teknoloji'!$AE$2:$AE$59,ROW()-3),'V_Tüm Teknoloji'!$AE$2:$AE$59,0))</f>
        <v/>
      </c>
      <c r="S61" s="8">
        <f>INDEX('V_Tüm Teknoloji'!R$2:R$59,MATCH(LARGE('V_Tüm Teknoloji'!$AE$2:$AE$59,ROW()-3),'V_Tüm Teknoloji'!$AE$2:$AE$59,0))</f>
        <v/>
      </c>
      <c r="T61" s="8">
        <f>INDEX('V_Tüm Teknoloji'!S$2:S$59,MATCH(LARGE('V_Tüm Teknoloji'!$AE$2:$AE$59,ROW()-3),'V_Tüm Teknoloji'!$AE$2:$AE$59,0))</f>
        <v/>
      </c>
      <c r="U61" s="8">
        <f>INDEX('V_Tüm Teknoloji'!T$2:T$59,MATCH(LARGE('V_Tüm Teknoloji'!$AE$2:$AE$59,ROW()-3),'V_Tüm Teknoloji'!$AE$2:$AE$59,0))</f>
        <v/>
      </c>
      <c r="V61" s="8">
        <f>INDEX('V_Tüm Teknoloji'!U$2:U$59,MATCH(LARGE('V_Tüm Teknoloji'!$AE$2:$AE$59,ROW()-3),'V_Tüm Teknoloji'!$AE$2:$AE$59,0))</f>
        <v/>
      </c>
      <c r="W61" s="8">
        <f>INDEX('V_Tüm Teknoloji'!V$2:V$59,MATCH(LARGE('V_Tüm Teknoloji'!$AE$2:$AE$59,ROW()-3),'V_Tüm Teknoloji'!$AE$2:$AE$59,0))</f>
        <v/>
      </c>
      <c r="X61" s="8">
        <f>INDEX('V_Tüm Teknoloji'!W$2:W$59,MATCH(LARGE('V_Tüm Teknoloji'!$AE$2:$AE$59,ROW()-3),'V_Tüm Teknoloji'!$AE$2:$AE$59,0))</f>
        <v/>
      </c>
      <c r="Y61" s="8">
        <f>INDEX('V_Tüm Teknoloji'!X$2:X$59,MATCH(LARGE('V_Tüm Teknoloji'!$AE$2:$AE$59,ROW()-3),'V_Tüm Teknoloji'!$AE$2:$AE$59,0))</f>
        <v/>
      </c>
      <c r="Z61" s="8">
        <f>INDEX('V_Tüm Teknoloji'!Y$2:Y$59,MATCH(LARGE('V_Tüm Teknoloji'!$AE$2:$AE$59,ROW()-3),'V_Tüm Teknoloji'!$AE$2:$AE$59,0))</f>
        <v/>
      </c>
      <c r="AA61" s="8">
        <f>INDEX('V_Tüm Teknoloji'!Z$2:Z$59,MATCH(LARGE('V_Tüm Teknoloji'!$AE$2:$AE$59,ROW()-3),'V_Tüm Teknoloji'!$AE$2:$AE$59,0))</f>
        <v/>
      </c>
      <c r="AB61" s="8">
        <f>INDEX('V_Tüm Teknoloji'!AA$2:AA$59,MATCH(LARGE('V_Tüm Teknoloji'!$AE$2:$AE$59,ROW()-3),'V_Tüm Teknoloji'!$AE$2:$AE$59,0))</f>
        <v/>
      </c>
      <c r="AC61" s="8">
        <f>INDEX('V_Tüm Teknoloji'!AB$2:AB$59,MATCH(LARGE('V_Tüm Teknoloji'!$AE$2:$AE$59,ROW()-3),'V_Tüm Teknoloji'!$AE$2:$AE$59,0))</f>
        <v/>
      </c>
      <c r="AD61" s="8">
        <f>INDEX('V_Tüm Teknoloji'!AC$2:AC$59,MATCH(LARGE('V_Tüm Teknoloji'!$AE$2:$AE$59,ROW()-3),'V_Tüm Teknoloji'!$AE$2:$AE$59,0))</f>
        <v/>
      </c>
    </row>
  </sheetData>
  <conditionalFormatting sqref="B4:AD61">
    <cfRule type="expression" priority="1" dxfId="0">
      <formula>OR($B4="BAI",$B4="BHI",$B4="BIS",$B4="BSD",$B4="BTE",$B4="BTK",$B4="BV1",$B4="BVD",$B4="BVF",$B4="BVV",$B4="BVZ",$B4="MTD",$B4="RUT",$B4="SPR")</formula>
    </cfRule>
  </conditionalFormatting>
  <dataValidations count="1">
    <dataValidation sqref="E2" showDropDown="0" showInputMessage="0" showErrorMessage="0" allowBlank="0" type="list">
      <formula1>"Günlük%,Haftalık,Aylık,Yılbaşına Göre,Yıllık"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L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 Kodu</t>
        </is>
      </c>
      <c r="B1" t="inlineStr">
        <is>
          <t>Döviz Fonları</t>
        </is>
      </c>
      <c r="C1" t="inlineStr">
        <is>
          <t>Yönetici</t>
        </is>
      </c>
      <c r="D1" t="inlineStr">
        <is>
          <t>FYÜ%</t>
        </is>
      </c>
      <c r="E1" t="inlineStr">
        <is>
          <t>Günlük%</t>
        </is>
      </c>
      <c r="F1" t="inlineStr">
        <is>
          <t>Haftalık</t>
        </is>
      </c>
      <c r="G1" t="inlineStr">
        <is>
          <t>Aylık</t>
        </is>
      </c>
      <c r="H1" t="inlineStr">
        <is>
          <t>Ay Başından Bu güne</t>
        </is>
      </c>
      <c r="I1" t="inlineStr">
        <is>
          <t>Yılbaşına Göre</t>
        </is>
      </c>
      <c r="J1" t="inlineStr">
        <is>
          <t>Yıllık</t>
        </is>
      </c>
      <c r="K1" t="inlineStr">
        <is>
          <t>Yatırımcı Sayısı T-30</t>
        </is>
      </c>
      <c r="L1" t="inlineStr">
        <is>
          <t>Yatırımcı Sayısı T-1</t>
        </is>
      </c>
      <c r="M1" t="inlineStr">
        <is>
          <t>YS Değişim</t>
        </is>
      </c>
      <c r="N1" t="inlineStr">
        <is>
          <t>Önceki Ay FTD</t>
        </is>
      </c>
      <c r="O1" t="inlineStr">
        <is>
          <t>T-1 FTD</t>
        </is>
      </c>
      <c r="P1" t="inlineStr">
        <is>
          <t>FTD Değişim</t>
        </is>
      </c>
      <c r="Q1" t="inlineStr">
        <is>
          <t>Standart Sapma (Aylık)</t>
        </is>
      </c>
      <c r="R1" t="inlineStr">
        <is>
          <t>TEFAS Durumu</t>
        </is>
      </c>
      <c r="S1" t="inlineStr">
        <is>
          <t>Yabancı Hisse Oranı</t>
        </is>
      </c>
      <c r="T1" t="inlineStr">
        <is>
          <t>Yabancı Borsa Yatırım Fonları</t>
        </is>
      </c>
      <c r="U1" t="inlineStr">
        <is>
          <t>Mevduat (TL)</t>
        </is>
      </c>
      <c r="V1" t="inlineStr">
        <is>
          <t>Vadeli İşlemler Nakit Teminatları</t>
        </is>
      </c>
      <c r="W1" t="inlineStr">
        <is>
          <t>Ters Repo Oranı</t>
        </is>
      </c>
      <c r="X1" t="inlineStr">
        <is>
          <t>Hisse Oranı</t>
        </is>
      </c>
      <c r="Y1" t="inlineStr">
        <is>
          <t>Para Piyasaları Oranı</t>
        </is>
      </c>
      <c r="Z1" t="inlineStr">
        <is>
          <t>Yatırım Fonları Katılma Payları</t>
        </is>
      </c>
      <c r="AA1" t="inlineStr">
        <is>
          <t>Özel Tahvil/Bono Oranı</t>
        </is>
      </c>
      <c r="AB1" t="inlineStr">
        <is>
          <t>Finansman Bonosu Oranı</t>
        </is>
      </c>
      <c r="AC1" t="inlineStr">
        <is>
          <t>Diğer Oran</t>
        </is>
      </c>
      <c r="AD1" t="inlineStr">
        <is>
          <t>Toplam</t>
        </is>
      </c>
      <c r="AE1" t="inlineStr">
        <is>
          <t>Yıllıklandırılmış Günlük%</t>
        </is>
      </c>
      <c r="AF1" t="inlineStr">
        <is>
          <t>Yıllıklandırılmış Haftalık</t>
        </is>
      </c>
      <c r="AG1" t="inlineStr">
        <is>
          <t>Yıllıklandırılmış Aylık</t>
        </is>
      </c>
      <c r="AH1" t="inlineStr">
        <is>
          <t>Yıllıklandırılmış Ay Başına Göre</t>
        </is>
      </c>
      <c r="AI1" t="inlineStr">
        <is>
          <t>Yıllıklandırılmış Yılbaşına Göre</t>
        </is>
      </c>
      <c r="AJ1" t="inlineStr">
        <is>
          <t>Yıllıklandırılmış Yıllık</t>
        </is>
      </c>
    </row>
    <row r="2">
      <c r="A2" t="inlineStr">
        <is>
          <t>BSD</t>
        </is>
      </c>
      <c r="B2" t="inlineStr">
        <is>
          <t>BV Portföy Serbest (Döviz) Fon</t>
        </is>
      </c>
      <c r="C2" t="inlineStr">
        <is>
          <t>BV Portföy</t>
        </is>
      </c>
      <c r="D2" t="n">
        <v>0.01</v>
      </c>
      <c r="E2" t="n">
        <v>0.3130543133787134</v>
      </c>
      <c r="F2" t="n">
        <v>0.6749610715319321</v>
      </c>
      <c r="G2" t="n">
        <v>2.168993772533589</v>
      </c>
      <c r="H2" t="n">
        <v>1.038353294241312</v>
      </c>
      <c r="I2" t="n">
        <v>12.77912795818954</v>
      </c>
      <c r="J2" t="inlineStr">
        <is>
          <t>-</t>
        </is>
      </c>
      <c r="K2" t="n">
        <v>93</v>
      </c>
      <c r="L2" t="n">
        <v>100</v>
      </c>
      <c r="M2" t="n">
        <v>0.07526881720430101</v>
      </c>
      <c r="N2" t="n">
        <v>240395648.4</v>
      </c>
      <c r="O2" t="n">
        <v>310613434.81</v>
      </c>
      <c r="P2" t="n">
        <v>0.2920925851917375</v>
      </c>
      <c r="Q2" t="n">
        <v>0.1412974506509397</v>
      </c>
      <c r="R2" t="inlineStr">
        <is>
          <t>Görüyor</t>
        </is>
      </c>
      <c r="S2" t="n">
        <v>0</v>
      </c>
      <c r="T2" t="n">
        <v>0</v>
      </c>
      <c r="U2" t="n">
        <v>0</v>
      </c>
      <c r="V2" t="n">
        <v>0.1206</v>
      </c>
      <c r="W2" t="n">
        <v>0.7181000000000001</v>
      </c>
      <c r="X2" t="n">
        <v>0.0592</v>
      </c>
      <c r="Y2" t="n">
        <v>-0.395</v>
      </c>
      <c r="Z2" t="n">
        <v>0</v>
      </c>
      <c r="AA2" t="n">
        <v>0</v>
      </c>
      <c r="AB2" t="n">
        <v>0.3501</v>
      </c>
      <c r="AC2" t="n">
        <v>0.0001</v>
      </c>
      <c r="AD2" t="n">
        <v>0.8531</v>
      </c>
      <c r="AE2" t="n">
        <v>114.2648243832304</v>
      </c>
      <c r="AF2" t="n">
        <v>35.19439872987932</v>
      </c>
      <c r="AG2" t="n">
        <v>26.389424232492</v>
      </c>
      <c r="AH2" t="n">
        <v>22.29405602341641</v>
      </c>
      <c r="AI2" t="n">
        <v>23.5574833572686</v>
      </c>
      <c r="AJ2" t="inlineStr">
        <is>
          <t>-</t>
        </is>
      </c>
      <c r="AL2">
        <f>IF(ISNUMBER(INDEX($A$2:$AJ$28,1,MATCH('Döviz'!$E$2,$A$1:$AJ$1,0))),INDEX($A$2:$AJ$28,1,MATCH('Döviz'!$E$2,$A$1:$AJ$1,0)),-1E+9)-ROW()/1E+7</f>
        <v/>
      </c>
    </row>
    <row r="3">
      <c r="A3" t="inlineStr">
        <is>
          <t>HP3</t>
        </is>
      </c>
      <c r="B3" t="inlineStr">
        <is>
          <t>Hedef Portföy Lidya Serbest (Döviz) Fon</t>
        </is>
      </c>
      <c r="C3" t="inlineStr">
        <is>
          <t>Hedef Portföy</t>
        </is>
      </c>
      <c r="D3" t="n">
        <v>0.0075</v>
      </c>
      <c r="E3" t="n">
        <v>0.1490375670054389</v>
      </c>
      <c r="F3" t="n">
        <v>0.5097719567898507</v>
      </c>
      <c r="G3" t="n">
        <v>2.134610320673014</v>
      </c>
      <c r="H3" t="n">
        <v>1.209682126451694</v>
      </c>
      <c r="I3" t="n">
        <v>11.75271013000199</v>
      </c>
      <c r="J3" t="n">
        <v>19.60428875025546</v>
      </c>
      <c r="K3" t="n">
        <v>152</v>
      </c>
      <c r="L3" t="n">
        <v>163</v>
      </c>
      <c r="M3" t="n">
        <v>0.07236842105263164</v>
      </c>
      <c r="N3" t="n">
        <v>319522385.23</v>
      </c>
      <c r="O3" t="n">
        <v>334087903.82</v>
      </c>
      <c r="P3" t="n">
        <v>0.04558528373376824</v>
      </c>
      <c r="Q3" t="n">
        <v>0.06929021250827072</v>
      </c>
      <c r="R3" t="inlineStr">
        <is>
          <t>Görüyor</t>
        </is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0.8269</v>
      </c>
      <c r="AA3" t="n">
        <v>0</v>
      </c>
      <c r="AB3" t="n">
        <v>0</v>
      </c>
      <c r="AC3" t="n">
        <v>0.0125</v>
      </c>
      <c r="AD3" t="n">
        <v>0.8393999999999999</v>
      </c>
      <c r="AE3" t="n">
        <v>54.3987119569852</v>
      </c>
      <c r="AF3" t="n">
        <v>26.58096631832793</v>
      </c>
      <c r="AG3" t="n">
        <v>25.971092234855</v>
      </c>
      <c r="AH3" t="n">
        <v>25.97258683263932</v>
      </c>
      <c r="AI3" t="n">
        <v>21.66534948207437</v>
      </c>
      <c r="AJ3" t="n">
        <v>19.60428875025546</v>
      </c>
      <c r="AL3">
        <f>IF(ISNUMBER(INDEX($A$2:$AJ$28,2,MATCH('Döviz'!$E$2,$A$1:$AJ$1,0))),INDEX($A$2:$AJ$28,2,MATCH('Döviz'!$E$2,$A$1:$AJ$1,0)),-1E+9)-ROW()/1E+7</f>
        <v/>
      </c>
    </row>
    <row r="4">
      <c r="A4" t="inlineStr">
        <is>
          <t>NCS</t>
        </is>
      </c>
      <c r="B4" t="inlineStr">
        <is>
          <t>Nurol Portföy Üçüncü Serbest (Döviz) Fon</t>
        </is>
      </c>
      <c r="C4" t="inlineStr">
        <is>
          <t>Nurol Portföy</t>
        </is>
      </c>
      <c r="D4" t="n">
        <v>0.0075</v>
      </c>
      <c r="E4" t="n">
        <v>0.1092366233906628</v>
      </c>
      <c r="F4" t="n">
        <v>0.4802392963074276</v>
      </c>
      <c r="G4" t="n">
        <v>2.019557666087413</v>
      </c>
      <c r="H4" t="n">
        <v>1.103966924810296</v>
      </c>
      <c r="I4" t="n">
        <v>12.42482677180718</v>
      </c>
      <c r="J4" t="n">
        <v>22.71473541107159</v>
      </c>
      <c r="K4" t="n">
        <v>1858</v>
      </c>
      <c r="L4" t="n">
        <v>1802</v>
      </c>
      <c r="M4" t="n">
        <v>-0.03013993541442406</v>
      </c>
      <c r="N4" t="n">
        <v>7323813689.67</v>
      </c>
      <c r="O4" t="n">
        <v>7109195623.83</v>
      </c>
      <c r="P4" t="n">
        <v>-0.02930414056582464</v>
      </c>
      <c r="Q4" t="n">
        <v>0.07258303114181698</v>
      </c>
      <c r="R4" t="inlineStr">
        <is>
          <t>Görüyor</t>
        </is>
      </c>
      <c r="S4" t="n">
        <v>0</v>
      </c>
      <c r="T4" t="n">
        <v>0</v>
      </c>
      <c r="U4" t="n">
        <v>0</v>
      </c>
      <c r="V4" t="n">
        <v>0</v>
      </c>
      <c r="W4" t="n">
        <v>0.5135000000000001</v>
      </c>
      <c r="X4" t="n">
        <v>0</v>
      </c>
      <c r="Y4" t="n">
        <v>0</v>
      </c>
      <c r="Z4" t="n">
        <v>0.0033</v>
      </c>
      <c r="AA4" t="n">
        <v>0</v>
      </c>
      <c r="AB4" t="n">
        <v>0</v>
      </c>
      <c r="AC4" t="n">
        <v>0.0002</v>
      </c>
      <c r="AD4" t="n">
        <v>0.517</v>
      </c>
      <c r="AE4" t="n">
        <v>39.87136753759191</v>
      </c>
      <c r="AF4" t="n">
        <v>25.04104902174444</v>
      </c>
      <c r="AG4" t="n">
        <v>24.57128493739685</v>
      </c>
      <c r="AH4" t="n">
        <v>23.70281926798576</v>
      </c>
      <c r="AI4" t="n">
        <v>22.90435238237183</v>
      </c>
      <c r="AJ4" t="n">
        <v>22.71473541107159</v>
      </c>
      <c r="AL4">
        <f>IF(ISNUMBER(INDEX($A$2:$AJ$28,3,MATCH('Döviz'!$E$2,$A$1:$AJ$1,0))),INDEX($A$2:$AJ$28,3,MATCH('Döviz'!$E$2,$A$1:$AJ$1,0)),-1E+9)-ROW()/1E+7</f>
        <v/>
      </c>
    </row>
    <row r="5">
      <c r="A5" t="inlineStr">
        <is>
          <t>NBZ</t>
        </is>
      </c>
      <c r="B5" t="inlineStr">
        <is>
          <t>Neo Portföy Birinci Serbest (Döviz) Fon</t>
        </is>
      </c>
      <c r="C5" t="inlineStr">
        <is>
          <t>Neo Portföy</t>
        </is>
      </c>
      <c r="D5" t="n">
        <v>0.015</v>
      </c>
      <c r="E5" t="n">
        <v>0.1077299063863002</v>
      </c>
      <c r="F5" t="n">
        <v>0.4692101894444134</v>
      </c>
      <c r="G5" t="n">
        <v>1.949823321260036</v>
      </c>
      <c r="H5" t="n">
        <v>1.0844159133925</v>
      </c>
      <c r="I5" t="n">
        <v>11.85778304213416</v>
      </c>
      <c r="J5" t="n">
        <v>22.44975013835142</v>
      </c>
      <c r="K5" t="n">
        <v>293</v>
      </c>
      <c r="L5" t="n">
        <v>284</v>
      </c>
      <c r="M5" t="n">
        <v>-0.03071672354948807</v>
      </c>
      <c r="N5" t="n">
        <v>1700328074.56</v>
      </c>
      <c r="O5" t="n">
        <v>1360613878.73</v>
      </c>
      <c r="P5" t="n">
        <v>-0.199793322778552</v>
      </c>
      <c r="Q5" t="n">
        <v>0.07419954482854807</v>
      </c>
      <c r="R5" t="inlineStr">
        <is>
          <t>Görüyor</t>
        </is>
      </c>
      <c r="S5" t="n">
        <v>0</v>
      </c>
      <c r="T5" t="n">
        <v>0</v>
      </c>
      <c r="U5" t="n">
        <v>0</v>
      </c>
      <c r="V5" t="n">
        <v>0.0028</v>
      </c>
      <c r="W5" t="n">
        <v>0.7623000000000001</v>
      </c>
      <c r="X5" t="n">
        <v>0</v>
      </c>
      <c r="Y5" t="n">
        <v>0</v>
      </c>
      <c r="Z5" t="n">
        <v>0.1538</v>
      </c>
      <c r="AA5" t="n">
        <v>0</v>
      </c>
      <c r="AB5" t="n">
        <v>0</v>
      </c>
      <c r="AC5" t="n">
        <v>0</v>
      </c>
      <c r="AD5" t="n">
        <v>0.9189000000000002</v>
      </c>
      <c r="AE5" t="n">
        <v>39.32141583099957</v>
      </c>
      <c r="AF5" t="n">
        <v>24.46595987817298</v>
      </c>
      <c r="AG5" t="n">
        <v>23.72285040866377</v>
      </c>
      <c r="AH5" t="n">
        <v>23.28304755225074</v>
      </c>
      <c r="AI5" t="n">
        <v>21.85904449686348</v>
      </c>
      <c r="AJ5" t="n">
        <v>22.44975013835142</v>
      </c>
      <c r="AL5">
        <f>IF(ISNUMBER(INDEX($A$2:$AJ$28,4,MATCH('Döviz'!$E$2,$A$1:$AJ$1,0))),INDEX($A$2:$AJ$28,4,MATCH('Döviz'!$E$2,$A$1:$AJ$1,0)),-1E+9)-ROW()/1E+7</f>
        <v/>
      </c>
    </row>
    <row r="6">
      <c r="A6" t="inlineStr">
        <is>
          <t>OBR</t>
        </is>
      </c>
      <c r="B6" t="inlineStr">
        <is>
          <t>AK Portföy Onbirinci Serbest (Döviz) Fon</t>
        </is>
      </c>
      <c r="C6" t="inlineStr">
        <is>
          <t>AK Portföy</t>
        </is>
      </c>
      <c r="D6" t="n">
        <v>0.011</v>
      </c>
      <c r="E6" t="n">
        <v>0.1062101271211091</v>
      </c>
      <c r="F6" t="n">
        <v>0.451458726676246</v>
      </c>
      <c r="G6" t="n">
        <v>1.900531546765971</v>
      </c>
      <c r="H6" t="n">
        <v>1.039774587642461</v>
      </c>
      <c r="I6" t="n">
        <v>11.59340254518693</v>
      </c>
      <c r="J6" t="n">
        <v>21.4110630968922</v>
      </c>
      <c r="K6" t="n">
        <v>11106</v>
      </c>
      <c r="L6" t="n">
        <v>10882</v>
      </c>
      <c r="M6" t="n">
        <v>-0.02016927786781919</v>
      </c>
      <c r="N6" t="n">
        <v>47347149052.83</v>
      </c>
      <c r="O6" t="n">
        <v>47253890852.34</v>
      </c>
      <c r="P6" t="n">
        <v>-0.001969668762652366</v>
      </c>
      <c r="Q6" t="n">
        <v>0.07437552875242273</v>
      </c>
      <c r="R6" t="inlineStr">
        <is>
          <t>Görmüyor</t>
        </is>
      </c>
      <c r="S6" t="n">
        <v>0</v>
      </c>
      <c r="T6" t="n">
        <v>0</v>
      </c>
      <c r="U6" t="n">
        <v>0</v>
      </c>
      <c r="V6" t="n">
        <v>0</v>
      </c>
      <c r="W6" t="n">
        <v>0.2343</v>
      </c>
      <c r="X6" t="n">
        <v>0</v>
      </c>
      <c r="Y6" t="n">
        <v>0</v>
      </c>
      <c r="Z6" t="n">
        <v>0.0197</v>
      </c>
      <c r="AA6" t="n">
        <v>0</v>
      </c>
      <c r="AB6" t="n">
        <v>0</v>
      </c>
      <c r="AC6" t="n">
        <v>0</v>
      </c>
      <c r="AD6" t="n">
        <v>0.254</v>
      </c>
      <c r="AE6" t="n">
        <v>38.76669639920483</v>
      </c>
      <c r="AF6" t="n">
        <v>23.54034789097568</v>
      </c>
      <c r="AG6" t="n">
        <v>23.12313381898598</v>
      </c>
      <c r="AH6" t="n">
        <v>22.32457202879402</v>
      </c>
      <c r="AI6" t="n">
        <v>21.37167640905671</v>
      </c>
      <c r="AJ6" t="n">
        <v>21.4110630968922</v>
      </c>
      <c r="AL6">
        <f>IF(ISNUMBER(INDEX($A$2:$AJ$28,5,MATCH('Döviz'!$E$2,$A$1:$AJ$1,0))),INDEX($A$2:$AJ$28,5,MATCH('Döviz'!$E$2,$A$1:$AJ$1,0)),-1E+9)-ROW()/1E+7</f>
        <v/>
      </c>
    </row>
    <row r="7">
      <c r="A7" t="inlineStr">
        <is>
          <t>PAL</t>
        </is>
      </c>
      <c r="B7" t="inlineStr">
        <is>
          <t>AK Portföy Altıncı Serbest(döviz) Fon</t>
        </is>
      </c>
      <c r="C7" t="inlineStr">
        <is>
          <t>AK Portföy</t>
        </is>
      </c>
      <c r="D7" t="n">
        <v>0.0095</v>
      </c>
      <c r="E7" t="n">
        <v>0.1031496769095197</v>
      </c>
      <c r="F7" t="n">
        <v>0.4556801864032289</v>
      </c>
      <c r="G7" t="n">
        <v>1.921230162528764</v>
      </c>
      <c r="H7" t="n">
        <v>1.055893284806042</v>
      </c>
      <c r="I7" t="n">
        <v>11.63111874917515</v>
      </c>
      <c r="J7" t="n">
        <v>21.397429131528</v>
      </c>
      <c r="K7" t="n">
        <v>33114</v>
      </c>
      <c r="L7" t="n">
        <v>32537</v>
      </c>
      <c r="M7" t="n">
        <v>-0.01742465422479922</v>
      </c>
      <c r="N7" t="n">
        <v>172577622207.41</v>
      </c>
      <c r="O7" t="n">
        <v>162902593780.64</v>
      </c>
      <c r="P7" t="n">
        <v>-0.0560618943697242</v>
      </c>
      <c r="Q7" t="n">
        <v>0.07472718070077289</v>
      </c>
      <c r="R7" t="inlineStr">
        <is>
          <t>Görüyor</t>
        </is>
      </c>
      <c r="S7" t="n">
        <v>0</v>
      </c>
      <c r="T7" t="n">
        <v>0</v>
      </c>
      <c r="U7" t="n">
        <v>0.0229</v>
      </c>
      <c r="V7" t="n">
        <v>0.0003</v>
      </c>
      <c r="W7" t="n">
        <v>0.176</v>
      </c>
      <c r="X7" t="n">
        <v>0</v>
      </c>
      <c r="Y7" t="n">
        <v>0</v>
      </c>
      <c r="Z7" t="n">
        <v>0.166</v>
      </c>
      <c r="AA7" t="n">
        <v>0</v>
      </c>
      <c r="AB7" t="n">
        <v>0</v>
      </c>
      <c r="AC7" t="n">
        <v>0</v>
      </c>
      <c r="AD7" t="n">
        <v>0.3652</v>
      </c>
      <c r="AE7" t="n">
        <v>37.64963207197469</v>
      </c>
      <c r="AF7" t="n">
        <v>23.76046686245408</v>
      </c>
      <c r="AG7" t="n">
        <v>23.3749669774333</v>
      </c>
      <c r="AH7" t="n">
        <v>22.67064993848267</v>
      </c>
      <c r="AI7" t="n">
        <v>21.44120375479257</v>
      </c>
      <c r="AJ7" t="n">
        <v>21.397429131528</v>
      </c>
      <c r="AL7">
        <f>IF(ISNUMBER(INDEX($A$2:$AJ$28,6,MATCH('Döviz'!$E$2,$A$1:$AJ$1,0))),INDEX($A$2:$AJ$28,6,MATCH('Döviz'!$E$2,$A$1:$AJ$1,0)),-1E+9)-ROW()/1E+7</f>
        <v/>
      </c>
    </row>
    <row r="8">
      <c r="A8" t="inlineStr">
        <is>
          <t>YDZ</t>
        </is>
      </c>
      <c r="B8" t="inlineStr">
        <is>
          <t>Yapı Kredi Portföy Odeabank Dördüncü Serbest (Döviz) Özel Fon</t>
        </is>
      </c>
      <c r="C8" t="inlineStr">
        <is>
          <t>Yapı Kredi Portföy</t>
        </is>
      </c>
      <c r="D8" t="n">
        <v>0.012</v>
      </c>
      <c r="E8" t="n">
        <v>0.100941917244679</v>
      </c>
      <c r="F8" t="n">
        <v>0.4772035489608584</v>
      </c>
      <c r="G8" t="n">
        <v>2.026514826204928</v>
      </c>
      <c r="H8" t="n">
        <v>1.105137055027949</v>
      </c>
      <c r="I8" t="n">
        <v>12.22179342926355</v>
      </c>
      <c r="J8" t="n">
        <v>22.1719925744605</v>
      </c>
      <c r="K8" t="n">
        <v>3068</v>
      </c>
      <c r="L8" t="n">
        <v>2958</v>
      </c>
      <c r="M8" t="n">
        <v>-0.03585397653194267</v>
      </c>
      <c r="N8" t="n">
        <v>12281546706</v>
      </c>
      <c r="O8" t="n">
        <v>11635040748.66</v>
      </c>
      <c r="P8" t="n">
        <v>-0.0526404346957503</v>
      </c>
      <c r="Q8" t="n">
        <v>0.0686972425449536</v>
      </c>
      <c r="R8" t="inlineStr">
        <is>
          <t>Görmüyor</t>
        </is>
      </c>
      <c r="S8" t="n">
        <v>0</v>
      </c>
      <c r="T8" t="n">
        <v>0</v>
      </c>
      <c r="U8" t="n">
        <v>0</v>
      </c>
      <c r="V8" t="n">
        <v>0</v>
      </c>
      <c r="W8" t="n">
        <v>0.0636</v>
      </c>
      <c r="X8" t="n">
        <v>0</v>
      </c>
      <c r="Y8" t="n">
        <v>0</v>
      </c>
      <c r="Z8" t="n">
        <v>0.008199999999999999</v>
      </c>
      <c r="AA8" t="n">
        <v>0</v>
      </c>
      <c r="AB8" t="n">
        <v>0</v>
      </c>
      <c r="AC8" t="n">
        <v>0</v>
      </c>
      <c r="AD8" t="n">
        <v>0.0718</v>
      </c>
      <c r="AE8" t="n">
        <v>36.84379979430786</v>
      </c>
      <c r="AF8" t="n">
        <v>24.88275648153047</v>
      </c>
      <c r="AG8" t="n">
        <v>24.6559303854933</v>
      </c>
      <c r="AH8" t="n">
        <v>23.72794265207068</v>
      </c>
      <c r="AI8" t="n">
        <v>22.53007374586462</v>
      </c>
      <c r="AJ8" t="n">
        <v>22.1719925744605</v>
      </c>
      <c r="AL8">
        <f>IF(ISNUMBER(INDEX($A$2:$AJ$28,7,MATCH('Döviz'!$E$2,$A$1:$AJ$1,0))),INDEX($A$2:$AJ$28,7,MATCH('Döviz'!$E$2,$A$1:$AJ$1,0)),-1E+9)-ROW()/1E+7</f>
        <v/>
      </c>
    </row>
    <row r="9">
      <c r="A9" t="inlineStr">
        <is>
          <t>DAS</t>
        </is>
      </c>
      <c r="B9" t="inlineStr">
        <is>
          <t>Deniz Portföy Onikinci Serbest (Döviz) Fon</t>
        </is>
      </c>
      <c r="C9" t="inlineStr">
        <is>
          <t>Deniz Portföy</t>
        </is>
      </c>
      <c r="D9" t="n">
        <v>0.008</v>
      </c>
      <c r="E9" t="n">
        <v>0.1006291344626264</v>
      </c>
      <c r="F9" t="n">
        <v>0.4630663097882293</v>
      </c>
      <c r="G9" t="n">
        <v>1.949483409738706</v>
      </c>
      <c r="H9" t="n">
        <v>1.066775895200589</v>
      </c>
      <c r="I9" t="n">
        <v>11.73193664633061</v>
      </c>
      <c r="J9" t="n">
        <v>21.3970964538019</v>
      </c>
      <c r="K9" t="n">
        <v>26264</v>
      </c>
      <c r="L9" t="n">
        <v>25790</v>
      </c>
      <c r="M9" t="n">
        <v>-0.01804751751446843</v>
      </c>
      <c r="N9" t="n">
        <v>120485596569.6</v>
      </c>
      <c r="O9" t="n">
        <v>114103754511.19</v>
      </c>
      <c r="P9" t="n">
        <v>-0.05296767613814701</v>
      </c>
      <c r="Q9" t="n">
        <v>0.07279749346220678</v>
      </c>
      <c r="R9" t="inlineStr">
        <is>
          <t>Görüyor</t>
        </is>
      </c>
      <c r="S9" t="n">
        <v>0</v>
      </c>
      <c r="T9" t="n">
        <v>0</v>
      </c>
      <c r="U9" t="n">
        <v>0</v>
      </c>
      <c r="V9" t="n">
        <v>0</v>
      </c>
      <c r="W9" t="n">
        <v>0.0458</v>
      </c>
      <c r="X9" t="n">
        <v>0</v>
      </c>
      <c r="Y9" t="n">
        <v>0</v>
      </c>
      <c r="Z9" t="n">
        <v>0.0693</v>
      </c>
      <c r="AA9" t="n">
        <v>0</v>
      </c>
      <c r="AB9" t="n">
        <v>0</v>
      </c>
      <c r="AC9" t="n">
        <v>0.0013</v>
      </c>
      <c r="AD9" t="n">
        <v>0.1164</v>
      </c>
      <c r="AE9" t="n">
        <v>36.72963407885865</v>
      </c>
      <c r="AF9" t="n">
        <v>24.14560043895767</v>
      </c>
      <c r="AG9" t="n">
        <v>23.71871481848759</v>
      </c>
      <c r="AH9" t="n">
        <v>22.90430598518912</v>
      </c>
      <c r="AI9" t="n">
        <v>21.62705492884178</v>
      </c>
      <c r="AJ9" t="n">
        <v>21.3970964538019</v>
      </c>
      <c r="AL9">
        <f>IF(ISNUMBER(INDEX($A$2:$AJ$28,8,MATCH('Döviz'!$E$2,$A$1:$AJ$1,0))),INDEX($A$2:$AJ$28,8,MATCH('Döviz'!$E$2,$A$1:$AJ$1,0)),-1E+9)-ROW()/1E+7</f>
        <v/>
      </c>
    </row>
    <row r="10">
      <c r="A10" t="inlineStr">
        <is>
          <t>GAG</t>
        </is>
      </c>
      <c r="B10" t="inlineStr">
        <is>
          <t>Inveo Portföy Birinci Serbest (Dövız) Fon</t>
        </is>
      </c>
      <c r="C10" t="inlineStr">
        <is>
          <t>Inveo Portföy</t>
        </is>
      </c>
      <c r="D10" t="n">
        <v>0.01</v>
      </c>
      <c r="E10" t="n">
        <v>0.1004278455686514</v>
      </c>
      <c r="F10" t="n">
        <v>0.4667992302132218</v>
      </c>
      <c r="G10" t="n">
        <v>1.971119215467376</v>
      </c>
      <c r="H10" t="n">
        <v>1.076355410040764</v>
      </c>
      <c r="I10" t="n">
        <v>12.12505817204643</v>
      </c>
      <c r="J10" t="n">
        <v>22.38815531066194</v>
      </c>
      <c r="K10" t="n">
        <v>221</v>
      </c>
      <c r="L10" t="n">
        <v>226</v>
      </c>
      <c r="M10" t="n">
        <v>0.02262443438914019</v>
      </c>
      <c r="N10" t="n">
        <v>719327519.01</v>
      </c>
      <c r="O10" t="n">
        <v>896987415.9400001</v>
      </c>
      <c r="P10" t="n">
        <v>0.2469805370083864</v>
      </c>
      <c r="Q10" t="n">
        <v>0.07401564484190057</v>
      </c>
      <c r="R10" t="inlineStr">
        <is>
          <t>Görüyor</t>
        </is>
      </c>
      <c r="S10" t="n">
        <v>0</v>
      </c>
      <c r="T10" t="n">
        <v>0</v>
      </c>
      <c r="U10" t="n">
        <v>0</v>
      </c>
      <c r="V10" t="n">
        <v>0</v>
      </c>
      <c r="W10" t="n">
        <v>0.0068</v>
      </c>
      <c r="X10" t="n">
        <v>0</v>
      </c>
      <c r="Y10" t="n">
        <v>0.0007000000000000001</v>
      </c>
      <c r="Z10" t="n">
        <v>0.1339</v>
      </c>
      <c r="AA10" t="n">
        <v>0</v>
      </c>
      <c r="AB10" t="n">
        <v>0</v>
      </c>
      <c r="AC10" t="n">
        <v>0</v>
      </c>
      <c r="AD10" t="n">
        <v>0.1414</v>
      </c>
      <c r="AE10" t="n">
        <v>36.65616363255775</v>
      </c>
      <c r="AF10" t="n">
        <v>24.34024557540371</v>
      </c>
      <c r="AG10" t="n">
        <v>23.98195045485308</v>
      </c>
      <c r="AH10" t="n">
        <v>23.10998380381639</v>
      </c>
      <c r="AI10" t="n">
        <v>22.35174865048964</v>
      </c>
      <c r="AJ10" t="n">
        <v>22.38815531066194</v>
      </c>
      <c r="AL10">
        <f>IF(ISNUMBER(INDEX($A$2:$AJ$28,9,MATCH('Döviz'!$E$2,$A$1:$AJ$1,0))),INDEX($A$2:$AJ$28,9,MATCH('Döviz'!$E$2,$A$1:$AJ$1,0)),-1E+9)-ROW()/1E+7</f>
        <v/>
      </c>
    </row>
    <row r="11">
      <c r="A11" t="inlineStr">
        <is>
          <t>AL5</t>
        </is>
      </c>
      <c r="B11" t="inlineStr">
        <is>
          <t>Albaraka Portföy Katılım Serbest (Döviz) Fon</t>
        </is>
      </c>
      <c r="C11" t="inlineStr"/>
      <c r="D11" t="inlineStr">
        <is>
          <t>-</t>
        </is>
      </c>
      <c r="E11" t="n">
        <v>0.1004152062323849</v>
      </c>
      <c r="F11" t="n">
        <v>0.4298872770013729</v>
      </c>
      <c r="G11" t="n">
        <v>1.780430026631219</v>
      </c>
      <c r="H11" t="n">
        <v>0.9809688245426607</v>
      </c>
      <c r="I11" t="n">
        <v>10.67782354010405</v>
      </c>
      <c r="J11" t="n">
        <v>19.24366897952275</v>
      </c>
      <c r="K11" t="n">
        <v>2410</v>
      </c>
      <c r="L11" t="n">
        <v>2380</v>
      </c>
      <c r="M11" t="n">
        <v>-0.01244813278008294</v>
      </c>
      <c r="N11" t="n">
        <v>14458827194.01</v>
      </c>
      <c r="O11" t="n">
        <v>13663036821.92</v>
      </c>
      <c r="P11" t="n">
        <v>-0.05503837630894992</v>
      </c>
      <c r="Q11" t="n">
        <v>0.07314247936729851</v>
      </c>
      <c r="R11" t="inlineStr">
        <is>
          <t>-</t>
        </is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0.0733</v>
      </c>
      <c r="AA11" t="n">
        <v>0</v>
      </c>
      <c r="AB11" t="n">
        <v>0</v>
      </c>
      <c r="AC11" t="n">
        <v>0</v>
      </c>
      <c r="AD11" t="n">
        <v>0.0733</v>
      </c>
      <c r="AE11" t="n">
        <v>36.65155027482048</v>
      </c>
      <c r="AF11" t="n">
        <v>22.41555087221444</v>
      </c>
      <c r="AG11" t="n">
        <v>21.6618986573465</v>
      </c>
      <c r="AH11" t="n">
        <v>21.06197770341595</v>
      </c>
      <c r="AI11" t="n">
        <v>19.68386662695948</v>
      </c>
      <c r="AJ11" t="n">
        <v>19.24366897952275</v>
      </c>
      <c r="AL11">
        <f>IF(ISNUMBER(INDEX($A$2:$AJ$28,10,MATCH('Döviz'!$E$2,$A$1:$AJ$1,0))),INDEX($A$2:$AJ$28,10,MATCH('Döviz'!$E$2,$A$1:$AJ$1,0)),-1E+9)-ROW()/1E+7</f>
        <v/>
      </c>
    </row>
    <row r="12">
      <c r="A12" t="inlineStr">
        <is>
          <t>YP4</t>
        </is>
      </c>
      <c r="B12" t="inlineStr">
        <is>
          <t>Yapı Kredi Portföy Feriköy Serbest (Döviz) Fon</t>
        </is>
      </c>
      <c r="C12" t="inlineStr">
        <is>
          <t>Yapı Kredi Portföy</t>
        </is>
      </c>
      <c r="D12" t="n">
        <v>0.01</v>
      </c>
      <c r="E12" t="n">
        <v>0.1000702479388549</v>
      </c>
      <c r="F12" t="n">
        <v>0.4619124537656782</v>
      </c>
      <c r="G12" t="n">
        <v>1.935598634585478</v>
      </c>
      <c r="H12" t="n">
        <v>1.065010968430502</v>
      </c>
      <c r="I12" t="n">
        <v>11.52256074589559</v>
      </c>
      <c r="J12" t="n">
        <v>20.97487791173826</v>
      </c>
      <c r="K12" t="n">
        <v>29759</v>
      </c>
      <c r="L12" t="n">
        <v>29593</v>
      </c>
      <c r="M12" t="n">
        <v>-0.005578144426896081</v>
      </c>
      <c r="N12" t="n">
        <v>135582747459.74</v>
      </c>
      <c r="O12" t="n">
        <v>133045781645.19</v>
      </c>
      <c r="P12" t="n">
        <v>-0.01871156811675712</v>
      </c>
      <c r="Q12" t="n">
        <v>0.07273398501672189</v>
      </c>
      <c r="R12" t="inlineStr">
        <is>
          <t>Görüyor</t>
        </is>
      </c>
      <c r="S12" t="n">
        <v>0</v>
      </c>
      <c r="T12" t="n">
        <v>0</v>
      </c>
      <c r="U12" t="n">
        <v>0</v>
      </c>
      <c r="V12" t="n">
        <v>0</v>
      </c>
      <c r="W12" t="n">
        <v>0.0007000000000000001</v>
      </c>
      <c r="X12" t="n">
        <v>0</v>
      </c>
      <c r="Y12" t="n">
        <v>0</v>
      </c>
      <c r="Z12" t="n">
        <v>0.0106</v>
      </c>
      <c r="AA12" t="n">
        <v>0</v>
      </c>
      <c r="AB12" t="n">
        <v>0</v>
      </c>
      <c r="AC12" t="n">
        <v>0</v>
      </c>
      <c r="AD12" t="n">
        <v>0.0113</v>
      </c>
      <c r="AE12" t="n">
        <v>36.52564049768203</v>
      </c>
      <c r="AF12" t="n">
        <v>24.08543508921036</v>
      </c>
      <c r="AG12" t="n">
        <v>23.54978338745665</v>
      </c>
      <c r="AH12" t="n">
        <v>22.86641196924313</v>
      </c>
      <c r="AI12" t="n">
        <v>21.24108420329238</v>
      </c>
      <c r="AJ12" t="n">
        <v>20.97487791173826</v>
      </c>
      <c r="AL12">
        <f>IF(ISNUMBER(INDEX($A$2:$AJ$28,11,MATCH('Döviz'!$E$2,$A$1:$AJ$1,0))),INDEX($A$2:$AJ$28,11,MATCH('Döviz'!$E$2,$A$1:$AJ$1,0)),-1E+9)-ROW()/1E+7</f>
        <v/>
      </c>
    </row>
    <row r="13">
      <c r="A13" t="inlineStr">
        <is>
          <t>YPL</t>
        </is>
      </c>
      <c r="B13" t="inlineStr">
        <is>
          <t>Yapı Kredi Portföy Balat Serbest (Döviz) Fon</t>
        </is>
      </c>
      <c r="C13" t="inlineStr">
        <is>
          <t>Yapı Kredi Portföy</t>
        </is>
      </c>
      <c r="D13" t="n">
        <v>0.015</v>
      </c>
      <c r="E13" t="n">
        <v>0.099461611093421</v>
      </c>
      <c r="F13" t="n">
        <v>0.4204960834981009</v>
      </c>
      <c r="G13" t="n">
        <v>2.159207773916738</v>
      </c>
      <c r="H13" t="n">
        <v>1.081945025878595</v>
      </c>
      <c r="I13" t="n">
        <v>11.69258089983058</v>
      </c>
      <c r="J13" t="n">
        <v>27.05433744944277</v>
      </c>
      <c r="K13" t="n">
        <v>1576</v>
      </c>
      <c r="L13" t="n">
        <v>1584</v>
      </c>
      <c r="M13" t="n">
        <v>0.0050761421319796</v>
      </c>
      <c r="N13" t="n">
        <v>13055471464.63</v>
      </c>
      <c r="O13" t="n">
        <v>13308421372.07</v>
      </c>
      <c r="P13" t="n">
        <v>0.019375011321904</v>
      </c>
      <c r="Q13" t="n">
        <v>0.08487216609347219</v>
      </c>
      <c r="R13" t="inlineStr">
        <is>
          <t>Görüyor</t>
        </is>
      </c>
      <c r="S13" t="n">
        <v>0</v>
      </c>
      <c r="T13" t="n">
        <v>0</v>
      </c>
      <c r="U13" t="n">
        <v>0</v>
      </c>
      <c r="V13" t="n">
        <v>0.0172</v>
      </c>
      <c r="W13" t="n">
        <v>0.0365</v>
      </c>
      <c r="X13" t="n">
        <v>0</v>
      </c>
      <c r="Y13" t="n">
        <v>0</v>
      </c>
      <c r="Z13" t="n">
        <v>0.004699999999999999</v>
      </c>
      <c r="AA13" t="n">
        <v>0</v>
      </c>
      <c r="AB13" t="n">
        <v>0</v>
      </c>
      <c r="AC13" t="n">
        <v>0</v>
      </c>
      <c r="AD13" t="n">
        <v>0.05839999999999999</v>
      </c>
      <c r="AE13" t="n">
        <v>36.30348804909866</v>
      </c>
      <c r="AF13" t="n">
        <v>21.9258672109724</v>
      </c>
      <c r="AG13" t="n">
        <v>26.27036124932032</v>
      </c>
      <c r="AH13" t="n">
        <v>23.22999614386394</v>
      </c>
      <c r="AI13" t="n">
        <v>21.55450519413214</v>
      </c>
      <c r="AJ13" t="n">
        <v>27.05433744944277</v>
      </c>
      <c r="AL13">
        <f>IF(ISNUMBER(INDEX($A$2:$AJ$28,12,MATCH('Döviz'!$E$2,$A$1:$AJ$1,0))),INDEX($A$2:$AJ$28,12,MATCH('Döviz'!$E$2,$A$1:$AJ$1,0)),-1E+9)-ROW()/1E+7</f>
        <v/>
      </c>
    </row>
    <row r="14">
      <c r="A14" t="inlineStr">
        <is>
          <t>ONS</t>
        </is>
      </c>
      <c r="B14" t="inlineStr">
        <is>
          <t>İŞ Portföy Onikinci Serbest (Döviz) Fon</t>
        </is>
      </c>
      <c r="C14" t="inlineStr">
        <is>
          <t>İŞ Portföy</t>
        </is>
      </c>
      <c r="D14" t="n">
        <v>0.008</v>
      </c>
      <c r="E14" t="n">
        <v>0.0991267491852188</v>
      </c>
      <c r="F14" t="n">
        <v>0.4593707336045361</v>
      </c>
      <c r="G14" t="n">
        <v>1.931519133114201</v>
      </c>
      <c r="H14" t="n">
        <v>1.047605326999013</v>
      </c>
      <c r="I14" t="n">
        <v>11.63535378263056</v>
      </c>
      <c r="J14" t="n">
        <v>21.2706102625988</v>
      </c>
      <c r="K14" t="n">
        <v>23322</v>
      </c>
      <c r="L14" t="n">
        <v>23287</v>
      </c>
      <c r="M14" t="n">
        <v>-0.001500728925478034</v>
      </c>
      <c r="N14" t="n">
        <v>154029429994.25</v>
      </c>
      <c r="O14" t="n">
        <v>157892799833.16</v>
      </c>
      <c r="P14" t="n">
        <v>0.02508202386423308</v>
      </c>
      <c r="Q14" t="n">
        <v>0.07369426366153485</v>
      </c>
      <c r="R14" t="inlineStr">
        <is>
          <t>Görüyor</t>
        </is>
      </c>
      <c r="S14" t="n">
        <v>0</v>
      </c>
      <c r="T14" t="n">
        <v>0</v>
      </c>
      <c r="U14" t="n">
        <v>0</v>
      </c>
      <c r="V14" t="n">
        <v>0</v>
      </c>
      <c r="W14" t="n">
        <v>0.3056</v>
      </c>
      <c r="X14" t="n">
        <v>0</v>
      </c>
      <c r="Y14" t="n">
        <v>0</v>
      </c>
      <c r="Z14" t="n">
        <v>0.019</v>
      </c>
      <c r="AA14" t="n">
        <v>0</v>
      </c>
      <c r="AB14" t="n">
        <v>0</v>
      </c>
      <c r="AC14" t="n">
        <v>0</v>
      </c>
      <c r="AD14" t="n">
        <v>0.3246</v>
      </c>
      <c r="AE14" t="n">
        <v>36.18126345260486</v>
      </c>
      <c r="AF14" t="n">
        <v>23.95290253795081</v>
      </c>
      <c r="AG14" t="n">
        <v>23.50014945288945</v>
      </c>
      <c r="AH14" t="n">
        <v>22.49270260909645</v>
      </c>
      <c r="AI14" t="n">
        <v>21.44901076090988</v>
      </c>
      <c r="AJ14" t="n">
        <v>21.2706102625988</v>
      </c>
      <c r="AL14">
        <f>IF(ISNUMBER(INDEX($A$2:$AJ$28,13,MATCH('Döviz'!$E$2,$A$1:$AJ$1,0))),INDEX($A$2:$AJ$28,13,MATCH('Döviz'!$E$2,$A$1:$AJ$1,0)),-1E+9)-ROW()/1E+7</f>
        <v/>
      </c>
    </row>
    <row r="15">
      <c r="A15" t="inlineStr">
        <is>
          <t>GRO</t>
        </is>
      </c>
      <c r="B15" t="inlineStr">
        <is>
          <t>Garanti Portföy Otuzuncu Serbest (Döviz) Fon</t>
        </is>
      </c>
      <c r="C15" t="inlineStr">
        <is>
          <t>Garanti Portföy</t>
        </is>
      </c>
      <c r="D15" t="n">
        <v>0.009599999999999999</v>
      </c>
      <c r="E15" t="n">
        <v>0.09882102549993999</v>
      </c>
      <c r="F15" t="n">
        <v>0.4594548628911399</v>
      </c>
      <c r="G15" t="n">
        <v>1.929849027566255</v>
      </c>
      <c r="H15" t="n">
        <v>1.050788908838851</v>
      </c>
      <c r="I15" t="n">
        <v>11.60862093071808</v>
      </c>
      <c r="J15" t="n">
        <v>21.32400878890461</v>
      </c>
      <c r="K15" t="n">
        <v>26984</v>
      </c>
      <c r="L15" t="n">
        <v>27176</v>
      </c>
      <c r="M15" t="n">
        <v>0.007115327601541654</v>
      </c>
      <c r="N15" t="n">
        <v>190086490669.1</v>
      </c>
      <c r="O15" t="n">
        <v>188074705743.56</v>
      </c>
      <c r="P15" t="n">
        <v>-0.01058352394459261</v>
      </c>
      <c r="Q15" t="n">
        <v>0.07294158029111915</v>
      </c>
      <c r="R15" t="inlineStr">
        <is>
          <t>Görüyor</t>
        </is>
      </c>
      <c r="S15" t="n">
        <v>0</v>
      </c>
      <c r="T15" t="n">
        <v>0</v>
      </c>
      <c r="U15" t="n">
        <v>0.0002</v>
      </c>
      <c r="V15" t="n">
        <v>0</v>
      </c>
      <c r="W15" t="n">
        <v>0.09039999999999999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0.0906</v>
      </c>
      <c r="AE15" t="n">
        <v>36.0696743074781</v>
      </c>
      <c r="AF15" t="n">
        <v>23.95728927932372</v>
      </c>
      <c r="AG15" t="n">
        <v>23.47982983538943</v>
      </c>
      <c r="AH15" t="n">
        <v>22.56105598389298</v>
      </c>
      <c r="AI15" t="n">
        <v>21.39973050359647</v>
      </c>
      <c r="AJ15" t="n">
        <v>21.32400878890461</v>
      </c>
      <c r="AL15">
        <f>IF(ISNUMBER(INDEX($A$2:$AJ$28,14,MATCH('Döviz'!$E$2,$A$1:$AJ$1,0))),INDEX($A$2:$AJ$28,14,MATCH('Döviz'!$E$2,$A$1:$AJ$1,0)),-1E+9)-ROW()/1E+7</f>
        <v/>
      </c>
    </row>
    <row r="16">
      <c r="A16" t="inlineStr">
        <is>
          <t>FBI</t>
        </is>
      </c>
      <c r="B16" t="inlineStr">
        <is>
          <t>Fiba Portföy Birinci Serbest (Döviz) Fon</t>
        </is>
      </c>
      <c r="C16" t="inlineStr">
        <is>
          <t>Fiba Portföy</t>
        </is>
      </c>
      <c r="D16" t="n">
        <v>0.0106</v>
      </c>
      <c r="E16" t="n">
        <v>0.09881048696798178</v>
      </c>
      <c r="F16" t="n">
        <v>0.4527337959450151</v>
      </c>
      <c r="G16" t="n">
        <v>1.907940422839061</v>
      </c>
      <c r="H16" t="n">
        <v>1.04902893816492</v>
      </c>
      <c r="I16" t="n">
        <v>11.54357670123456</v>
      </c>
      <c r="J16" t="n">
        <v>20.77827917970485</v>
      </c>
      <c r="K16" t="n">
        <v>5289</v>
      </c>
      <c r="L16" t="n">
        <v>5035</v>
      </c>
      <c r="M16" t="n">
        <v>-0.04802420117224426</v>
      </c>
      <c r="N16" t="n">
        <v>18136798323.02</v>
      </c>
      <c r="O16" t="n">
        <v>15336185476.49</v>
      </c>
      <c r="P16" t="n">
        <v>-0.1544160549536101</v>
      </c>
      <c r="Q16" t="n">
        <v>0.07571918469355308</v>
      </c>
      <c r="R16" t="inlineStr">
        <is>
          <t>Görüyor</t>
        </is>
      </c>
      <c r="S16" t="n">
        <v>0</v>
      </c>
      <c r="T16" t="n">
        <v>0</v>
      </c>
      <c r="U16" t="n">
        <v>0</v>
      </c>
      <c r="V16" t="n">
        <v>0</v>
      </c>
      <c r="W16" t="n">
        <v>0.2117</v>
      </c>
      <c r="X16" t="n">
        <v>0</v>
      </c>
      <c r="Y16" t="n">
        <v>0.0001</v>
      </c>
      <c r="Z16" t="n">
        <v>0.0633</v>
      </c>
      <c r="AA16" t="n">
        <v>0</v>
      </c>
      <c r="AB16" t="n">
        <v>0</v>
      </c>
      <c r="AC16" t="n">
        <v>0</v>
      </c>
      <c r="AD16" t="n">
        <v>0.2751</v>
      </c>
      <c r="AE16" t="n">
        <v>36.06582774331335</v>
      </c>
      <c r="AF16" t="n">
        <v>23.60683364570436</v>
      </c>
      <c r="AG16" t="n">
        <v>23.2132751445419</v>
      </c>
      <c r="AH16" t="n">
        <v>22.52326837824681</v>
      </c>
      <c r="AI16" t="n">
        <v>21.27982573712432</v>
      </c>
      <c r="AJ16" t="n">
        <v>20.77827917970485</v>
      </c>
      <c r="AL16">
        <f>IF(ISNUMBER(INDEX($A$2:$AJ$28,15,MATCH('Döviz'!$E$2,$A$1:$AJ$1,0))),INDEX($A$2:$AJ$28,15,MATCH('Döviz'!$E$2,$A$1:$AJ$1,0)),-1E+9)-ROW()/1E+7</f>
        <v/>
      </c>
    </row>
    <row r="17">
      <c r="A17" t="inlineStr">
        <is>
          <t>GPL</t>
        </is>
      </c>
      <c r="B17" t="inlineStr">
        <is>
          <t>Garanti Portföy Birinci Serbest (Döviz) Fon</t>
        </is>
      </c>
      <c r="C17" t="inlineStr">
        <is>
          <t>Garanti Portföy</t>
        </is>
      </c>
      <c r="D17" t="n">
        <v>0.01</v>
      </c>
      <c r="E17" t="n">
        <v>0.09870437096439755</v>
      </c>
      <c r="F17" t="n">
        <v>0.4504325995616121</v>
      </c>
      <c r="G17" t="n">
        <v>1.906902476951089</v>
      </c>
      <c r="H17" t="n">
        <v>1.03800337773976</v>
      </c>
      <c r="I17" t="n">
        <v>11.44881523761683</v>
      </c>
      <c r="J17" t="n">
        <v>20.70830578929634</v>
      </c>
      <c r="K17" t="n">
        <v>38375</v>
      </c>
      <c r="L17" t="n">
        <v>37915</v>
      </c>
      <c r="M17" t="n">
        <v>-0.01198697068403909</v>
      </c>
      <c r="N17" t="n">
        <v>99930831364.36</v>
      </c>
      <c r="O17" t="n">
        <v>98286027911.71001</v>
      </c>
      <c r="P17" t="n">
        <v>-0.0164594192822517</v>
      </c>
      <c r="Q17" t="n">
        <v>0.07333196603409636</v>
      </c>
      <c r="R17" t="inlineStr">
        <is>
          <t>Görüyor</t>
        </is>
      </c>
      <c r="S17" t="n">
        <v>0</v>
      </c>
      <c r="T17" t="n">
        <v>0</v>
      </c>
      <c r="U17" t="n">
        <v>0.0003</v>
      </c>
      <c r="V17" t="n">
        <v>0</v>
      </c>
      <c r="W17" t="n">
        <v>0.0549</v>
      </c>
      <c r="X17" t="n">
        <v>0</v>
      </c>
      <c r="Y17" t="n">
        <v>0</v>
      </c>
      <c r="Z17" t="n">
        <v>0.09210000000000002</v>
      </c>
      <c r="AA17" t="n">
        <v>0</v>
      </c>
      <c r="AB17" t="n">
        <v>0</v>
      </c>
      <c r="AC17" t="n">
        <v>0</v>
      </c>
      <c r="AD17" t="n">
        <v>0.1473</v>
      </c>
      <c r="AE17" t="n">
        <v>36.0270954020051</v>
      </c>
      <c r="AF17" t="n">
        <v>23.48684269142692</v>
      </c>
      <c r="AG17" t="n">
        <v>23.20064680290492</v>
      </c>
      <c r="AH17" t="n">
        <v>22.28654311029485</v>
      </c>
      <c r="AI17" t="n">
        <v>21.10513920065728</v>
      </c>
      <c r="AJ17" t="n">
        <v>20.70830578929634</v>
      </c>
      <c r="AL17">
        <f>IF(ISNUMBER(INDEX($A$2:$AJ$28,16,MATCH('Döviz'!$E$2,$A$1:$AJ$1,0))),INDEX($A$2:$AJ$28,16,MATCH('Döviz'!$E$2,$A$1:$AJ$1,0)),-1E+9)-ROW()/1E+7</f>
        <v/>
      </c>
    </row>
    <row r="18">
      <c r="A18" t="inlineStr">
        <is>
          <t>KDS</t>
        </is>
      </c>
      <c r="B18" t="inlineStr">
        <is>
          <t>Kuveyt Türk Portföy Yedinci Katılım Serbest (Döviz) Fon</t>
        </is>
      </c>
      <c r="C18" t="inlineStr">
        <is>
          <t>Kuveyt Türk Portföy</t>
        </is>
      </c>
      <c r="D18" t="n">
        <v>0.003</v>
      </c>
      <c r="E18" t="n">
        <v>0.09852495122280036</v>
      </c>
      <c r="F18" t="n">
        <v>0.4532500507447912</v>
      </c>
      <c r="G18" t="n">
        <v>1.916232894034442</v>
      </c>
      <c r="H18" t="n">
        <v>1.044492774532491</v>
      </c>
      <c r="I18" t="n">
        <v>11.61533673477297</v>
      </c>
      <c r="J18" t="n">
        <v>21.07702130394624</v>
      </c>
      <c r="K18" t="n">
        <v>1389</v>
      </c>
      <c r="L18" t="n">
        <v>1381</v>
      </c>
      <c r="M18" t="n">
        <v>-0.005759539236861011</v>
      </c>
      <c r="N18" t="n">
        <v>30328314425</v>
      </c>
      <c r="O18" t="n">
        <v>30121741086.52</v>
      </c>
      <c r="P18" t="n">
        <v>-0.006811237036955742</v>
      </c>
      <c r="Q18" t="n">
        <v>0.07270980314220947</v>
      </c>
      <c r="R18" t="inlineStr">
        <is>
          <t>Görmüyor</t>
        </is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0.0024</v>
      </c>
      <c r="AA18" t="n">
        <v>0</v>
      </c>
      <c r="AB18" t="n">
        <v>0</v>
      </c>
      <c r="AC18" t="n">
        <v>0</v>
      </c>
      <c r="AD18" t="n">
        <v>0.0024</v>
      </c>
      <c r="AE18" t="n">
        <v>35.96160719632213</v>
      </c>
      <c r="AF18" t="n">
        <v>23.6337526459784</v>
      </c>
      <c r="AG18" t="n">
        <v>23.31416687741904</v>
      </c>
      <c r="AH18" t="n">
        <v>22.425874276727</v>
      </c>
      <c r="AI18" t="n">
        <v>21.41211064743503</v>
      </c>
      <c r="AJ18" t="n">
        <v>21.07702130394624</v>
      </c>
      <c r="AL18">
        <f>IF(ISNUMBER(INDEX($A$2:$AJ$28,17,MATCH('Döviz'!$E$2,$A$1:$AJ$1,0))),INDEX($A$2:$AJ$28,17,MATCH('Döviz'!$E$2,$A$1:$AJ$1,0)),-1E+9)-ROW()/1E+7</f>
        <v/>
      </c>
    </row>
    <row r="19">
      <c r="A19" t="inlineStr">
        <is>
          <t>HME</t>
        </is>
      </c>
      <c r="B19" t="inlineStr">
        <is>
          <t>Hsbc Portföy Dördüncü Serbest (Döviz) Fon</t>
        </is>
      </c>
      <c r="C19" t="inlineStr">
        <is>
          <t>Hsbc Portföy</t>
        </is>
      </c>
      <c r="D19" t="n">
        <v>0.0075</v>
      </c>
      <c r="E19" t="n">
        <v>0.09828630065851218</v>
      </c>
      <c r="F19" t="n">
        <v>0.4517712323171441</v>
      </c>
      <c r="G19" t="n">
        <v>1.862216965564278</v>
      </c>
      <c r="H19" t="n">
        <v>1.023007612875926</v>
      </c>
      <c r="I19" t="n">
        <v>11.10231281426242</v>
      </c>
      <c r="J19" t="n">
        <v>20.54254422800392</v>
      </c>
      <c r="K19" t="n">
        <v>8408</v>
      </c>
      <c r="L19" t="n">
        <v>8268</v>
      </c>
      <c r="M19" t="n">
        <v>-0.01665080875356806</v>
      </c>
      <c r="N19" t="n">
        <v>26395588563.37</v>
      </c>
      <c r="O19" t="n">
        <v>26402866308.87</v>
      </c>
      <c r="P19" t="n">
        <v>0.000275718250514867</v>
      </c>
      <c r="Q19" t="n">
        <v>0.07362695451322779</v>
      </c>
      <c r="R19" t="inlineStr">
        <is>
          <t>Görmüyor</t>
        </is>
      </c>
      <c r="S19" t="n">
        <v>0</v>
      </c>
      <c r="T19" t="n">
        <v>0</v>
      </c>
      <c r="U19" t="n">
        <v>0</v>
      </c>
      <c r="V19" t="n">
        <v>0</v>
      </c>
      <c r="W19" t="n">
        <v>0.2353</v>
      </c>
      <c r="X19" t="n">
        <v>0</v>
      </c>
      <c r="Y19" t="n">
        <v>0</v>
      </c>
      <c r="Z19" t="n">
        <v>0.0216</v>
      </c>
      <c r="AA19" t="n">
        <v>0</v>
      </c>
      <c r="AB19" t="n">
        <v>0</v>
      </c>
      <c r="AC19" t="n">
        <v>0.008</v>
      </c>
      <c r="AD19" t="n">
        <v>0.2649</v>
      </c>
      <c r="AE19" t="n">
        <v>35.87449974035695</v>
      </c>
      <c r="AF19" t="n">
        <v>23.55664282796537</v>
      </c>
      <c r="AG19" t="n">
        <v>22.65697308103205</v>
      </c>
      <c r="AH19" t="n">
        <v>21.96457521763017</v>
      </c>
      <c r="AI19" t="n">
        <v>20.46638473336253</v>
      </c>
      <c r="AJ19" t="n">
        <v>20.54254422800392</v>
      </c>
      <c r="AL19">
        <f>IF(ISNUMBER(INDEX($A$2:$AJ$28,18,MATCH('Döviz'!$E$2,$A$1:$AJ$1,0))),INDEX($A$2:$AJ$28,18,MATCH('Döviz'!$E$2,$A$1:$AJ$1,0)),-1E+9)-ROW()/1E+7</f>
        <v/>
      </c>
    </row>
    <row r="20">
      <c r="A20" t="inlineStr">
        <is>
          <t>FPZ</t>
        </is>
      </c>
      <c r="B20" t="inlineStr">
        <is>
          <t>Qnb Portföy Birinci Serbest (Döviz) Fon</t>
        </is>
      </c>
      <c r="C20" t="inlineStr">
        <is>
          <t>Qnb Portföy</t>
        </is>
      </c>
      <c r="D20" t="n">
        <v>0.013</v>
      </c>
      <c r="E20" t="n">
        <v>0.09786302682137649</v>
      </c>
      <c r="F20" t="n">
        <v>0.4559704703253287</v>
      </c>
      <c r="G20" t="n">
        <v>1.925555936466461</v>
      </c>
      <c r="H20" t="n">
        <v>1.047086568018085</v>
      </c>
      <c r="I20" t="n">
        <v>11.64454009446774</v>
      </c>
      <c r="J20" t="n">
        <v>21.23615703302573</v>
      </c>
      <c r="K20" t="n">
        <v>19706</v>
      </c>
      <c r="L20" t="n">
        <v>19601</v>
      </c>
      <c r="M20" t="n">
        <v>-0.005328326398051364</v>
      </c>
      <c r="N20" t="n">
        <v>137502271864.72</v>
      </c>
      <c r="O20" t="n">
        <v>136073274512.37</v>
      </c>
      <c r="P20" t="n">
        <v>-0.01039253630482495</v>
      </c>
      <c r="Q20" t="n">
        <v>0.07226500510260256</v>
      </c>
      <c r="R20" t="inlineStr">
        <is>
          <t>Görüyor</t>
        </is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0.059</v>
      </c>
      <c r="AD20" t="n">
        <v>0.059</v>
      </c>
      <c r="AE20" t="n">
        <v>35.72000478980242</v>
      </c>
      <c r="AF20" t="n">
        <v>23.77560309553499</v>
      </c>
      <c r="AG20" t="n">
        <v>23.42759722700861</v>
      </c>
      <c r="AH20" t="n">
        <v>22.4815645486236</v>
      </c>
      <c r="AI20" t="n">
        <v>21.46594512364002</v>
      </c>
      <c r="AJ20" t="n">
        <v>21.23615703302573</v>
      </c>
      <c r="AL20">
        <f>IF(ISNUMBER(INDEX($A$2:$AJ$28,19,MATCH('Döviz'!$E$2,$A$1:$AJ$1,0))),INDEX($A$2:$AJ$28,19,MATCH('Döviz'!$E$2,$A$1:$AJ$1,0)),-1E+9)-ROW()/1E+7</f>
        <v/>
      </c>
    </row>
    <row r="21">
      <c r="A21" t="inlineStr">
        <is>
          <t>DOL</t>
        </is>
      </c>
      <c r="B21" t="inlineStr">
        <is>
          <t>Aktif Portföy Üçüncü Aktif Serbest (Döviz) Fon</t>
        </is>
      </c>
      <c r="C21" t="inlineStr">
        <is>
          <t>Aktif Portföy</t>
        </is>
      </c>
      <c r="D21" t="n">
        <v>0.007900000000000001</v>
      </c>
      <c r="E21" t="n">
        <v>0.09753757592034784</v>
      </c>
      <c r="F21" t="n">
        <v>0.4505887100660688</v>
      </c>
      <c r="G21" t="n">
        <v>1.924539256582514</v>
      </c>
      <c r="H21" t="n">
        <v>1.049331864597924</v>
      </c>
      <c r="I21" t="n">
        <v>11.71894285928805</v>
      </c>
      <c r="J21" t="n">
        <v>21.63588625043427</v>
      </c>
      <c r="K21" t="n">
        <v>387</v>
      </c>
      <c r="L21" t="n">
        <v>398</v>
      </c>
      <c r="M21" t="n">
        <v>0.0284237726098191</v>
      </c>
      <c r="N21" t="n">
        <v>5242599761.85</v>
      </c>
      <c r="O21" t="n">
        <v>5364131907.95</v>
      </c>
      <c r="P21" t="n">
        <v>0.02318165635766811</v>
      </c>
      <c r="Q21" t="n">
        <v>0.07524081404752613</v>
      </c>
      <c r="R21" t="inlineStr">
        <is>
          <t>Görüyor</t>
        </is>
      </c>
      <c r="S21" t="n">
        <v>0</v>
      </c>
      <c r="T21" t="n">
        <v>0</v>
      </c>
      <c r="U21" t="n">
        <v>0</v>
      </c>
      <c r="V21" t="n">
        <v>0</v>
      </c>
      <c r="W21" t="n">
        <v>0.0156</v>
      </c>
      <c r="X21" t="n">
        <v>0</v>
      </c>
      <c r="Y21" t="n">
        <v>0</v>
      </c>
      <c r="Z21" t="n">
        <v>0.0297</v>
      </c>
      <c r="AA21" t="n">
        <v>0</v>
      </c>
      <c r="AB21" t="n">
        <v>0</v>
      </c>
      <c r="AC21" t="n">
        <v>0.0002</v>
      </c>
      <c r="AD21" t="n">
        <v>0.0455</v>
      </c>
      <c r="AE21" t="n">
        <v>35.60121521092696</v>
      </c>
      <c r="AF21" t="n">
        <v>23.4949827391593</v>
      </c>
      <c r="AG21" t="n">
        <v>23.41522762175391</v>
      </c>
      <c r="AH21" t="n">
        <v>22.52977238695544</v>
      </c>
      <c r="AI21" t="n">
        <v>21.60310173555625</v>
      </c>
      <c r="AJ21" t="n">
        <v>21.63588625043427</v>
      </c>
      <c r="AL21">
        <f>IF(ISNUMBER(INDEX($A$2:$AJ$28,20,MATCH('Döviz'!$E$2,$A$1:$AJ$1,0))),INDEX($A$2:$AJ$28,20,MATCH('Döviz'!$E$2,$A$1:$AJ$1,0)),-1E+9)-ROW()/1E+7</f>
        <v/>
      </c>
    </row>
    <row r="22">
      <c r="A22" t="inlineStr">
        <is>
          <t>OJB</t>
        </is>
      </c>
      <c r="B22" t="inlineStr">
        <is>
          <t>Qnb Portföy Beşinci Serbest (Döviz) Fon</t>
        </is>
      </c>
      <c r="C22" t="inlineStr">
        <is>
          <t>Qnb Portföy</t>
        </is>
      </c>
      <c r="D22" t="n">
        <v>0.01</v>
      </c>
      <c r="E22" t="n">
        <v>0.09704553273088834</v>
      </c>
      <c r="F22" t="n">
        <v>0.4459394712096998</v>
      </c>
      <c r="G22" t="n">
        <v>1.898040684561475</v>
      </c>
      <c r="H22" t="n">
        <v>1.02498803886264</v>
      </c>
      <c r="I22" t="n">
        <v>11.54072853501098</v>
      </c>
      <c r="J22" t="n">
        <v>20.9515234498824</v>
      </c>
      <c r="K22" t="n">
        <v>7235</v>
      </c>
      <c r="L22" t="n">
        <v>7126</v>
      </c>
      <c r="M22" t="n">
        <v>-0.01506565307532826</v>
      </c>
      <c r="N22" t="n">
        <v>28366002106.29</v>
      </c>
      <c r="O22" t="n">
        <v>27769884469.95</v>
      </c>
      <c r="P22" t="n">
        <v>-0.02101521511936344</v>
      </c>
      <c r="Q22" t="n">
        <v>0.07229606007270632</v>
      </c>
      <c r="R22" t="inlineStr">
        <is>
          <t>Görüyor</t>
        </is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0.0537</v>
      </c>
      <c r="AA22" t="n">
        <v>0</v>
      </c>
      <c r="AB22" t="n">
        <v>0</v>
      </c>
      <c r="AC22" t="n">
        <v>0.0044</v>
      </c>
      <c r="AD22" t="n">
        <v>0.0581</v>
      </c>
      <c r="AE22" t="n">
        <v>35.42161944677424</v>
      </c>
      <c r="AF22" t="n">
        <v>23.25255814164863</v>
      </c>
      <c r="AG22" t="n">
        <v>23.09282832883128</v>
      </c>
      <c r="AH22" t="n">
        <v>22.00709612852139</v>
      </c>
      <c r="AI22" t="n">
        <v>21.27457532969196</v>
      </c>
      <c r="AJ22" t="n">
        <v>20.9515234498824</v>
      </c>
      <c r="AL22">
        <f>IF(ISNUMBER(INDEX($A$2:$AJ$28,21,MATCH('Döviz'!$E$2,$A$1:$AJ$1,0))),INDEX($A$2:$AJ$28,21,MATCH('Döviz'!$E$2,$A$1:$AJ$1,0)),-1E+9)-ROW()/1E+7</f>
        <v/>
      </c>
    </row>
    <row r="23">
      <c r="A23" t="inlineStr">
        <is>
          <t>ROD</t>
        </is>
      </c>
      <c r="B23" t="inlineStr">
        <is>
          <t>Rota Portföy Odeabank Birinci Serbest (Döviz) Özel Fon</t>
        </is>
      </c>
      <c r="C23" t="inlineStr">
        <is>
          <t>Rota Portföy</t>
        </is>
      </c>
      <c r="D23" t="n">
        <v>0.01</v>
      </c>
      <c r="E23" t="n">
        <v>0.09614004642342078</v>
      </c>
      <c r="F23" t="n">
        <v>0.4552184085146571</v>
      </c>
      <c r="G23" t="n">
        <v>1.825027144280877</v>
      </c>
      <c r="H23" t="n">
        <v>0.9701161052247276</v>
      </c>
      <c r="I23" t="n">
        <v>11.83977502173281</v>
      </c>
      <c r="J23" t="n">
        <v>21.65775957889242</v>
      </c>
      <c r="K23" t="n">
        <v>784</v>
      </c>
      <c r="L23" t="n">
        <v>680</v>
      </c>
      <c r="M23" t="n">
        <v>-0.1326530612244898</v>
      </c>
      <c r="N23" t="n">
        <v>2625265926.08</v>
      </c>
      <c r="O23" t="n">
        <v>2013404969.35</v>
      </c>
      <c r="P23" t="n">
        <v>-0.2330662774584592</v>
      </c>
      <c r="Q23" t="n">
        <v>0.07370087001760192</v>
      </c>
      <c r="R23" t="inlineStr">
        <is>
          <t>Görmüyor</t>
        </is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35.09111694454858</v>
      </c>
      <c r="AF23" t="n">
        <v>23.73638844397855</v>
      </c>
      <c r="AG23" t="n">
        <v>22.20449692208401</v>
      </c>
      <c r="AH23" t="n">
        <v>20.82896343570739</v>
      </c>
      <c r="AI23" t="n">
        <v>21.82584789359837</v>
      </c>
      <c r="AJ23" t="n">
        <v>21.65775957889242</v>
      </c>
      <c r="AL23">
        <f>IF(ISNUMBER(INDEX($A$2:$AJ$28,22,MATCH('Döviz'!$E$2,$A$1:$AJ$1,0))),INDEX($A$2:$AJ$28,22,MATCH('Döviz'!$E$2,$A$1:$AJ$1,0)),-1E+9)-ROW()/1E+7</f>
        <v/>
      </c>
    </row>
    <row r="24">
      <c r="A24" t="inlineStr">
        <is>
          <t>TB9</t>
        </is>
      </c>
      <c r="B24" t="inlineStr">
        <is>
          <t>Teb Portföy Dokuzuncu Serbest (Döviz) Fon</t>
        </is>
      </c>
      <c r="C24" t="inlineStr">
        <is>
          <t>Teb Portföy</t>
        </is>
      </c>
      <c r="D24" t="n">
        <v>0.01</v>
      </c>
      <c r="E24" t="n">
        <v>0.0956042456095707</v>
      </c>
      <c r="F24" t="n">
        <v>0.4413366483802417</v>
      </c>
      <c r="G24" t="n">
        <v>1.856658751282714</v>
      </c>
      <c r="H24" t="n">
        <v>1.01931857741302</v>
      </c>
      <c r="I24" t="n">
        <v>11.07067031408599</v>
      </c>
      <c r="J24" t="n">
        <v>20.07765634673462</v>
      </c>
      <c r="K24" t="n">
        <v>11067</v>
      </c>
      <c r="L24" t="n">
        <v>10871</v>
      </c>
      <c r="M24" t="n">
        <v>-0.01771030993042377</v>
      </c>
      <c r="N24" t="n">
        <v>41025135234.31</v>
      </c>
      <c r="O24" t="n">
        <v>39848990522.52</v>
      </c>
      <c r="P24" t="n">
        <v>-0.02866888079887109</v>
      </c>
      <c r="Q24" t="n">
        <v>0.07410425990959087</v>
      </c>
      <c r="R24" t="inlineStr">
        <is>
          <t>Görmüyor</t>
        </is>
      </c>
      <c r="S24" t="n">
        <v>0</v>
      </c>
      <c r="T24" t="n">
        <v>0</v>
      </c>
      <c r="U24" t="n">
        <v>0.0401</v>
      </c>
      <c r="V24" t="n">
        <v>0</v>
      </c>
      <c r="W24" t="n">
        <v>0.2619</v>
      </c>
      <c r="X24" t="n">
        <v>0</v>
      </c>
      <c r="Y24" t="n">
        <v>0</v>
      </c>
      <c r="Z24" t="n">
        <v>0.2476</v>
      </c>
      <c r="AA24" t="n">
        <v>0</v>
      </c>
      <c r="AB24" t="n">
        <v>0</v>
      </c>
      <c r="AC24" t="n">
        <v>0.008</v>
      </c>
      <c r="AD24" t="n">
        <v>0.5576</v>
      </c>
      <c r="AE24" t="n">
        <v>34.8955496474933</v>
      </c>
      <c r="AF24" t="n">
        <v>23.01255380839832</v>
      </c>
      <c r="AG24" t="n">
        <v>22.58934814060635</v>
      </c>
      <c r="AH24" t="n">
        <v>21.88536945622072</v>
      </c>
      <c r="AI24" t="n">
        <v>20.40805386182519</v>
      </c>
      <c r="AJ24" t="n">
        <v>20.07765634673462</v>
      </c>
      <c r="AL24">
        <f>IF(ISNUMBER(INDEX($A$2:$AJ$28,23,MATCH('Döviz'!$E$2,$A$1:$AJ$1,0))),INDEX($A$2:$AJ$28,23,MATCH('Döviz'!$E$2,$A$1:$AJ$1,0)),-1E+9)-ROW()/1E+7</f>
        <v/>
      </c>
    </row>
    <row r="25">
      <c r="A25" t="inlineStr">
        <is>
          <t>KDL</t>
        </is>
      </c>
      <c r="B25" t="inlineStr">
        <is>
          <t>Kuveyt Türk Portföy Beşinci Katılım Serbest (Döviz) Fon</t>
        </is>
      </c>
      <c r="C25" t="inlineStr">
        <is>
          <t>Kuveyt Türk Portföy</t>
        </is>
      </c>
      <c r="D25" t="n">
        <v>0.003</v>
      </c>
      <c r="E25" t="n">
        <v>0.09442488403410554</v>
      </c>
      <c r="F25" t="n">
        <v>0.4257344919202266</v>
      </c>
      <c r="G25" t="n">
        <v>1.796595715667015</v>
      </c>
      <c r="H25" t="n">
        <v>0.9769932772434986</v>
      </c>
      <c r="I25" t="n">
        <v>10.70496577935556</v>
      </c>
      <c r="J25" t="n">
        <v>19.15541428509102</v>
      </c>
      <c r="K25" t="n">
        <v>7193</v>
      </c>
      <c r="L25" t="n">
        <v>7132</v>
      </c>
      <c r="M25" t="n">
        <v>-0.008480467120811852</v>
      </c>
      <c r="N25" t="n">
        <v>25726359796.32</v>
      </c>
      <c r="O25" t="n">
        <v>25439731214.06</v>
      </c>
      <c r="P25" t="n">
        <v>-0.01114143565313108</v>
      </c>
      <c r="Q25" t="n">
        <v>0.07316810224144871</v>
      </c>
      <c r="R25" t="inlineStr">
        <is>
          <t>Görüyor</t>
        </is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0.0012</v>
      </c>
      <c r="AA25" t="n">
        <v>0</v>
      </c>
      <c r="AB25" t="n">
        <v>0</v>
      </c>
      <c r="AC25" t="n">
        <v>0</v>
      </c>
      <c r="AD25" t="n">
        <v>0.0012</v>
      </c>
      <c r="AE25" t="n">
        <v>34.46508267244852</v>
      </c>
      <c r="AF25" t="n">
        <v>22.19901279298324</v>
      </c>
      <c r="AG25" t="n">
        <v>21.85858120728202</v>
      </c>
      <c r="AH25" t="n">
        <v>20.97662036434571</v>
      </c>
      <c r="AI25" t="n">
        <v>19.73390156295343</v>
      </c>
      <c r="AJ25" t="n">
        <v>19.15541428509102</v>
      </c>
      <c r="AL25">
        <f>IF(ISNUMBER(INDEX($A$2:$AJ$28,24,MATCH('Döviz'!$E$2,$A$1:$AJ$1,0))),INDEX($A$2:$AJ$28,24,MATCH('Döviz'!$E$2,$A$1:$AJ$1,0)),-1E+9)-ROW()/1E+7</f>
        <v/>
      </c>
    </row>
    <row r="26">
      <c r="A26" t="inlineStr">
        <is>
          <t>OFK</t>
        </is>
      </c>
      <c r="B26" t="inlineStr">
        <is>
          <t>Oyak Portföy Türkiye Finans Katılım Serbest (Döviz-abd Doları) Fon</t>
        </is>
      </c>
      <c r="C26" t="inlineStr">
        <is>
          <t>Oyak Portföy</t>
        </is>
      </c>
      <c r="D26" t="n">
        <v>0.01</v>
      </c>
      <c r="E26" t="n">
        <v>0.09376769471842739</v>
      </c>
      <c r="F26" t="n">
        <v>0.4207227826935389</v>
      </c>
      <c r="G26" t="n">
        <v>1.781440246160004</v>
      </c>
      <c r="H26" t="n">
        <v>0.9675775147550025</v>
      </c>
      <c r="I26" t="n">
        <v>10.64027721014797</v>
      </c>
      <c r="J26" t="n">
        <v>19.20770806106635</v>
      </c>
      <c r="K26" t="n">
        <v>271</v>
      </c>
      <c r="L26" t="n">
        <v>271</v>
      </c>
      <c r="M26" t="n">
        <v>0</v>
      </c>
      <c r="N26" t="n">
        <v>1034879928.94</v>
      </c>
      <c r="O26" t="n">
        <v>1051302305.21</v>
      </c>
      <c r="P26" t="n">
        <v>0.01586887117119073</v>
      </c>
      <c r="Q26" t="n">
        <v>0.07319288483037059</v>
      </c>
      <c r="R26" t="inlineStr">
        <is>
          <t>Görmüyor</t>
        </is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34.22520857222599</v>
      </c>
      <c r="AF26" t="n">
        <v>21.93768795473453</v>
      </c>
      <c r="AG26" t="n">
        <v>21.67418966161339</v>
      </c>
      <c r="AH26" t="n">
        <v>20.77445840503388</v>
      </c>
      <c r="AI26" t="n">
        <v>19.61465243284854</v>
      </c>
      <c r="AJ26" t="n">
        <v>19.20770806106635</v>
      </c>
      <c r="AL26">
        <f>IF(ISNUMBER(INDEX($A$2:$AJ$28,25,MATCH('Döviz'!$E$2,$A$1:$AJ$1,0))),INDEX($A$2:$AJ$28,25,MATCH('Döviz'!$E$2,$A$1:$AJ$1,0)),-1E+9)-ROW()/1E+7</f>
        <v/>
      </c>
    </row>
    <row r="27">
      <c r="A27" t="inlineStr">
        <is>
          <t>BIS</t>
        </is>
      </c>
      <c r="B27" t="inlineStr">
        <is>
          <t>BV Portföy Birinci Serbest Fon</t>
        </is>
      </c>
      <c r="C27" t="inlineStr">
        <is>
          <t>BV Portföy</t>
        </is>
      </c>
      <c r="D27" t="n">
        <v>0.0315</v>
      </c>
      <c r="E27" t="n">
        <v>0.06651733100948576</v>
      </c>
      <c r="F27" t="n">
        <v>0.5477976601139467</v>
      </c>
      <c r="G27" t="n">
        <v>2.533452232385103</v>
      </c>
      <c r="H27" t="n">
        <v>1.454005638376676</v>
      </c>
      <c r="I27" t="n">
        <v>14.9175322009357</v>
      </c>
      <c r="J27" t="n">
        <v>26.60956697239904</v>
      </c>
      <c r="K27" t="n">
        <v>66</v>
      </c>
      <c r="L27" t="n">
        <v>62</v>
      </c>
      <c r="M27" t="n">
        <v>-0.06060606060606055</v>
      </c>
      <c r="N27" t="n">
        <v>852882110.62</v>
      </c>
      <c r="O27" t="n">
        <v>763921973.64</v>
      </c>
      <c r="P27" t="n">
        <v>-0.1043053147349178</v>
      </c>
      <c r="Q27" t="n">
        <v>0.09059913407315762</v>
      </c>
      <c r="R27" t="inlineStr">
        <is>
          <t>Görüyor</t>
        </is>
      </c>
      <c r="S27" t="n">
        <v>0</v>
      </c>
      <c r="T27" t="n">
        <v>0</v>
      </c>
      <c r="U27" t="n">
        <v>0</v>
      </c>
      <c r="V27" t="n">
        <v>0.0919</v>
      </c>
      <c r="W27" t="n">
        <v>0</v>
      </c>
      <c r="X27" t="n">
        <v>0</v>
      </c>
      <c r="Y27" t="n">
        <v>0.5712</v>
      </c>
      <c r="Z27" t="n">
        <v>0.1449</v>
      </c>
      <c r="AA27" t="n">
        <v>0</v>
      </c>
      <c r="AB27" t="n">
        <v>0.1482</v>
      </c>
      <c r="AC27" t="n">
        <v>0.0438</v>
      </c>
      <c r="AD27" t="n">
        <v>1</v>
      </c>
      <c r="AE27" t="n">
        <v>24.2788258184623</v>
      </c>
      <c r="AF27" t="n">
        <v>28.56373513451294</v>
      </c>
      <c r="AG27" t="n">
        <v>30.82366882735208</v>
      </c>
      <c r="AH27" t="n">
        <v>31.21835635338158</v>
      </c>
      <c r="AI27" t="n">
        <v>27.49949117849258</v>
      </c>
      <c r="AJ27" t="n">
        <v>26.60956697239904</v>
      </c>
      <c r="AL27">
        <f>IF(ISNUMBER(INDEX($A$2:$AJ$28,26,MATCH('Döviz'!$E$2,$A$1:$AJ$1,0))),INDEX($A$2:$AJ$28,26,MATCH('Döviz'!$E$2,$A$1:$AJ$1,0)),-1E+9)-ROW()/1E+7</f>
        <v/>
      </c>
    </row>
    <row r="28">
      <c r="A28" t="inlineStr">
        <is>
          <t>TRU</t>
        </is>
      </c>
      <c r="B28" t="inlineStr">
        <is>
          <t>Tera Portföy Katılım Serbest (Döviz) Fon</t>
        </is>
      </c>
      <c r="C28" t="inlineStr">
        <is>
          <t>Tera Portföy</t>
        </is>
      </c>
      <c r="D28" t="n">
        <v>0</v>
      </c>
      <c r="E28" t="n">
        <v>-0.05873770771359643</v>
      </c>
      <c r="F28" t="n">
        <v>0.2980647185498952</v>
      </c>
      <c r="G28" t="n">
        <v>0.7620838387738971</v>
      </c>
      <c r="H28" t="n">
        <v>1.181591911983837</v>
      </c>
      <c r="I28" t="n">
        <v>13.49824744494303</v>
      </c>
      <c r="J28" t="n">
        <v>23.07389743841879</v>
      </c>
      <c r="K28" t="n">
        <v>280</v>
      </c>
      <c r="L28" t="n">
        <v>258</v>
      </c>
      <c r="M28" t="n">
        <v>-0.07857142857142863</v>
      </c>
      <c r="N28" t="n">
        <v>307700956.98</v>
      </c>
      <c r="O28" t="n">
        <v>299835866.23</v>
      </c>
      <c r="P28" t="n">
        <v>-0.02556082641794066</v>
      </c>
      <c r="Q28" t="n">
        <v>0.1695291257407469</v>
      </c>
      <c r="R28" t="inlineStr">
        <is>
          <t>Görüyor</t>
        </is>
      </c>
      <c r="S28" t="n">
        <v>0.0169</v>
      </c>
      <c r="T28" t="n">
        <v>0.0139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0.0267</v>
      </c>
      <c r="AA28" t="n">
        <v>0</v>
      </c>
      <c r="AB28" t="n">
        <v>0</v>
      </c>
      <c r="AC28" t="n">
        <v>0</v>
      </c>
      <c r="AD28" t="n">
        <v>0.0575</v>
      </c>
      <c r="AE28" t="n">
        <v>-21.4392633154627</v>
      </c>
      <c r="AF28" t="n">
        <v>15.54194603867311</v>
      </c>
      <c r="AG28" t="n">
        <v>9.272020038415748</v>
      </c>
      <c r="AH28" t="n">
        <v>25.36947340435885</v>
      </c>
      <c r="AI28" t="n">
        <v>24.88313291618287</v>
      </c>
      <c r="AJ28" t="n">
        <v>23.07389743841879</v>
      </c>
      <c r="AL28">
        <f>IF(ISNUMBER(INDEX($A$2:$AJ$28,27,MATCH('Döviz'!$E$2,$A$1:$AJ$1,0))),INDEX($A$2:$AJ$28,27,MATCH('Döviz'!$E$2,$A$1:$AJ$1,0)),-1E+9)-ROW()/1E+7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K30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2" max="2"/>
    <col width="68" customWidth="1" min="3" max="3"/>
    <col width="2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F1" s="6" t="n">
        <v>46219</v>
      </c>
      <c r="G1" s="6" t="n">
        <v>46213</v>
      </c>
      <c r="H1" s="6" t="n">
        <v>46190</v>
      </c>
      <c r="I1" s="6" t="n">
        <v>46203</v>
      </c>
      <c r="J1" s="6" t="n">
        <v>46022</v>
      </c>
    </row>
    <row r="2">
      <c r="B2" s="3" t="inlineStr">
        <is>
          <t>T-1: 17.07.2026</t>
        </is>
      </c>
      <c r="D2" s="7" t="inlineStr">
        <is>
          <t>Sırala:</t>
        </is>
      </c>
      <c r="E2" s="2" t="inlineStr">
        <is>
          <t>Günlük%</t>
        </is>
      </c>
    </row>
    <row r="3">
      <c r="B3" s="4" t="inlineStr">
        <is>
          <t>Fon Kodu</t>
        </is>
      </c>
      <c r="C3" s="4" t="inlineStr">
        <is>
          <t>Döviz Fonları</t>
        </is>
      </c>
      <c r="D3" s="4" t="inlineStr">
        <is>
          <t>Yönetici</t>
        </is>
      </c>
      <c r="E3" s="4" t="inlineStr">
        <is>
          <t>FYÜ%</t>
        </is>
      </c>
      <c r="F3" s="4" t="inlineStr">
        <is>
          <t>Günlük%</t>
        </is>
      </c>
      <c r="G3" s="4" t="inlineStr">
        <is>
          <t>Haftalık</t>
        </is>
      </c>
      <c r="H3" s="4" t="inlineStr">
        <is>
          <t>Aylık</t>
        </is>
      </c>
      <c r="I3" s="4" t="inlineStr">
        <is>
          <t>Ay Başından Bu güne</t>
        </is>
      </c>
      <c r="J3" s="4" t="inlineStr">
        <is>
          <t>Yılbaşına Göre</t>
        </is>
      </c>
      <c r="K3" s="4" t="inlineStr">
        <is>
          <t>Yıllık</t>
        </is>
      </c>
      <c r="L3" s="4" t="inlineStr">
        <is>
          <t>Yatırımcı Sayısı T-30</t>
        </is>
      </c>
      <c r="M3" s="4" t="inlineStr">
        <is>
          <t>Yatırımcı Sayısı T-1</t>
        </is>
      </c>
      <c r="N3" s="4" t="inlineStr">
        <is>
          <t>YS Değişim</t>
        </is>
      </c>
      <c r="O3" s="4" t="inlineStr">
        <is>
          <t>Önceki Ay FTD</t>
        </is>
      </c>
      <c r="P3" s="4" t="inlineStr">
        <is>
          <t>T-1 FTD</t>
        </is>
      </c>
      <c r="Q3" s="4" t="inlineStr">
        <is>
          <t>FTD Değişim</t>
        </is>
      </c>
      <c r="R3" s="4" t="inlineStr">
        <is>
          <t>Standart Sapma (Aylık)</t>
        </is>
      </c>
      <c r="S3" s="4" t="inlineStr">
        <is>
          <t>TEFAS Durumu</t>
        </is>
      </c>
      <c r="T3" s="4" t="inlineStr">
        <is>
          <t>Yabancı Hisse Oranı</t>
        </is>
      </c>
      <c r="U3" s="4" t="inlineStr">
        <is>
          <t>Yabancı Borsa Yatırım Fonları</t>
        </is>
      </c>
      <c r="V3" s="4" t="inlineStr">
        <is>
          <t>Mevduat (TL)</t>
        </is>
      </c>
      <c r="W3" s="4" t="inlineStr">
        <is>
          <t>Vadeli İşlemler Nakit Teminatları</t>
        </is>
      </c>
      <c r="X3" s="4" t="inlineStr">
        <is>
          <t>Ters Repo Oranı</t>
        </is>
      </c>
      <c r="Y3" s="4" t="inlineStr">
        <is>
          <t>Hisse Oranı</t>
        </is>
      </c>
      <c r="Z3" s="4" t="inlineStr">
        <is>
          <t>Para Piyasaları Oranı</t>
        </is>
      </c>
      <c r="AA3" s="4" t="inlineStr">
        <is>
          <t>Yatırım Fonları Katılma Payları</t>
        </is>
      </c>
      <c r="AB3" s="4" t="inlineStr">
        <is>
          <t>Özel Tahvil/Bono Oranı</t>
        </is>
      </c>
      <c r="AC3" s="4" t="inlineStr">
        <is>
          <t>Finansman Bonosu Oranı</t>
        </is>
      </c>
      <c r="AD3" s="4" t="inlineStr">
        <is>
          <t>Diğer Oran</t>
        </is>
      </c>
      <c r="AE3" s="4" t="inlineStr">
        <is>
          <t>Toplam</t>
        </is>
      </c>
      <c r="AF3" s="4" t="inlineStr">
        <is>
          <t>Yıllıklandırılmış Günlük%</t>
        </is>
      </c>
      <c r="AG3" s="4" t="inlineStr">
        <is>
          <t>Yıllıklandırılmış Haftalık</t>
        </is>
      </c>
      <c r="AH3" s="4" t="inlineStr">
        <is>
          <t>Yıllıklandırılmış Aylık</t>
        </is>
      </c>
      <c r="AI3" s="4" t="inlineStr">
        <is>
          <t>Yıllıklandırılmış Ay Başına Göre</t>
        </is>
      </c>
      <c r="AJ3" s="4" t="inlineStr">
        <is>
          <t>Yıllıklandırılmış Yılbaşına Göre</t>
        </is>
      </c>
      <c r="AK3" s="4" t="inlineStr">
        <is>
          <t>Yıllıklandırılmış Yıllık</t>
        </is>
      </c>
    </row>
    <row r="4">
      <c r="A4" t="n">
        <v>1</v>
      </c>
      <c r="B4" s="5">
        <f>INDEX('V_Döviz'!A$2:A$28,MATCH(LARGE('V_Döviz'!$AL$2:$AL$28,ROW()-3),'V_Döviz'!$AL$2:$AL$28,0))</f>
        <v/>
      </c>
      <c r="C4" s="5">
        <f>INDEX('V_Döviz'!B$2:B$28,MATCH(LARGE('V_Döviz'!$AL$2:$AL$28,ROW()-3),'V_Döviz'!$AL$2:$AL$28,0))</f>
        <v/>
      </c>
      <c r="D4" s="5">
        <f>INDEX('V_Döviz'!C$2:C$28,MATCH(LARGE('V_Döviz'!$AL$2:$AL$28,ROW()-3),'V_Döviz'!$AL$2:$AL$28,0))</f>
        <v/>
      </c>
      <c r="E4" s="8">
        <f>INDEX('V_Döviz'!D$2:D$28,MATCH(LARGE('V_Döviz'!$AL$2:$AL$28,ROW()-3),'V_Döviz'!$AL$2:$AL$28,0))</f>
        <v/>
      </c>
      <c r="F4" s="9">
        <f>INDEX('V_Döviz'!E$2:E$28,MATCH(LARGE('V_Döviz'!$AL$2:$AL$28,ROW()-3),'V_Döviz'!$AL$2:$AL$28,0))</f>
        <v/>
      </c>
      <c r="G4" s="9">
        <f>INDEX('V_Döviz'!F$2:F$28,MATCH(LARGE('V_Döviz'!$AL$2:$AL$28,ROW()-3),'V_Döviz'!$AL$2:$AL$28,0))</f>
        <v/>
      </c>
      <c r="H4" s="9">
        <f>INDEX('V_Döviz'!G$2:G$28,MATCH(LARGE('V_Döviz'!$AL$2:$AL$28,ROW()-3),'V_Döviz'!$AL$2:$AL$28,0))</f>
        <v/>
      </c>
      <c r="I4" s="9">
        <f>INDEX('V_Döviz'!H$2:H$28,MATCH(LARGE('V_Döviz'!$AL$2:$AL$28,ROW()-3),'V_Döviz'!$AL$2:$AL$28,0))</f>
        <v/>
      </c>
      <c r="J4" s="9">
        <f>INDEX('V_Döviz'!I$2:I$28,MATCH(LARGE('V_Döviz'!$AL$2:$AL$28,ROW()-3),'V_Döviz'!$AL$2:$AL$28,0))</f>
        <v/>
      </c>
      <c r="K4" s="9">
        <f>INDEX('V_Döviz'!J$2:J$28,MATCH(LARGE('V_Döviz'!$AL$2:$AL$28,ROW()-3),'V_Döviz'!$AL$2:$AL$28,0))</f>
        <v/>
      </c>
      <c r="L4" s="10">
        <f>INDEX('V_Döviz'!K$2:K$28,MATCH(LARGE('V_Döviz'!$AL$2:$AL$28,ROW()-3),'V_Döviz'!$AL$2:$AL$28,0))</f>
        <v/>
      </c>
      <c r="M4" s="10">
        <f>INDEX('V_Döviz'!L$2:L$28,MATCH(LARGE('V_Döviz'!$AL$2:$AL$28,ROW()-3),'V_Döviz'!$AL$2:$AL$28,0))</f>
        <v/>
      </c>
      <c r="N4" s="8">
        <f>INDEX('V_Döviz'!M$2:M$28,MATCH(LARGE('V_Döviz'!$AL$2:$AL$28,ROW()-3),'V_Döviz'!$AL$2:$AL$28,0))</f>
        <v/>
      </c>
      <c r="O4" s="11">
        <f>INDEX('V_Döviz'!N$2:N$28,MATCH(LARGE('V_Döviz'!$AL$2:$AL$28,ROW()-3),'V_Döviz'!$AL$2:$AL$28,0))</f>
        <v/>
      </c>
      <c r="P4" s="11">
        <f>INDEX('V_Döviz'!O$2:O$28,MATCH(LARGE('V_Döviz'!$AL$2:$AL$28,ROW()-3),'V_Döviz'!$AL$2:$AL$28,0))</f>
        <v/>
      </c>
      <c r="Q4" s="8">
        <f>INDEX('V_Döviz'!P$2:P$28,MATCH(LARGE('V_Döviz'!$AL$2:$AL$28,ROW()-3),'V_Döviz'!$AL$2:$AL$28,0))</f>
        <v/>
      </c>
      <c r="R4" s="9">
        <f>INDEX('V_Döviz'!Q$2:Q$28,MATCH(LARGE('V_Döviz'!$AL$2:$AL$28,ROW()-3),'V_Döviz'!$AL$2:$AL$28,0))</f>
        <v/>
      </c>
      <c r="S4" s="5">
        <f>INDEX('V_Döviz'!R$2:R$28,MATCH(LARGE('V_Döviz'!$AL$2:$AL$28,ROW()-3),'V_Döviz'!$AL$2:$AL$28,0))</f>
        <v/>
      </c>
      <c r="T4" s="8">
        <f>INDEX('V_Döviz'!S$2:S$28,MATCH(LARGE('V_Döviz'!$AL$2:$AL$28,ROW()-3),'V_Döviz'!$AL$2:$AL$28,0))</f>
        <v/>
      </c>
      <c r="U4" s="8">
        <f>INDEX('V_Döviz'!T$2:T$28,MATCH(LARGE('V_Döviz'!$AL$2:$AL$28,ROW()-3),'V_Döviz'!$AL$2:$AL$28,0))</f>
        <v/>
      </c>
      <c r="V4" s="8">
        <f>INDEX('V_Döviz'!U$2:U$28,MATCH(LARGE('V_Döviz'!$AL$2:$AL$28,ROW()-3),'V_Döviz'!$AL$2:$AL$28,0))</f>
        <v/>
      </c>
      <c r="W4" s="8">
        <f>INDEX('V_Döviz'!V$2:V$28,MATCH(LARGE('V_Döviz'!$AL$2:$AL$28,ROW()-3),'V_Döviz'!$AL$2:$AL$28,0))</f>
        <v/>
      </c>
      <c r="X4" s="8">
        <f>INDEX('V_Döviz'!W$2:W$28,MATCH(LARGE('V_Döviz'!$AL$2:$AL$28,ROW()-3),'V_Döviz'!$AL$2:$AL$28,0))</f>
        <v/>
      </c>
      <c r="Y4" s="8">
        <f>INDEX('V_Döviz'!X$2:X$28,MATCH(LARGE('V_Döviz'!$AL$2:$AL$28,ROW()-3),'V_Döviz'!$AL$2:$AL$28,0))</f>
        <v/>
      </c>
      <c r="Z4" s="8">
        <f>INDEX('V_Döviz'!Y$2:Y$28,MATCH(LARGE('V_Döviz'!$AL$2:$AL$28,ROW()-3),'V_Döviz'!$AL$2:$AL$28,0))</f>
        <v/>
      </c>
      <c r="AA4" s="8">
        <f>INDEX('V_Döviz'!Z$2:Z$28,MATCH(LARGE('V_Döviz'!$AL$2:$AL$28,ROW()-3),'V_Döviz'!$AL$2:$AL$28,0))</f>
        <v/>
      </c>
      <c r="AB4" s="8">
        <f>INDEX('V_Döviz'!AA$2:AA$28,MATCH(LARGE('V_Döviz'!$AL$2:$AL$28,ROW()-3),'V_Döviz'!$AL$2:$AL$28,0))</f>
        <v/>
      </c>
      <c r="AC4" s="8">
        <f>INDEX('V_Döviz'!AB$2:AB$28,MATCH(LARGE('V_Döviz'!$AL$2:$AL$28,ROW()-3),'V_Döviz'!$AL$2:$AL$28,0))</f>
        <v/>
      </c>
      <c r="AD4" s="8">
        <f>INDEX('V_Döviz'!AC$2:AC$28,MATCH(LARGE('V_Döviz'!$AL$2:$AL$28,ROW()-3),'V_Döviz'!$AL$2:$AL$28,0))</f>
        <v/>
      </c>
      <c r="AE4" s="8">
        <f>INDEX('V_Döviz'!AD$2:AD$28,MATCH(LARGE('V_Döviz'!$AL$2:$AL$28,ROW()-3),'V_Döviz'!$AL$2:$AL$28,0))</f>
        <v/>
      </c>
      <c r="AF4" s="9">
        <f>INDEX('V_Döviz'!AE$2:AE$28,MATCH(LARGE('V_Döviz'!$AL$2:$AL$28,ROW()-3),'V_Döviz'!$AL$2:$AL$28,0))</f>
        <v/>
      </c>
      <c r="AG4" s="9">
        <f>INDEX('V_Döviz'!AF$2:AF$28,MATCH(LARGE('V_Döviz'!$AL$2:$AL$28,ROW()-3),'V_Döviz'!$AL$2:$AL$28,0))</f>
        <v/>
      </c>
      <c r="AH4" s="9">
        <f>INDEX('V_Döviz'!AG$2:AG$28,MATCH(LARGE('V_Döviz'!$AL$2:$AL$28,ROW()-3),'V_Döviz'!$AL$2:$AL$28,0))</f>
        <v/>
      </c>
      <c r="AI4" s="9">
        <f>INDEX('V_Döviz'!AH$2:AH$28,MATCH(LARGE('V_Döviz'!$AL$2:$AL$28,ROW()-3),'V_Döviz'!$AL$2:$AL$28,0))</f>
        <v/>
      </c>
      <c r="AJ4" s="9">
        <f>INDEX('V_Döviz'!AI$2:AI$28,MATCH(LARGE('V_Döviz'!$AL$2:$AL$28,ROW()-3),'V_Döviz'!$AL$2:$AL$28,0))</f>
        <v/>
      </c>
      <c r="AK4" s="9">
        <f>INDEX('V_Döviz'!AJ$2:AJ$28,MATCH(LARGE('V_Döviz'!$AL$2:$AL$28,ROW()-3),'V_Döviz'!$AL$2:$AL$28,0))</f>
        <v/>
      </c>
    </row>
    <row r="5">
      <c r="A5" t="n">
        <v>2</v>
      </c>
      <c r="B5" s="5">
        <f>INDEX('V_Döviz'!A$2:A$28,MATCH(LARGE('V_Döviz'!$AL$2:$AL$28,ROW()-3),'V_Döviz'!$AL$2:$AL$28,0))</f>
        <v/>
      </c>
      <c r="C5" s="5">
        <f>INDEX('V_Döviz'!B$2:B$28,MATCH(LARGE('V_Döviz'!$AL$2:$AL$28,ROW()-3),'V_Döviz'!$AL$2:$AL$28,0))</f>
        <v/>
      </c>
      <c r="D5" s="5">
        <f>INDEX('V_Döviz'!C$2:C$28,MATCH(LARGE('V_Döviz'!$AL$2:$AL$28,ROW()-3),'V_Döviz'!$AL$2:$AL$28,0))</f>
        <v/>
      </c>
      <c r="E5" s="8">
        <f>INDEX('V_Döviz'!D$2:D$28,MATCH(LARGE('V_Döviz'!$AL$2:$AL$28,ROW()-3),'V_Döviz'!$AL$2:$AL$28,0))</f>
        <v/>
      </c>
      <c r="F5" s="9">
        <f>INDEX('V_Döviz'!E$2:E$28,MATCH(LARGE('V_Döviz'!$AL$2:$AL$28,ROW()-3),'V_Döviz'!$AL$2:$AL$28,0))</f>
        <v/>
      </c>
      <c r="G5" s="9">
        <f>INDEX('V_Döviz'!F$2:F$28,MATCH(LARGE('V_Döviz'!$AL$2:$AL$28,ROW()-3),'V_Döviz'!$AL$2:$AL$28,0))</f>
        <v/>
      </c>
      <c r="H5" s="9">
        <f>INDEX('V_Döviz'!G$2:G$28,MATCH(LARGE('V_Döviz'!$AL$2:$AL$28,ROW()-3),'V_Döviz'!$AL$2:$AL$28,0))</f>
        <v/>
      </c>
      <c r="I5" s="9">
        <f>INDEX('V_Döviz'!H$2:H$28,MATCH(LARGE('V_Döviz'!$AL$2:$AL$28,ROW()-3),'V_Döviz'!$AL$2:$AL$28,0))</f>
        <v/>
      </c>
      <c r="J5" s="9">
        <f>INDEX('V_Döviz'!I$2:I$28,MATCH(LARGE('V_Döviz'!$AL$2:$AL$28,ROW()-3),'V_Döviz'!$AL$2:$AL$28,0))</f>
        <v/>
      </c>
      <c r="K5" s="9">
        <f>INDEX('V_Döviz'!J$2:J$28,MATCH(LARGE('V_Döviz'!$AL$2:$AL$28,ROW()-3),'V_Döviz'!$AL$2:$AL$28,0))</f>
        <v/>
      </c>
      <c r="L5" s="10">
        <f>INDEX('V_Döviz'!K$2:K$28,MATCH(LARGE('V_Döviz'!$AL$2:$AL$28,ROW()-3),'V_Döviz'!$AL$2:$AL$28,0))</f>
        <v/>
      </c>
      <c r="M5" s="10">
        <f>INDEX('V_Döviz'!L$2:L$28,MATCH(LARGE('V_Döviz'!$AL$2:$AL$28,ROW()-3),'V_Döviz'!$AL$2:$AL$28,0))</f>
        <v/>
      </c>
      <c r="N5" s="8">
        <f>INDEX('V_Döviz'!M$2:M$28,MATCH(LARGE('V_Döviz'!$AL$2:$AL$28,ROW()-3),'V_Döviz'!$AL$2:$AL$28,0))</f>
        <v/>
      </c>
      <c r="O5" s="11">
        <f>INDEX('V_Döviz'!N$2:N$28,MATCH(LARGE('V_Döviz'!$AL$2:$AL$28,ROW()-3),'V_Döviz'!$AL$2:$AL$28,0))</f>
        <v/>
      </c>
      <c r="P5" s="11">
        <f>INDEX('V_Döviz'!O$2:O$28,MATCH(LARGE('V_Döviz'!$AL$2:$AL$28,ROW()-3),'V_Döviz'!$AL$2:$AL$28,0))</f>
        <v/>
      </c>
      <c r="Q5" s="8">
        <f>INDEX('V_Döviz'!P$2:P$28,MATCH(LARGE('V_Döviz'!$AL$2:$AL$28,ROW()-3),'V_Döviz'!$AL$2:$AL$28,0))</f>
        <v/>
      </c>
      <c r="R5" s="9">
        <f>INDEX('V_Döviz'!Q$2:Q$28,MATCH(LARGE('V_Döviz'!$AL$2:$AL$28,ROW()-3),'V_Döviz'!$AL$2:$AL$28,0))</f>
        <v/>
      </c>
      <c r="S5" s="5">
        <f>INDEX('V_Döviz'!R$2:R$28,MATCH(LARGE('V_Döviz'!$AL$2:$AL$28,ROW()-3),'V_Döviz'!$AL$2:$AL$28,0))</f>
        <v/>
      </c>
      <c r="T5" s="8">
        <f>INDEX('V_Döviz'!S$2:S$28,MATCH(LARGE('V_Döviz'!$AL$2:$AL$28,ROW()-3),'V_Döviz'!$AL$2:$AL$28,0))</f>
        <v/>
      </c>
      <c r="U5" s="8">
        <f>INDEX('V_Döviz'!T$2:T$28,MATCH(LARGE('V_Döviz'!$AL$2:$AL$28,ROW()-3),'V_Döviz'!$AL$2:$AL$28,0))</f>
        <v/>
      </c>
      <c r="V5" s="8">
        <f>INDEX('V_Döviz'!U$2:U$28,MATCH(LARGE('V_Döviz'!$AL$2:$AL$28,ROW()-3),'V_Döviz'!$AL$2:$AL$28,0))</f>
        <v/>
      </c>
      <c r="W5" s="8">
        <f>INDEX('V_Döviz'!V$2:V$28,MATCH(LARGE('V_Döviz'!$AL$2:$AL$28,ROW()-3),'V_Döviz'!$AL$2:$AL$28,0))</f>
        <v/>
      </c>
      <c r="X5" s="8">
        <f>INDEX('V_Döviz'!W$2:W$28,MATCH(LARGE('V_Döviz'!$AL$2:$AL$28,ROW()-3),'V_Döviz'!$AL$2:$AL$28,0))</f>
        <v/>
      </c>
      <c r="Y5" s="8">
        <f>INDEX('V_Döviz'!X$2:X$28,MATCH(LARGE('V_Döviz'!$AL$2:$AL$28,ROW()-3),'V_Döviz'!$AL$2:$AL$28,0))</f>
        <v/>
      </c>
      <c r="Z5" s="8">
        <f>INDEX('V_Döviz'!Y$2:Y$28,MATCH(LARGE('V_Döviz'!$AL$2:$AL$28,ROW()-3),'V_Döviz'!$AL$2:$AL$28,0))</f>
        <v/>
      </c>
      <c r="AA5" s="8">
        <f>INDEX('V_Döviz'!Z$2:Z$28,MATCH(LARGE('V_Döviz'!$AL$2:$AL$28,ROW()-3),'V_Döviz'!$AL$2:$AL$28,0))</f>
        <v/>
      </c>
      <c r="AB5" s="8">
        <f>INDEX('V_Döviz'!AA$2:AA$28,MATCH(LARGE('V_Döviz'!$AL$2:$AL$28,ROW()-3),'V_Döviz'!$AL$2:$AL$28,0))</f>
        <v/>
      </c>
      <c r="AC5" s="8">
        <f>INDEX('V_Döviz'!AB$2:AB$28,MATCH(LARGE('V_Döviz'!$AL$2:$AL$28,ROW()-3),'V_Döviz'!$AL$2:$AL$28,0))</f>
        <v/>
      </c>
      <c r="AD5" s="8">
        <f>INDEX('V_Döviz'!AC$2:AC$28,MATCH(LARGE('V_Döviz'!$AL$2:$AL$28,ROW()-3),'V_Döviz'!$AL$2:$AL$28,0))</f>
        <v/>
      </c>
      <c r="AE5" s="8">
        <f>INDEX('V_Döviz'!AD$2:AD$28,MATCH(LARGE('V_Döviz'!$AL$2:$AL$28,ROW()-3),'V_Döviz'!$AL$2:$AL$28,0))</f>
        <v/>
      </c>
      <c r="AF5" s="9">
        <f>INDEX('V_Döviz'!AE$2:AE$28,MATCH(LARGE('V_Döviz'!$AL$2:$AL$28,ROW()-3),'V_Döviz'!$AL$2:$AL$28,0))</f>
        <v/>
      </c>
      <c r="AG5" s="9">
        <f>INDEX('V_Döviz'!AF$2:AF$28,MATCH(LARGE('V_Döviz'!$AL$2:$AL$28,ROW()-3),'V_Döviz'!$AL$2:$AL$28,0))</f>
        <v/>
      </c>
      <c r="AH5" s="9">
        <f>INDEX('V_Döviz'!AG$2:AG$28,MATCH(LARGE('V_Döviz'!$AL$2:$AL$28,ROW()-3),'V_Döviz'!$AL$2:$AL$28,0))</f>
        <v/>
      </c>
      <c r="AI5" s="9">
        <f>INDEX('V_Döviz'!AH$2:AH$28,MATCH(LARGE('V_Döviz'!$AL$2:$AL$28,ROW()-3),'V_Döviz'!$AL$2:$AL$28,0))</f>
        <v/>
      </c>
      <c r="AJ5" s="9">
        <f>INDEX('V_Döviz'!AI$2:AI$28,MATCH(LARGE('V_Döviz'!$AL$2:$AL$28,ROW()-3),'V_Döviz'!$AL$2:$AL$28,0))</f>
        <v/>
      </c>
      <c r="AK5" s="9">
        <f>INDEX('V_Döviz'!AJ$2:AJ$28,MATCH(LARGE('V_Döviz'!$AL$2:$AL$28,ROW()-3),'V_Döviz'!$AL$2:$AL$28,0))</f>
        <v/>
      </c>
    </row>
    <row r="6">
      <c r="A6" t="n">
        <v>3</v>
      </c>
      <c r="B6" s="5">
        <f>INDEX('V_Döviz'!A$2:A$28,MATCH(LARGE('V_Döviz'!$AL$2:$AL$28,ROW()-3),'V_Döviz'!$AL$2:$AL$28,0))</f>
        <v/>
      </c>
      <c r="C6" s="5">
        <f>INDEX('V_Döviz'!B$2:B$28,MATCH(LARGE('V_Döviz'!$AL$2:$AL$28,ROW()-3),'V_Döviz'!$AL$2:$AL$28,0))</f>
        <v/>
      </c>
      <c r="D6" s="5">
        <f>INDEX('V_Döviz'!C$2:C$28,MATCH(LARGE('V_Döviz'!$AL$2:$AL$28,ROW()-3),'V_Döviz'!$AL$2:$AL$28,0))</f>
        <v/>
      </c>
      <c r="E6" s="8">
        <f>INDEX('V_Döviz'!D$2:D$28,MATCH(LARGE('V_Döviz'!$AL$2:$AL$28,ROW()-3),'V_Döviz'!$AL$2:$AL$28,0))</f>
        <v/>
      </c>
      <c r="F6" s="9">
        <f>INDEX('V_Döviz'!E$2:E$28,MATCH(LARGE('V_Döviz'!$AL$2:$AL$28,ROW()-3),'V_Döviz'!$AL$2:$AL$28,0))</f>
        <v/>
      </c>
      <c r="G6" s="9">
        <f>INDEX('V_Döviz'!F$2:F$28,MATCH(LARGE('V_Döviz'!$AL$2:$AL$28,ROW()-3),'V_Döviz'!$AL$2:$AL$28,0))</f>
        <v/>
      </c>
      <c r="H6" s="9">
        <f>INDEX('V_Döviz'!G$2:G$28,MATCH(LARGE('V_Döviz'!$AL$2:$AL$28,ROW()-3),'V_Döviz'!$AL$2:$AL$28,0))</f>
        <v/>
      </c>
      <c r="I6" s="9">
        <f>INDEX('V_Döviz'!H$2:H$28,MATCH(LARGE('V_Döviz'!$AL$2:$AL$28,ROW()-3),'V_Döviz'!$AL$2:$AL$28,0))</f>
        <v/>
      </c>
      <c r="J6" s="9">
        <f>INDEX('V_Döviz'!I$2:I$28,MATCH(LARGE('V_Döviz'!$AL$2:$AL$28,ROW()-3),'V_Döviz'!$AL$2:$AL$28,0))</f>
        <v/>
      </c>
      <c r="K6" s="9">
        <f>INDEX('V_Döviz'!J$2:J$28,MATCH(LARGE('V_Döviz'!$AL$2:$AL$28,ROW()-3),'V_Döviz'!$AL$2:$AL$28,0))</f>
        <v/>
      </c>
      <c r="L6" s="10">
        <f>INDEX('V_Döviz'!K$2:K$28,MATCH(LARGE('V_Döviz'!$AL$2:$AL$28,ROW()-3),'V_Döviz'!$AL$2:$AL$28,0))</f>
        <v/>
      </c>
      <c r="M6" s="10">
        <f>INDEX('V_Döviz'!L$2:L$28,MATCH(LARGE('V_Döviz'!$AL$2:$AL$28,ROW()-3),'V_Döviz'!$AL$2:$AL$28,0))</f>
        <v/>
      </c>
      <c r="N6" s="8">
        <f>INDEX('V_Döviz'!M$2:M$28,MATCH(LARGE('V_Döviz'!$AL$2:$AL$28,ROW()-3),'V_Döviz'!$AL$2:$AL$28,0))</f>
        <v/>
      </c>
      <c r="O6" s="11">
        <f>INDEX('V_Döviz'!N$2:N$28,MATCH(LARGE('V_Döviz'!$AL$2:$AL$28,ROW()-3),'V_Döviz'!$AL$2:$AL$28,0))</f>
        <v/>
      </c>
      <c r="P6" s="11">
        <f>INDEX('V_Döviz'!O$2:O$28,MATCH(LARGE('V_Döviz'!$AL$2:$AL$28,ROW()-3),'V_Döviz'!$AL$2:$AL$28,0))</f>
        <v/>
      </c>
      <c r="Q6" s="8">
        <f>INDEX('V_Döviz'!P$2:P$28,MATCH(LARGE('V_Döviz'!$AL$2:$AL$28,ROW()-3),'V_Döviz'!$AL$2:$AL$28,0))</f>
        <v/>
      </c>
      <c r="R6" s="9">
        <f>INDEX('V_Döviz'!Q$2:Q$28,MATCH(LARGE('V_Döviz'!$AL$2:$AL$28,ROW()-3),'V_Döviz'!$AL$2:$AL$28,0))</f>
        <v/>
      </c>
      <c r="S6" s="5">
        <f>INDEX('V_Döviz'!R$2:R$28,MATCH(LARGE('V_Döviz'!$AL$2:$AL$28,ROW()-3),'V_Döviz'!$AL$2:$AL$28,0))</f>
        <v/>
      </c>
      <c r="T6" s="8">
        <f>INDEX('V_Döviz'!S$2:S$28,MATCH(LARGE('V_Döviz'!$AL$2:$AL$28,ROW()-3),'V_Döviz'!$AL$2:$AL$28,0))</f>
        <v/>
      </c>
      <c r="U6" s="8">
        <f>INDEX('V_Döviz'!T$2:T$28,MATCH(LARGE('V_Döviz'!$AL$2:$AL$28,ROW()-3),'V_Döviz'!$AL$2:$AL$28,0))</f>
        <v/>
      </c>
      <c r="V6" s="8">
        <f>INDEX('V_Döviz'!U$2:U$28,MATCH(LARGE('V_Döviz'!$AL$2:$AL$28,ROW()-3),'V_Döviz'!$AL$2:$AL$28,0))</f>
        <v/>
      </c>
      <c r="W6" s="8">
        <f>INDEX('V_Döviz'!V$2:V$28,MATCH(LARGE('V_Döviz'!$AL$2:$AL$28,ROW()-3),'V_Döviz'!$AL$2:$AL$28,0))</f>
        <v/>
      </c>
      <c r="X6" s="8">
        <f>INDEX('V_Döviz'!W$2:W$28,MATCH(LARGE('V_Döviz'!$AL$2:$AL$28,ROW()-3),'V_Döviz'!$AL$2:$AL$28,0))</f>
        <v/>
      </c>
      <c r="Y6" s="8">
        <f>INDEX('V_Döviz'!X$2:X$28,MATCH(LARGE('V_Döviz'!$AL$2:$AL$28,ROW()-3),'V_Döviz'!$AL$2:$AL$28,0))</f>
        <v/>
      </c>
      <c r="Z6" s="8">
        <f>INDEX('V_Döviz'!Y$2:Y$28,MATCH(LARGE('V_Döviz'!$AL$2:$AL$28,ROW()-3),'V_Döviz'!$AL$2:$AL$28,0))</f>
        <v/>
      </c>
      <c r="AA6" s="8">
        <f>INDEX('V_Döviz'!Z$2:Z$28,MATCH(LARGE('V_Döviz'!$AL$2:$AL$28,ROW()-3),'V_Döviz'!$AL$2:$AL$28,0))</f>
        <v/>
      </c>
      <c r="AB6" s="8">
        <f>INDEX('V_Döviz'!AA$2:AA$28,MATCH(LARGE('V_Döviz'!$AL$2:$AL$28,ROW()-3),'V_Döviz'!$AL$2:$AL$28,0))</f>
        <v/>
      </c>
      <c r="AC6" s="8">
        <f>INDEX('V_Döviz'!AB$2:AB$28,MATCH(LARGE('V_Döviz'!$AL$2:$AL$28,ROW()-3),'V_Döviz'!$AL$2:$AL$28,0))</f>
        <v/>
      </c>
      <c r="AD6" s="8">
        <f>INDEX('V_Döviz'!AC$2:AC$28,MATCH(LARGE('V_Döviz'!$AL$2:$AL$28,ROW()-3),'V_Döviz'!$AL$2:$AL$28,0))</f>
        <v/>
      </c>
      <c r="AE6" s="8">
        <f>INDEX('V_Döviz'!AD$2:AD$28,MATCH(LARGE('V_Döviz'!$AL$2:$AL$28,ROW()-3),'V_Döviz'!$AL$2:$AL$28,0))</f>
        <v/>
      </c>
      <c r="AF6" s="9">
        <f>INDEX('V_Döviz'!AE$2:AE$28,MATCH(LARGE('V_Döviz'!$AL$2:$AL$28,ROW()-3),'V_Döviz'!$AL$2:$AL$28,0))</f>
        <v/>
      </c>
      <c r="AG6" s="9">
        <f>INDEX('V_Döviz'!AF$2:AF$28,MATCH(LARGE('V_Döviz'!$AL$2:$AL$28,ROW()-3),'V_Döviz'!$AL$2:$AL$28,0))</f>
        <v/>
      </c>
      <c r="AH6" s="9">
        <f>INDEX('V_Döviz'!AG$2:AG$28,MATCH(LARGE('V_Döviz'!$AL$2:$AL$28,ROW()-3),'V_Döviz'!$AL$2:$AL$28,0))</f>
        <v/>
      </c>
      <c r="AI6" s="9">
        <f>INDEX('V_Döviz'!AH$2:AH$28,MATCH(LARGE('V_Döviz'!$AL$2:$AL$28,ROW()-3),'V_Döviz'!$AL$2:$AL$28,0))</f>
        <v/>
      </c>
      <c r="AJ6" s="9">
        <f>INDEX('V_Döviz'!AI$2:AI$28,MATCH(LARGE('V_Döviz'!$AL$2:$AL$28,ROW()-3),'V_Döviz'!$AL$2:$AL$28,0))</f>
        <v/>
      </c>
      <c r="AK6" s="9">
        <f>INDEX('V_Döviz'!AJ$2:AJ$28,MATCH(LARGE('V_Döviz'!$AL$2:$AL$28,ROW()-3),'V_Döviz'!$AL$2:$AL$28,0))</f>
        <v/>
      </c>
    </row>
    <row r="7">
      <c r="A7" t="n">
        <v>4</v>
      </c>
      <c r="B7" s="5">
        <f>INDEX('V_Döviz'!A$2:A$28,MATCH(LARGE('V_Döviz'!$AL$2:$AL$28,ROW()-3),'V_Döviz'!$AL$2:$AL$28,0))</f>
        <v/>
      </c>
      <c r="C7" s="5">
        <f>INDEX('V_Döviz'!B$2:B$28,MATCH(LARGE('V_Döviz'!$AL$2:$AL$28,ROW()-3),'V_Döviz'!$AL$2:$AL$28,0))</f>
        <v/>
      </c>
      <c r="D7" s="5">
        <f>INDEX('V_Döviz'!C$2:C$28,MATCH(LARGE('V_Döviz'!$AL$2:$AL$28,ROW()-3),'V_Döviz'!$AL$2:$AL$28,0))</f>
        <v/>
      </c>
      <c r="E7" s="8">
        <f>INDEX('V_Döviz'!D$2:D$28,MATCH(LARGE('V_Döviz'!$AL$2:$AL$28,ROW()-3),'V_Döviz'!$AL$2:$AL$28,0))</f>
        <v/>
      </c>
      <c r="F7" s="9">
        <f>INDEX('V_Döviz'!E$2:E$28,MATCH(LARGE('V_Döviz'!$AL$2:$AL$28,ROW()-3),'V_Döviz'!$AL$2:$AL$28,0))</f>
        <v/>
      </c>
      <c r="G7" s="9">
        <f>INDEX('V_Döviz'!F$2:F$28,MATCH(LARGE('V_Döviz'!$AL$2:$AL$28,ROW()-3),'V_Döviz'!$AL$2:$AL$28,0))</f>
        <v/>
      </c>
      <c r="H7" s="9">
        <f>INDEX('V_Döviz'!G$2:G$28,MATCH(LARGE('V_Döviz'!$AL$2:$AL$28,ROW()-3),'V_Döviz'!$AL$2:$AL$28,0))</f>
        <v/>
      </c>
      <c r="I7" s="9">
        <f>INDEX('V_Döviz'!H$2:H$28,MATCH(LARGE('V_Döviz'!$AL$2:$AL$28,ROW()-3),'V_Döviz'!$AL$2:$AL$28,0))</f>
        <v/>
      </c>
      <c r="J7" s="9">
        <f>INDEX('V_Döviz'!I$2:I$28,MATCH(LARGE('V_Döviz'!$AL$2:$AL$28,ROW()-3),'V_Döviz'!$AL$2:$AL$28,0))</f>
        <v/>
      </c>
      <c r="K7" s="9">
        <f>INDEX('V_Döviz'!J$2:J$28,MATCH(LARGE('V_Döviz'!$AL$2:$AL$28,ROW()-3),'V_Döviz'!$AL$2:$AL$28,0))</f>
        <v/>
      </c>
      <c r="L7" s="10">
        <f>INDEX('V_Döviz'!K$2:K$28,MATCH(LARGE('V_Döviz'!$AL$2:$AL$28,ROW()-3),'V_Döviz'!$AL$2:$AL$28,0))</f>
        <v/>
      </c>
      <c r="M7" s="10">
        <f>INDEX('V_Döviz'!L$2:L$28,MATCH(LARGE('V_Döviz'!$AL$2:$AL$28,ROW()-3),'V_Döviz'!$AL$2:$AL$28,0))</f>
        <v/>
      </c>
      <c r="N7" s="8">
        <f>INDEX('V_Döviz'!M$2:M$28,MATCH(LARGE('V_Döviz'!$AL$2:$AL$28,ROW()-3),'V_Döviz'!$AL$2:$AL$28,0))</f>
        <v/>
      </c>
      <c r="O7" s="11">
        <f>INDEX('V_Döviz'!N$2:N$28,MATCH(LARGE('V_Döviz'!$AL$2:$AL$28,ROW()-3),'V_Döviz'!$AL$2:$AL$28,0))</f>
        <v/>
      </c>
      <c r="P7" s="11">
        <f>INDEX('V_Döviz'!O$2:O$28,MATCH(LARGE('V_Döviz'!$AL$2:$AL$28,ROW()-3),'V_Döviz'!$AL$2:$AL$28,0))</f>
        <v/>
      </c>
      <c r="Q7" s="8">
        <f>INDEX('V_Döviz'!P$2:P$28,MATCH(LARGE('V_Döviz'!$AL$2:$AL$28,ROW()-3),'V_Döviz'!$AL$2:$AL$28,0))</f>
        <v/>
      </c>
      <c r="R7" s="9">
        <f>INDEX('V_Döviz'!Q$2:Q$28,MATCH(LARGE('V_Döviz'!$AL$2:$AL$28,ROW()-3),'V_Döviz'!$AL$2:$AL$28,0))</f>
        <v/>
      </c>
      <c r="S7" s="5">
        <f>INDEX('V_Döviz'!R$2:R$28,MATCH(LARGE('V_Döviz'!$AL$2:$AL$28,ROW()-3),'V_Döviz'!$AL$2:$AL$28,0))</f>
        <v/>
      </c>
      <c r="T7" s="8">
        <f>INDEX('V_Döviz'!S$2:S$28,MATCH(LARGE('V_Döviz'!$AL$2:$AL$28,ROW()-3),'V_Döviz'!$AL$2:$AL$28,0))</f>
        <v/>
      </c>
      <c r="U7" s="8">
        <f>INDEX('V_Döviz'!T$2:T$28,MATCH(LARGE('V_Döviz'!$AL$2:$AL$28,ROW()-3),'V_Döviz'!$AL$2:$AL$28,0))</f>
        <v/>
      </c>
      <c r="V7" s="8">
        <f>INDEX('V_Döviz'!U$2:U$28,MATCH(LARGE('V_Döviz'!$AL$2:$AL$28,ROW()-3),'V_Döviz'!$AL$2:$AL$28,0))</f>
        <v/>
      </c>
      <c r="W7" s="8">
        <f>INDEX('V_Döviz'!V$2:V$28,MATCH(LARGE('V_Döviz'!$AL$2:$AL$28,ROW()-3),'V_Döviz'!$AL$2:$AL$28,0))</f>
        <v/>
      </c>
      <c r="X7" s="8">
        <f>INDEX('V_Döviz'!W$2:W$28,MATCH(LARGE('V_Döviz'!$AL$2:$AL$28,ROW()-3),'V_Döviz'!$AL$2:$AL$28,0))</f>
        <v/>
      </c>
      <c r="Y7" s="8">
        <f>INDEX('V_Döviz'!X$2:X$28,MATCH(LARGE('V_Döviz'!$AL$2:$AL$28,ROW()-3),'V_Döviz'!$AL$2:$AL$28,0))</f>
        <v/>
      </c>
      <c r="Z7" s="8">
        <f>INDEX('V_Döviz'!Y$2:Y$28,MATCH(LARGE('V_Döviz'!$AL$2:$AL$28,ROW()-3),'V_Döviz'!$AL$2:$AL$28,0))</f>
        <v/>
      </c>
      <c r="AA7" s="8">
        <f>INDEX('V_Döviz'!Z$2:Z$28,MATCH(LARGE('V_Döviz'!$AL$2:$AL$28,ROW()-3),'V_Döviz'!$AL$2:$AL$28,0))</f>
        <v/>
      </c>
      <c r="AB7" s="8">
        <f>INDEX('V_Döviz'!AA$2:AA$28,MATCH(LARGE('V_Döviz'!$AL$2:$AL$28,ROW()-3),'V_Döviz'!$AL$2:$AL$28,0))</f>
        <v/>
      </c>
      <c r="AC7" s="8">
        <f>INDEX('V_Döviz'!AB$2:AB$28,MATCH(LARGE('V_Döviz'!$AL$2:$AL$28,ROW()-3),'V_Döviz'!$AL$2:$AL$28,0))</f>
        <v/>
      </c>
      <c r="AD7" s="8">
        <f>INDEX('V_Döviz'!AC$2:AC$28,MATCH(LARGE('V_Döviz'!$AL$2:$AL$28,ROW()-3),'V_Döviz'!$AL$2:$AL$28,0))</f>
        <v/>
      </c>
      <c r="AE7" s="8">
        <f>INDEX('V_Döviz'!AD$2:AD$28,MATCH(LARGE('V_Döviz'!$AL$2:$AL$28,ROW()-3),'V_Döviz'!$AL$2:$AL$28,0))</f>
        <v/>
      </c>
      <c r="AF7" s="9">
        <f>INDEX('V_Döviz'!AE$2:AE$28,MATCH(LARGE('V_Döviz'!$AL$2:$AL$28,ROW()-3),'V_Döviz'!$AL$2:$AL$28,0))</f>
        <v/>
      </c>
      <c r="AG7" s="9">
        <f>INDEX('V_Döviz'!AF$2:AF$28,MATCH(LARGE('V_Döviz'!$AL$2:$AL$28,ROW()-3),'V_Döviz'!$AL$2:$AL$28,0))</f>
        <v/>
      </c>
      <c r="AH7" s="9">
        <f>INDEX('V_Döviz'!AG$2:AG$28,MATCH(LARGE('V_Döviz'!$AL$2:$AL$28,ROW()-3),'V_Döviz'!$AL$2:$AL$28,0))</f>
        <v/>
      </c>
      <c r="AI7" s="9">
        <f>INDEX('V_Döviz'!AH$2:AH$28,MATCH(LARGE('V_Döviz'!$AL$2:$AL$28,ROW()-3),'V_Döviz'!$AL$2:$AL$28,0))</f>
        <v/>
      </c>
      <c r="AJ7" s="9">
        <f>INDEX('V_Döviz'!AI$2:AI$28,MATCH(LARGE('V_Döviz'!$AL$2:$AL$28,ROW()-3),'V_Döviz'!$AL$2:$AL$28,0))</f>
        <v/>
      </c>
      <c r="AK7" s="9">
        <f>INDEX('V_Döviz'!AJ$2:AJ$28,MATCH(LARGE('V_Döviz'!$AL$2:$AL$28,ROW()-3),'V_Döviz'!$AL$2:$AL$28,0))</f>
        <v/>
      </c>
    </row>
    <row r="8">
      <c r="A8" t="n">
        <v>5</v>
      </c>
      <c r="B8" s="5">
        <f>INDEX('V_Döviz'!A$2:A$28,MATCH(LARGE('V_Döviz'!$AL$2:$AL$28,ROW()-3),'V_Döviz'!$AL$2:$AL$28,0))</f>
        <v/>
      </c>
      <c r="C8" s="5">
        <f>INDEX('V_Döviz'!B$2:B$28,MATCH(LARGE('V_Döviz'!$AL$2:$AL$28,ROW()-3),'V_Döviz'!$AL$2:$AL$28,0))</f>
        <v/>
      </c>
      <c r="D8" s="5">
        <f>INDEX('V_Döviz'!C$2:C$28,MATCH(LARGE('V_Döviz'!$AL$2:$AL$28,ROW()-3),'V_Döviz'!$AL$2:$AL$28,0))</f>
        <v/>
      </c>
      <c r="E8" s="8">
        <f>INDEX('V_Döviz'!D$2:D$28,MATCH(LARGE('V_Döviz'!$AL$2:$AL$28,ROW()-3),'V_Döviz'!$AL$2:$AL$28,0))</f>
        <v/>
      </c>
      <c r="F8" s="9">
        <f>INDEX('V_Döviz'!E$2:E$28,MATCH(LARGE('V_Döviz'!$AL$2:$AL$28,ROW()-3),'V_Döviz'!$AL$2:$AL$28,0))</f>
        <v/>
      </c>
      <c r="G8" s="9">
        <f>INDEX('V_Döviz'!F$2:F$28,MATCH(LARGE('V_Döviz'!$AL$2:$AL$28,ROW()-3),'V_Döviz'!$AL$2:$AL$28,0))</f>
        <v/>
      </c>
      <c r="H8" s="9">
        <f>INDEX('V_Döviz'!G$2:G$28,MATCH(LARGE('V_Döviz'!$AL$2:$AL$28,ROW()-3),'V_Döviz'!$AL$2:$AL$28,0))</f>
        <v/>
      </c>
      <c r="I8" s="9">
        <f>INDEX('V_Döviz'!H$2:H$28,MATCH(LARGE('V_Döviz'!$AL$2:$AL$28,ROW()-3),'V_Döviz'!$AL$2:$AL$28,0))</f>
        <v/>
      </c>
      <c r="J8" s="9">
        <f>INDEX('V_Döviz'!I$2:I$28,MATCH(LARGE('V_Döviz'!$AL$2:$AL$28,ROW()-3),'V_Döviz'!$AL$2:$AL$28,0))</f>
        <v/>
      </c>
      <c r="K8" s="9">
        <f>INDEX('V_Döviz'!J$2:J$28,MATCH(LARGE('V_Döviz'!$AL$2:$AL$28,ROW()-3),'V_Döviz'!$AL$2:$AL$28,0))</f>
        <v/>
      </c>
      <c r="L8" s="10">
        <f>INDEX('V_Döviz'!K$2:K$28,MATCH(LARGE('V_Döviz'!$AL$2:$AL$28,ROW()-3),'V_Döviz'!$AL$2:$AL$28,0))</f>
        <v/>
      </c>
      <c r="M8" s="10">
        <f>INDEX('V_Döviz'!L$2:L$28,MATCH(LARGE('V_Döviz'!$AL$2:$AL$28,ROW()-3),'V_Döviz'!$AL$2:$AL$28,0))</f>
        <v/>
      </c>
      <c r="N8" s="8">
        <f>INDEX('V_Döviz'!M$2:M$28,MATCH(LARGE('V_Döviz'!$AL$2:$AL$28,ROW()-3),'V_Döviz'!$AL$2:$AL$28,0))</f>
        <v/>
      </c>
      <c r="O8" s="11">
        <f>INDEX('V_Döviz'!N$2:N$28,MATCH(LARGE('V_Döviz'!$AL$2:$AL$28,ROW()-3),'V_Döviz'!$AL$2:$AL$28,0))</f>
        <v/>
      </c>
      <c r="P8" s="11">
        <f>INDEX('V_Döviz'!O$2:O$28,MATCH(LARGE('V_Döviz'!$AL$2:$AL$28,ROW()-3),'V_Döviz'!$AL$2:$AL$28,0))</f>
        <v/>
      </c>
      <c r="Q8" s="8">
        <f>INDEX('V_Döviz'!P$2:P$28,MATCH(LARGE('V_Döviz'!$AL$2:$AL$28,ROW()-3),'V_Döviz'!$AL$2:$AL$28,0))</f>
        <v/>
      </c>
      <c r="R8" s="9">
        <f>INDEX('V_Döviz'!Q$2:Q$28,MATCH(LARGE('V_Döviz'!$AL$2:$AL$28,ROW()-3),'V_Döviz'!$AL$2:$AL$28,0))</f>
        <v/>
      </c>
      <c r="S8" s="5">
        <f>INDEX('V_Döviz'!R$2:R$28,MATCH(LARGE('V_Döviz'!$AL$2:$AL$28,ROW()-3),'V_Döviz'!$AL$2:$AL$28,0))</f>
        <v/>
      </c>
      <c r="T8" s="8">
        <f>INDEX('V_Döviz'!S$2:S$28,MATCH(LARGE('V_Döviz'!$AL$2:$AL$28,ROW()-3),'V_Döviz'!$AL$2:$AL$28,0))</f>
        <v/>
      </c>
      <c r="U8" s="8">
        <f>INDEX('V_Döviz'!T$2:T$28,MATCH(LARGE('V_Döviz'!$AL$2:$AL$28,ROW()-3),'V_Döviz'!$AL$2:$AL$28,0))</f>
        <v/>
      </c>
      <c r="V8" s="8">
        <f>INDEX('V_Döviz'!U$2:U$28,MATCH(LARGE('V_Döviz'!$AL$2:$AL$28,ROW()-3),'V_Döviz'!$AL$2:$AL$28,0))</f>
        <v/>
      </c>
      <c r="W8" s="8">
        <f>INDEX('V_Döviz'!V$2:V$28,MATCH(LARGE('V_Döviz'!$AL$2:$AL$28,ROW()-3),'V_Döviz'!$AL$2:$AL$28,0))</f>
        <v/>
      </c>
      <c r="X8" s="8">
        <f>INDEX('V_Döviz'!W$2:W$28,MATCH(LARGE('V_Döviz'!$AL$2:$AL$28,ROW()-3),'V_Döviz'!$AL$2:$AL$28,0))</f>
        <v/>
      </c>
      <c r="Y8" s="8">
        <f>INDEX('V_Döviz'!X$2:X$28,MATCH(LARGE('V_Döviz'!$AL$2:$AL$28,ROW()-3),'V_Döviz'!$AL$2:$AL$28,0))</f>
        <v/>
      </c>
      <c r="Z8" s="8">
        <f>INDEX('V_Döviz'!Y$2:Y$28,MATCH(LARGE('V_Döviz'!$AL$2:$AL$28,ROW()-3),'V_Döviz'!$AL$2:$AL$28,0))</f>
        <v/>
      </c>
      <c r="AA8" s="8">
        <f>INDEX('V_Döviz'!Z$2:Z$28,MATCH(LARGE('V_Döviz'!$AL$2:$AL$28,ROW()-3),'V_Döviz'!$AL$2:$AL$28,0))</f>
        <v/>
      </c>
      <c r="AB8" s="8">
        <f>INDEX('V_Döviz'!AA$2:AA$28,MATCH(LARGE('V_Döviz'!$AL$2:$AL$28,ROW()-3),'V_Döviz'!$AL$2:$AL$28,0))</f>
        <v/>
      </c>
      <c r="AC8" s="8">
        <f>INDEX('V_Döviz'!AB$2:AB$28,MATCH(LARGE('V_Döviz'!$AL$2:$AL$28,ROW()-3),'V_Döviz'!$AL$2:$AL$28,0))</f>
        <v/>
      </c>
      <c r="AD8" s="8">
        <f>INDEX('V_Döviz'!AC$2:AC$28,MATCH(LARGE('V_Döviz'!$AL$2:$AL$28,ROW()-3),'V_Döviz'!$AL$2:$AL$28,0))</f>
        <v/>
      </c>
      <c r="AE8" s="8">
        <f>INDEX('V_Döviz'!AD$2:AD$28,MATCH(LARGE('V_Döviz'!$AL$2:$AL$28,ROW()-3),'V_Döviz'!$AL$2:$AL$28,0))</f>
        <v/>
      </c>
      <c r="AF8" s="9">
        <f>INDEX('V_Döviz'!AE$2:AE$28,MATCH(LARGE('V_Döviz'!$AL$2:$AL$28,ROW()-3),'V_Döviz'!$AL$2:$AL$28,0))</f>
        <v/>
      </c>
      <c r="AG8" s="9">
        <f>INDEX('V_Döviz'!AF$2:AF$28,MATCH(LARGE('V_Döviz'!$AL$2:$AL$28,ROW()-3),'V_Döviz'!$AL$2:$AL$28,0))</f>
        <v/>
      </c>
      <c r="AH8" s="9">
        <f>INDEX('V_Döviz'!AG$2:AG$28,MATCH(LARGE('V_Döviz'!$AL$2:$AL$28,ROW()-3),'V_Döviz'!$AL$2:$AL$28,0))</f>
        <v/>
      </c>
      <c r="AI8" s="9">
        <f>INDEX('V_Döviz'!AH$2:AH$28,MATCH(LARGE('V_Döviz'!$AL$2:$AL$28,ROW()-3),'V_Döviz'!$AL$2:$AL$28,0))</f>
        <v/>
      </c>
      <c r="AJ8" s="9">
        <f>INDEX('V_Döviz'!AI$2:AI$28,MATCH(LARGE('V_Döviz'!$AL$2:$AL$28,ROW()-3),'V_Döviz'!$AL$2:$AL$28,0))</f>
        <v/>
      </c>
      <c r="AK8" s="9">
        <f>INDEX('V_Döviz'!AJ$2:AJ$28,MATCH(LARGE('V_Döviz'!$AL$2:$AL$28,ROW()-3),'V_Döviz'!$AL$2:$AL$28,0))</f>
        <v/>
      </c>
    </row>
    <row r="9">
      <c r="A9" t="n">
        <v>6</v>
      </c>
      <c r="B9" s="5">
        <f>INDEX('V_Döviz'!A$2:A$28,MATCH(LARGE('V_Döviz'!$AL$2:$AL$28,ROW()-3),'V_Döviz'!$AL$2:$AL$28,0))</f>
        <v/>
      </c>
      <c r="C9" s="5">
        <f>INDEX('V_Döviz'!B$2:B$28,MATCH(LARGE('V_Döviz'!$AL$2:$AL$28,ROW()-3),'V_Döviz'!$AL$2:$AL$28,0))</f>
        <v/>
      </c>
      <c r="D9" s="5">
        <f>INDEX('V_Döviz'!C$2:C$28,MATCH(LARGE('V_Döviz'!$AL$2:$AL$28,ROW()-3),'V_Döviz'!$AL$2:$AL$28,0))</f>
        <v/>
      </c>
      <c r="E9" s="8">
        <f>INDEX('V_Döviz'!D$2:D$28,MATCH(LARGE('V_Döviz'!$AL$2:$AL$28,ROW()-3),'V_Döviz'!$AL$2:$AL$28,0))</f>
        <v/>
      </c>
      <c r="F9" s="9">
        <f>INDEX('V_Döviz'!E$2:E$28,MATCH(LARGE('V_Döviz'!$AL$2:$AL$28,ROW()-3),'V_Döviz'!$AL$2:$AL$28,0))</f>
        <v/>
      </c>
      <c r="G9" s="9">
        <f>INDEX('V_Döviz'!F$2:F$28,MATCH(LARGE('V_Döviz'!$AL$2:$AL$28,ROW()-3),'V_Döviz'!$AL$2:$AL$28,0))</f>
        <v/>
      </c>
      <c r="H9" s="9">
        <f>INDEX('V_Döviz'!G$2:G$28,MATCH(LARGE('V_Döviz'!$AL$2:$AL$28,ROW()-3),'V_Döviz'!$AL$2:$AL$28,0))</f>
        <v/>
      </c>
      <c r="I9" s="9">
        <f>INDEX('V_Döviz'!H$2:H$28,MATCH(LARGE('V_Döviz'!$AL$2:$AL$28,ROW()-3),'V_Döviz'!$AL$2:$AL$28,0))</f>
        <v/>
      </c>
      <c r="J9" s="9">
        <f>INDEX('V_Döviz'!I$2:I$28,MATCH(LARGE('V_Döviz'!$AL$2:$AL$28,ROW()-3),'V_Döviz'!$AL$2:$AL$28,0))</f>
        <v/>
      </c>
      <c r="K9" s="9">
        <f>INDEX('V_Döviz'!J$2:J$28,MATCH(LARGE('V_Döviz'!$AL$2:$AL$28,ROW()-3),'V_Döviz'!$AL$2:$AL$28,0))</f>
        <v/>
      </c>
      <c r="L9" s="10">
        <f>INDEX('V_Döviz'!K$2:K$28,MATCH(LARGE('V_Döviz'!$AL$2:$AL$28,ROW()-3),'V_Döviz'!$AL$2:$AL$28,0))</f>
        <v/>
      </c>
      <c r="M9" s="10">
        <f>INDEX('V_Döviz'!L$2:L$28,MATCH(LARGE('V_Döviz'!$AL$2:$AL$28,ROW()-3),'V_Döviz'!$AL$2:$AL$28,0))</f>
        <v/>
      </c>
      <c r="N9" s="8">
        <f>INDEX('V_Döviz'!M$2:M$28,MATCH(LARGE('V_Döviz'!$AL$2:$AL$28,ROW()-3),'V_Döviz'!$AL$2:$AL$28,0))</f>
        <v/>
      </c>
      <c r="O9" s="11">
        <f>INDEX('V_Döviz'!N$2:N$28,MATCH(LARGE('V_Döviz'!$AL$2:$AL$28,ROW()-3),'V_Döviz'!$AL$2:$AL$28,0))</f>
        <v/>
      </c>
      <c r="P9" s="11">
        <f>INDEX('V_Döviz'!O$2:O$28,MATCH(LARGE('V_Döviz'!$AL$2:$AL$28,ROW()-3),'V_Döviz'!$AL$2:$AL$28,0))</f>
        <v/>
      </c>
      <c r="Q9" s="8">
        <f>INDEX('V_Döviz'!P$2:P$28,MATCH(LARGE('V_Döviz'!$AL$2:$AL$28,ROW()-3),'V_Döviz'!$AL$2:$AL$28,0))</f>
        <v/>
      </c>
      <c r="R9" s="9">
        <f>INDEX('V_Döviz'!Q$2:Q$28,MATCH(LARGE('V_Döviz'!$AL$2:$AL$28,ROW()-3),'V_Döviz'!$AL$2:$AL$28,0))</f>
        <v/>
      </c>
      <c r="S9" s="5">
        <f>INDEX('V_Döviz'!R$2:R$28,MATCH(LARGE('V_Döviz'!$AL$2:$AL$28,ROW()-3),'V_Döviz'!$AL$2:$AL$28,0))</f>
        <v/>
      </c>
      <c r="T9" s="8">
        <f>INDEX('V_Döviz'!S$2:S$28,MATCH(LARGE('V_Döviz'!$AL$2:$AL$28,ROW()-3),'V_Döviz'!$AL$2:$AL$28,0))</f>
        <v/>
      </c>
      <c r="U9" s="8">
        <f>INDEX('V_Döviz'!T$2:T$28,MATCH(LARGE('V_Döviz'!$AL$2:$AL$28,ROW()-3),'V_Döviz'!$AL$2:$AL$28,0))</f>
        <v/>
      </c>
      <c r="V9" s="8">
        <f>INDEX('V_Döviz'!U$2:U$28,MATCH(LARGE('V_Döviz'!$AL$2:$AL$28,ROW()-3),'V_Döviz'!$AL$2:$AL$28,0))</f>
        <v/>
      </c>
      <c r="W9" s="8">
        <f>INDEX('V_Döviz'!V$2:V$28,MATCH(LARGE('V_Döviz'!$AL$2:$AL$28,ROW()-3),'V_Döviz'!$AL$2:$AL$28,0))</f>
        <v/>
      </c>
      <c r="X9" s="8">
        <f>INDEX('V_Döviz'!W$2:W$28,MATCH(LARGE('V_Döviz'!$AL$2:$AL$28,ROW()-3),'V_Döviz'!$AL$2:$AL$28,0))</f>
        <v/>
      </c>
      <c r="Y9" s="8">
        <f>INDEX('V_Döviz'!X$2:X$28,MATCH(LARGE('V_Döviz'!$AL$2:$AL$28,ROW()-3),'V_Döviz'!$AL$2:$AL$28,0))</f>
        <v/>
      </c>
      <c r="Z9" s="8">
        <f>INDEX('V_Döviz'!Y$2:Y$28,MATCH(LARGE('V_Döviz'!$AL$2:$AL$28,ROW()-3),'V_Döviz'!$AL$2:$AL$28,0))</f>
        <v/>
      </c>
      <c r="AA9" s="8">
        <f>INDEX('V_Döviz'!Z$2:Z$28,MATCH(LARGE('V_Döviz'!$AL$2:$AL$28,ROW()-3),'V_Döviz'!$AL$2:$AL$28,0))</f>
        <v/>
      </c>
      <c r="AB9" s="8">
        <f>INDEX('V_Döviz'!AA$2:AA$28,MATCH(LARGE('V_Döviz'!$AL$2:$AL$28,ROW()-3),'V_Döviz'!$AL$2:$AL$28,0))</f>
        <v/>
      </c>
      <c r="AC9" s="8">
        <f>INDEX('V_Döviz'!AB$2:AB$28,MATCH(LARGE('V_Döviz'!$AL$2:$AL$28,ROW()-3),'V_Döviz'!$AL$2:$AL$28,0))</f>
        <v/>
      </c>
      <c r="AD9" s="8">
        <f>INDEX('V_Döviz'!AC$2:AC$28,MATCH(LARGE('V_Döviz'!$AL$2:$AL$28,ROW()-3),'V_Döviz'!$AL$2:$AL$28,0))</f>
        <v/>
      </c>
      <c r="AE9" s="8">
        <f>INDEX('V_Döviz'!AD$2:AD$28,MATCH(LARGE('V_Döviz'!$AL$2:$AL$28,ROW()-3),'V_Döviz'!$AL$2:$AL$28,0))</f>
        <v/>
      </c>
      <c r="AF9" s="9">
        <f>INDEX('V_Döviz'!AE$2:AE$28,MATCH(LARGE('V_Döviz'!$AL$2:$AL$28,ROW()-3),'V_Döviz'!$AL$2:$AL$28,0))</f>
        <v/>
      </c>
      <c r="AG9" s="9">
        <f>INDEX('V_Döviz'!AF$2:AF$28,MATCH(LARGE('V_Döviz'!$AL$2:$AL$28,ROW()-3),'V_Döviz'!$AL$2:$AL$28,0))</f>
        <v/>
      </c>
      <c r="AH9" s="9">
        <f>INDEX('V_Döviz'!AG$2:AG$28,MATCH(LARGE('V_Döviz'!$AL$2:$AL$28,ROW()-3),'V_Döviz'!$AL$2:$AL$28,0))</f>
        <v/>
      </c>
      <c r="AI9" s="9">
        <f>INDEX('V_Döviz'!AH$2:AH$28,MATCH(LARGE('V_Döviz'!$AL$2:$AL$28,ROW()-3),'V_Döviz'!$AL$2:$AL$28,0))</f>
        <v/>
      </c>
      <c r="AJ9" s="9">
        <f>INDEX('V_Döviz'!AI$2:AI$28,MATCH(LARGE('V_Döviz'!$AL$2:$AL$28,ROW()-3),'V_Döviz'!$AL$2:$AL$28,0))</f>
        <v/>
      </c>
      <c r="AK9" s="9">
        <f>INDEX('V_Döviz'!AJ$2:AJ$28,MATCH(LARGE('V_Döviz'!$AL$2:$AL$28,ROW()-3),'V_Döviz'!$AL$2:$AL$28,0))</f>
        <v/>
      </c>
    </row>
    <row r="10">
      <c r="A10" t="n">
        <v>7</v>
      </c>
      <c r="B10" s="5">
        <f>INDEX('V_Döviz'!A$2:A$28,MATCH(LARGE('V_Döviz'!$AL$2:$AL$28,ROW()-3),'V_Döviz'!$AL$2:$AL$28,0))</f>
        <v/>
      </c>
      <c r="C10" s="5">
        <f>INDEX('V_Döviz'!B$2:B$28,MATCH(LARGE('V_Döviz'!$AL$2:$AL$28,ROW()-3),'V_Döviz'!$AL$2:$AL$28,0))</f>
        <v/>
      </c>
      <c r="D10" s="5">
        <f>INDEX('V_Döviz'!C$2:C$28,MATCH(LARGE('V_Döviz'!$AL$2:$AL$28,ROW()-3),'V_Döviz'!$AL$2:$AL$28,0))</f>
        <v/>
      </c>
      <c r="E10" s="8">
        <f>INDEX('V_Döviz'!D$2:D$28,MATCH(LARGE('V_Döviz'!$AL$2:$AL$28,ROW()-3),'V_Döviz'!$AL$2:$AL$28,0))</f>
        <v/>
      </c>
      <c r="F10" s="9">
        <f>INDEX('V_Döviz'!E$2:E$28,MATCH(LARGE('V_Döviz'!$AL$2:$AL$28,ROW()-3),'V_Döviz'!$AL$2:$AL$28,0))</f>
        <v/>
      </c>
      <c r="G10" s="9">
        <f>INDEX('V_Döviz'!F$2:F$28,MATCH(LARGE('V_Döviz'!$AL$2:$AL$28,ROW()-3),'V_Döviz'!$AL$2:$AL$28,0))</f>
        <v/>
      </c>
      <c r="H10" s="9">
        <f>INDEX('V_Döviz'!G$2:G$28,MATCH(LARGE('V_Döviz'!$AL$2:$AL$28,ROW()-3),'V_Döviz'!$AL$2:$AL$28,0))</f>
        <v/>
      </c>
      <c r="I10" s="9">
        <f>INDEX('V_Döviz'!H$2:H$28,MATCH(LARGE('V_Döviz'!$AL$2:$AL$28,ROW()-3),'V_Döviz'!$AL$2:$AL$28,0))</f>
        <v/>
      </c>
      <c r="J10" s="9">
        <f>INDEX('V_Döviz'!I$2:I$28,MATCH(LARGE('V_Döviz'!$AL$2:$AL$28,ROW()-3),'V_Döviz'!$AL$2:$AL$28,0))</f>
        <v/>
      </c>
      <c r="K10" s="9">
        <f>INDEX('V_Döviz'!J$2:J$28,MATCH(LARGE('V_Döviz'!$AL$2:$AL$28,ROW()-3),'V_Döviz'!$AL$2:$AL$28,0))</f>
        <v/>
      </c>
      <c r="L10" s="10">
        <f>INDEX('V_Döviz'!K$2:K$28,MATCH(LARGE('V_Döviz'!$AL$2:$AL$28,ROW()-3),'V_Döviz'!$AL$2:$AL$28,0))</f>
        <v/>
      </c>
      <c r="M10" s="10">
        <f>INDEX('V_Döviz'!L$2:L$28,MATCH(LARGE('V_Döviz'!$AL$2:$AL$28,ROW()-3),'V_Döviz'!$AL$2:$AL$28,0))</f>
        <v/>
      </c>
      <c r="N10" s="8">
        <f>INDEX('V_Döviz'!M$2:M$28,MATCH(LARGE('V_Döviz'!$AL$2:$AL$28,ROW()-3),'V_Döviz'!$AL$2:$AL$28,0))</f>
        <v/>
      </c>
      <c r="O10" s="11">
        <f>INDEX('V_Döviz'!N$2:N$28,MATCH(LARGE('V_Döviz'!$AL$2:$AL$28,ROW()-3),'V_Döviz'!$AL$2:$AL$28,0))</f>
        <v/>
      </c>
      <c r="P10" s="11">
        <f>INDEX('V_Döviz'!O$2:O$28,MATCH(LARGE('V_Döviz'!$AL$2:$AL$28,ROW()-3),'V_Döviz'!$AL$2:$AL$28,0))</f>
        <v/>
      </c>
      <c r="Q10" s="8">
        <f>INDEX('V_Döviz'!P$2:P$28,MATCH(LARGE('V_Döviz'!$AL$2:$AL$28,ROW()-3),'V_Döviz'!$AL$2:$AL$28,0))</f>
        <v/>
      </c>
      <c r="R10" s="9">
        <f>INDEX('V_Döviz'!Q$2:Q$28,MATCH(LARGE('V_Döviz'!$AL$2:$AL$28,ROW()-3),'V_Döviz'!$AL$2:$AL$28,0))</f>
        <v/>
      </c>
      <c r="S10" s="5">
        <f>INDEX('V_Döviz'!R$2:R$28,MATCH(LARGE('V_Döviz'!$AL$2:$AL$28,ROW()-3),'V_Döviz'!$AL$2:$AL$28,0))</f>
        <v/>
      </c>
      <c r="T10" s="8">
        <f>INDEX('V_Döviz'!S$2:S$28,MATCH(LARGE('V_Döviz'!$AL$2:$AL$28,ROW()-3),'V_Döviz'!$AL$2:$AL$28,0))</f>
        <v/>
      </c>
      <c r="U10" s="8">
        <f>INDEX('V_Döviz'!T$2:T$28,MATCH(LARGE('V_Döviz'!$AL$2:$AL$28,ROW()-3),'V_Döviz'!$AL$2:$AL$28,0))</f>
        <v/>
      </c>
      <c r="V10" s="8">
        <f>INDEX('V_Döviz'!U$2:U$28,MATCH(LARGE('V_Döviz'!$AL$2:$AL$28,ROW()-3),'V_Döviz'!$AL$2:$AL$28,0))</f>
        <v/>
      </c>
      <c r="W10" s="8">
        <f>INDEX('V_Döviz'!V$2:V$28,MATCH(LARGE('V_Döviz'!$AL$2:$AL$28,ROW()-3),'V_Döviz'!$AL$2:$AL$28,0))</f>
        <v/>
      </c>
      <c r="X10" s="8">
        <f>INDEX('V_Döviz'!W$2:W$28,MATCH(LARGE('V_Döviz'!$AL$2:$AL$28,ROW()-3),'V_Döviz'!$AL$2:$AL$28,0))</f>
        <v/>
      </c>
      <c r="Y10" s="8">
        <f>INDEX('V_Döviz'!X$2:X$28,MATCH(LARGE('V_Döviz'!$AL$2:$AL$28,ROW()-3),'V_Döviz'!$AL$2:$AL$28,0))</f>
        <v/>
      </c>
      <c r="Z10" s="8">
        <f>INDEX('V_Döviz'!Y$2:Y$28,MATCH(LARGE('V_Döviz'!$AL$2:$AL$28,ROW()-3),'V_Döviz'!$AL$2:$AL$28,0))</f>
        <v/>
      </c>
      <c r="AA10" s="8">
        <f>INDEX('V_Döviz'!Z$2:Z$28,MATCH(LARGE('V_Döviz'!$AL$2:$AL$28,ROW()-3),'V_Döviz'!$AL$2:$AL$28,0))</f>
        <v/>
      </c>
      <c r="AB10" s="8">
        <f>INDEX('V_Döviz'!AA$2:AA$28,MATCH(LARGE('V_Döviz'!$AL$2:$AL$28,ROW()-3),'V_Döviz'!$AL$2:$AL$28,0))</f>
        <v/>
      </c>
      <c r="AC10" s="8">
        <f>INDEX('V_Döviz'!AB$2:AB$28,MATCH(LARGE('V_Döviz'!$AL$2:$AL$28,ROW()-3),'V_Döviz'!$AL$2:$AL$28,0))</f>
        <v/>
      </c>
      <c r="AD10" s="8">
        <f>INDEX('V_Döviz'!AC$2:AC$28,MATCH(LARGE('V_Döviz'!$AL$2:$AL$28,ROW()-3),'V_Döviz'!$AL$2:$AL$28,0))</f>
        <v/>
      </c>
      <c r="AE10" s="8">
        <f>INDEX('V_Döviz'!AD$2:AD$28,MATCH(LARGE('V_Döviz'!$AL$2:$AL$28,ROW()-3),'V_Döviz'!$AL$2:$AL$28,0))</f>
        <v/>
      </c>
      <c r="AF10" s="9">
        <f>INDEX('V_Döviz'!AE$2:AE$28,MATCH(LARGE('V_Döviz'!$AL$2:$AL$28,ROW()-3),'V_Döviz'!$AL$2:$AL$28,0))</f>
        <v/>
      </c>
      <c r="AG10" s="9">
        <f>INDEX('V_Döviz'!AF$2:AF$28,MATCH(LARGE('V_Döviz'!$AL$2:$AL$28,ROW()-3),'V_Döviz'!$AL$2:$AL$28,0))</f>
        <v/>
      </c>
      <c r="AH10" s="9">
        <f>INDEX('V_Döviz'!AG$2:AG$28,MATCH(LARGE('V_Döviz'!$AL$2:$AL$28,ROW()-3),'V_Döviz'!$AL$2:$AL$28,0))</f>
        <v/>
      </c>
      <c r="AI10" s="9">
        <f>INDEX('V_Döviz'!AH$2:AH$28,MATCH(LARGE('V_Döviz'!$AL$2:$AL$28,ROW()-3),'V_Döviz'!$AL$2:$AL$28,0))</f>
        <v/>
      </c>
      <c r="AJ10" s="9">
        <f>INDEX('V_Döviz'!AI$2:AI$28,MATCH(LARGE('V_Döviz'!$AL$2:$AL$28,ROW()-3),'V_Döviz'!$AL$2:$AL$28,0))</f>
        <v/>
      </c>
      <c r="AK10" s="9">
        <f>INDEX('V_Döviz'!AJ$2:AJ$28,MATCH(LARGE('V_Döviz'!$AL$2:$AL$28,ROW()-3),'V_Döviz'!$AL$2:$AL$28,0))</f>
        <v/>
      </c>
    </row>
    <row r="11">
      <c r="A11" t="n">
        <v>8</v>
      </c>
      <c r="B11" s="5">
        <f>INDEX('V_Döviz'!A$2:A$28,MATCH(LARGE('V_Döviz'!$AL$2:$AL$28,ROW()-3),'V_Döviz'!$AL$2:$AL$28,0))</f>
        <v/>
      </c>
      <c r="C11" s="5">
        <f>INDEX('V_Döviz'!B$2:B$28,MATCH(LARGE('V_Döviz'!$AL$2:$AL$28,ROW()-3),'V_Döviz'!$AL$2:$AL$28,0))</f>
        <v/>
      </c>
      <c r="D11" s="5">
        <f>INDEX('V_Döviz'!C$2:C$28,MATCH(LARGE('V_Döviz'!$AL$2:$AL$28,ROW()-3),'V_Döviz'!$AL$2:$AL$28,0))</f>
        <v/>
      </c>
      <c r="E11" s="8">
        <f>INDEX('V_Döviz'!D$2:D$28,MATCH(LARGE('V_Döviz'!$AL$2:$AL$28,ROW()-3),'V_Döviz'!$AL$2:$AL$28,0))</f>
        <v/>
      </c>
      <c r="F11" s="9">
        <f>INDEX('V_Döviz'!E$2:E$28,MATCH(LARGE('V_Döviz'!$AL$2:$AL$28,ROW()-3),'V_Döviz'!$AL$2:$AL$28,0))</f>
        <v/>
      </c>
      <c r="G11" s="9">
        <f>INDEX('V_Döviz'!F$2:F$28,MATCH(LARGE('V_Döviz'!$AL$2:$AL$28,ROW()-3),'V_Döviz'!$AL$2:$AL$28,0))</f>
        <v/>
      </c>
      <c r="H11" s="9">
        <f>INDEX('V_Döviz'!G$2:G$28,MATCH(LARGE('V_Döviz'!$AL$2:$AL$28,ROW()-3),'V_Döviz'!$AL$2:$AL$28,0))</f>
        <v/>
      </c>
      <c r="I11" s="9">
        <f>INDEX('V_Döviz'!H$2:H$28,MATCH(LARGE('V_Döviz'!$AL$2:$AL$28,ROW()-3),'V_Döviz'!$AL$2:$AL$28,0))</f>
        <v/>
      </c>
      <c r="J11" s="9">
        <f>INDEX('V_Döviz'!I$2:I$28,MATCH(LARGE('V_Döviz'!$AL$2:$AL$28,ROW()-3),'V_Döviz'!$AL$2:$AL$28,0))</f>
        <v/>
      </c>
      <c r="K11" s="9">
        <f>INDEX('V_Döviz'!J$2:J$28,MATCH(LARGE('V_Döviz'!$AL$2:$AL$28,ROW()-3),'V_Döviz'!$AL$2:$AL$28,0))</f>
        <v/>
      </c>
      <c r="L11" s="10">
        <f>INDEX('V_Döviz'!K$2:K$28,MATCH(LARGE('V_Döviz'!$AL$2:$AL$28,ROW()-3),'V_Döviz'!$AL$2:$AL$28,0))</f>
        <v/>
      </c>
      <c r="M11" s="10">
        <f>INDEX('V_Döviz'!L$2:L$28,MATCH(LARGE('V_Döviz'!$AL$2:$AL$28,ROW()-3),'V_Döviz'!$AL$2:$AL$28,0))</f>
        <v/>
      </c>
      <c r="N11" s="8">
        <f>INDEX('V_Döviz'!M$2:M$28,MATCH(LARGE('V_Döviz'!$AL$2:$AL$28,ROW()-3),'V_Döviz'!$AL$2:$AL$28,0))</f>
        <v/>
      </c>
      <c r="O11" s="11">
        <f>INDEX('V_Döviz'!N$2:N$28,MATCH(LARGE('V_Döviz'!$AL$2:$AL$28,ROW()-3),'V_Döviz'!$AL$2:$AL$28,0))</f>
        <v/>
      </c>
      <c r="P11" s="11">
        <f>INDEX('V_Döviz'!O$2:O$28,MATCH(LARGE('V_Döviz'!$AL$2:$AL$28,ROW()-3),'V_Döviz'!$AL$2:$AL$28,0))</f>
        <v/>
      </c>
      <c r="Q11" s="8">
        <f>INDEX('V_Döviz'!P$2:P$28,MATCH(LARGE('V_Döviz'!$AL$2:$AL$28,ROW()-3),'V_Döviz'!$AL$2:$AL$28,0))</f>
        <v/>
      </c>
      <c r="R11" s="9">
        <f>INDEX('V_Döviz'!Q$2:Q$28,MATCH(LARGE('V_Döviz'!$AL$2:$AL$28,ROW()-3),'V_Döviz'!$AL$2:$AL$28,0))</f>
        <v/>
      </c>
      <c r="S11" s="5">
        <f>INDEX('V_Döviz'!R$2:R$28,MATCH(LARGE('V_Döviz'!$AL$2:$AL$28,ROW()-3),'V_Döviz'!$AL$2:$AL$28,0))</f>
        <v/>
      </c>
      <c r="T11" s="8">
        <f>INDEX('V_Döviz'!S$2:S$28,MATCH(LARGE('V_Döviz'!$AL$2:$AL$28,ROW()-3),'V_Döviz'!$AL$2:$AL$28,0))</f>
        <v/>
      </c>
      <c r="U11" s="8">
        <f>INDEX('V_Döviz'!T$2:T$28,MATCH(LARGE('V_Döviz'!$AL$2:$AL$28,ROW()-3),'V_Döviz'!$AL$2:$AL$28,0))</f>
        <v/>
      </c>
      <c r="V11" s="8">
        <f>INDEX('V_Döviz'!U$2:U$28,MATCH(LARGE('V_Döviz'!$AL$2:$AL$28,ROW()-3),'V_Döviz'!$AL$2:$AL$28,0))</f>
        <v/>
      </c>
      <c r="W11" s="8">
        <f>INDEX('V_Döviz'!V$2:V$28,MATCH(LARGE('V_Döviz'!$AL$2:$AL$28,ROW()-3),'V_Döviz'!$AL$2:$AL$28,0))</f>
        <v/>
      </c>
      <c r="X11" s="8">
        <f>INDEX('V_Döviz'!W$2:W$28,MATCH(LARGE('V_Döviz'!$AL$2:$AL$28,ROW()-3),'V_Döviz'!$AL$2:$AL$28,0))</f>
        <v/>
      </c>
      <c r="Y11" s="8">
        <f>INDEX('V_Döviz'!X$2:X$28,MATCH(LARGE('V_Döviz'!$AL$2:$AL$28,ROW()-3),'V_Döviz'!$AL$2:$AL$28,0))</f>
        <v/>
      </c>
      <c r="Z11" s="8">
        <f>INDEX('V_Döviz'!Y$2:Y$28,MATCH(LARGE('V_Döviz'!$AL$2:$AL$28,ROW()-3),'V_Döviz'!$AL$2:$AL$28,0))</f>
        <v/>
      </c>
      <c r="AA11" s="8">
        <f>INDEX('V_Döviz'!Z$2:Z$28,MATCH(LARGE('V_Döviz'!$AL$2:$AL$28,ROW()-3),'V_Döviz'!$AL$2:$AL$28,0))</f>
        <v/>
      </c>
      <c r="AB11" s="8">
        <f>INDEX('V_Döviz'!AA$2:AA$28,MATCH(LARGE('V_Döviz'!$AL$2:$AL$28,ROW()-3),'V_Döviz'!$AL$2:$AL$28,0))</f>
        <v/>
      </c>
      <c r="AC11" s="8">
        <f>INDEX('V_Döviz'!AB$2:AB$28,MATCH(LARGE('V_Döviz'!$AL$2:$AL$28,ROW()-3),'V_Döviz'!$AL$2:$AL$28,0))</f>
        <v/>
      </c>
      <c r="AD11" s="8">
        <f>INDEX('V_Döviz'!AC$2:AC$28,MATCH(LARGE('V_Döviz'!$AL$2:$AL$28,ROW()-3),'V_Döviz'!$AL$2:$AL$28,0))</f>
        <v/>
      </c>
      <c r="AE11" s="8">
        <f>INDEX('V_Döviz'!AD$2:AD$28,MATCH(LARGE('V_Döviz'!$AL$2:$AL$28,ROW()-3),'V_Döviz'!$AL$2:$AL$28,0))</f>
        <v/>
      </c>
      <c r="AF11" s="9">
        <f>INDEX('V_Döviz'!AE$2:AE$28,MATCH(LARGE('V_Döviz'!$AL$2:$AL$28,ROW()-3),'V_Döviz'!$AL$2:$AL$28,0))</f>
        <v/>
      </c>
      <c r="AG11" s="9">
        <f>INDEX('V_Döviz'!AF$2:AF$28,MATCH(LARGE('V_Döviz'!$AL$2:$AL$28,ROW()-3),'V_Döviz'!$AL$2:$AL$28,0))</f>
        <v/>
      </c>
      <c r="AH11" s="9">
        <f>INDEX('V_Döviz'!AG$2:AG$28,MATCH(LARGE('V_Döviz'!$AL$2:$AL$28,ROW()-3),'V_Döviz'!$AL$2:$AL$28,0))</f>
        <v/>
      </c>
      <c r="AI11" s="9">
        <f>INDEX('V_Döviz'!AH$2:AH$28,MATCH(LARGE('V_Döviz'!$AL$2:$AL$28,ROW()-3),'V_Döviz'!$AL$2:$AL$28,0))</f>
        <v/>
      </c>
      <c r="AJ11" s="9">
        <f>INDEX('V_Döviz'!AI$2:AI$28,MATCH(LARGE('V_Döviz'!$AL$2:$AL$28,ROW()-3),'V_Döviz'!$AL$2:$AL$28,0))</f>
        <v/>
      </c>
      <c r="AK11" s="9">
        <f>INDEX('V_Döviz'!AJ$2:AJ$28,MATCH(LARGE('V_Döviz'!$AL$2:$AL$28,ROW()-3),'V_Döviz'!$AL$2:$AL$28,0))</f>
        <v/>
      </c>
    </row>
    <row r="12">
      <c r="A12" t="n">
        <v>9</v>
      </c>
      <c r="B12" s="5">
        <f>INDEX('V_Döviz'!A$2:A$28,MATCH(LARGE('V_Döviz'!$AL$2:$AL$28,ROW()-3),'V_Döviz'!$AL$2:$AL$28,0))</f>
        <v/>
      </c>
      <c r="C12" s="5">
        <f>INDEX('V_Döviz'!B$2:B$28,MATCH(LARGE('V_Döviz'!$AL$2:$AL$28,ROW()-3),'V_Döviz'!$AL$2:$AL$28,0))</f>
        <v/>
      </c>
      <c r="D12" s="5">
        <f>INDEX('V_Döviz'!C$2:C$28,MATCH(LARGE('V_Döviz'!$AL$2:$AL$28,ROW()-3),'V_Döviz'!$AL$2:$AL$28,0))</f>
        <v/>
      </c>
      <c r="E12" s="8">
        <f>INDEX('V_Döviz'!D$2:D$28,MATCH(LARGE('V_Döviz'!$AL$2:$AL$28,ROW()-3),'V_Döviz'!$AL$2:$AL$28,0))</f>
        <v/>
      </c>
      <c r="F12" s="9">
        <f>INDEX('V_Döviz'!E$2:E$28,MATCH(LARGE('V_Döviz'!$AL$2:$AL$28,ROW()-3),'V_Döviz'!$AL$2:$AL$28,0))</f>
        <v/>
      </c>
      <c r="G12" s="9">
        <f>INDEX('V_Döviz'!F$2:F$28,MATCH(LARGE('V_Döviz'!$AL$2:$AL$28,ROW()-3),'V_Döviz'!$AL$2:$AL$28,0))</f>
        <v/>
      </c>
      <c r="H12" s="9">
        <f>INDEX('V_Döviz'!G$2:G$28,MATCH(LARGE('V_Döviz'!$AL$2:$AL$28,ROW()-3),'V_Döviz'!$AL$2:$AL$28,0))</f>
        <v/>
      </c>
      <c r="I12" s="9">
        <f>INDEX('V_Döviz'!H$2:H$28,MATCH(LARGE('V_Döviz'!$AL$2:$AL$28,ROW()-3),'V_Döviz'!$AL$2:$AL$28,0))</f>
        <v/>
      </c>
      <c r="J12" s="9">
        <f>INDEX('V_Döviz'!I$2:I$28,MATCH(LARGE('V_Döviz'!$AL$2:$AL$28,ROW()-3),'V_Döviz'!$AL$2:$AL$28,0))</f>
        <v/>
      </c>
      <c r="K12" s="9">
        <f>INDEX('V_Döviz'!J$2:J$28,MATCH(LARGE('V_Döviz'!$AL$2:$AL$28,ROW()-3),'V_Döviz'!$AL$2:$AL$28,0))</f>
        <v/>
      </c>
      <c r="L12" s="10">
        <f>INDEX('V_Döviz'!K$2:K$28,MATCH(LARGE('V_Döviz'!$AL$2:$AL$28,ROW()-3),'V_Döviz'!$AL$2:$AL$28,0))</f>
        <v/>
      </c>
      <c r="M12" s="10">
        <f>INDEX('V_Döviz'!L$2:L$28,MATCH(LARGE('V_Döviz'!$AL$2:$AL$28,ROW()-3),'V_Döviz'!$AL$2:$AL$28,0))</f>
        <v/>
      </c>
      <c r="N12" s="8">
        <f>INDEX('V_Döviz'!M$2:M$28,MATCH(LARGE('V_Döviz'!$AL$2:$AL$28,ROW()-3),'V_Döviz'!$AL$2:$AL$28,0))</f>
        <v/>
      </c>
      <c r="O12" s="11">
        <f>INDEX('V_Döviz'!N$2:N$28,MATCH(LARGE('V_Döviz'!$AL$2:$AL$28,ROW()-3),'V_Döviz'!$AL$2:$AL$28,0))</f>
        <v/>
      </c>
      <c r="P12" s="11">
        <f>INDEX('V_Döviz'!O$2:O$28,MATCH(LARGE('V_Döviz'!$AL$2:$AL$28,ROW()-3),'V_Döviz'!$AL$2:$AL$28,0))</f>
        <v/>
      </c>
      <c r="Q12" s="8">
        <f>INDEX('V_Döviz'!P$2:P$28,MATCH(LARGE('V_Döviz'!$AL$2:$AL$28,ROW()-3),'V_Döviz'!$AL$2:$AL$28,0))</f>
        <v/>
      </c>
      <c r="R12" s="9">
        <f>INDEX('V_Döviz'!Q$2:Q$28,MATCH(LARGE('V_Döviz'!$AL$2:$AL$28,ROW()-3),'V_Döviz'!$AL$2:$AL$28,0))</f>
        <v/>
      </c>
      <c r="S12" s="5">
        <f>INDEX('V_Döviz'!R$2:R$28,MATCH(LARGE('V_Döviz'!$AL$2:$AL$28,ROW()-3),'V_Döviz'!$AL$2:$AL$28,0))</f>
        <v/>
      </c>
      <c r="T12" s="8">
        <f>INDEX('V_Döviz'!S$2:S$28,MATCH(LARGE('V_Döviz'!$AL$2:$AL$28,ROW()-3),'V_Döviz'!$AL$2:$AL$28,0))</f>
        <v/>
      </c>
      <c r="U12" s="8">
        <f>INDEX('V_Döviz'!T$2:T$28,MATCH(LARGE('V_Döviz'!$AL$2:$AL$28,ROW()-3),'V_Döviz'!$AL$2:$AL$28,0))</f>
        <v/>
      </c>
      <c r="V12" s="8">
        <f>INDEX('V_Döviz'!U$2:U$28,MATCH(LARGE('V_Döviz'!$AL$2:$AL$28,ROW()-3),'V_Döviz'!$AL$2:$AL$28,0))</f>
        <v/>
      </c>
      <c r="W12" s="8">
        <f>INDEX('V_Döviz'!V$2:V$28,MATCH(LARGE('V_Döviz'!$AL$2:$AL$28,ROW()-3),'V_Döviz'!$AL$2:$AL$28,0))</f>
        <v/>
      </c>
      <c r="X12" s="8">
        <f>INDEX('V_Döviz'!W$2:W$28,MATCH(LARGE('V_Döviz'!$AL$2:$AL$28,ROW()-3),'V_Döviz'!$AL$2:$AL$28,0))</f>
        <v/>
      </c>
      <c r="Y12" s="8">
        <f>INDEX('V_Döviz'!X$2:X$28,MATCH(LARGE('V_Döviz'!$AL$2:$AL$28,ROW()-3),'V_Döviz'!$AL$2:$AL$28,0))</f>
        <v/>
      </c>
      <c r="Z12" s="8">
        <f>INDEX('V_Döviz'!Y$2:Y$28,MATCH(LARGE('V_Döviz'!$AL$2:$AL$28,ROW()-3),'V_Döviz'!$AL$2:$AL$28,0))</f>
        <v/>
      </c>
      <c r="AA12" s="8">
        <f>INDEX('V_Döviz'!Z$2:Z$28,MATCH(LARGE('V_Döviz'!$AL$2:$AL$28,ROW()-3),'V_Döviz'!$AL$2:$AL$28,0))</f>
        <v/>
      </c>
      <c r="AB12" s="8">
        <f>INDEX('V_Döviz'!AA$2:AA$28,MATCH(LARGE('V_Döviz'!$AL$2:$AL$28,ROW()-3),'V_Döviz'!$AL$2:$AL$28,0))</f>
        <v/>
      </c>
      <c r="AC12" s="8">
        <f>INDEX('V_Döviz'!AB$2:AB$28,MATCH(LARGE('V_Döviz'!$AL$2:$AL$28,ROW()-3),'V_Döviz'!$AL$2:$AL$28,0))</f>
        <v/>
      </c>
      <c r="AD12" s="8">
        <f>INDEX('V_Döviz'!AC$2:AC$28,MATCH(LARGE('V_Döviz'!$AL$2:$AL$28,ROW()-3),'V_Döviz'!$AL$2:$AL$28,0))</f>
        <v/>
      </c>
      <c r="AE12" s="8">
        <f>INDEX('V_Döviz'!AD$2:AD$28,MATCH(LARGE('V_Döviz'!$AL$2:$AL$28,ROW()-3),'V_Döviz'!$AL$2:$AL$28,0))</f>
        <v/>
      </c>
      <c r="AF12" s="9">
        <f>INDEX('V_Döviz'!AE$2:AE$28,MATCH(LARGE('V_Döviz'!$AL$2:$AL$28,ROW()-3),'V_Döviz'!$AL$2:$AL$28,0))</f>
        <v/>
      </c>
      <c r="AG12" s="9">
        <f>INDEX('V_Döviz'!AF$2:AF$28,MATCH(LARGE('V_Döviz'!$AL$2:$AL$28,ROW()-3),'V_Döviz'!$AL$2:$AL$28,0))</f>
        <v/>
      </c>
      <c r="AH12" s="9">
        <f>INDEX('V_Döviz'!AG$2:AG$28,MATCH(LARGE('V_Döviz'!$AL$2:$AL$28,ROW()-3),'V_Döviz'!$AL$2:$AL$28,0))</f>
        <v/>
      </c>
      <c r="AI12" s="9">
        <f>INDEX('V_Döviz'!AH$2:AH$28,MATCH(LARGE('V_Döviz'!$AL$2:$AL$28,ROW()-3),'V_Döviz'!$AL$2:$AL$28,0))</f>
        <v/>
      </c>
      <c r="AJ12" s="9">
        <f>INDEX('V_Döviz'!AI$2:AI$28,MATCH(LARGE('V_Döviz'!$AL$2:$AL$28,ROW()-3),'V_Döviz'!$AL$2:$AL$28,0))</f>
        <v/>
      </c>
      <c r="AK12" s="9">
        <f>INDEX('V_Döviz'!AJ$2:AJ$28,MATCH(LARGE('V_Döviz'!$AL$2:$AL$28,ROW()-3),'V_Döviz'!$AL$2:$AL$28,0))</f>
        <v/>
      </c>
    </row>
    <row r="13">
      <c r="A13" t="n">
        <v>10</v>
      </c>
      <c r="B13" s="5">
        <f>INDEX('V_Döviz'!A$2:A$28,MATCH(LARGE('V_Döviz'!$AL$2:$AL$28,ROW()-3),'V_Döviz'!$AL$2:$AL$28,0))</f>
        <v/>
      </c>
      <c r="C13" s="5">
        <f>INDEX('V_Döviz'!B$2:B$28,MATCH(LARGE('V_Döviz'!$AL$2:$AL$28,ROW()-3),'V_Döviz'!$AL$2:$AL$28,0))</f>
        <v/>
      </c>
      <c r="D13" s="5">
        <f>INDEX('V_Döviz'!C$2:C$28,MATCH(LARGE('V_Döviz'!$AL$2:$AL$28,ROW()-3),'V_Döviz'!$AL$2:$AL$28,0))</f>
        <v/>
      </c>
      <c r="E13" s="8">
        <f>INDEX('V_Döviz'!D$2:D$28,MATCH(LARGE('V_Döviz'!$AL$2:$AL$28,ROW()-3),'V_Döviz'!$AL$2:$AL$28,0))</f>
        <v/>
      </c>
      <c r="F13" s="9">
        <f>INDEX('V_Döviz'!E$2:E$28,MATCH(LARGE('V_Döviz'!$AL$2:$AL$28,ROW()-3),'V_Döviz'!$AL$2:$AL$28,0))</f>
        <v/>
      </c>
      <c r="G13" s="9">
        <f>INDEX('V_Döviz'!F$2:F$28,MATCH(LARGE('V_Döviz'!$AL$2:$AL$28,ROW()-3),'V_Döviz'!$AL$2:$AL$28,0))</f>
        <v/>
      </c>
      <c r="H13" s="9">
        <f>INDEX('V_Döviz'!G$2:G$28,MATCH(LARGE('V_Döviz'!$AL$2:$AL$28,ROW()-3),'V_Döviz'!$AL$2:$AL$28,0))</f>
        <v/>
      </c>
      <c r="I13" s="9">
        <f>INDEX('V_Döviz'!H$2:H$28,MATCH(LARGE('V_Döviz'!$AL$2:$AL$28,ROW()-3),'V_Döviz'!$AL$2:$AL$28,0))</f>
        <v/>
      </c>
      <c r="J13" s="9">
        <f>INDEX('V_Döviz'!I$2:I$28,MATCH(LARGE('V_Döviz'!$AL$2:$AL$28,ROW()-3),'V_Döviz'!$AL$2:$AL$28,0))</f>
        <v/>
      </c>
      <c r="K13" s="9">
        <f>INDEX('V_Döviz'!J$2:J$28,MATCH(LARGE('V_Döviz'!$AL$2:$AL$28,ROW()-3),'V_Döviz'!$AL$2:$AL$28,0))</f>
        <v/>
      </c>
      <c r="L13" s="10">
        <f>INDEX('V_Döviz'!K$2:K$28,MATCH(LARGE('V_Döviz'!$AL$2:$AL$28,ROW()-3),'V_Döviz'!$AL$2:$AL$28,0))</f>
        <v/>
      </c>
      <c r="M13" s="10">
        <f>INDEX('V_Döviz'!L$2:L$28,MATCH(LARGE('V_Döviz'!$AL$2:$AL$28,ROW()-3),'V_Döviz'!$AL$2:$AL$28,0))</f>
        <v/>
      </c>
      <c r="N13" s="8">
        <f>INDEX('V_Döviz'!M$2:M$28,MATCH(LARGE('V_Döviz'!$AL$2:$AL$28,ROW()-3),'V_Döviz'!$AL$2:$AL$28,0))</f>
        <v/>
      </c>
      <c r="O13" s="11">
        <f>INDEX('V_Döviz'!N$2:N$28,MATCH(LARGE('V_Döviz'!$AL$2:$AL$28,ROW()-3),'V_Döviz'!$AL$2:$AL$28,0))</f>
        <v/>
      </c>
      <c r="P13" s="11">
        <f>INDEX('V_Döviz'!O$2:O$28,MATCH(LARGE('V_Döviz'!$AL$2:$AL$28,ROW()-3),'V_Döviz'!$AL$2:$AL$28,0))</f>
        <v/>
      </c>
      <c r="Q13" s="8">
        <f>INDEX('V_Döviz'!P$2:P$28,MATCH(LARGE('V_Döviz'!$AL$2:$AL$28,ROW()-3),'V_Döviz'!$AL$2:$AL$28,0))</f>
        <v/>
      </c>
      <c r="R13" s="9">
        <f>INDEX('V_Döviz'!Q$2:Q$28,MATCH(LARGE('V_Döviz'!$AL$2:$AL$28,ROW()-3),'V_Döviz'!$AL$2:$AL$28,0))</f>
        <v/>
      </c>
      <c r="S13" s="5">
        <f>INDEX('V_Döviz'!R$2:R$28,MATCH(LARGE('V_Döviz'!$AL$2:$AL$28,ROW()-3),'V_Döviz'!$AL$2:$AL$28,0))</f>
        <v/>
      </c>
      <c r="T13" s="8">
        <f>INDEX('V_Döviz'!S$2:S$28,MATCH(LARGE('V_Döviz'!$AL$2:$AL$28,ROW()-3),'V_Döviz'!$AL$2:$AL$28,0))</f>
        <v/>
      </c>
      <c r="U13" s="8">
        <f>INDEX('V_Döviz'!T$2:T$28,MATCH(LARGE('V_Döviz'!$AL$2:$AL$28,ROW()-3),'V_Döviz'!$AL$2:$AL$28,0))</f>
        <v/>
      </c>
      <c r="V13" s="8">
        <f>INDEX('V_Döviz'!U$2:U$28,MATCH(LARGE('V_Döviz'!$AL$2:$AL$28,ROW()-3),'V_Döviz'!$AL$2:$AL$28,0))</f>
        <v/>
      </c>
      <c r="W13" s="8">
        <f>INDEX('V_Döviz'!V$2:V$28,MATCH(LARGE('V_Döviz'!$AL$2:$AL$28,ROW()-3),'V_Döviz'!$AL$2:$AL$28,0))</f>
        <v/>
      </c>
      <c r="X13" s="8">
        <f>INDEX('V_Döviz'!W$2:W$28,MATCH(LARGE('V_Döviz'!$AL$2:$AL$28,ROW()-3),'V_Döviz'!$AL$2:$AL$28,0))</f>
        <v/>
      </c>
      <c r="Y13" s="8">
        <f>INDEX('V_Döviz'!X$2:X$28,MATCH(LARGE('V_Döviz'!$AL$2:$AL$28,ROW()-3),'V_Döviz'!$AL$2:$AL$28,0))</f>
        <v/>
      </c>
      <c r="Z13" s="8">
        <f>INDEX('V_Döviz'!Y$2:Y$28,MATCH(LARGE('V_Döviz'!$AL$2:$AL$28,ROW()-3),'V_Döviz'!$AL$2:$AL$28,0))</f>
        <v/>
      </c>
      <c r="AA13" s="8">
        <f>INDEX('V_Döviz'!Z$2:Z$28,MATCH(LARGE('V_Döviz'!$AL$2:$AL$28,ROW()-3),'V_Döviz'!$AL$2:$AL$28,0))</f>
        <v/>
      </c>
      <c r="AB13" s="8">
        <f>INDEX('V_Döviz'!AA$2:AA$28,MATCH(LARGE('V_Döviz'!$AL$2:$AL$28,ROW()-3),'V_Döviz'!$AL$2:$AL$28,0))</f>
        <v/>
      </c>
      <c r="AC13" s="8">
        <f>INDEX('V_Döviz'!AB$2:AB$28,MATCH(LARGE('V_Döviz'!$AL$2:$AL$28,ROW()-3),'V_Döviz'!$AL$2:$AL$28,0))</f>
        <v/>
      </c>
      <c r="AD13" s="8">
        <f>INDEX('V_Döviz'!AC$2:AC$28,MATCH(LARGE('V_Döviz'!$AL$2:$AL$28,ROW()-3),'V_Döviz'!$AL$2:$AL$28,0))</f>
        <v/>
      </c>
      <c r="AE13" s="8">
        <f>INDEX('V_Döviz'!AD$2:AD$28,MATCH(LARGE('V_Döviz'!$AL$2:$AL$28,ROW()-3),'V_Döviz'!$AL$2:$AL$28,0))</f>
        <v/>
      </c>
      <c r="AF13" s="9">
        <f>INDEX('V_Döviz'!AE$2:AE$28,MATCH(LARGE('V_Döviz'!$AL$2:$AL$28,ROW()-3),'V_Döviz'!$AL$2:$AL$28,0))</f>
        <v/>
      </c>
      <c r="AG13" s="9">
        <f>INDEX('V_Döviz'!AF$2:AF$28,MATCH(LARGE('V_Döviz'!$AL$2:$AL$28,ROW()-3),'V_Döviz'!$AL$2:$AL$28,0))</f>
        <v/>
      </c>
      <c r="AH13" s="9">
        <f>INDEX('V_Döviz'!AG$2:AG$28,MATCH(LARGE('V_Döviz'!$AL$2:$AL$28,ROW()-3),'V_Döviz'!$AL$2:$AL$28,0))</f>
        <v/>
      </c>
      <c r="AI13" s="9">
        <f>INDEX('V_Döviz'!AH$2:AH$28,MATCH(LARGE('V_Döviz'!$AL$2:$AL$28,ROW()-3),'V_Döviz'!$AL$2:$AL$28,0))</f>
        <v/>
      </c>
      <c r="AJ13" s="9">
        <f>INDEX('V_Döviz'!AI$2:AI$28,MATCH(LARGE('V_Döviz'!$AL$2:$AL$28,ROW()-3),'V_Döviz'!$AL$2:$AL$28,0))</f>
        <v/>
      </c>
      <c r="AK13" s="9">
        <f>INDEX('V_Döviz'!AJ$2:AJ$28,MATCH(LARGE('V_Döviz'!$AL$2:$AL$28,ROW()-3),'V_Döviz'!$AL$2:$AL$28,0))</f>
        <v/>
      </c>
    </row>
    <row r="14">
      <c r="A14" t="n">
        <v>11</v>
      </c>
      <c r="B14" s="5">
        <f>INDEX('V_Döviz'!A$2:A$28,MATCH(LARGE('V_Döviz'!$AL$2:$AL$28,ROW()-3),'V_Döviz'!$AL$2:$AL$28,0))</f>
        <v/>
      </c>
      <c r="C14" s="5">
        <f>INDEX('V_Döviz'!B$2:B$28,MATCH(LARGE('V_Döviz'!$AL$2:$AL$28,ROW()-3),'V_Döviz'!$AL$2:$AL$28,0))</f>
        <v/>
      </c>
      <c r="D14" s="5">
        <f>INDEX('V_Döviz'!C$2:C$28,MATCH(LARGE('V_Döviz'!$AL$2:$AL$28,ROW()-3),'V_Döviz'!$AL$2:$AL$28,0))</f>
        <v/>
      </c>
      <c r="E14" s="8">
        <f>INDEX('V_Döviz'!D$2:D$28,MATCH(LARGE('V_Döviz'!$AL$2:$AL$28,ROW()-3),'V_Döviz'!$AL$2:$AL$28,0))</f>
        <v/>
      </c>
      <c r="F14" s="9">
        <f>INDEX('V_Döviz'!E$2:E$28,MATCH(LARGE('V_Döviz'!$AL$2:$AL$28,ROW()-3),'V_Döviz'!$AL$2:$AL$28,0))</f>
        <v/>
      </c>
      <c r="G14" s="9">
        <f>INDEX('V_Döviz'!F$2:F$28,MATCH(LARGE('V_Döviz'!$AL$2:$AL$28,ROW()-3),'V_Döviz'!$AL$2:$AL$28,0))</f>
        <v/>
      </c>
      <c r="H14" s="9">
        <f>INDEX('V_Döviz'!G$2:G$28,MATCH(LARGE('V_Döviz'!$AL$2:$AL$28,ROW()-3),'V_Döviz'!$AL$2:$AL$28,0))</f>
        <v/>
      </c>
      <c r="I14" s="9">
        <f>INDEX('V_Döviz'!H$2:H$28,MATCH(LARGE('V_Döviz'!$AL$2:$AL$28,ROW()-3),'V_Döviz'!$AL$2:$AL$28,0))</f>
        <v/>
      </c>
      <c r="J14" s="9">
        <f>INDEX('V_Döviz'!I$2:I$28,MATCH(LARGE('V_Döviz'!$AL$2:$AL$28,ROW()-3),'V_Döviz'!$AL$2:$AL$28,0))</f>
        <v/>
      </c>
      <c r="K14" s="9">
        <f>INDEX('V_Döviz'!J$2:J$28,MATCH(LARGE('V_Döviz'!$AL$2:$AL$28,ROW()-3),'V_Döviz'!$AL$2:$AL$28,0))</f>
        <v/>
      </c>
      <c r="L14" s="10">
        <f>INDEX('V_Döviz'!K$2:K$28,MATCH(LARGE('V_Döviz'!$AL$2:$AL$28,ROW()-3),'V_Döviz'!$AL$2:$AL$28,0))</f>
        <v/>
      </c>
      <c r="M14" s="10">
        <f>INDEX('V_Döviz'!L$2:L$28,MATCH(LARGE('V_Döviz'!$AL$2:$AL$28,ROW()-3),'V_Döviz'!$AL$2:$AL$28,0))</f>
        <v/>
      </c>
      <c r="N14" s="8">
        <f>INDEX('V_Döviz'!M$2:M$28,MATCH(LARGE('V_Döviz'!$AL$2:$AL$28,ROW()-3),'V_Döviz'!$AL$2:$AL$28,0))</f>
        <v/>
      </c>
      <c r="O14" s="11">
        <f>INDEX('V_Döviz'!N$2:N$28,MATCH(LARGE('V_Döviz'!$AL$2:$AL$28,ROW()-3),'V_Döviz'!$AL$2:$AL$28,0))</f>
        <v/>
      </c>
      <c r="P14" s="11">
        <f>INDEX('V_Döviz'!O$2:O$28,MATCH(LARGE('V_Döviz'!$AL$2:$AL$28,ROW()-3),'V_Döviz'!$AL$2:$AL$28,0))</f>
        <v/>
      </c>
      <c r="Q14" s="8">
        <f>INDEX('V_Döviz'!P$2:P$28,MATCH(LARGE('V_Döviz'!$AL$2:$AL$28,ROW()-3),'V_Döviz'!$AL$2:$AL$28,0))</f>
        <v/>
      </c>
      <c r="R14" s="9">
        <f>INDEX('V_Döviz'!Q$2:Q$28,MATCH(LARGE('V_Döviz'!$AL$2:$AL$28,ROW()-3),'V_Döviz'!$AL$2:$AL$28,0))</f>
        <v/>
      </c>
      <c r="S14" s="5">
        <f>INDEX('V_Döviz'!R$2:R$28,MATCH(LARGE('V_Döviz'!$AL$2:$AL$28,ROW()-3),'V_Döviz'!$AL$2:$AL$28,0))</f>
        <v/>
      </c>
      <c r="T14" s="8">
        <f>INDEX('V_Döviz'!S$2:S$28,MATCH(LARGE('V_Döviz'!$AL$2:$AL$28,ROW()-3),'V_Döviz'!$AL$2:$AL$28,0))</f>
        <v/>
      </c>
      <c r="U14" s="8">
        <f>INDEX('V_Döviz'!T$2:T$28,MATCH(LARGE('V_Döviz'!$AL$2:$AL$28,ROW()-3),'V_Döviz'!$AL$2:$AL$28,0))</f>
        <v/>
      </c>
      <c r="V14" s="8">
        <f>INDEX('V_Döviz'!U$2:U$28,MATCH(LARGE('V_Döviz'!$AL$2:$AL$28,ROW()-3),'V_Döviz'!$AL$2:$AL$28,0))</f>
        <v/>
      </c>
      <c r="W14" s="8">
        <f>INDEX('V_Döviz'!V$2:V$28,MATCH(LARGE('V_Döviz'!$AL$2:$AL$28,ROW()-3),'V_Döviz'!$AL$2:$AL$28,0))</f>
        <v/>
      </c>
      <c r="X14" s="8">
        <f>INDEX('V_Döviz'!W$2:W$28,MATCH(LARGE('V_Döviz'!$AL$2:$AL$28,ROW()-3),'V_Döviz'!$AL$2:$AL$28,0))</f>
        <v/>
      </c>
      <c r="Y14" s="8">
        <f>INDEX('V_Döviz'!X$2:X$28,MATCH(LARGE('V_Döviz'!$AL$2:$AL$28,ROW()-3),'V_Döviz'!$AL$2:$AL$28,0))</f>
        <v/>
      </c>
      <c r="Z14" s="8">
        <f>INDEX('V_Döviz'!Y$2:Y$28,MATCH(LARGE('V_Döviz'!$AL$2:$AL$28,ROW()-3),'V_Döviz'!$AL$2:$AL$28,0))</f>
        <v/>
      </c>
      <c r="AA14" s="8">
        <f>INDEX('V_Döviz'!Z$2:Z$28,MATCH(LARGE('V_Döviz'!$AL$2:$AL$28,ROW()-3),'V_Döviz'!$AL$2:$AL$28,0))</f>
        <v/>
      </c>
      <c r="AB14" s="8">
        <f>INDEX('V_Döviz'!AA$2:AA$28,MATCH(LARGE('V_Döviz'!$AL$2:$AL$28,ROW()-3),'V_Döviz'!$AL$2:$AL$28,0))</f>
        <v/>
      </c>
      <c r="AC14" s="8">
        <f>INDEX('V_Döviz'!AB$2:AB$28,MATCH(LARGE('V_Döviz'!$AL$2:$AL$28,ROW()-3),'V_Döviz'!$AL$2:$AL$28,0))</f>
        <v/>
      </c>
      <c r="AD14" s="8">
        <f>INDEX('V_Döviz'!AC$2:AC$28,MATCH(LARGE('V_Döviz'!$AL$2:$AL$28,ROW()-3),'V_Döviz'!$AL$2:$AL$28,0))</f>
        <v/>
      </c>
      <c r="AE14" s="8">
        <f>INDEX('V_Döviz'!AD$2:AD$28,MATCH(LARGE('V_Döviz'!$AL$2:$AL$28,ROW()-3),'V_Döviz'!$AL$2:$AL$28,0))</f>
        <v/>
      </c>
      <c r="AF14" s="9">
        <f>INDEX('V_Döviz'!AE$2:AE$28,MATCH(LARGE('V_Döviz'!$AL$2:$AL$28,ROW()-3),'V_Döviz'!$AL$2:$AL$28,0))</f>
        <v/>
      </c>
      <c r="AG14" s="9">
        <f>INDEX('V_Döviz'!AF$2:AF$28,MATCH(LARGE('V_Döviz'!$AL$2:$AL$28,ROW()-3),'V_Döviz'!$AL$2:$AL$28,0))</f>
        <v/>
      </c>
      <c r="AH14" s="9">
        <f>INDEX('V_Döviz'!AG$2:AG$28,MATCH(LARGE('V_Döviz'!$AL$2:$AL$28,ROW()-3),'V_Döviz'!$AL$2:$AL$28,0))</f>
        <v/>
      </c>
      <c r="AI14" s="9">
        <f>INDEX('V_Döviz'!AH$2:AH$28,MATCH(LARGE('V_Döviz'!$AL$2:$AL$28,ROW()-3),'V_Döviz'!$AL$2:$AL$28,0))</f>
        <v/>
      </c>
      <c r="AJ14" s="9">
        <f>INDEX('V_Döviz'!AI$2:AI$28,MATCH(LARGE('V_Döviz'!$AL$2:$AL$28,ROW()-3),'V_Döviz'!$AL$2:$AL$28,0))</f>
        <v/>
      </c>
      <c r="AK14" s="9">
        <f>INDEX('V_Döviz'!AJ$2:AJ$28,MATCH(LARGE('V_Döviz'!$AL$2:$AL$28,ROW()-3),'V_Döviz'!$AL$2:$AL$28,0))</f>
        <v/>
      </c>
    </row>
    <row r="15">
      <c r="A15" t="n">
        <v>12</v>
      </c>
      <c r="B15" s="5">
        <f>INDEX('V_Döviz'!A$2:A$28,MATCH(LARGE('V_Döviz'!$AL$2:$AL$28,ROW()-3),'V_Döviz'!$AL$2:$AL$28,0))</f>
        <v/>
      </c>
      <c r="C15" s="5">
        <f>INDEX('V_Döviz'!B$2:B$28,MATCH(LARGE('V_Döviz'!$AL$2:$AL$28,ROW()-3),'V_Döviz'!$AL$2:$AL$28,0))</f>
        <v/>
      </c>
      <c r="D15" s="5">
        <f>INDEX('V_Döviz'!C$2:C$28,MATCH(LARGE('V_Döviz'!$AL$2:$AL$28,ROW()-3),'V_Döviz'!$AL$2:$AL$28,0))</f>
        <v/>
      </c>
      <c r="E15" s="8">
        <f>INDEX('V_Döviz'!D$2:D$28,MATCH(LARGE('V_Döviz'!$AL$2:$AL$28,ROW()-3),'V_Döviz'!$AL$2:$AL$28,0))</f>
        <v/>
      </c>
      <c r="F15" s="9">
        <f>INDEX('V_Döviz'!E$2:E$28,MATCH(LARGE('V_Döviz'!$AL$2:$AL$28,ROW()-3),'V_Döviz'!$AL$2:$AL$28,0))</f>
        <v/>
      </c>
      <c r="G15" s="9">
        <f>INDEX('V_Döviz'!F$2:F$28,MATCH(LARGE('V_Döviz'!$AL$2:$AL$28,ROW()-3),'V_Döviz'!$AL$2:$AL$28,0))</f>
        <v/>
      </c>
      <c r="H15" s="9">
        <f>INDEX('V_Döviz'!G$2:G$28,MATCH(LARGE('V_Döviz'!$AL$2:$AL$28,ROW()-3),'V_Döviz'!$AL$2:$AL$28,0))</f>
        <v/>
      </c>
      <c r="I15" s="9">
        <f>INDEX('V_Döviz'!H$2:H$28,MATCH(LARGE('V_Döviz'!$AL$2:$AL$28,ROW()-3),'V_Döviz'!$AL$2:$AL$28,0))</f>
        <v/>
      </c>
      <c r="J15" s="9">
        <f>INDEX('V_Döviz'!I$2:I$28,MATCH(LARGE('V_Döviz'!$AL$2:$AL$28,ROW()-3),'V_Döviz'!$AL$2:$AL$28,0))</f>
        <v/>
      </c>
      <c r="K15" s="9">
        <f>INDEX('V_Döviz'!J$2:J$28,MATCH(LARGE('V_Döviz'!$AL$2:$AL$28,ROW()-3),'V_Döviz'!$AL$2:$AL$28,0))</f>
        <v/>
      </c>
      <c r="L15" s="10">
        <f>INDEX('V_Döviz'!K$2:K$28,MATCH(LARGE('V_Döviz'!$AL$2:$AL$28,ROW()-3),'V_Döviz'!$AL$2:$AL$28,0))</f>
        <v/>
      </c>
      <c r="M15" s="10">
        <f>INDEX('V_Döviz'!L$2:L$28,MATCH(LARGE('V_Döviz'!$AL$2:$AL$28,ROW()-3),'V_Döviz'!$AL$2:$AL$28,0))</f>
        <v/>
      </c>
      <c r="N15" s="8">
        <f>INDEX('V_Döviz'!M$2:M$28,MATCH(LARGE('V_Döviz'!$AL$2:$AL$28,ROW()-3),'V_Döviz'!$AL$2:$AL$28,0))</f>
        <v/>
      </c>
      <c r="O15" s="11">
        <f>INDEX('V_Döviz'!N$2:N$28,MATCH(LARGE('V_Döviz'!$AL$2:$AL$28,ROW()-3),'V_Döviz'!$AL$2:$AL$28,0))</f>
        <v/>
      </c>
      <c r="P15" s="11">
        <f>INDEX('V_Döviz'!O$2:O$28,MATCH(LARGE('V_Döviz'!$AL$2:$AL$28,ROW()-3),'V_Döviz'!$AL$2:$AL$28,0))</f>
        <v/>
      </c>
      <c r="Q15" s="8">
        <f>INDEX('V_Döviz'!P$2:P$28,MATCH(LARGE('V_Döviz'!$AL$2:$AL$28,ROW()-3),'V_Döviz'!$AL$2:$AL$28,0))</f>
        <v/>
      </c>
      <c r="R15" s="9">
        <f>INDEX('V_Döviz'!Q$2:Q$28,MATCH(LARGE('V_Döviz'!$AL$2:$AL$28,ROW()-3),'V_Döviz'!$AL$2:$AL$28,0))</f>
        <v/>
      </c>
      <c r="S15" s="5">
        <f>INDEX('V_Döviz'!R$2:R$28,MATCH(LARGE('V_Döviz'!$AL$2:$AL$28,ROW()-3),'V_Döviz'!$AL$2:$AL$28,0))</f>
        <v/>
      </c>
      <c r="T15" s="8">
        <f>INDEX('V_Döviz'!S$2:S$28,MATCH(LARGE('V_Döviz'!$AL$2:$AL$28,ROW()-3),'V_Döviz'!$AL$2:$AL$28,0))</f>
        <v/>
      </c>
      <c r="U15" s="8">
        <f>INDEX('V_Döviz'!T$2:T$28,MATCH(LARGE('V_Döviz'!$AL$2:$AL$28,ROW()-3),'V_Döviz'!$AL$2:$AL$28,0))</f>
        <v/>
      </c>
      <c r="V15" s="8">
        <f>INDEX('V_Döviz'!U$2:U$28,MATCH(LARGE('V_Döviz'!$AL$2:$AL$28,ROW()-3),'V_Döviz'!$AL$2:$AL$28,0))</f>
        <v/>
      </c>
      <c r="W15" s="8">
        <f>INDEX('V_Döviz'!V$2:V$28,MATCH(LARGE('V_Döviz'!$AL$2:$AL$28,ROW()-3),'V_Döviz'!$AL$2:$AL$28,0))</f>
        <v/>
      </c>
      <c r="X15" s="8">
        <f>INDEX('V_Döviz'!W$2:W$28,MATCH(LARGE('V_Döviz'!$AL$2:$AL$28,ROW()-3),'V_Döviz'!$AL$2:$AL$28,0))</f>
        <v/>
      </c>
      <c r="Y15" s="8">
        <f>INDEX('V_Döviz'!X$2:X$28,MATCH(LARGE('V_Döviz'!$AL$2:$AL$28,ROW()-3),'V_Döviz'!$AL$2:$AL$28,0))</f>
        <v/>
      </c>
      <c r="Z15" s="8">
        <f>INDEX('V_Döviz'!Y$2:Y$28,MATCH(LARGE('V_Döviz'!$AL$2:$AL$28,ROW()-3),'V_Döviz'!$AL$2:$AL$28,0))</f>
        <v/>
      </c>
      <c r="AA15" s="8">
        <f>INDEX('V_Döviz'!Z$2:Z$28,MATCH(LARGE('V_Döviz'!$AL$2:$AL$28,ROW()-3),'V_Döviz'!$AL$2:$AL$28,0))</f>
        <v/>
      </c>
      <c r="AB15" s="8">
        <f>INDEX('V_Döviz'!AA$2:AA$28,MATCH(LARGE('V_Döviz'!$AL$2:$AL$28,ROW()-3),'V_Döviz'!$AL$2:$AL$28,0))</f>
        <v/>
      </c>
      <c r="AC15" s="8">
        <f>INDEX('V_Döviz'!AB$2:AB$28,MATCH(LARGE('V_Döviz'!$AL$2:$AL$28,ROW()-3),'V_Döviz'!$AL$2:$AL$28,0))</f>
        <v/>
      </c>
      <c r="AD15" s="8">
        <f>INDEX('V_Döviz'!AC$2:AC$28,MATCH(LARGE('V_Döviz'!$AL$2:$AL$28,ROW()-3),'V_Döviz'!$AL$2:$AL$28,0))</f>
        <v/>
      </c>
      <c r="AE15" s="8">
        <f>INDEX('V_Döviz'!AD$2:AD$28,MATCH(LARGE('V_Döviz'!$AL$2:$AL$28,ROW()-3),'V_Döviz'!$AL$2:$AL$28,0))</f>
        <v/>
      </c>
      <c r="AF15" s="9">
        <f>INDEX('V_Döviz'!AE$2:AE$28,MATCH(LARGE('V_Döviz'!$AL$2:$AL$28,ROW()-3),'V_Döviz'!$AL$2:$AL$28,0))</f>
        <v/>
      </c>
      <c r="AG15" s="9">
        <f>INDEX('V_Döviz'!AF$2:AF$28,MATCH(LARGE('V_Döviz'!$AL$2:$AL$28,ROW()-3),'V_Döviz'!$AL$2:$AL$28,0))</f>
        <v/>
      </c>
      <c r="AH15" s="9">
        <f>INDEX('V_Döviz'!AG$2:AG$28,MATCH(LARGE('V_Döviz'!$AL$2:$AL$28,ROW()-3),'V_Döviz'!$AL$2:$AL$28,0))</f>
        <v/>
      </c>
      <c r="AI15" s="9">
        <f>INDEX('V_Döviz'!AH$2:AH$28,MATCH(LARGE('V_Döviz'!$AL$2:$AL$28,ROW()-3),'V_Döviz'!$AL$2:$AL$28,0))</f>
        <v/>
      </c>
      <c r="AJ15" s="9">
        <f>INDEX('V_Döviz'!AI$2:AI$28,MATCH(LARGE('V_Döviz'!$AL$2:$AL$28,ROW()-3),'V_Döviz'!$AL$2:$AL$28,0))</f>
        <v/>
      </c>
      <c r="AK15" s="9">
        <f>INDEX('V_Döviz'!AJ$2:AJ$28,MATCH(LARGE('V_Döviz'!$AL$2:$AL$28,ROW()-3),'V_Döviz'!$AL$2:$AL$28,0))</f>
        <v/>
      </c>
    </row>
    <row r="16">
      <c r="A16" t="n">
        <v>13</v>
      </c>
      <c r="B16" s="5">
        <f>INDEX('V_Döviz'!A$2:A$28,MATCH(LARGE('V_Döviz'!$AL$2:$AL$28,ROW()-3),'V_Döviz'!$AL$2:$AL$28,0))</f>
        <v/>
      </c>
      <c r="C16" s="5">
        <f>INDEX('V_Döviz'!B$2:B$28,MATCH(LARGE('V_Döviz'!$AL$2:$AL$28,ROW()-3),'V_Döviz'!$AL$2:$AL$28,0))</f>
        <v/>
      </c>
      <c r="D16" s="5">
        <f>INDEX('V_Döviz'!C$2:C$28,MATCH(LARGE('V_Döviz'!$AL$2:$AL$28,ROW()-3),'V_Döviz'!$AL$2:$AL$28,0))</f>
        <v/>
      </c>
      <c r="E16" s="8">
        <f>INDEX('V_Döviz'!D$2:D$28,MATCH(LARGE('V_Döviz'!$AL$2:$AL$28,ROW()-3),'V_Döviz'!$AL$2:$AL$28,0))</f>
        <v/>
      </c>
      <c r="F16" s="9">
        <f>INDEX('V_Döviz'!E$2:E$28,MATCH(LARGE('V_Döviz'!$AL$2:$AL$28,ROW()-3),'V_Döviz'!$AL$2:$AL$28,0))</f>
        <v/>
      </c>
      <c r="G16" s="9">
        <f>INDEX('V_Döviz'!F$2:F$28,MATCH(LARGE('V_Döviz'!$AL$2:$AL$28,ROW()-3),'V_Döviz'!$AL$2:$AL$28,0))</f>
        <v/>
      </c>
      <c r="H16" s="9">
        <f>INDEX('V_Döviz'!G$2:G$28,MATCH(LARGE('V_Döviz'!$AL$2:$AL$28,ROW()-3),'V_Döviz'!$AL$2:$AL$28,0))</f>
        <v/>
      </c>
      <c r="I16" s="9">
        <f>INDEX('V_Döviz'!H$2:H$28,MATCH(LARGE('V_Döviz'!$AL$2:$AL$28,ROW()-3),'V_Döviz'!$AL$2:$AL$28,0))</f>
        <v/>
      </c>
      <c r="J16" s="9">
        <f>INDEX('V_Döviz'!I$2:I$28,MATCH(LARGE('V_Döviz'!$AL$2:$AL$28,ROW()-3),'V_Döviz'!$AL$2:$AL$28,0))</f>
        <v/>
      </c>
      <c r="K16" s="9">
        <f>INDEX('V_Döviz'!J$2:J$28,MATCH(LARGE('V_Döviz'!$AL$2:$AL$28,ROW()-3),'V_Döviz'!$AL$2:$AL$28,0))</f>
        <v/>
      </c>
      <c r="L16" s="10">
        <f>INDEX('V_Döviz'!K$2:K$28,MATCH(LARGE('V_Döviz'!$AL$2:$AL$28,ROW()-3),'V_Döviz'!$AL$2:$AL$28,0))</f>
        <v/>
      </c>
      <c r="M16" s="10">
        <f>INDEX('V_Döviz'!L$2:L$28,MATCH(LARGE('V_Döviz'!$AL$2:$AL$28,ROW()-3),'V_Döviz'!$AL$2:$AL$28,0))</f>
        <v/>
      </c>
      <c r="N16" s="8">
        <f>INDEX('V_Döviz'!M$2:M$28,MATCH(LARGE('V_Döviz'!$AL$2:$AL$28,ROW()-3),'V_Döviz'!$AL$2:$AL$28,0))</f>
        <v/>
      </c>
      <c r="O16" s="11">
        <f>INDEX('V_Döviz'!N$2:N$28,MATCH(LARGE('V_Döviz'!$AL$2:$AL$28,ROW()-3),'V_Döviz'!$AL$2:$AL$28,0))</f>
        <v/>
      </c>
      <c r="P16" s="11">
        <f>INDEX('V_Döviz'!O$2:O$28,MATCH(LARGE('V_Döviz'!$AL$2:$AL$28,ROW()-3),'V_Döviz'!$AL$2:$AL$28,0))</f>
        <v/>
      </c>
      <c r="Q16" s="8">
        <f>INDEX('V_Döviz'!P$2:P$28,MATCH(LARGE('V_Döviz'!$AL$2:$AL$28,ROW()-3),'V_Döviz'!$AL$2:$AL$28,0))</f>
        <v/>
      </c>
      <c r="R16" s="9">
        <f>INDEX('V_Döviz'!Q$2:Q$28,MATCH(LARGE('V_Döviz'!$AL$2:$AL$28,ROW()-3),'V_Döviz'!$AL$2:$AL$28,0))</f>
        <v/>
      </c>
      <c r="S16" s="5">
        <f>INDEX('V_Döviz'!R$2:R$28,MATCH(LARGE('V_Döviz'!$AL$2:$AL$28,ROW()-3),'V_Döviz'!$AL$2:$AL$28,0))</f>
        <v/>
      </c>
      <c r="T16" s="8">
        <f>INDEX('V_Döviz'!S$2:S$28,MATCH(LARGE('V_Döviz'!$AL$2:$AL$28,ROW()-3),'V_Döviz'!$AL$2:$AL$28,0))</f>
        <v/>
      </c>
      <c r="U16" s="8">
        <f>INDEX('V_Döviz'!T$2:T$28,MATCH(LARGE('V_Döviz'!$AL$2:$AL$28,ROW()-3),'V_Döviz'!$AL$2:$AL$28,0))</f>
        <v/>
      </c>
      <c r="V16" s="8">
        <f>INDEX('V_Döviz'!U$2:U$28,MATCH(LARGE('V_Döviz'!$AL$2:$AL$28,ROW()-3),'V_Döviz'!$AL$2:$AL$28,0))</f>
        <v/>
      </c>
      <c r="W16" s="8">
        <f>INDEX('V_Döviz'!V$2:V$28,MATCH(LARGE('V_Döviz'!$AL$2:$AL$28,ROW()-3),'V_Döviz'!$AL$2:$AL$28,0))</f>
        <v/>
      </c>
      <c r="X16" s="8">
        <f>INDEX('V_Döviz'!W$2:W$28,MATCH(LARGE('V_Döviz'!$AL$2:$AL$28,ROW()-3),'V_Döviz'!$AL$2:$AL$28,0))</f>
        <v/>
      </c>
      <c r="Y16" s="8">
        <f>INDEX('V_Döviz'!X$2:X$28,MATCH(LARGE('V_Döviz'!$AL$2:$AL$28,ROW()-3),'V_Döviz'!$AL$2:$AL$28,0))</f>
        <v/>
      </c>
      <c r="Z16" s="8">
        <f>INDEX('V_Döviz'!Y$2:Y$28,MATCH(LARGE('V_Döviz'!$AL$2:$AL$28,ROW()-3),'V_Döviz'!$AL$2:$AL$28,0))</f>
        <v/>
      </c>
      <c r="AA16" s="8">
        <f>INDEX('V_Döviz'!Z$2:Z$28,MATCH(LARGE('V_Döviz'!$AL$2:$AL$28,ROW()-3),'V_Döviz'!$AL$2:$AL$28,0))</f>
        <v/>
      </c>
      <c r="AB16" s="8">
        <f>INDEX('V_Döviz'!AA$2:AA$28,MATCH(LARGE('V_Döviz'!$AL$2:$AL$28,ROW()-3),'V_Döviz'!$AL$2:$AL$28,0))</f>
        <v/>
      </c>
      <c r="AC16" s="8">
        <f>INDEX('V_Döviz'!AB$2:AB$28,MATCH(LARGE('V_Döviz'!$AL$2:$AL$28,ROW()-3),'V_Döviz'!$AL$2:$AL$28,0))</f>
        <v/>
      </c>
      <c r="AD16" s="8">
        <f>INDEX('V_Döviz'!AC$2:AC$28,MATCH(LARGE('V_Döviz'!$AL$2:$AL$28,ROW()-3),'V_Döviz'!$AL$2:$AL$28,0))</f>
        <v/>
      </c>
      <c r="AE16" s="8">
        <f>INDEX('V_Döviz'!AD$2:AD$28,MATCH(LARGE('V_Döviz'!$AL$2:$AL$28,ROW()-3),'V_Döviz'!$AL$2:$AL$28,0))</f>
        <v/>
      </c>
      <c r="AF16" s="9">
        <f>INDEX('V_Döviz'!AE$2:AE$28,MATCH(LARGE('V_Döviz'!$AL$2:$AL$28,ROW()-3),'V_Döviz'!$AL$2:$AL$28,0))</f>
        <v/>
      </c>
      <c r="AG16" s="9">
        <f>INDEX('V_Döviz'!AF$2:AF$28,MATCH(LARGE('V_Döviz'!$AL$2:$AL$28,ROW()-3),'V_Döviz'!$AL$2:$AL$28,0))</f>
        <v/>
      </c>
      <c r="AH16" s="9">
        <f>INDEX('V_Döviz'!AG$2:AG$28,MATCH(LARGE('V_Döviz'!$AL$2:$AL$28,ROW()-3),'V_Döviz'!$AL$2:$AL$28,0))</f>
        <v/>
      </c>
      <c r="AI16" s="9">
        <f>INDEX('V_Döviz'!AH$2:AH$28,MATCH(LARGE('V_Döviz'!$AL$2:$AL$28,ROW()-3),'V_Döviz'!$AL$2:$AL$28,0))</f>
        <v/>
      </c>
      <c r="AJ16" s="9">
        <f>INDEX('V_Döviz'!AI$2:AI$28,MATCH(LARGE('V_Döviz'!$AL$2:$AL$28,ROW()-3),'V_Döviz'!$AL$2:$AL$28,0))</f>
        <v/>
      </c>
      <c r="AK16" s="9">
        <f>INDEX('V_Döviz'!AJ$2:AJ$28,MATCH(LARGE('V_Döviz'!$AL$2:$AL$28,ROW()-3),'V_Döviz'!$AL$2:$AL$28,0))</f>
        <v/>
      </c>
    </row>
    <row r="17">
      <c r="A17" t="n">
        <v>14</v>
      </c>
      <c r="B17" s="5">
        <f>INDEX('V_Döviz'!A$2:A$28,MATCH(LARGE('V_Döviz'!$AL$2:$AL$28,ROW()-3),'V_Döviz'!$AL$2:$AL$28,0))</f>
        <v/>
      </c>
      <c r="C17" s="5">
        <f>INDEX('V_Döviz'!B$2:B$28,MATCH(LARGE('V_Döviz'!$AL$2:$AL$28,ROW()-3),'V_Döviz'!$AL$2:$AL$28,0))</f>
        <v/>
      </c>
      <c r="D17" s="5">
        <f>INDEX('V_Döviz'!C$2:C$28,MATCH(LARGE('V_Döviz'!$AL$2:$AL$28,ROW()-3),'V_Döviz'!$AL$2:$AL$28,0))</f>
        <v/>
      </c>
      <c r="E17" s="8">
        <f>INDEX('V_Döviz'!D$2:D$28,MATCH(LARGE('V_Döviz'!$AL$2:$AL$28,ROW()-3),'V_Döviz'!$AL$2:$AL$28,0))</f>
        <v/>
      </c>
      <c r="F17" s="9">
        <f>INDEX('V_Döviz'!E$2:E$28,MATCH(LARGE('V_Döviz'!$AL$2:$AL$28,ROW()-3),'V_Döviz'!$AL$2:$AL$28,0))</f>
        <v/>
      </c>
      <c r="G17" s="9">
        <f>INDEX('V_Döviz'!F$2:F$28,MATCH(LARGE('V_Döviz'!$AL$2:$AL$28,ROW()-3),'V_Döviz'!$AL$2:$AL$28,0))</f>
        <v/>
      </c>
      <c r="H17" s="9">
        <f>INDEX('V_Döviz'!G$2:G$28,MATCH(LARGE('V_Döviz'!$AL$2:$AL$28,ROW()-3),'V_Döviz'!$AL$2:$AL$28,0))</f>
        <v/>
      </c>
      <c r="I17" s="9">
        <f>INDEX('V_Döviz'!H$2:H$28,MATCH(LARGE('V_Döviz'!$AL$2:$AL$28,ROW()-3),'V_Döviz'!$AL$2:$AL$28,0))</f>
        <v/>
      </c>
      <c r="J17" s="9">
        <f>INDEX('V_Döviz'!I$2:I$28,MATCH(LARGE('V_Döviz'!$AL$2:$AL$28,ROW()-3),'V_Döviz'!$AL$2:$AL$28,0))</f>
        <v/>
      </c>
      <c r="K17" s="9">
        <f>INDEX('V_Döviz'!J$2:J$28,MATCH(LARGE('V_Döviz'!$AL$2:$AL$28,ROW()-3),'V_Döviz'!$AL$2:$AL$28,0))</f>
        <v/>
      </c>
      <c r="L17" s="10">
        <f>INDEX('V_Döviz'!K$2:K$28,MATCH(LARGE('V_Döviz'!$AL$2:$AL$28,ROW()-3),'V_Döviz'!$AL$2:$AL$28,0))</f>
        <v/>
      </c>
      <c r="M17" s="10">
        <f>INDEX('V_Döviz'!L$2:L$28,MATCH(LARGE('V_Döviz'!$AL$2:$AL$28,ROW()-3),'V_Döviz'!$AL$2:$AL$28,0))</f>
        <v/>
      </c>
      <c r="N17" s="8">
        <f>INDEX('V_Döviz'!M$2:M$28,MATCH(LARGE('V_Döviz'!$AL$2:$AL$28,ROW()-3),'V_Döviz'!$AL$2:$AL$28,0))</f>
        <v/>
      </c>
      <c r="O17" s="11">
        <f>INDEX('V_Döviz'!N$2:N$28,MATCH(LARGE('V_Döviz'!$AL$2:$AL$28,ROW()-3),'V_Döviz'!$AL$2:$AL$28,0))</f>
        <v/>
      </c>
      <c r="P17" s="11">
        <f>INDEX('V_Döviz'!O$2:O$28,MATCH(LARGE('V_Döviz'!$AL$2:$AL$28,ROW()-3),'V_Döviz'!$AL$2:$AL$28,0))</f>
        <v/>
      </c>
      <c r="Q17" s="8">
        <f>INDEX('V_Döviz'!P$2:P$28,MATCH(LARGE('V_Döviz'!$AL$2:$AL$28,ROW()-3),'V_Döviz'!$AL$2:$AL$28,0))</f>
        <v/>
      </c>
      <c r="R17" s="9">
        <f>INDEX('V_Döviz'!Q$2:Q$28,MATCH(LARGE('V_Döviz'!$AL$2:$AL$28,ROW()-3),'V_Döviz'!$AL$2:$AL$28,0))</f>
        <v/>
      </c>
      <c r="S17" s="5">
        <f>INDEX('V_Döviz'!R$2:R$28,MATCH(LARGE('V_Döviz'!$AL$2:$AL$28,ROW()-3),'V_Döviz'!$AL$2:$AL$28,0))</f>
        <v/>
      </c>
      <c r="T17" s="8">
        <f>INDEX('V_Döviz'!S$2:S$28,MATCH(LARGE('V_Döviz'!$AL$2:$AL$28,ROW()-3),'V_Döviz'!$AL$2:$AL$28,0))</f>
        <v/>
      </c>
      <c r="U17" s="8">
        <f>INDEX('V_Döviz'!T$2:T$28,MATCH(LARGE('V_Döviz'!$AL$2:$AL$28,ROW()-3),'V_Döviz'!$AL$2:$AL$28,0))</f>
        <v/>
      </c>
      <c r="V17" s="8">
        <f>INDEX('V_Döviz'!U$2:U$28,MATCH(LARGE('V_Döviz'!$AL$2:$AL$28,ROW()-3),'V_Döviz'!$AL$2:$AL$28,0))</f>
        <v/>
      </c>
      <c r="W17" s="8">
        <f>INDEX('V_Döviz'!V$2:V$28,MATCH(LARGE('V_Döviz'!$AL$2:$AL$28,ROW()-3),'V_Döviz'!$AL$2:$AL$28,0))</f>
        <v/>
      </c>
      <c r="X17" s="8">
        <f>INDEX('V_Döviz'!W$2:W$28,MATCH(LARGE('V_Döviz'!$AL$2:$AL$28,ROW()-3),'V_Döviz'!$AL$2:$AL$28,0))</f>
        <v/>
      </c>
      <c r="Y17" s="8">
        <f>INDEX('V_Döviz'!X$2:X$28,MATCH(LARGE('V_Döviz'!$AL$2:$AL$28,ROW()-3),'V_Döviz'!$AL$2:$AL$28,0))</f>
        <v/>
      </c>
      <c r="Z17" s="8">
        <f>INDEX('V_Döviz'!Y$2:Y$28,MATCH(LARGE('V_Döviz'!$AL$2:$AL$28,ROW()-3),'V_Döviz'!$AL$2:$AL$28,0))</f>
        <v/>
      </c>
      <c r="AA17" s="8">
        <f>INDEX('V_Döviz'!Z$2:Z$28,MATCH(LARGE('V_Döviz'!$AL$2:$AL$28,ROW()-3),'V_Döviz'!$AL$2:$AL$28,0))</f>
        <v/>
      </c>
      <c r="AB17" s="8">
        <f>INDEX('V_Döviz'!AA$2:AA$28,MATCH(LARGE('V_Döviz'!$AL$2:$AL$28,ROW()-3),'V_Döviz'!$AL$2:$AL$28,0))</f>
        <v/>
      </c>
      <c r="AC17" s="8">
        <f>INDEX('V_Döviz'!AB$2:AB$28,MATCH(LARGE('V_Döviz'!$AL$2:$AL$28,ROW()-3),'V_Döviz'!$AL$2:$AL$28,0))</f>
        <v/>
      </c>
      <c r="AD17" s="8">
        <f>INDEX('V_Döviz'!AC$2:AC$28,MATCH(LARGE('V_Döviz'!$AL$2:$AL$28,ROW()-3),'V_Döviz'!$AL$2:$AL$28,0))</f>
        <v/>
      </c>
      <c r="AE17" s="8">
        <f>INDEX('V_Döviz'!AD$2:AD$28,MATCH(LARGE('V_Döviz'!$AL$2:$AL$28,ROW()-3),'V_Döviz'!$AL$2:$AL$28,0))</f>
        <v/>
      </c>
      <c r="AF17" s="9">
        <f>INDEX('V_Döviz'!AE$2:AE$28,MATCH(LARGE('V_Döviz'!$AL$2:$AL$28,ROW()-3),'V_Döviz'!$AL$2:$AL$28,0))</f>
        <v/>
      </c>
      <c r="AG17" s="9">
        <f>INDEX('V_Döviz'!AF$2:AF$28,MATCH(LARGE('V_Döviz'!$AL$2:$AL$28,ROW()-3),'V_Döviz'!$AL$2:$AL$28,0))</f>
        <v/>
      </c>
      <c r="AH17" s="9">
        <f>INDEX('V_Döviz'!AG$2:AG$28,MATCH(LARGE('V_Döviz'!$AL$2:$AL$28,ROW()-3),'V_Döviz'!$AL$2:$AL$28,0))</f>
        <v/>
      </c>
      <c r="AI17" s="9">
        <f>INDEX('V_Döviz'!AH$2:AH$28,MATCH(LARGE('V_Döviz'!$AL$2:$AL$28,ROW()-3),'V_Döviz'!$AL$2:$AL$28,0))</f>
        <v/>
      </c>
      <c r="AJ17" s="9">
        <f>INDEX('V_Döviz'!AI$2:AI$28,MATCH(LARGE('V_Döviz'!$AL$2:$AL$28,ROW()-3),'V_Döviz'!$AL$2:$AL$28,0))</f>
        <v/>
      </c>
      <c r="AK17" s="9">
        <f>INDEX('V_Döviz'!AJ$2:AJ$28,MATCH(LARGE('V_Döviz'!$AL$2:$AL$28,ROW()-3),'V_Döviz'!$AL$2:$AL$28,0))</f>
        <v/>
      </c>
    </row>
    <row r="18">
      <c r="A18" t="n">
        <v>15</v>
      </c>
      <c r="B18" s="5">
        <f>INDEX('V_Döviz'!A$2:A$28,MATCH(LARGE('V_Döviz'!$AL$2:$AL$28,ROW()-3),'V_Döviz'!$AL$2:$AL$28,0))</f>
        <v/>
      </c>
      <c r="C18" s="5">
        <f>INDEX('V_Döviz'!B$2:B$28,MATCH(LARGE('V_Döviz'!$AL$2:$AL$28,ROW()-3),'V_Döviz'!$AL$2:$AL$28,0))</f>
        <v/>
      </c>
      <c r="D18" s="5">
        <f>INDEX('V_Döviz'!C$2:C$28,MATCH(LARGE('V_Döviz'!$AL$2:$AL$28,ROW()-3),'V_Döviz'!$AL$2:$AL$28,0))</f>
        <v/>
      </c>
      <c r="E18" s="8">
        <f>INDEX('V_Döviz'!D$2:D$28,MATCH(LARGE('V_Döviz'!$AL$2:$AL$28,ROW()-3),'V_Döviz'!$AL$2:$AL$28,0))</f>
        <v/>
      </c>
      <c r="F18" s="9">
        <f>INDEX('V_Döviz'!E$2:E$28,MATCH(LARGE('V_Döviz'!$AL$2:$AL$28,ROW()-3),'V_Döviz'!$AL$2:$AL$28,0))</f>
        <v/>
      </c>
      <c r="G18" s="9">
        <f>INDEX('V_Döviz'!F$2:F$28,MATCH(LARGE('V_Döviz'!$AL$2:$AL$28,ROW()-3),'V_Döviz'!$AL$2:$AL$28,0))</f>
        <v/>
      </c>
      <c r="H18" s="9">
        <f>INDEX('V_Döviz'!G$2:G$28,MATCH(LARGE('V_Döviz'!$AL$2:$AL$28,ROW()-3),'V_Döviz'!$AL$2:$AL$28,0))</f>
        <v/>
      </c>
      <c r="I18" s="9">
        <f>INDEX('V_Döviz'!H$2:H$28,MATCH(LARGE('V_Döviz'!$AL$2:$AL$28,ROW()-3),'V_Döviz'!$AL$2:$AL$28,0))</f>
        <v/>
      </c>
      <c r="J18" s="9">
        <f>INDEX('V_Döviz'!I$2:I$28,MATCH(LARGE('V_Döviz'!$AL$2:$AL$28,ROW()-3),'V_Döviz'!$AL$2:$AL$28,0))</f>
        <v/>
      </c>
      <c r="K18" s="9">
        <f>INDEX('V_Döviz'!J$2:J$28,MATCH(LARGE('V_Döviz'!$AL$2:$AL$28,ROW()-3),'V_Döviz'!$AL$2:$AL$28,0))</f>
        <v/>
      </c>
      <c r="L18" s="10">
        <f>INDEX('V_Döviz'!K$2:K$28,MATCH(LARGE('V_Döviz'!$AL$2:$AL$28,ROW()-3),'V_Döviz'!$AL$2:$AL$28,0))</f>
        <v/>
      </c>
      <c r="M18" s="10">
        <f>INDEX('V_Döviz'!L$2:L$28,MATCH(LARGE('V_Döviz'!$AL$2:$AL$28,ROW()-3),'V_Döviz'!$AL$2:$AL$28,0))</f>
        <v/>
      </c>
      <c r="N18" s="8">
        <f>INDEX('V_Döviz'!M$2:M$28,MATCH(LARGE('V_Döviz'!$AL$2:$AL$28,ROW()-3),'V_Döviz'!$AL$2:$AL$28,0))</f>
        <v/>
      </c>
      <c r="O18" s="11">
        <f>INDEX('V_Döviz'!N$2:N$28,MATCH(LARGE('V_Döviz'!$AL$2:$AL$28,ROW()-3),'V_Döviz'!$AL$2:$AL$28,0))</f>
        <v/>
      </c>
      <c r="P18" s="11">
        <f>INDEX('V_Döviz'!O$2:O$28,MATCH(LARGE('V_Döviz'!$AL$2:$AL$28,ROW()-3),'V_Döviz'!$AL$2:$AL$28,0))</f>
        <v/>
      </c>
      <c r="Q18" s="8">
        <f>INDEX('V_Döviz'!P$2:P$28,MATCH(LARGE('V_Döviz'!$AL$2:$AL$28,ROW()-3),'V_Döviz'!$AL$2:$AL$28,0))</f>
        <v/>
      </c>
      <c r="R18" s="9">
        <f>INDEX('V_Döviz'!Q$2:Q$28,MATCH(LARGE('V_Döviz'!$AL$2:$AL$28,ROW()-3),'V_Döviz'!$AL$2:$AL$28,0))</f>
        <v/>
      </c>
      <c r="S18" s="5">
        <f>INDEX('V_Döviz'!R$2:R$28,MATCH(LARGE('V_Döviz'!$AL$2:$AL$28,ROW()-3),'V_Döviz'!$AL$2:$AL$28,0))</f>
        <v/>
      </c>
      <c r="T18" s="8">
        <f>INDEX('V_Döviz'!S$2:S$28,MATCH(LARGE('V_Döviz'!$AL$2:$AL$28,ROW()-3),'V_Döviz'!$AL$2:$AL$28,0))</f>
        <v/>
      </c>
      <c r="U18" s="8">
        <f>INDEX('V_Döviz'!T$2:T$28,MATCH(LARGE('V_Döviz'!$AL$2:$AL$28,ROW()-3),'V_Döviz'!$AL$2:$AL$28,0))</f>
        <v/>
      </c>
      <c r="V18" s="8">
        <f>INDEX('V_Döviz'!U$2:U$28,MATCH(LARGE('V_Döviz'!$AL$2:$AL$28,ROW()-3),'V_Döviz'!$AL$2:$AL$28,0))</f>
        <v/>
      </c>
      <c r="W18" s="8">
        <f>INDEX('V_Döviz'!V$2:V$28,MATCH(LARGE('V_Döviz'!$AL$2:$AL$28,ROW()-3),'V_Döviz'!$AL$2:$AL$28,0))</f>
        <v/>
      </c>
      <c r="X18" s="8">
        <f>INDEX('V_Döviz'!W$2:W$28,MATCH(LARGE('V_Döviz'!$AL$2:$AL$28,ROW()-3),'V_Döviz'!$AL$2:$AL$28,0))</f>
        <v/>
      </c>
      <c r="Y18" s="8">
        <f>INDEX('V_Döviz'!X$2:X$28,MATCH(LARGE('V_Döviz'!$AL$2:$AL$28,ROW()-3),'V_Döviz'!$AL$2:$AL$28,0))</f>
        <v/>
      </c>
      <c r="Z18" s="8">
        <f>INDEX('V_Döviz'!Y$2:Y$28,MATCH(LARGE('V_Döviz'!$AL$2:$AL$28,ROW()-3),'V_Döviz'!$AL$2:$AL$28,0))</f>
        <v/>
      </c>
      <c r="AA18" s="8">
        <f>INDEX('V_Döviz'!Z$2:Z$28,MATCH(LARGE('V_Döviz'!$AL$2:$AL$28,ROW()-3),'V_Döviz'!$AL$2:$AL$28,0))</f>
        <v/>
      </c>
      <c r="AB18" s="8">
        <f>INDEX('V_Döviz'!AA$2:AA$28,MATCH(LARGE('V_Döviz'!$AL$2:$AL$28,ROW()-3),'V_Döviz'!$AL$2:$AL$28,0))</f>
        <v/>
      </c>
      <c r="AC18" s="8">
        <f>INDEX('V_Döviz'!AB$2:AB$28,MATCH(LARGE('V_Döviz'!$AL$2:$AL$28,ROW()-3),'V_Döviz'!$AL$2:$AL$28,0))</f>
        <v/>
      </c>
      <c r="AD18" s="8">
        <f>INDEX('V_Döviz'!AC$2:AC$28,MATCH(LARGE('V_Döviz'!$AL$2:$AL$28,ROW()-3),'V_Döviz'!$AL$2:$AL$28,0))</f>
        <v/>
      </c>
      <c r="AE18" s="8">
        <f>INDEX('V_Döviz'!AD$2:AD$28,MATCH(LARGE('V_Döviz'!$AL$2:$AL$28,ROW()-3),'V_Döviz'!$AL$2:$AL$28,0))</f>
        <v/>
      </c>
      <c r="AF18" s="9">
        <f>INDEX('V_Döviz'!AE$2:AE$28,MATCH(LARGE('V_Döviz'!$AL$2:$AL$28,ROW()-3),'V_Döviz'!$AL$2:$AL$28,0))</f>
        <v/>
      </c>
      <c r="AG18" s="9">
        <f>INDEX('V_Döviz'!AF$2:AF$28,MATCH(LARGE('V_Döviz'!$AL$2:$AL$28,ROW()-3),'V_Döviz'!$AL$2:$AL$28,0))</f>
        <v/>
      </c>
      <c r="AH18" s="9">
        <f>INDEX('V_Döviz'!AG$2:AG$28,MATCH(LARGE('V_Döviz'!$AL$2:$AL$28,ROW()-3),'V_Döviz'!$AL$2:$AL$28,0))</f>
        <v/>
      </c>
      <c r="AI18" s="9">
        <f>INDEX('V_Döviz'!AH$2:AH$28,MATCH(LARGE('V_Döviz'!$AL$2:$AL$28,ROW()-3),'V_Döviz'!$AL$2:$AL$28,0))</f>
        <v/>
      </c>
      <c r="AJ18" s="9">
        <f>INDEX('V_Döviz'!AI$2:AI$28,MATCH(LARGE('V_Döviz'!$AL$2:$AL$28,ROW()-3),'V_Döviz'!$AL$2:$AL$28,0))</f>
        <v/>
      </c>
      <c r="AK18" s="9">
        <f>INDEX('V_Döviz'!AJ$2:AJ$28,MATCH(LARGE('V_Döviz'!$AL$2:$AL$28,ROW()-3),'V_Döviz'!$AL$2:$AL$28,0))</f>
        <v/>
      </c>
    </row>
    <row r="19">
      <c r="A19" t="n">
        <v>16</v>
      </c>
      <c r="B19" s="5">
        <f>INDEX('V_Döviz'!A$2:A$28,MATCH(LARGE('V_Döviz'!$AL$2:$AL$28,ROW()-3),'V_Döviz'!$AL$2:$AL$28,0))</f>
        <v/>
      </c>
      <c r="C19" s="5">
        <f>INDEX('V_Döviz'!B$2:B$28,MATCH(LARGE('V_Döviz'!$AL$2:$AL$28,ROW()-3),'V_Döviz'!$AL$2:$AL$28,0))</f>
        <v/>
      </c>
      <c r="D19" s="5">
        <f>INDEX('V_Döviz'!C$2:C$28,MATCH(LARGE('V_Döviz'!$AL$2:$AL$28,ROW()-3),'V_Döviz'!$AL$2:$AL$28,0))</f>
        <v/>
      </c>
      <c r="E19" s="8">
        <f>INDEX('V_Döviz'!D$2:D$28,MATCH(LARGE('V_Döviz'!$AL$2:$AL$28,ROW()-3),'V_Döviz'!$AL$2:$AL$28,0))</f>
        <v/>
      </c>
      <c r="F19" s="9">
        <f>INDEX('V_Döviz'!E$2:E$28,MATCH(LARGE('V_Döviz'!$AL$2:$AL$28,ROW()-3),'V_Döviz'!$AL$2:$AL$28,0))</f>
        <v/>
      </c>
      <c r="G19" s="9">
        <f>INDEX('V_Döviz'!F$2:F$28,MATCH(LARGE('V_Döviz'!$AL$2:$AL$28,ROW()-3),'V_Döviz'!$AL$2:$AL$28,0))</f>
        <v/>
      </c>
      <c r="H19" s="9">
        <f>INDEX('V_Döviz'!G$2:G$28,MATCH(LARGE('V_Döviz'!$AL$2:$AL$28,ROW()-3),'V_Döviz'!$AL$2:$AL$28,0))</f>
        <v/>
      </c>
      <c r="I19" s="9">
        <f>INDEX('V_Döviz'!H$2:H$28,MATCH(LARGE('V_Döviz'!$AL$2:$AL$28,ROW()-3),'V_Döviz'!$AL$2:$AL$28,0))</f>
        <v/>
      </c>
      <c r="J19" s="9">
        <f>INDEX('V_Döviz'!I$2:I$28,MATCH(LARGE('V_Döviz'!$AL$2:$AL$28,ROW()-3),'V_Döviz'!$AL$2:$AL$28,0))</f>
        <v/>
      </c>
      <c r="K19" s="9">
        <f>INDEX('V_Döviz'!J$2:J$28,MATCH(LARGE('V_Döviz'!$AL$2:$AL$28,ROW()-3),'V_Döviz'!$AL$2:$AL$28,0))</f>
        <v/>
      </c>
      <c r="L19" s="10">
        <f>INDEX('V_Döviz'!K$2:K$28,MATCH(LARGE('V_Döviz'!$AL$2:$AL$28,ROW()-3),'V_Döviz'!$AL$2:$AL$28,0))</f>
        <v/>
      </c>
      <c r="M19" s="10">
        <f>INDEX('V_Döviz'!L$2:L$28,MATCH(LARGE('V_Döviz'!$AL$2:$AL$28,ROW()-3),'V_Döviz'!$AL$2:$AL$28,0))</f>
        <v/>
      </c>
      <c r="N19" s="8">
        <f>INDEX('V_Döviz'!M$2:M$28,MATCH(LARGE('V_Döviz'!$AL$2:$AL$28,ROW()-3),'V_Döviz'!$AL$2:$AL$28,0))</f>
        <v/>
      </c>
      <c r="O19" s="11">
        <f>INDEX('V_Döviz'!N$2:N$28,MATCH(LARGE('V_Döviz'!$AL$2:$AL$28,ROW()-3),'V_Döviz'!$AL$2:$AL$28,0))</f>
        <v/>
      </c>
      <c r="P19" s="11">
        <f>INDEX('V_Döviz'!O$2:O$28,MATCH(LARGE('V_Döviz'!$AL$2:$AL$28,ROW()-3),'V_Döviz'!$AL$2:$AL$28,0))</f>
        <v/>
      </c>
      <c r="Q19" s="8">
        <f>INDEX('V_Döviz'!P$2:P$28,MATCH(LARGE('V_Döviz'!$AL$2:$AL$28,ROW()-3),'V_Döviz'!$AL$2:$AL$28,0))</f>
        <v/>
      </c>
      <c r="R19" s="9">
        <f>INDEX('V_Döviz'!Q$2:Q$28,MATCH(LARGE('V_Döviz'!$AL$2:$AL$28,ROW()-3),'V_Döviz'!$AL$2:$AL$28,0))</f>
        <v/>
      </c>
      <c r="S19" s="5">
        <f>INDEX('V_Döviz'!R$2:R$28,MATCH(LARGE('V_Döviz'!$AL$2:$AL$28,ROW()-3),'V_Döviz'!$AL$2:$AL$28,0))</f>
        <v/>
      </c>
      <c r="T19" s="8">
        <f>INDEX('V_Döviz'!S$2:S$28,MATCH(LARGE('V_Döviz'!$AL$2:$AL$28,ROW()-3),'V_Döviz'!$AL$2:$AL$28,0))</f>
        <v/>
      </c>
      <c r="U19" s="8">
        <f>INDEX('V_Döviz'!T$2:T$28,MATCH(LARGE('V_Döviz'!$AL$2:$AL$28,ROW()-3),'V_Döviz'!$AL$2:$AL$28,0))</f>
        <v/>
      </c>
      <c r="V19" s="8">
        <f>INDEX('V_Döviz'!U$2:U$28,MATCH(LARGE('V_Döviz'!$AL$2:$AL$28,ROW()-3),'V_Döviz'!$AL$2:$AL$28,0))</f>
        <v/>
      </c>
      <c r="W19" s="8">
        <f>INDEX('V_Döviz'!V$2:V$28,MATCH(LARGE('V_Döviz'!$AL$2:$AL$28,ROW()-3),'V_Döviz'!$AL$2:$AL$28,0))</f>
        <v/>
      </c>
      <c r="X19" s="8">
        <f>INDEX('V_Döviz'!W$2:W$28,MATCH(LARGE('V_Döviz'!$AL$2:$AL$28,ROW()-3),'V_Döviz'!$AL$2:$AL$28,0))</f>
        <v/>
      </c>
      <c r="Y19" s="8">
        <f>INDEX('V_Döviz'!X$2:X$28,MATCH(LARGE('V_Döviz'!$AL$2:$AL$28,ROW()-3),'V_Döviz'!$AL$2:$AL$28,0))</f>
        <v/>
      </c>
      <c r="Z19" s="8">
        <f>INDEX('V_Döviz'!Y$2:Y$28,MATCH(LARGE('V_Döviz'!$AL$2:$AL$28,ROW()-3),'V_Döviz'!$AL$2:$AL$28,0))</f>
        <v/>
      </c>
      <c r="AA19" s="8">
        <f>INDEX('V_Döviz'!Z$2:Z$28,MATCH(LARGE('V_Döviz'!$AL$2:$AL$28,ROW()-3),'V_Döviz'!$AL$2:$AL$28,0))</f>
        <v/>
      </c>
      <c r="AB19" s="8">
        <f>INDEX('V_Döviz'!AA$2:AA$28,MATCH(LARGE('V_Döviz'!$AL$2:$AL$28,ROW()-3),'V_Döviz'!$AL$2:$AL$28,0))</f>
        <v/>
      </c>
      <c r="AC19" s="8">
        <f>INDEX('V_Döviz'!AB$2:AB$28,MATCH(LARGE('V_Döviz'!$AL$2:$AL$28,ROW()-3),'V_Döviz'!$AL$2:$AL$28,0))</f>
        <v/>
      </c>
      <c r="AD19" s="8">
        <f>INDEX('V_Döviz'!AC$2:AC$28,MATCH(LARGE('V_Döviz'!$AL$2:$AL$28,ROW()-3),'V_Döviz'!$AL$2:$AL$28,0))</f>
        <v/>
      </c>
      <c r="AE19" s="8">
        <f>INDEX('V_Döviz'!AD$2:AD$28,MATCH(LARGE('V_Döviz'!$AL$2:$AL$28,ROW()-3),'V_Döviz'!$AL$2:$AL$28,0))</f>
        <v/>
      </c>
      <c r="AF19" s="9">
        <f>INDEX('V_Döviz'!AE$2:AE$28,MATCH(LARGE('V_Döviz'!$AL$2:$AL$28,ROW()-3),'V_Döviz'!$AL$2:$AL$28,0))</f>
        <v/>
      </c>
      <c r="AG19" s="9">
        <f>INDEX('V_Döviz'!AF$2:AF$28,MATCH(LARGE('V_Döviz'!$AL$2:$AL$28,ROW()-3),'V_Döviz'!$AL$2:$AL$28,0))</f>
        <v/>
      </c>
      <c r="AH19" s="9">
        <f>INDEX('V_Döviz'!AG$2:AG$28,MATCH(LARGE('V_Döviz'!$AL$2:$AL$28,ROW()-3),'V_Döviz'!$AL$2:$AL$28,0))</f>
        <v/>
      </c>
      <c r="AI19" s="9">
        <f>INDEX('V_Döviz'!AH$2:AH$28,MATCH(LARGE('V_Döviz'!$AL$2:$AL$28,ROW()-3),'V_Döviz'!$AL$2:$AL$28,0))</f>
        <v/>
      </c>
      <c r="AJ19" s="9">
        <f>INDEX('V_Döviz'!AI$2:AI$28,MATCH(LARGE('V_Döviz'!$AL$2:$AL$28,ROW()-3),'V_Döviz'!$AL$2:$AL$28,0))</f>
        <v/>
      </c>
      <c r="AK19" s="9">
        <f>INDEX('V_Döviz'!AJ$2:AJ$28,MATCH(LARGE('V_Döviz'!$AL$2:$AL$28,ROW()-3),'V_Döviz'!$AL$2:$AL$28,0))</f>
        <v/>
      </c>
    </row>
    <row r="20">
      <c r="A20" t="n">
        <v>17</v>
      </c>
      <c r="B20" s="5">
        <f>INDEX('V_Döviz'!A$2:A$28,MATCH(LARGE('V_Döviz'!$AL$2:$AL$28,ROW()-3),'V_Döviz'!$AL$2:$AL$28,0))</f>
        <v/>
      </c>
      <c r="C20" s="5">
        <f>INDEX('V_Döviz'!B$2:B$28,MATCH(LARGE('V_Döviz'!$AL$2:$AL$28,ROW()-3),'V_Döviz'!$AL$2:$AL$28,0))</f>
        <v/>
      </c>
      <c r="D20" s="5">
        <f>INDEX('V_Döviz'!C$2:C$28,MATCH(LARGE('V_Döviz'!$AL$2:$AL$28,ROW()-3),'V_Döviz'!$AL$2:$AL$28,0))</f>
        <v/>
      </c>
      <c r="E20" s="8">
        <f>INDEX('V_Döviz'!D$2:D$28,MATCH(LARGE('V_Döviz'!$AL$2:$AL$28,ROW()-3),'V_Döviz'!$AL$2:$AL$28,0))</f>
        <v/>
      </c>
      <c r="F20" s="9">
        <f>INDEX('V_Döviz'!E$2:E$28,MATCH(LARGE('V_Döviz'!$AL$2:$AL$28,ROW()-3),'V_Döviz'!$AL$2:$AL$28,0))</f>
        <v/>
      </c>
      <c r="G20" s="9">
        <f>INDEX('V_Döviz'!F$2:F$28,MATCH(LARGE('V_Döviz'!$AL$2:$AL$28,ROW()-3),'V_Döviz'!$AL$2:$AL$28,0))</f>
        <v/>
      </c>
      <c r="H20" s="9">
        <f>INDEX('V_Döviz'!G$2:G$28,MATCH(LARGE('V_Döviz'!$AL$2:$AL$28,ROW()-3),'V_Döviz'!$AL$2:$AL$28,0))</f>
        <v/>
      </c>
      <c r="I20" s="9">
        <f>INDEX('V_Döviz'!H$2:H$28,MATCH(LARGE('V_Döviz'!$AL$2:$AL$28,ROW()-3),'V_Döviz'!$AL$2:$AL$28,0))</f>
        <v/>
      </c>
      <c r="J20" s="9">
        <f>INDEX('V_Döviz'!I$2:I$28,MATCH(LARGE('V_Döviz'!$AL$2:$AL$28,ROW()-3),'V_Döviz'!$AL$2:$AL$28,0))</f>
        <v/>
      </c>
      <c r="K20" s="9">
        <f>INDEX('V_Döviz'!J$2:J$28,MATCH(LARGE('V_Döviz'!$AL$2:$AL$28,ROW()-3),'V_Döviz'!$AL$2:$AL$28,0))</f>
        <v/>
      </c>
      <c r="L20" s="10">
        <f>INDEX('V_Döviz'!K$2:K$28,MATCH(LARGE('V_Döviz'!$AL$2:$AL$28,ROW()-3),'V_Döviz'!$AL$2:$AL$28,0))</f>
        <v/>
      </c>
      <c r="M20" s="10">
        <f>INDEX('V_Döviz'!L$2:L$28,MATCH(LARGE('V_Döviz'!$AL$2:$AL$28,ROW()-3),'V_Döviz'!$AL$2:$AL$28,0))</f>
        <v/>
      </c>
      <c r="N20" s="8">
        <f>INDEX('V_Döviz'!M$2:M$28,MATCH(LARGE('V_Döviz'!$AL$2:$AL$28,ROW()-3),'V_Döviz'!$AL$2:$AL$28,0))</f>
        <v/>
      </c>
      <c r="O20" s="11">
        <f>INDEX('V_Döviz'!N$2:N$28,MATCH(LARGE('V_Döviz'!$AL$2:$AL$28,ROW()-3),'V_Döviz'!$AL$2:$AL$28,0))</f>
        <v/>
      </c>
      <c r="P20" s="11">
        <f>INDEX('V_Döviz'!O$2:O$28,MATCH(LARGE('V_Döviz'!$AL$2:$AL$28,ROW()-3),'V_Döviz'!$AL$2:$AL$28,0))</f>
        <v/>
      </c>
      <c r="Q20" s="8">
        <f>INDEX('V_Döviz'!P$2:P$28,MATCH(LARGE('V_Döviz'!$AL$2:$AL$28,ROW()-3),'V_Döviz'!$AL$2:$AL$28,0))</f>
        <v/>
      </c>
      <c r="R20" s="9">
        <f>INDEX('V_Döviz'!Q$2:Q$28,MATCH(LARGE('V_Döviz'!$AL$2:$AL$28,ROW()-3),'V_Döviz'!$AL$2:$AL$28,0))</f>
        <v/>
      </c>
      <c r="S20" s="5">
        <f>INDEX('V_Döviz'!R$2:R$28,MATCH(LARGE('V_Döviz'!$AL$2:$AL$28,ROW()-3),'V_Döviz'!$AL$2:$AL$28,0))</f>
        <v/>
      </c>
      <c r="T20" s="8">
        <f>INDEX('V_Döviz'!S$2:S$28,MATCH(LARGE('V_Döviz'!$AL$2:$AL$28,ROW()-3),'V_Döviz'!$AL$2:$AL$28,0))</f>
        <v/>
      </c>
      <c r="U20" s="8">
        <f>INDEX('V_Döviz'!T$2:T$28,MATCH(LARGE('V_Döviz'!$AL$2:$AL$28,ROW()-3),'V_Döviz'!$AL$2:$AL$28,0))</f>
        <v/>
      </c>
      <c r="V20" s="8">
        <f>INDEX('V_Döviz'!U$2:U$28,MATCH(LARGE('V_Döviz'!$AL$2:$AL$28,ROW()-3),'V_Döviz'!$AL$2:$AL$28,0))</f>
        <v/>
      </c>
      <c r="W20" s="8">
        <f>INDEX('V_Döviz'!V$2:V$28,MATCH(LARGE('V_Döviz'!$AL$2:$AL$28,ROW()-3),'V_Döviz'!$AL$2:$AL$28,0))</f>
        <v/>
      </c>
      <c r="X20" s="8">
        <f>INDEX('V_Döviz'!W$2:W$28,MATCH(LARGE('V_Döviz'!$AL$2:$AL$28,ROW()-3),'V_Döviz'!$AL$2:$AL$28,0))</f>
        <v/>
      </c>
      <c r="Y20" s="8">
        <f>INDEX('V_Döviz'!X$2:X$28,MATCH(LARGE('V_Döviz'!$AL$2:$AL$28,ROW()-3),'V_Döviz'!$AL$2:$AL$28,0))</f>
        <v/>
      </c>
      <c r="Z20" s="8">
        <f>INDEX('V_Döviz'!Y$2:Y$28,MATCH(LARGE('V_Döviz'!$AL$2:$AL$28,ROW()-3),'V_Döviz'!$AL$2:$AL$28,0))</f>
        <v/>
      </c>
      <c r="AA20" s="8">
        <f>INDEX('V_Döviz'!Z$2:Z$28,MATCH(LARGE('V_Döviz'!$AL$2:$AL$28,ROW()-3),'V_Döviz'!$AL$2:$AL$28,0))</f>
        <v/>
      </c>
      <c r="AB20" s="8">
        <f>INDEX('V_Döviz'!AA$2:AA$28,MATCH(LARGE('V_Döviz'!$AL$2:$AL$28,ROW()-3),'V_Döviz'!$AL$2:$AL$28,0))</f>
        <v/>
      </c>
      <c r="AC20" s="8">
        <f>INDEX('V_Döviz'!AB$2:AB$28,MATCH(LARGE('V_Döviz'!$AL$2:$AL$28,ROW()-3),'V_Döviz'!$AL$2:$AL$28,0))</f>
        <v/>
      </c>
      <c r="AD20" s="8">
        <f>INDEX('V_Döviz'!AC$2:AC$28,MATCH(LARGE('V_Döviz'!$AL$2:$AL$28,ROW()-3),'V_Döviz'!$AL$2:$AL$28,0))</f>
        <v/>
      </c>
      <c r="AE20" s="8">
        <f>INDEX('V_Döviz'!AD$2:AD$28,MATCH(LARGE('V_Döviz'!$AL$2:$AL$28,ROW()-3),'V_Döviz'!$AL$2:$AL$28,0))</f>
        <v/>
      </c>
      <c r="AF20" s="9">
        <f>INDEX('V_Döviz'!AE$2:AE$28,MATCH(LARGE('V_Döviz'!$AL$2:$AL$28,ROW()-3),'V_Döviz'!$AL$2:$AL$28,0))</f>
        <v/>
      </c>
      <c r="AG20" s="9">
        <f>INDEX('V_Döviz'!AF$2:AF$28,MATCH(LARGE('V_Döviz'!$AL$2:$AL$28,ROW()-3),'V_Döviz'!$AL$2:$AL$28,0))</f>
        <v/>
      </c>
      <c r="AH20" s="9">
        <f>INDEX('V_Döviz'!AG$2:AG$28,MATCH(LARGE('V_Döviz'!$AL$2:$AL$28,ROW()-3),'V_Döviz'!$AL$2:$AL$28,0))</f>
        <v/>
      </c>
      <c r="AI20" s="9">
        <f>INDEX('V_Döviz'!AH$2:AH$28,MATCH(LARGE('V_Döviz'!$AL$2:$AL$28,ROW()-3),'V_Döviz'!$AL$2:$AL$28,0))</f>
        <v/>
      </c>
      <c r="AJ20" s="9">
        <f>INDEX('V_Döviz'!AI$2:AI$28,MATCH(LARGE('V_Döviz'!$AL$2:$AL$28,ROW()-3),'V_Döviz'!$AL$2:$AL$28,0))</f>
        <v/>
      </c>
      <c r="AK20" s="9">
        <f>INDEX('V_Döviz'!AJ$2:AJ$28,MATCH(LARGE('V_Döviz'!$AL$2:$AL$28,ROW()-3),'V_Döviz'!$AL$2:$AL$28,0))</f>
        <v/>
      </c>
    </row>
    <row r="21">
      <c r="A21" t="n">
        <v>18</v>
      </c>
      <c r="B21" s="5">
        <f>INDEX('V_Döviz'!A$2:A$28,MATCH(LARGE('V_Döviz'!$AL$2:$AL$28,ROW()-3),'V_Döviz'!$AL$2:$AL$28,0))</f>
        <v/>
      </c>
      <c r="C21" s="5">
        <f>INDEX('V_Döviz'!B$2:B$28,MATCH(LARGE('V_Döviz'!$AL$2:$AL$28,ROW()-3),'V_Döviz'!$AL$2:$AL$28,0))</f>
        <v/>
      </c>
      <c r="D21" s="5">
        <f>INDEX('V_Döviz'!C$2:C$28,MATCH(LARGE('V_Döviz'!$AL$2:$AL$28,ROW()-3),'V_Döviz'!$AL$2:$AL$28,0))</f>
        <v/>
      </c>
      <c r="E21" s="8">
        <f>INDEX('V_Döviz'!D$2:D$28,MATCH(LARGE('V_Döviz'!$AL$2:$AL$28,ROW()-3),'V_Döviz'!$AL$2:$AL$28,0))</f>
        <v/>
      </c>
      <c r="F21" s="9">
        <f>INDEX('V_Döviz'!E$2:E$28,MATCH(LARGE('V_Döviz'!$AL$2:$AL$28,ROW()-3),'V_Döviz'!$AL$2:$AL$28,0))</f>
        <v/>
      </c>
      <c r="G21" s="9">
        <f>INDEX('V_Döviz'!F$2:F$28,MATCH(LARGE('V_Döviz'!$AL$2:$AL$28,ROW()-3),'V_Döviz'!$AL$2:$AL$28,0))</f>
        <v/>
      </c>
      <c r="H21" s="9">
        <f>INDEX('V_Döviz'!G$2:G$28,MATCH(LARGE('V_Döviz'!$AL$2:$AL$28,ROW()-3),'V_Döviz'!$AL$2:$AL$28,0))</f>
        <v/>
      </c>
      <c r="I21" s="9">
        <f>INDEX('V_Döviz'!H$2:H$28,MATCH(LARGE('V_Döviz'!$AL$2:$AL$28,ROW()-3),'V_Döviz'!$AL$2:$AL$28,0))</f>
        <v/>
      </c>
      <c r="J21" s="9">
        <f>INDEX('V_Döviz'!I$2:I$28,MATCH(LARGE('V_Döviz'!$AL$2:$AL$28,ROW()-3),'V_Döviz'!$AL$2:$AL$28,0))</f>
        <v/>
      </c>
      <c r="K21" s="9">
        <f>INDEX('V_Döviz'!J$2:J$28,MATCH(LARGE('V_Döviz'!$AL$2:$AL$28,ROW()-3),'V_Döviz'!$AL$2:$AL$28,0))</f>
        <v/>
      </c>
      <c r="L21" s="10">
        <f>INDEX('V_Döviz'!K$2:K$28,MATCH(LARGE('V_Döviz'!$AL$2:$AL$28,ROW()-3),'V_Döviz'!$AL$2:$AL$28,0))</f>
        <v/>
      </c>
      <c r="M21" s="10">
        <f>INDEX('V_Döviz'!L$2:L$28,MATCH(LARGE('V_Döviz'!$AL$2:$AL$28,ROW()-3),'V_Döviz'!$AL$2:$AL$28,0))</f>
        <v/>
      </c>
      <c r="N21" s="8">
        <f>INDEX('V_Döviz'!M$2:M$28,MATCH(LARGE('V_Döviz'!$AL$2:$AL$28,ROW()-3),'V_Döviz'!$AL$2:$AL$28,0))</f>
        <v/>
      </c>
      <c r="O21" s="11">
        <f>INDEX('V_Döviz'!N$2:N$28,MATCH(LARGE('V_Döviz'!$AL$2:$AL$28,ROW()-3),'V_Döviz'!$AL$2:$AL$28,0))</f>
        <v/>
      </c>
      <c r="P21" s="11">
        <f>INDEX('V_Döviz'!O$2:O$28,MATCH(LARGE('V_Döviz'!$AL$2:$AL$28,ROW()-3),'V_Döviz'!$AL$2:$AL$28,0))</f>
        <v/>
      </c>
      <c r="Q21" s="8">
        <f>INDEX('V_Döviz'!P$2:P$28,MATCH(LARGE('V_Döviz'!$AL$2:$AL$28,ROW()-3),'V_Döviz'!$AL$2:$AL$28,0))</f>
        <v/>
      </c>
      <c r="R21" s="9">
        <f>INDEX('V_Döviz'!Q$2:Q$28,MATCH(LARGE('V_Döviz'!$AL$2:$AL$28,ROW()-3),'V_Döviz'!$AL$2:$AL$28,0))</f>
        <v/>
      </c>
      <c r="S21" s="5">
        <f>INDEX('V_Döviz'!R$2:R$28,MATCH(LARGE('V_Döviz'!$AL$2:$AL$28,ROW()-3),'V_Döviz'!$AL$2:$AL$28,0))</f>
        <v/>
      </c>
      <c r="T21" s="8">
        <f>INDEX('V_Döviz'!S$2:S$28,MATCH(LARGE('V_Döviz'!$AL$2:$AL$28,ROW()-3),'V_Döviz'!$AL$2:$AL$28,0))</f>
        <v/>
      </c>
      <c r="U21" s="8">
        <f>INDEX('V_Döviz'!T$2:T$28,MATCH(LARGE('V_Döviz'!$AL$2:$AL$28,ROW()-3),'V_Döviz'!$AL$2:$AL$28,0))</f>
        <v/>
      </c>
      <c r="V21" s="8">
        <f>INDEX('V_Döviz'!U$2:U$28,MATCH(LARGE('V_Döviz'!$AL$2:$AL$28,ROW()-3),'V_Döviz'!$AL$2:$AL$28,0))</f>
        <v/>
      </c>
      <c r="W21" s="8">
        <f>INDEX('V_Döviz'!V$2:V$28,MATCH(LARGE('V_Döviz'!$AL$2:$AL$28,ROW()-3),'V_Döviz'!$AL$2:$AL$28,0))</f>
        <v/>
      </c>
      <c r="X21" s="8">
        <f>INDEX('V_Döviz'!W$2:W$28,MATCH(LARGE('V_Döviz'!$AL$2:$AL$28,ROW()-3),'V_Döviz'!$AL$2:$AL$28,0))</f>
        <v/>
      </c>
      <c r="Y21" s="8">
        <f>INDEX('V_Döviz'!X$2:X$28,MATCH(LARGE('V_Döviz'!$AL$2:$AL$28,ROW()-3),'V_Döviz'!$AL$2:$AL$28,0))</f>
        <v/>
      </c>
      <c r="Z21" s="8">
        <f>INDEX('V_Döviz'!Y$2:Y$28,MATCH(LARGE('V_Döviz'!$AL$2:$AL$28,ROW()-3),'V_Döviz'!$AL$2:$AL$28,0))</f>
        <v/>
      </c>
      <c r="AA21" s="8">
        <f>INDEX('V_Döviz'!Z$2:Z$28,MATCH(LARGE('V_Döviz'!$AL$2:$AL$28,ROW()-3),'V_Döviz'!$AL$2:$AL$28,0))</f>
        <v/>
      </c>
      <c r="AB21" s="8">
        <f>INDEX('V_Döviz'!AA$2:AA$28,MATCH(LARGE('V_Döviz'!$AL$2:$AL$28,ROW()-3),'V_Döviz'!$AL$2:$AL$28,0))</f>
        <v/>
      </c>
      <c r="AC21" s="8">
        <f>INDEX('V_Döviz'!AB$2:AB$28,MATCH(LARGE('V_Döviz'!$AL$2:$AL$28,ROW()-3),'V_Döviz'!$AL$2:$AL$28,0))</f>
        <v/>
      </c>
      <c r="AD21" s="8">
        <f>INDEX('V_Döviz'!AC$2:AC$28,MATCH(LARGE('V_Döviz'!$AL$2:$AL$28,ROW()-3),'V_Döviz'!$AL$2:$AL$28,0))</f>
        <v/>
      </c>
      <c r="AE21" s="8">
        <f>INDEX('V_Döviz'!AD$2:AD$28,MATCH(LARGE('V_Döviz'!$AL$2:$AL$28,ROW()-3),'V_Döviz'!$AL$2:$AL$28,0))</f>
        <v/>
      </c>
      <c r="AF21" s="9">
        <f>INDEX('V_Döviz'!AE$2:AE$28,MATCH(LARGE('V_Döviz'!$AL$2:$AL$28,ROW()-3),'V_Döviz'!$AL$2:$AL$28,0))</f>
        <v/>
      </c>
      <c r="AG21" s="9">
        <f>INDEX('V_Döviz'!AF$2:AF$28,MATCH(LARGE('V_Döviz'!$AL$2:$AL$28,ROW()-3),'V_Döviz'!$AL$2:$AL$28,0))</f>
        <v/>
      </c>
      <c r="AH21" s="9">
        <f>INDEX('V_Döviz'!AG$2:AG$28,MATCH(LARGE('V_Döviz'!$AL$2:$AL$28,ROW()-3),'V_Döviz'!$AL$2:$AL$28,0))</f>
        <v/>
      </c>
      <c r="AI21" s="9">
        <f>INDEX('V_Döviz'!AH$2:AH$28,MATCH(LARGE('V_Döviz'!$AL$2:$AL$28,ROW()-3),'V_Döviz'!$AL$2:$AL$28,0))</f>
        <v/>
      </c>
      <c r="AJ21" s="9">
        <f>INDEX('V_Döviz'!AI$2:AI$28,MATCH(LARGE('V_Döviz'!$AL$2:$AL$28,ROW()-3),'V_Döviz'!$AL$2:$AL$28,0))</f>
        <v/>
      </c>
      <c r="AK21" s="9">
        <f>INDEX('V_Döviz'!AJ$2:AJ$28,MATCH(LARGE('V_Döviz'!$AL$2:$AL$28,ROW()-3),'V_Döviz'!$AL$2:$AL$28,0))</f>
        <v/>
      </c>
    </row>
    <row r="22">
      <c r="A22" t="n">
        <v>19</v>
      </c>
      <c r="B22" s="5">
        <f>INDEX('V_Döviz'!A$2:A$28,MATCH(LARGE('V_Döviz'!$AL$2:$AL$28,ROW()-3),'V_Döviz'!$AL$2:$AL$28,0))</f>
        <v/>
      </c>
      <c r="C22" s="5">
        <f>INDEX('V_Döviz'!B$2:B$28,MATCH(LARGE('V_Döviz'!$AL$2:$AL$28,ROW()-3),'V_Döviz'!$AL$2:$AL$28,0))</f>
        <v/>
      </c>
      <c r="D22" s="5">
        <f>INDEX('V_Döviz'!C$2:C$28,MATCH(LARGE('V_Döviz'!$AL$2:$AL$28,ROW()-3),'V_Döviz'!$AL$2:$AL$28,0))</f>
        <v/>
      </c>
      <c r="E22" s="8">
        <f>INDEX('V_Döviz'!D$2:D$28,MATCH(LARGE('V_Döviz'!$AL$2:$AL$28,ROW()-3),'V_Döviz'!$AL$2:$AL$28,0))</f>
        <v/>
      </c>
      <c r="F22" s="9">
        <f>INDEX('V_Döviz'!E$2:E$28,MATCH(LARGE('V_Döviz'!$AL$2:$AL$28,ROW()-3),'V_Döviz'!$AL$2:$AL$28,0))</f>
        <v/>
      </c>
      <c r="G22" s="9">
        <f>INDEX('V_Döviz'!F$2:F$28,MATCH(LARGE('V_Döviz'!$AL$2:$AL$28,ROW()-3),'V_Döviz'!$AL$2:$AL$28,0))</f>
        <v/>
      </c>
      <c r="H22" s="9">
        <f>INDEX('V_Döviz'!G$2:G$28,MATCH(LARGE('V_Döviz'!$AL$2:$AL$28,ROW()-3),'V_Döviz'!$AL$2:$AL$28,0))</f>
        <v/>
      </c>
      <c r="I22" s="9">
        <f>INDEX('V_Döviz'!H$2:H$28,MATCH(LARGE('V_Döviz'!$AL$2:$AL$28,ROW()-3),'V_Döviz'!$AL$2:$AL$28,0))</f>
        <v/>
      </c>
      <c r="J22" s="9">
        <f>INDEX('V_Döviz'!I$2:I$28,MATCH(LARGE('V_Döviz'!$AL$2:$AL$28,ROW()-3),'V_Döviz'!$AL$2:$AL$28,0))</f>
        <v/>
      </c>
      <c r="K22" s="9">
        <f>INDEX('V_Döviz'!J$2:J$28,MATCH(LARGE('V_Döviz'!$AL$2:$AL$28,ROW()-3),'V_Döviz'!$AL$2:$AL$28,0))</f>
        <v/>
      </c>
      <c r="L22" s="10">
        <f>INDEX('V_Döviz'!K$2:K$28,MATCH(LARGE('V_Döviz'!$AL$2:$AL$28,ROW()-3),'V_Döviz'!$AL$2:$AL$28,0))</f>
        <v/>
      </c>
      <c r="M22" s="10">
        <f>INDEX('V_Döviz'!L$2:L$28,MATCH(LARGE('V_Döviz'!$AL$2:$AL$28,ROW()-3),'V_Döviz'!$AL$2:$AL$28,0))</f>
        <v/>
      </c>
      <c r="N22" s="8">
        <f>INDEX('V_Döviz'!M$2:M$28,MATCH(LARGE('V_Döviz'!$AL$2:$AL$28,ROW()-3),'V_Döviz'!$AL$2:$AL$28,0))</f>
        <v/>
      </c>
      <c r="O22" s="11">
        <f>INDEX('V_Döviz'!N$2:N$28,MATCH(LARGE('V_Döviz'!$AL$2:$AL$28,ROW()-3),'V_Döviz'!$AL$2:$AL$28,0))</f>
        <v/>
      </c>
      <c r="P22" s="11">
        <f>INDEX('V_Döviz'!O$2:O$28,MATCH(LARGE('V_Döviz'!$AL$2:$AL$28,ROW()-3),'V_Döviz'!$AL$2:$AL$28,0))</f>
        <v/>
      </c>
      <c r="Q22" s="8">
        <f>INDEX('V_Döviz'!P$2:P$28,MATCH(LARGE('V_Döviz'!$AL$2:$AL$28,ROW()-3),'V_Döviz'!$AL$2:$AL$28,0))</f>
        <v/>
      </c>
      <c r="R22" s="9">
        <f>INDEX('V_Döviz'!Q$2:Q$28,MATCH(LARGE('V_Döviz'!$AL$2:$AL$28,ROW()-3),'V_Döviz'!$AL$2:$AL$28,0))</f>
        <v/>
      </c>
      <c r="S22" s="5">
        <f>INDEX('V_Döviz'!R$2:R$28,MATCH(LARGE('V_Döviz'!$AL$2:$AL$28,ROW()-3),'V_Döviz'!$AL$2:$AL$28,0))</f>
        <v/>
      </c>
      <c r="T22" s="8">
        <f>INDEX('V_Döviz'!S$2:S$28,MATCH(LARGE('V_Döviz'!$AL$2:$AL$28,ROW()-3),'V_Döviz'!$AL$2:$AL$28,0))</f>
        <v/>
      </c>
      <c r="U22" s="8">
        <f>INDEX('V_Döviz'!T$2:T$28,MATCH(LARGE('V_Döviz'!$AL$2:$AL$28,ROW()-3),'V_Döviz'!$AL$2:$AL$28,0))</f>
        <v/>
      </c>
      <c r="V22" s="8">
        <f>INDEX('V_Döviz'!U$2:U$28,MATCH(LARGE('V_Döviz'!$AL$2:$AL$28,ROW()-3),'V_Döviz'!$AL$2:$AL$28,0))</f>
        <v/>
      </c>
      <c r="W22" s="8">
        <f>INDEX('V_Döviz'!V$2:V$28,MATCH(LARGE('V_Döviz'!$AL$2:$AL$28,ROW()-3),'V_Döviz'!$AL$2:$AL$28,0))</f>
        <v/>
      </c>
      <c r="X22" s="8">
        <f>INDEX('V_Döviz'!W$2:W$28,MATCH(LARGE('V_Döviz'!$AL$2:$AL$28,ROW()-3),'V_Döviz'!$AL$2:$AL$28,0))</f>
        <v/>
      </c>
      <c r="Y22" s="8">
        <f>INDEX('V_Döviz'!X$2:X$28,MATCH(LARGE('V_Döviz'!$AL$2:$AL$28,ROW()-3),'V_Döviz'!$AL$2:$AL$28,0))</f>
        <v/>
      </c>
      <c r="Z22" s="8">
        <f>INDEX('V_Döviz'!Y$2:Y$28,MATCH(LARGE('V_Döviz'!$AL$2:$AL$28,ROW()-3),'V_Döviz'!$AL$2:$AL$28,0))</f>
        <v/>
      </c>
      <c r="AA22" s="8">
        <f>INDEX('V_Döviz'!Z$2:Z$28,MATCH(LARGE('V_Döviz'!$AL$2:$AL$28,ROW()-3),'V_Döviz'!$AL$2:$AL$28,0))</f>
        <v/>
      </c>
      <c r="AB22" s="8">
        <f>INDEX('V_Döviz'!AA$2:AA$28,MATCH(LARGE('V_Döviz'!$AL$2:$AL$28,ROW()-3),'V_Döviz'!$AL$2:$AL$28,0))</f>
        <v/>
      </c>
      <c r="AC22" s="8">
        <f>INDEX('V_Döviz'!AB$2:AB$28,MATCH(LARGE('V_Döviz'!$AL$2:$AL$28,ROW()-3),'V_Döviz'!$AL$2:$AL$28,0))</f>
        <v/>
      </c>
      <c r="AD22" s="8">
        <f>INDEX('V_Döviz'!AC$2:AC$28,MATCH(LARGE('V_Döviz'!$AL$2:$AL$28,ROW()-3),'V_Döviz'!$AL$2:$AL$28,0))</f>
        <v/>
      </c>
      <c r="AE22" s="8">
        <f>INDEX('V_Döviz'!AD$2:AD$28,MATCH(LARGE('V_Döviz'!$AL$2:$AL$28,ROW()-3),'V_Döviz'!$AL$2:$AL$28,0))</f>
        <v/>
      </c>
      <c r="AF22" s="9">
        <f>INDEX('V_Döviz'!AE$2:AE$28,MATCH(LARGE('V_Döviz'!$AL$2:$AL$28,ROW()-3),'V_Döviz'!$AL$2:$AL$28,0))</f>
        <v/>
      </c>
      <c r="AG22" s="9">
        <f>INDEX('V_Döviz'!AF$2:AF$28,MATCH(LARGE('V_Döviz'!$AL$2:$AL$28,ROW()-3),'V_Döviz'!$AL$2:$AL$28,0))</f>
        <v/>
      </c>
      <c r="AH22" s="9">
        <f>INDEX('V_Döviz'!AG$2:AG$28,MATCH(LARGE('V_Döviz'!$AL$2:$AL$28,ROW()-3),'V_Döviz'!$AL$2:$AL$28,0))</f>
        <v/>
      </c>
      <c r="AI22" s="9">
        <f>INDEX('V_Döviz'!AH$2:AH$28,MATCH(LARGE('V_Döviz'!$AL$2:$AL$28,ROW()-3),'V_Döviz'!$AL$2:$AL$28,0))</f>
        <v/>
      </c>
      <c r="AJ22" s="9">
        <f>INDEX('V_Döviz'!AI$2:AI$28,MATCH(LARGE('V_Döviz'!$AL$2:$AL$28,ROW()-3),'V_Döviz'!$AL$2:$AL$28,0))</f>
        <v/>
      </c>
      <c r="AK22" s="9">
        <f>INDEX('V_Döviz'!AJ$2:AJ$28,MATCH(LARGE('V_Döviz'!$AL$2:$AL$28,ROW()-3),'V_Döviz'!$AL$2:$AL$28,0))</f>
        <v/>
      </c>
    </row>
    <row r="23">
      <c r="A23" t="n">
        <v>20</v>
      </c>
      <c r="B23" s="5">
        <f>INDEX('V_Döviz'!A$2:A$28,MATCH(LARGE('V_Döviz'!$AL$2:$AL$28,ROW()-3),'V_Döviz'!$AL$2:$AL$28,0))</f>
        <v/>
      </c>
      <c r="C23" s="5">
        <f>INDEX('V_Döviz'!B$2:B$28,MATCH(LARGE('V_Döviz'!$AL$2:$AL$28,ROW()-3),'V_Döviz'!$AL$2:$AL$28,0))</f>
        <v/>
      </c>
      <c r="D23" s="5">
        <f>INDEX('V_Döviz'!C$2:C$28,MATCH(LARGE('V_Döviz'!$AL$2:$AL$28,ROW()-3),'V_Döviz'!$AL$2:$AL$28,0))</f>
        <v/>
      </c>
      <c r="E23" s="8">
        <f>INDEX('V_Döviz'!D$2:D$28,MATCH(LARGE('V_Döviz'!$AL$2:$AL$28,ROW()-3),'V_Döviz'!$AL$2:$AL$28,0))</f>
        <v/>
      </c>
      <c r="F23" s="9">
        <f>INDEX('V_Döviz'!E$2:E$28,MATCH(LARGE('V_Döviz'!$AL$2:$AL$28,ROW()-3),'V_Döviz'!$AL$2:$AL$28,0))</f>
        <v/>
      </c>
      <c r="G23" s="9">
        <f>INDEX('V_Döviz'!F$2:F$28,MATCH(LARGE('V_Döviz'!$AL$2:$AL$28,ROW()-3),'V_Döviz'!$AL$2:$AL$28,0))</f>
        <v/>
      </c>
      <c r="H23" s="9">
        <f>INDEX('V_Döviz'!G$2:G$28,MATCH(LARGE('V_Döviz'!$AL$2:$AL$28,ROW()-3),'V_Döviz'!$AL$2:$AL$28,0))</f>
        <v/>
      </c>
      <c r="I23" s="9">
        <f>INDEX('V_Döviz'!H$2:H$28,MATCH(LARGE('V_Döviz'!$AL$2:$AL$28,ROW()-3),'V_Döviz'!$AL$2:$AL$28,0))</f>
        <v/>
      </c>
      <c r="J23" s="9">
        <f>INDEX('V_Döviz'!I$2:I$28,MATCH(LARGE('V_Döviz'!$AL$2:$AL$28,ROW()-3),'V_Döviz'!$AL$2:$AL$28,0))</f>
        <v/>
      </c>
      <c r="K23" s="9">
        <f>INDEX('V_Döviz'!J$2:J$28,MATCH(LARGE('V_Döviz'!$AL$2:$AL$28,ROW()-3),'V_Döviz'!$AL$2:$AL$28,0))</f>
        <v/>
      </c>
      <c r="L23" s="10">
        <f>INDEX('V_Döviz'!K$2:K$28,MATCH(LARGE('V_Döviz'!$AL$2:$AL$28,ROW()-3),'V_Döviz'!$AL$2:$AL$28,0))</f>
        <v/>
      </c>
      <c r="M23" s="10">
        <f>INDEX('V_Döviz'!L$2:L$28,MATCH(LARGE('V_Döviz'!$AL$2:$AL$28,ROW()-3),'V_Döviz'!$AL$2:$AL$28,0))</f>
        <v/>
      </c>
      <c r="N23" s="8">
        <f>INDEX('V_Döviz'!M$2:M$28,MATCH(LARGE('V_Döviz'!$AL$2:$AL$28,ROW()-3),'V_Döviz'!$AL$2:$AL$28,0))</f>
        <v/>
      </c>
      <c r="O23" s="11">
        <f>INDEX('V_Döviz'!N$2:N$28,MATCH(LARGE('V_Döviz'!$AL$2:$AL$28,ROW()-3),'V_Döviz'!$AL$2:$AL$28,0))</f>
        <v/>
      </c>
      <c r="P23" s="11">
        <f>INDEX('V_Döviz'!O$2:O$28,MATCH(LARGE('V_Döviz'!$AL$2:$AL$28,ROW()-3),'V_Döviz'!$AL$2:$AL$28,0))</f>
        <v/>
      </c>
      <c r="Q23" s="8">
        <f>INDEX('V_Döviz'!P$2:P$28,MATCH(LARGE('V_Döviz'!$AL$2:$AL$28,ROW()-3),'V_Döviz'!$AL$2:$AL$28,0))</f>
        <v/>
      </c>
      <c r="R23" s="9">
        <f>INDEX('V_Döviz'!Q$2:Q$28,MATCH(LARGE('V_Döviz'!$AL$2:$AL$28,ROW()-3),'V_Döviz'!$AL$2:$AL$28,0))</f>
        <v/>
      </c>
      <c r="S23" s="5">
        <f>INDEX('V_Döviz'!R$2:R$28,MATCH(LARGE('V_Döviz'!$AL$2:$AL$28,ROW()-3),'V_Döviz'!$AL$2:$AL$28,0))</f>
        <v/>
      </c>
      <c r="T23" s="8">
        <f>INDEX('V_Döviz'!S$2:S$28,MATCH(LARGE('V_Döviz'!$AL$2:$AL$28,ROW()-3),'V_Döviz'!$AL$2:$AL$28,0))</f>
        <v/>
      </c>
      <c r="U23" s="8">
        <f>INDEX('V_Döviz'!T$2:T$28,MATCH(LARGE('V_Döviz'!$AL$2:$AL$28,ROW()-3),'V_Döviz'!$AL$2:$AL$28,0))</f>
        <v/>
      </c>
      <c r="V23" s="8">
        <f>INDEX('V_Döviz'!U$2:U$28,MATCH(LARGE('V_Döviz'!$AL$2:$AL$28,ROW()-3),'V_Döviz'!$AL$2:$AL$28,0))</f>
        <v/>
      </c>
      <c r="W23" s="8">
        <f>INDEX('V_Döviz'!V$2:V$28,MATCH(LARGE('V_Döviz'!$AL$2:$AL$28,ROW()-3),'V_Döviz'!$AL$2:$AL$28,0))</f>
        <v/>
      </c>
      <c r="X23" s="8">
        <f>INDEX('V_Döviz'!W$2:W$28,MATCH(LARGE('V_Döviz'!$AL$2:$AL$28,ROW()-3),'V_Döviz'!$AL$2:$AL$28,0))</f>
        <v/>
      </c>
      <c r="Y23" s="8">
        <f>INDEX('V_Döviz'!X$2:X$28,MATCH(LARGE('V_Döviz'!$AL$2:$AL$28,ROW()-3),'V_Döviz'!$AL$2:$AL$28,0))</f>
        <v/>
      </c>
      <c r="Z23" s="8">
        <f>INDEX('V_Döviz'!Y$2:Y$28,MATCH(LARGE('V_Döviz'!$AL$2:$AL$28,ROW()-3),'V_Döviz'!$AL$2:$AL$28,0))</f>
        <v/>
      </c>
      <c r="AA23" s="8">
        <f>INDEX('V_Döviz'!Z$2:Z$28,MATCH(LARGE('V_Döviz'!$AL$2:$AL$28,ROW()-3),'V_Döviz'!$AL$2:$AL$28,0))</f>
        <v/>
      </c>
      <c r="AB23" s="8">
        <f>INDEX('V_Döviz'!AA$2:AA$28,MATCH(LARGE('V_Döviz'!$AL$2:$AL$28,ROW()-3),'V_Döviz'!$AL$2:$AL$28,0))</f>
        <v/>
      </c>
      <c r="AC23" s="8">
        <f>INDEX('V_Döviz'!AB$2:AB$28,MATCH(LARGE('V_Döviz'!$AL$2:$AL$28,ROW()-3),'V_Döviz'!$AL$2:$AL$28,0))</f>
        <v/>
      </c>
      <c r="AD23" s="8">
        <f>INDEX('V_Döviz'!AC$2:AC$28,MATCH(LARGE('V_Döviz'!$AL$2:$AL$28,ROW()-3),'V_Döviz'!$AL$2:$AL$28,0))</f>
        <v/>
      </c>
      <c r="AE23" s="8">
        <f>INDEX('V_Döviz'!AD$2:AD$28,MATCH(LARGE('V_Döviz'!$AL$2:$AL$28,ROW()-3),'V_Döviz'!$AL$2:$AL$28,0))</f>
        <v/>
      </c>
      <c r="AF23" s="9">
        <f>INDEX('V_Döviz'!AE$2:AE$28,MATCH(LARGE('V_Döviz'!$AL$2:$AL$28,ROW()-3),'V_Döviz'!$AL$2:$AL$28,0))</f>
        <v/>
      </c>
      <c r="AG23" s="9">
        <f>INDEX('V_Döviz'!AF$2:AF$28,MATCH(LARGE('V_Döviz'!$AL$2:$AL$28,ROW()-3),'V_Döviz'!$AL$2:$AL$28,0))</f>
        <v/>
      </c>
      <c r="AH23" s="9">
        <f>INDEX('V_Döviz'!AG$2:AG$28,MATCH(LARGE('V_Döviz'!$AL$2:$AL$28,ROW()-3),'V_Döviz'!$AL$2:$AL$28,0))</f>
        <v/>
      </c>
      <c r="AI23" s="9">
        <f>INDEX('V_Döviz'!AH$2:AH$28,MATCH(LARGE('V_Döviz'!$AL$2:$AL$28,ROW()-3),'V_Döviz'!$AL$2:$AL$28,0))</f>
        <v/>
      </c>
      <c r="AJ23" s="9">
        <f>INDEX('V_Döviz'!AI$2:AI$28,MATCH(LARGE('V_Döviz'!$AL$2:$AL$28,ROW()-3),'V_Döviz'!$AL$2:$AL$28,0))</f>
        <v/>
      </c>
      <c r="AK23" s="9">
        <f>INDEX('V_Döviz'!AJ$2:AJ$28,MATCH(LARGE('V_Döviz'!$AL$2:$AL$28,ROW()-3),'V_Döviz'!$AL$2:$AL$28,0))</f>
        <v/>
      </c>
    </row>
    <row r="24">
      <c r="A24" t="n">
        <v>21</v>
      </c>
      <c r="B24" s="5">
        <f>INDEX('V_Döviz'!A$2:A$28,MATCH(LARGE('V_Döviz'!$AL$2:$AL$28,ROW()-3),'V_Döviz'!$AL$2:$AL$28,0))</f>
        <v/>
      </c>
      <c r="C24" s="5">
        <f>INDEX('V_Döviz'!B$2:B$28,MATCH(LARGE('V_Döviz'!$AL$2:$AL$28,ROW()-3),'V_Döviz'!$AL$2:$AL$28,0))</f>
        <v/>
      </c>
      <c r="D24" s="5">
        <f>INDEX('V_Döviz'!C$2:C$28,MATCH(LARGE('V_Döviz'!$AL$2:$AL$28,ROW()-3),'V_Döviz'!$AL$2:$AL$28,0))</f>
        <v/>
      </c>
      <c r="E24" s="8">
        <f>INDEX('V_Döviz'!D$2:D$28,MATCH(LARGE('V_Döviz'!$AL$2:$AL$28,ROW()-3),'V_Döviz'!$AL$2:$AL$28,0))</f>
        <v/>
      </c>
      <c r="F24" s="9">
        <f>INDEX('V_Döviz'!E$2:E$28,MATCH(LARGE('V_Döviz'!$AL$2:$AL$28,ROW()-3),'V_Döviz'!$AL$2:$AL$28,0))</f>
        <v/>
      </c>
      <c r="G24" s="9">
        <f>INDEX('V_Döviz'!F$2:F$28,MATCH(LARGE('V_Döviz'!$AL$2:$AL$28,ROW()-3),'V_Döviz'!$AL$2:$AL$28,0))</f>
        <v/>
      </c>
      <c r="H24" s="9">
        <f>INDEX('V_Döviz'!G$2:G$28,MATCH(LARGE('V_Döviz'!$AL$2:$AL$28,ROW()-3),'V_Döviz'!$AL$2:$AL$28,0))</f>
        <v/>
      </c>
      <c r="I24" s="9">
        <f>INDEX('V_Döviz'!H$2:H$28,MATCH(LARGE('V_Döviz'!$AL$2:$AL$28,ROW()-3),'V_Döviz'!$AL$2:$AL$28,0))</f>
        <v/>
      </c>
      <c r="J24" s="9">
        <f>INDEX('V_Döviz'!I$2:I$28,MATCH(LARGE('V_Döviz'!$AL$2:$AL$28,ROW()-3),'V_Döviz'!$AL$2:$AL$28,0))</f>
        <v/>
      </c>
      <c r="K24" s="9">
        <f>INDEX('V_Döviz'!J$2:J$28,MATCH(LARGE('V_Döviz'!$AL$2:$AL$28,ROW()-3),'V_Döviz'!$AL$2:$AL$28,0))</f>
        <v/>
      </c>
      <c r="L24" s="10">
        <f>INDEX('V_Döviz'!K$2:K$28,MATCH(LARGE('V_Döviz'!$AL$2:$AL$28,ROW()-3),'V_Döviz'!$AL$2:$AL$28,0))</f>
        <v/>
      </c>
      <c r="M24" s="10">
        <f>INDEX('V_Döviz'!L$2:L$28,MATCH(LARGE('V_Döviz'!$AL$2:$AL$28,ROW()-3),'V_Döviz'!$AL$2:$AL$28,0))</f>
        <v/>
      </c>
      <c r="N24" s="8">
        <f>INDEX('V_Döviz'!M$2:M$28,MATCH(LARGE('V_Döviz'!$AL$2:$AL$28,ROW()-3),'V_Döviz'!$AL$2:$AL$28,0))</f>
        <v/>
      </c>
      <c r="O24" s="11">
        <f>INDEX('V_Döviz'!N$2:N$28,MATCH(LARGE('V_Döviz'!$AL$2:$AL$28,ROW()-3),'V_Döviz'!$AL$2:$AL$28,0))</f>
        <v/>
      </c>
      <c r="P24" s="11">
        <f>INDEX('V_Döviz'!O$2:O$28,MATCH(LARGE('V_Döviz'!$AL$2:$AL$28,ROW()-3),'V_Döviz'!$AL$2:$AL$28,0))</f>
        <v/>
      </c>
      <c r="Q24" s="8">
        <f>INDEX('V_Döviz'!P$2:P$28,MATCH(LARGE('V_Döviz'!$AL$2:$AL$28,ROW()-3),'V_Döviz'!$AL$2:$AL$28,0))</f>
        <v/>
      </c>
      <c r="R24" s="9">
        <f>INDEX('V_Döviz'!Q$2:Q$28,MATCH(LARGE('V_Döviz'!$AL$2:$AL$28,ROW()-3),'V_Döviz'!$AL$2:$AL$28,0))</f>
        <v/>
      </c>
      <c r="S24" s="5">
        <f>INDEX('V_Döviz'!R$2:R$28,MATCH(LARGE('V_Döviz'!$AL$2:$AL$28,ROW()-3),'V_Döviz'!$AL$2:$AL$28,0))</f>
        <v/>
      </c>
      <c r="T24" s="8">
        <f>INDEX('V_Döviz'!S$2:S$28,MATCH(LARGE('V_Döviz'!$AL$2:$AL$28,ROW()-3),'V_Döviz'!$AL$2:$AL$28,0))</f>
        <v/>
      </c>
      <c r="U24" s="8">
        <f>INDEX('V_Döviz'!T$2:T$28,MATCH(LARGE('V_Döviz'!$AL$2:$AL$28,ROW()-3),'V_Döviz'!$AL$2:$AL$28,0))</f>
        <v/>
      </c>
      <c r="V24" s="8">
        <f>INDEX('V_Döviz'!U$2:U$28,MATCH(LARGE('V_Döviz'!$AL$2:$AL$28,ROW()-3),'V_Döviz'!$AL$2:$AL$28,0))</f>
        <v/>
      </c>
      <c r="W24" s="8">
        <f>INDEX('V_Döviz'!V$2:V$28,MATCH(LARGE('V_Döviz'!$AL$2:$AL$28,ROW()-3),'V_Döviz'!$AL$2:$AL$28,0))</f>
        <v/>
      </c>
      <c r="X24" s="8">
        <f>INDEX('V_Döviz'!W$2:W$28,MATCH(LARGE('V_Döviz'!$AL$2:$AL$28,ROW()-3),'V_Döviz'!$AL$2:$AL$28,0))</f>
        <v/>
      </c>
      <c r="Y24" s="8">
        <f>INDEX('V_Döviz'!X$2:X$28,MATCH(LARGE('V_Döviz'!$AL$2:$AL$28,ROW()-3),'V_Döviz'!$AL$2:$AL$28,0))</f>
        <v/>
      </c>
      <c r="Z24" s="8">
        <f>INDEX('V_Döviz'!Y$2:Y$28,MATCH(LARGE('V_Döviz'!$AL$2:$AL$28,ROW()-3),'V_Döviz'!$AL$2:$AL$28,0))</f>
        <v/>
      </c>
      <c r="AA24" s="8">
        <f>INDEX('V_Döviz'!Z$2:Z$28,MATCH(LARGE('V_Döviz'!$AL$2:$AL$28,ROW()-3),'V_Döviz'!$AL$2:$AL$28,0))</f>
        <v/>
      </c>
      <c r="AB24" s="8">
        <f>INDEX('V_Döviz'!AA$2:AA$28,MATCH(LARGE('V_Döviz'!$AL$2:$AL$28,ROW()-3),'V_Döviz'!$AL$2:$AL$28,0))</f>
        <v/>
      </c>
      <c r="AC24" s="8">
        <f>INDEX('V_Döviz'!AB$2:AB$28,MATCH(LARGE('V_Döviz'!$AL$2:$AL$28,ROW()-3),'V_Döviz'!$AL$2:$AL$28,0))</f>
        <v/>
      </c>
      <c r="AD24" s="8">
        <f>INDEX('V_Döviz'!AC$2:AC$28,MATCH(LARGE('V_Döviz'!$AL$2:$AL$28,ROW()-3),'V_Döviz'!$AL$2:$AL$28,0))</f>
        <v/>
      </c>
      <c r="AE24" s="8">
        <f>INDEX('V_Döviz'!AD$2:AD$28,MATCH(LARGE('V_Döviz'!$AL$2:$AL$28,ROW()-3),'V_Döviz'!$AL$2:$AL$28,0))</f>
        <v/>
      </c>
      <c r="AF24" s="9">
        <f>INDEX('V_Döviz'!AE$2:AE$28,MATCH(LARGE('V_Döviz'!$AL$2:$AL$28,ROW()-3),'V_Döviz'!$AL$2:$AL$28,0))</f>
        <v/>
      </c>
      <c r="AG24" s="9">
        <f>INDEX('V_Döviz'!AF$2:AF$28,MATCH(LARGE('V_Döviz'!$AL$2:$AL$28,ROW()-3),'V_Döviz'!$AL$2:$AL$28,0))</f>
        <v/>
      </c>
      <c r="AH24" s="9">
        <f>INDEX('V_Döviz'!AG$2:AG$28,MATCH(LARGE('V_Döviz'!$AL$2:$AL$28,ROW()-3),'V_Döviz'!$AL$2:$AL$28,0))</f>
        <v/>
      </c>
      <c r="AI24" s="9">
        <f>INDEX('V_Döviz'!AH$2:AH$28,MATCH(LARGE('V_Döviz'!$AL$2:$AL$28,ROW()-3),'V_Döviz'!$AL$2:$AL$28,0))</f>
        <v/>
      </c>
      <c r="AJ24" s="9">
        <f>INDEX('V_Döviz'!AI$2:AI$28,MATCH(LARGE('V_Döviz'!$AL$2:$AL$28,ROW()-3),'V_Döviz'!$AL$2:$AL$28,0))</f>
        <v/>
      </c>
      <c r="AK24" s="9">
        <f>INDEX('V_Döviz'!AJ$2:AJ$28,MATCH(LARGE('V_Döviz'!$AL$2:$AL$28,ROW()-3),'V_Döviz'!$AL$2:$AL$28,0))</f>
        <v/>
      </c>
    </row>
    <row r="25">
      <c r="A25" t="n">
        <v>22</v>
      </c>
      <c r="B25" s="5">
        <f>INDEX('V_Döviz'!A$2:A$28,MATCH(LARGE('V_Döviz'!$AL$2:$AL$28,ROW()-3),'V_Döviz'!$AL$2:$AL$28,0))</f>
        <v/>
      </c>
      <c r="C25" s="5">
        <f>INDEX('V_Döviz'!B$2:B$28,MATCH(LARGE('V_Döviz'!$AL$2:$AL$28,ROW()-3),'V_Döviz'!$AL$2:$AL$28,0))</f>
        <v/>
      </c>
      <c r="D25" s="5">
        <f>INDEX('V_Döviz'!C$2:C$28,MATCH(LARGE('V_Döviz'!$AL$2:$AL$28,ROW()-3),'V_Döviz'!$AL$2:$AL$28,0))</f>
        <v/>
      </c>
      <c r="E25" s="8">
        <f>INDEX('V_Döviz'!D$2:D$28,MATCH(LARGE('V_Döviz'!$AL$2:$AL$28,ROW()-3),'V_Döviz'!$AL$2:$AL$28,0))</f>
        <v/>
      </c>
      <c r="F25" s="9">
        <f>INDEX('V_Döviz'!E$2:E$28,MATCH(LARGE('V_Döviz'!$AL$2:$AL$28,ROW()-3),'V_Döviz'!$AL$2:$AL$28,0))</f>
        <v/>
      </c>
      <c r="G25" s="9">
        <f>INDEX('V_Döviz'!F$2:F$28,MATCH(LARGE('V_Döviz'!$AL$2:$AL$28,ROW()-3),'V_Döviz'!$AL$2:$AL$28,0))</f>
        <v/>
      </c>
      <c r="H25" s="9">
        <f>INDEX('V_Döviz'!G$2:G$28,MATCH(LARGE('V_Döviz'!$AL$2:$AL$28,ROW()-3),'V_Döviz'!$AL$2:$AL$28,0))</f>
        <v/>
      </c>
      <c r="I25" s="9">
        <f>INDEX('V_Döviz'!H$2:H$28,MATCH(LARGE('V_Döviz'!$AL$2:$AL$28,ROW()-3),'V_Döviz'!$AL$2:$AL$28,0))</f>
        <v/>
      </c>
      <c r="J25" s="9">
        <f>INDEX('V_Döviz'!I$2:I$28,MATCH(LARGE('V_Döviz'!$AL$2:$AL$28,ROW()-3),'V_Döviz'!$AL$2:$AL$28,0))</f>
        <v/>
      </c>
      <c r="K25" s="9">
        <f>INDEX('V_Döviz'!J$2:J$28,MATCH(LARGE('V_Döviz'!$AL$2:$AL$28,ROW()-3),'V_Döviz'!$AL$2:$AL$28,0))</f>
        <v/>
      </c>
      <c r="L25" s="10">
        <f>INDEX('V_Döviz'!K$2:K$28,MATCH(LARGE('V_Döviz'!$AL$2:$AL$28,ROW()-3),'V_Döviz'!$AL$2:$AL$28,0))</f>
        <v/>
      </c>
      <c r="M25" s="10">
        <f>INDEX('V_Döviz'!L$2:L$28,MATCH(LARGE('V_Döviz'!$AL$2:$AL$28,ROW()-3),'V_Döviz'!$AL$2:$AL$28,0))</f>
        <v/>
      </c>
      <c r="N25" s="8">
        <f>INDEX('V_Döviz'!M$2:M$28,MATCH(LARGE('V_Döviz'!$AL$2:$AL$28,ROW()-3),'V_Döviz'!$AL$2:$AL$28,0))</f>
        <v/>
      </c>
      <c r="O25" s="11">
        <f>INDEX('V_Döviz'!N$2:N$28,MATCH(LARGE('V_Döviz'!$AL$2:$AL$28,ROW()-3),'V_Döviz'!$AL$2:$AL$28,0))</f>
        <v/>
      </c>
      <c r="P25" s="11">
        <f>INDEX('V_Döviz'!O$2:O$28,MATCH(LARGE('V_Döviz'!$AL$2:$AL$28,ROW()-3),'V_Döviz'!$AL$2:$AL$28,0))</f>
        <v/>
      </c>
      <c r="Q25" s="8">
        <f>INDEX('V_Döviz'!P$2:P$28,MATCH(LARGE('V_Döviz'!$AL$2:$AL$28,ROW()-3),'V_Döviz'!$AL$2:$AL$28,0))</f>
        <v/>
      </c>
      <c r="R25" s="9">
        <f>INDEX('V_Döviz'!Q$2:Q$28,MATCH(LARGE('V_Döviz'!$AL$2:$AL$28,ROW()-3),'V_Döviz'!$AL$2:$AL$28,0))</f>
        <v/>
      </c>
      <c r="S25" s="5">
        <f>INDEX('V_Döviz'!R$2:R$28,MATCH(LARGE('V_Döviz'!$AL$2:$AL$28,ROW()-3),'V_Döviz'!$AL$2:$AL$28,0))</f>
        <v/>
      </c>
      <c r="T25" s="8">
        <f>INDEX('V_Döviz'!S$2:S$28,MATCH(LARGE('V_Döviz'!$AL$2:$AL$28,ROW()-3),'V_Döviz'!$AL$2:$AL$28,0))</f>
        <v/>
      </c>
      <c r="U25" s="8">
        <f>INDEX('V_Döviz'!T$2:T$28,MATCH(LARGE('V_Döviz'!$AL$2:$AL$28,ROW()-3),'V_Döviz'!$AL$2:$AL$28,0))</f>
        <v/>
      </c>
      <c r="V25" s="8">
        <f>INDEX('V_Döviz'!U$2:U$28,MATCH(LARGE('V_Döviz'!$AL$2:$AL$28,ROW()-3),'V_Döviz'!$AL$2:$AL$28,0))</f>
        <v/>
      </c>
      <c r="W25" s="8">
        <f>INDEX('V_Döviz'!V$2:V$28,MATCH(LARGE('V_Döviz'!$AL$2:$AL$28,ROW()-3),'V_Döviz'!$AL$2:$AL$28,0))</f>
        <v/>
      </c>
      <c r="X25" s="8">
        <f>INDEX('V_Döviz'!W$2:W$28,MATCH(LARGE('V_Döviz'!$AL$2:$AL$28,ROW()-3),'V_Döviz'!$AL$2:$AL$28,0))</f>
        <v/>
      </c>
      <c r="Y25" s="8">
        <f>INDEX('V_Döviz'!X$2:X$28,MATCH(LARGE('V_Döviz'!$AL$2:$AL$28,ROW()-3),'V_Döviz'!$AL$2:$AL$28,0))</f>
        <v/>
      </c>
      <c r="Z25" s="8">
        <f>INDEX('V_Döviz'!Y$2:Y$28,MATCH(LARGE('V_Döviz'!$AL$2:$AL$28,ROW()-3),'V_Döviz'!$AL$2:$AL$28,0))</f>
        <v/>
      </c>
      <c r="AA25" s="8">
        <f>INDEX('V_Döviz'!Z$2:Z$28,MATCH(LARGE('V_Döviz'!$AL$2:$AL$28,ROW()-3),'V_Döviz'!$AL$2:$AL$28,0))</f>
        <v/>
      </c>
      <c r="AB25" s="8">
        <f>INDEX('V_Döviz'!AA$2:AA$28,MATCH(LARGE('V_Döviz'!$AL$2:$AL$28,ROW()-3),'V_Döviz'!$AL$2:$AL$28,0))</f>
        <v/>
      </c>
      <c r="AC25" s="8">
        <f>INDEX('V_Döviz'!AB$2:AB$28,MATCH(LARGE('V_Döviz'!$AL$2:$AL$28,ROW()-3),'V_Döviz'!$AL$2:$AL$28,0))</f>
        <v/>
      </c>
      <c r="AD25" s="8">
        <f>INDEX('V_Döviz'!AC$2:AC$28,MATCH(LARGE('V_Döviz'!$AL$2:$AL$28,ROW()-3),'V_Döviz'!$AL$2:$AL$28,0))</f>
        <v/>
      </c>
      <c r="AE25" s="8">
        <f>INDEX('V_Döviz'!AD$2:AD$28,MATCH(LARGE('V_Döviz'!$AL$2:$AL$28,ROW()-3),'V_Döviz'!$AL$2:$AL$28,0))</f>
        <v/>
      </c>
      <c r="AF25" s="9">
        <f>INDEX('V_Döviz'!AE$2:AE$28,MATCH(LARGE('V_Döviz'!$AL$2:$AL$28,ROW()-3),'V_Döviz'!$AL$2:$AL$28,0))</f>
        <v/>
      </c>
      <c r="AG25" s="9">
        <f>INDEX('V_Döviz'!AF$2:AF$28,MATCH(LARGE('V_Döviz'!$AL$2:$AL$28,ROW()-3),'V_Döviz'!$AL$2:$AL$28,0))</f>
        <v/>
      </c>
      <c r="AH25" s="9">
        <f>INDEX('V_Döviz'!AG$2:AG$28,MATCH(LARGE('V_Döviz'!$AL$2:$AL$28,ROW()-3),'V_Döviz'!$AL$2:$AL$28,0))</f>
        <v/>
      </c>
      <c r="AI25" s="9">
        <f>INDEX('V_Döviz'!AH$2:AH$28,MATCH(LARGE('V_Döviz'!$AL$2:$AL$28,ROW()-3),'V_Döviz'!$AL$2:$AL$28,0))</f>
        <v/>
      </c>
      <c r="AJ25" s="9">
        <f>INDEX('V_Döviz'!AI$2:AI$28,MATCH(LARGE('V_Döviz'!$AL$2:$AL$28,ROW()-3),'V_Döviz'!$AL$2:$AL$28,0))</f>
        <v/>
      </c>
      <c r="AK25" s="9">
        <f>INDEX('V_Döviz'!AJ$2:AJ$28,MATCH(LARGE('V_Döviz'!$AL$2:$AL$28,ROW()-3),'V_Döviz'!$AL$2:$AL$28,0))</f>
        <v/>
      </c>
    </row>
    <row r="26">
      <c r="A26" t="n">
        <v>23</v>
      </c>
      <c r="B26" s="5">
        <f>INDEX('V_Döviz'!A$2:A$28,MATCH(LARGE('V_Döviz'!$AL$2:$AL$28,ROW()-3),'V_Döviz'!$AL$2:$AL$28,0))</f>
        <v/>
      </c>
      <c r="C26" s="5">
        <f>INDEX('V_Döviz'!B$2:B$28,MATCH(LARGE('V_Döviz'!$AL$2:$AL$28,ROW()-3),'V_Döviz'!$AL$2:$AL$28,0))</f>
        <v/>
      </c>
      <c r="D26" s="5">
        <f>INDEX('V_Döviz'!C$2:C$28,MATCH(LARGE('V_Döviz'!$AL$2:$AL$28,ROW()-3),'V_Döviz'!$AL$2:$AL$28,0))</f>
        <v/>
      </c>
      <c r="E26" s="8">
        <f>INDEX('V_Döviz'!D$2:D$28,MATCH(LARGE('V_Döviz'!$AL$2:$AL$28,ROW()-3),'V_Döviz'!$AL$2:$AL$28,0))</f>
        <v/>
      </c>
      <c r="F26" s="9">
        <f>INDEX('V_Döviz'!E$2:E$28,MATCH(LARGE('V_Döviz'!$AL$2:$AL$28,ROW()-3),'V_Döviz'!$AL$2:$AL$28,0))</f>
        <v/>
      </c>
      <c r="G26" s="9">
        <f>INDEX('V_Döviz'!F$2:F$28,MATCH(LARGE('V_Döviz'!$AL$2:$AL$28,ROW()-3),'V_Döviz'!$AL$2:$AL$28,0))</f>
        <v/>
      </c>
      <c r="H26" s="9">
        <f>INDEX('V_Döviz'!G$2:G$28,MATCH(LARGE('V_Döviz'!$AL$2:$AL$28,ROW()-3),'V_Döviz'!$AL$2:$AL$28,0))</f>
        <v/>
      </c>
      <c r="I26" s="9">
        <f>INDEX('V_Döviz'!H$2:H$28,MATCH(LARGE('V_Döviz'!$AL$2:$AL$28,ROW()-3),'V_Döviz'!$AL$2:$AL$28,0))</f>
        <v/>
      </c>
      <c r="J26" s="9">
        <f>INDEX('V_Döviz'!I$2:I$28,MATCH(LARGE('V_Döviz'!$AL$2:$AL$28,ROW()-3),'V_Döviz'!$AL$2:$AL$28,0))</f>
        <v/>
      </c>
      <c r="K26" s="9">
        <f>INDEX('V_Döviz'!J$2:J$28,MATCH(LARGE('V_Döviz'!$AL$2:$AL$28,ROW()-3),'V_Döviz'!$AL$2:$AL$28,0))</f>
        <v/>
      </c>
      <c r="L26" s="10">
        <f>INDEX('V_Döviz'!K$2:K$28,MATCH(LARGE('V_Döviz'!$AL$2:$AL$28,ROW()-3),'V_Döviz'!$AL$2:$AL$28,0))</f>
        <v/>
      </c>
      <c r="M26" s="10">
        <f>INDEX('V_Döviz'!L$2:L$28,MATCH(LARGE('V_Döviz'!$AL$2:$AL$28,ROW()-3),'V_Döviz'!$AL$2:$AL$28,0))</f>
        <v/>
      </c>
      <c r="N26" s="8">
        <f>INDEX('V_Döviz'!M$2:M$28,MATCH(LARGE('V_Döviz'!$AL$2:$AL$28,ROW()-3),'V_Döviz'!$AL$2:$AL$28,0))</f>
        <v/>
      </c>
      <c r="O26" s="11">
        <f>INDEX('V_Döviz'!N$2:N$28,MATCH(LARGE('V_Döviz'!$AL$2:$AL$28,ROW()-3),'V_Döviz'!$AL$2:$AL$28,0))</f>
        <v/>
      </c>
      <c r="P26" s="11">
        <f>INDEX('V_Döviz'!O$2:O$28,MATCH(LARGE('V_Döviz'!$AL$2:$AL$28,ROW()-3),'V_Döviz'!$AL$2:$AL$28,0))</f>
        <v/>
      </c>
      <c r="Q26" s="8">
        <f>INDEX('V_Döviz'!P$2:P$28,MATCH(LARGE('V_Döviz'!$AL$2:$AL$28,ROW()-3),'V_Döviz'!$AL$2:$AL$28,0))</f>
        <v/>
      </c>
      <c r="R26" s="9">
        <f>INDEX('V_Döviz'!Q$2:Q$28,MATCH(LARGE('V_Döviz'!$AL$2:$AL$28,ROW()-3),'V_Döviz'!$AL$2:$AL$28,0))</f>
        <v/>
      </c>
      <c r="S26" s="5">
        <f>INDEX('V_Döviz'!R$2:R$28,MATCH(LARGE('V_Döviz'!$AL$2:$AL$28,ROW()-3),'V_Döviz'!$AL$2:$AL$28,0))</f>
        <v/>
      </c>
      <c r="T26" s="8">
        <f>INDEX('V_Döviz'!S$2:S$28,MATCH(LARGE('V_Döviz'!$AL$2:$AL$28,ROW()-3),'V_Döviz'!$AL$2:$AL$28,0))</f>
        <v/>
      </c>
      <c r="U26" s="8">
        <f>INDEX('V_Döviz'!T$2:T$28,MATCH(LARGE('V_Döviz'!$AL$2:$AL$28,ROW()-3),'V_Döviz'!$AL$2:$AL$28,0))</f>
        <v/>
      </c>
      <c r="V26" s="8">
        <f>INDEX('V_Döviz'!U$2:U$28,MATCH(LARGE('V_Döviz'!$AL$2:$AL$28,ROW()-3),'V_Döviz'!$AL$2:$AL$28,0))</f>
        <v/>
      </c>
      <c r="W26" s="8">
        <f>INDEX('V_Döviz'!V$2:V$28,MATCH(LARGE('V_Döviz'!$AL$2:$AL$28,ROW()-3),'V_Döviz'!$AL$2:$AL$28,0))</f>
        <v/>
      </c>
      <c r="X26" s="8">
        <f>INDEX('V_Döviz'!W$2:W$28,MATCH(LARGE('V_Döviz'!$AL$2:$AL$28,ROW()-3),'V_Döviz'!$AL$2:$AL$28,0))</f>
        <v/>
      </c>
      <c r="Y26" s="8">
        <f>INDEX('V_Döviz'!X$2:X$28,MATCH(LARGE('V_Döviz'!$AL$2:$AL$28,ROW()-3),'V_Döviz'!$AL$2:$AL$28,0))</f>
        <v/>
      </c>
      <c r="Z26" s="8">
        <f>INDEX('V_Döviz'!Y$2:Y$28,MATCH(LARGE('V_Döviz'!$AL$2:$AL$28,ROW()-3),'V_Döviz'!$AL$2:$AL$28,0))</f>
        <v/>
      </c>
      <c r="AA26" s="8">
        <f>INDEX('V_Döviz'!Z$2:Z$28,MATCH(LARGE('V_Döviz'!$AL$2:$AL$28,ROW()-3),'V_Döviz'!$AL$2:$AL$28,0))</f>
        <v/>
      </c>
      <c r="AB26" s="8">
        <f>INDEX('V_Döviz'!AA$2:AA$28,MATCH(LARGE('V_Döviz'!$AL$2:$AL$28,ROW()-3),'V_Döviz'!$AL$2:$AL$28,0))</f>
        <v/>
      </c>
      <c r="AC26" s="8">
        <f>INDEX('V_Döviz'!AB$2:AB$28,MATCH(LARGE('V_Döviz'!$AL$2:$AL$28,ROW()-3),'V_Döviz'!$AL$2:$AL$28,0))</f>
        <v/>
      </c>
      <c r="AD26" s="8">
        <f>INDEX('V_Döviz'!AC$2:AC$28,MATCH(LARGE('V_Döviz'!$AL$2:$AL$28,ROW()-3),'V_Döviz'!$AL$2:$AL$28,0))</f>
        <v/>
      </c>
      <c r="AE26" s="8">
        <f>INDEX('V_Döviz'!AD$2:AD$28,MATCH(LARGE('V_Döviz'!$AL$2:$AL$28,ROW()-3),'V_Döviz'!$AL$2:$AL$28,0))</f>
        <v/>
      </c>
      <c r="AF26" s="9">
        <f>INDEX('V_Döviz'!AE$2:AE$28,MATCH(LARGE('V_Döviz'!$AL$2:$AL$28,ROW()-3),'V_Döviz'!$AL$2:$AL$28,0))</f>
        <v/>
      </c>
      <c r="AG26" s="9">
        <f>INDEX('V_Döviz'!AF$2:AF$28,MATCH(LARGE('V_Döviz'!$AL$2:$AL$28,ROW()-3),'V_Döviz'!$AL$2:$AL$28,0))</f>
        <v/>
      </c>
      <c r="AH26" s="9">
        <f>INDEX('V_Döviz'!AG$2:AG$28,MATCH(LARGE('V_Döviz'!$AL$2:$AL$28,ROW()-3),'V_Döviz'!$AL$2:$AL$28,0))</f>
        <v/>
      </c>
      <c r="AI26" s="9">
        <f>INDEX('V_Döviz'!AH$2:AH$28,MATCH(LARGE('V_Döviz'!$AL$2:$AL$28,ROW()-3),'V_Döviz'!$AL$2:$AL$28,0))</f>
        <v/>
      </c>
      <c r="AJ26" s="9">
        <f>INDEX('V_Döviz'!AI$2:AI$28,MATCH(LARGE('V_Döviz'!$AL$2:$AL$28,ROW()-3),'V_Döviz'!$AL$2:$AL$28,0))</f>
        <v/>
      </c>
      <c r="AK26" s="9">
        <f>INDEX('V_Döviz'!AJ$2:AJ$28,MATCH(LARGE('V_Döviz'!$AL$2:$AL$28,ROW()-3),'V_Döviz'!$AL$2:$AL$28,0))</f>
        <v/>
      </c>
    </row>
    <row r="27">
      <c r="A27" t="n">
        <v>24</v>
      </c>
      <c r="B27" s="5">
        <f>INDEX('V_Döviz'!A$2:A$28,MATCH(LARGE('V_Döviz'!$AL$2:$AL$28,ROW()-3),'V_Döviz'!$AL$2:$AL$28,0))</f>
        <v/>
      </c>
      <c r="C27" s="5">
        <f>INDEX('V_Döviz'!B$2:B$28,MATCH(LARGE('V_Döviz'!$AL$2:$AL$28,ROW()-3),'V_Döviz'!$AL$2:$AL$28,0))</f>
        <v/>
      </c>
      <c r="D27" s="5">
        <f>INDEX('V_Döviz'!C$2:C$28,MATCH(LARGE('V_Döviz'!$AL$2:$AL$28,ROW()-3),'V_Döviz'!$AL$2:$AL$28,0))</f>
        <v/>
      </c>
      <c r="E27" s="8">
        <f>INDEX('V_Döviz'!D$2:D$28,MATCH(LARGE('V_Döviz'!$AL$2:$AL$28,ROW()-3),'V_Döviz'!$AL$2:$AL$28,0))</f>
        <v/>
      </c>
      <c r="F27" s="9">
        <f>INDEX('V_Döviz'!E$2:E$28,MATCH(LARGE('V_Döviz'!$AL$2:$AL$28,ROW()-3),'V_Döviz'!$AL$2:$AL$28,0))</f>
        <v/>
      </c>
      <c r="G27" s="9">
        <f>INDEX('V_Döviz'!F$2:F$28,MATCH(LARGE('V_Döviz'!$AL$2:$AL$28,ROW()-3),'V_Döviz'!$AL$2:$AL$28,0))</f>
        <v/>
      </c>
      <c r="H27" s="9">
        <f>INDEX('V_Döviz'!G$2:G$28,MATCH(LARGE('V_Döviz'!$AL$2:$AL$28,ROW()-3),'V_Döviz'!$AL$2:$AL$28,0))</f>
        <v/>
      </c>
      <c r="I27" s="9">
        <f>INDEX('V_Döviz'!H$2:H$28,MATCH(LARGE('V_Döviz'!$AL$2:$AL$28,ROW()-3),'V_Döviz'!$AL$2:$AL$28,0))</f>
        <v/>
      </c>
      <c r="J27" s="9">
        <f>INDEX('V_Döviz'!I$2:I$28,MATCH(LARGE('V_Döviz'!$AL$2:$AL$28,ROW()-3),'V_Döviz'!$AL$2:$AL$28,0))</f>
        <v/>
      </c>
      <c r="K27" s="9">
        <f>INDEX('V_Döviz'!J$2:J$28,MATCH(LARGE('V_Döviz'!$AL$2:$AL$28,ROW()-3),'V_Döviz'!$AL$2:$AL$28,0))</f>
        <v/>
      </c>
      <c r="L27" s="10">
        <f>INDEX('V_Döviz'!K$2:K$28,MATCH(LARGE('V_Döviz'!$AL$2:$AL$28,ROW()-3),'V_Döviz'!$AL$2:$AL$28,0))</f>
        <v/>
      </c>
      <c r="M27" s="10">
        <f>INDEX('V_Döviz'!L$2:L$28,MATCH(LARGE('V_Döviz'!$AL$2:$AL$28,ROW()-3),'V_Döviz'!$AL$2:$AL$28,0))</f>
        <v/>
      </c>
      <c r="N27" s="8">
        <f>INDEX('V_Döviz'!M$2:M$28,MATCH(LARGE('V_Döviz'!$AL$2:$AL$28,ROW()-3),'V_Döviz'!$AL$2:$AL$28,0))</f>
        <v/>
      </c>
      <c r="O27" s="11">
        <f>INDEX('V_Döviz'!N$2:N$28,MATCH(LARGE('V_Döviz'!$AL$2:$AL$28,ROW()-3),'V_Döviz'!$AL$2:$AL$28,0))</f>
        <v/>
      </c>
      <c r="P27" s="11">
        <f>INDEX('V_Döviz'!O$2:O$28,MATCH(LARGE('V_Döviz'!$AL$2:$AL$28,ROW()-3),'V_Döviz'!$AL$2:$AL$28,0))</f>
        <v/>
      </c>
      <c r="Q27" s="8">
        <f>INDEX('V_Döviz'!P$2:P$28,MATCH(LARGE('V_Döviz'!$AL$2:$AL$28,ROW()-3),'V_Döviz'!$AL$2:$AL$28,0))</f>
        <v/>
      </c>
      <c r="R27" s="9">
        <f>INDEX('V_Döviz'!Q$2:Q$28,MATCH(LARGE('V_Döviz'!$AL$2:$AL$28,ROW()-3),'V_Döviz'!$AL$2:$AL$28,0))</f>
        <v/>
      </c>
      <c r="S27" s="5">
        <f>INDEX('V_Döviz'!R$2:R$28,MATCH(LARGE('V_Döviz'!$AL$2:$AL$28,ROW()-3),'V_Döviz'!$AL$2:$AL$28,0))</f>
        <v/>
      </c>
      <c r="T27" s="8">
        <f>INDEX('V_Döviz'!S$2:S$28,MATCH(LARGE('V_Döviz'!$AL$2:$AL$28,ROW()-3),'V_Döviz'!$AL$2:$AL$28,0))</f>
        <v/>
      </c>
      <c r="U27" s="8">
        <f>INDEX('V_Döviz'!T$2:T$28,MATCH(LARGE('V_Döviz'!$AL$2:$AL$28,ROW()-3),'V_Döviz'!$AL$2:$AL$28,0))</f>
        <v/>
      </c>
      <c r="V27" s="8">
        <f>INDEX('V_Döviz'!U$2:U$28,MATCH(LARGE('V_Döviz'!$AL$2:$AL$28,ROW()-3),'V_Döviz'!$AL$2:$AL$28,0))</f>
        <v/>
      </c>
      <c r="W27" s="8">
        <f>INDEX('V_Döviz'!V$2:V$28,MATCH(LARGE('V_Döviz'!$AL$2:$AL$28,ROW()-3),'V_Döviz'!$AL$2:$AL$28,0))</f>
        <v/>
      </c>
      <c r="X27" s="8">
        <f>INDEX('V_Döviz'!W$2:W$28,MATCH(LARGE('V_Döviz'!$AL$2:$AL$28,ROW()-3),'V_Döviz'!$AL$2:$AL$28,0))</f>
        <v/>
      </c>
      <c r="Y27" s="8">
        <f>INDEX('V_Döviz'!X$2:X$28,MATCH(LARGE('V_Döviz'!$AL$2:$AL$28,ROW()-3),'V_Döviz'!$AL$2:$AL$28,0))</f>
        <v/>
      </c>
      <c r="Z27" s="8">
        <f>INDEX('V_Döviz'!Y$2:Y$28,MATCH(LARGE('V_Döviz'!$AL$2:$AL$28,ROW()-3),'V_Döviz'!$AL$2:$AL$28,0))</f>
        <v/>
      </c>
      <c r="AA27" s="8">
        <f>INDEX('V_Döviz'!Z$2:Z$28,MATCH(LARGE('V_Döviz'!$AL$2:$AL$28,ROW()-3),'V_Döviz'!$AL$2:$AL$28,0))</f>
        <v/>
      </c>
      <c r="AB27" s="8">
        <f>INDEX('V_Döviz'!AA$2:AA$28,MATCH(LARGE('V_Döviz'!$AL$2:$AL$28,ROW()-3),'V_Döviz'!$AL$2:$AL$28,0))</f>
        <v/>
      </c>
      <c r="AC27" s="8">
        <f>INDEX('V_Döviz'!AB$2:AB$28,MATCH(LARGE('V_Döviz'!$AL$2:$AL$28,ROW()-3),'V_Döviz'!$AL$2:$AL$28,0))</f>
        <v/>
      </c>
      <c r="AD27" s="8">
        <f>INDEX('V_Döviz'!AC$2:AC$28,MATCH(LARGE('V_Döviz'!$AL$2:$AL$28,ROW()-3),'V_Döviz'!$AL$2:$AL$28,0))</f>
        <v/>
      </c>
      <c r="AE27" s="8">
        <f>INDEX('V_Döviz'!AD$2:AD$28,MATCH(LARGE('V_Döviz'!$AL$2:$AL$28,ROW()-3),'V_Döviz'!$AL$2:$AL$28,0))</f>
        <v/>
      </c>
      <c r="AF27" s="9">
        <f>INDEX('V_Döviz'!AE$2:AE$28,MATCH(LARGE('V_Döviz'!$AL$2:$AL$28,ROW()-3),'V_Döviz'!$AL$2:$AL$28,0))</f>
        <v/>
      </c>
      <c r="AG27" s="9">
        <f>INDEX('V_Döviz'!AF$2:AF$28,MATCH(LARGE('V_Döviz'!$AL$2:$AL$28,ROW()-3),'V_Döviz'!$AL$2:$AL$28,0))</f>
        <v/>
      </c>
      <c r="AH27" s="9">
        <f>INDEX('V_Döviz'!AG$2:AG$28,MATCH(LARGE('V_Döviz'!$AL$2:$AL$28,ROW()-3),'V_Döviz'!$AL$2:$AL$28,0))</f>
        <v/>
      </c>
      <c r="AI27" s="9">
        <f>INDEX('V_Döviz'!AH$2:AH$28,MATCH(LARGE('V_Döviz'!$AL$2:$AL$28,ROW()-3),'V_Döviz'!$AL$2:$AL$28,0))</f>
        <v/>
      </c>
      <c r="AJ27" s="9">
        <f>INDEX('V_Döviz'!AI$2:AI$28,MATCH(LARGE('V_Döviz'!$AL$2:$AL$28,ROW()-3),'V_Döviz'!$AL$2:$AL$28,0))</f>
        <v/>
      </c>
      <c r="AK27" s="9">
        <f>INDEX('V_Döviz'!AJ$2:AJ$28,MATCH(LARGE('V_Döviz'!$AL$2:$AL$28,ROW()-3),'V_Döviz'!$AL$2:$AL$28,0))</f>
        <v/>
      </c>
    </row>
    <row r="28">
      <c r="A28" t="n">
        <v>25</v>
      </c>
      <c r="B28" s="5">
        <f>INDEX('V_Döviz'!A$2:A$28,MATCH(LARGE('V_Döviz'!$AL$2:$AL$28,ROW()-3),'V_Döviz'!$AL$2:$AL$28,0))</f>
        <v/>
      </c>
      <c r="C28" s="5">
        <f>INDEX('V_Döviz'!B$2:B$28,MATCH(LARGE('V_Döviz'!$AL$2:$AL$28,ROW()-3),'V_Döviz'!$AL$2:$AL$28,0))</f>
        <v/>
      </c>
      <c r="D28" s="5">
        <f>INDEX('V_Döviz'!C$2:C$28,MATCH(LARGE('V_Döviz'!$AL$2:$AL$28,ROW()-3),'V_Döviz'!$AL$2:$AL$28,0))</f>
        <v/>
      </c>
      <c r="E28" s="8">
        <f>INDEX('V_Döviz'!D$2:D$28,MATCH(LARGE('V_Döviz'!$AL$2:$AL$28,ROW()-3),'V_Döviz'!$AL$2:$AL$28,0))</f>
        <v/>
      </c>
      <c r="F28" s="9">
        <f>INDEX('V_Döviz'!E$2:E$28,MATCH(LARGE('V_Döviz'!$AL$2:$AL$28,ROW()-3),'V_Döviz'!$AL$2:$AL$28,0))</f>
        <v/>
      </c>
      <c r="G28" s="9">
        <f>INDEX('V_Döviz'!F$2:F$28,MATCH(LARGE('V_Döviz'!$AL$2:$AL$28,ROW()-3),'V_Döviz'!$AL$2:$AL$28,0))</f>
        <v/>
      </c>
      <c r="H28" s="9">
        <f>INDEX('V_Döviz'!G$2:G$28,MATCH(LARGE('V_Döviz'!$AL$2:$AL$28,ROW()-3),'V_Döviz'!$AL$2:$AL$28,0))</f>
        <v/>
      </c>
      <c r="I28" s="9">
        <f>INDEX('V_Döviz'!H$2:H$28,MATCH(LARGE('V_Döviz'!$AL$2:$AL$28,ROW()-3),'V_Döviz'!$AL$2:$AL$28,0))</f>
        <v/>
      </c>
      <c r="J28" s="9">
        <f>INDEX('V_Döviz'!I$2:I$28,MATCH(LARGE('V_Döviz'!$AL$2:$AL$28,ROW()-3),'V_Döviz'!$AL$2:$AL$28,0))</f>
        <v/>
      </c>
      <c r="K28" s="9">
        <f>INDEX('V_Döviz'!J$2:J$28,MATCH(LARGE('V_Döviz'!$AL$2:$AL$28,ROW()-3),'V_Döviz'!$AL$2:$AL$28,0))</f>
        <v/>
      </c>
      <c r="L28" s="10">
        <f>INDEX('V_Döviz'!K$2:K$28,MATCH(LARGE('V_Döviz'!$AL$2:$AL$28,ROW()-3),'V_Döviz'!$AL$2:$AL$28,0))</f>
        <v/>
      </c>
      <c r="M28" s="10">
        <f>INDEX('V_Döviz'!L$2:L$28,MATCH(LARGE('V_Döviz'!$AL$2:$AL$28,ROW()-3),'V_Döviz'!$AL$2:$AL$28,0))</f>
        <v/>
      </c>
      <c r="N28" s="8">
        <f>INDEX('V_Döviz'!M$2:M$28,MATCH(LARGE('V_Döviz'!$AL$2:$AL$28,ROW()-3),'V_Döviz'!$AL$2:$AL$28,0))</f>
        <v/>
      </c>
      <c r="O28" s="11">
        <f>INDEX('V_Döviz'!N$2:N$28,MATCH(LARGE('V_Döviz'!$AL$2:$AL$28,ROW()-3),'V_Döviz'!$AL$2:$AL$28,0))</f>
        <v/>
      </c>
      <c r="P28" s="11">
        <f>INDEX('V_Döviz'!O$2:O$28,MATCH(LARGE('V_Döviz'!$AL$2:$AL$28,ROW()-3),'V_Döviz'!$AL$2:$AL$28,0))</f>
        <v/>
      </c>
      <c r="Q28" s="8">
        <f>INDEX('V_Döviz'!P$2:P$28,MATCH(LARGE('V_Döviz'!$AL$2:$AL$28,ROW()-3),'V_Döviz'!$AL$2:$AL$28,0))</f>
        <v/>
      </c>
      <c r="R28" s="9">
        <f>INDEX('V_Döviz'!Q$2:Q$28,MATCH(LARGE('V_Döviz'!$AL$2:$AL$28,ROW()-3),'V_Döviz'!$AL$2:$AL$28,0))</f>
        <v/>
      </c>
      <c r="S28" s="5">
        <f>INDEX('V_Döviz'!R$2:R$28,MATCH(LARGE('V_Döviz'!$AL$2:$AL$28,ROW()-3),'V_Döviz'!$AL$2:$AL$28,0))</f>
        <v/>
      </c>
      <c r="T28" s="8">
        <f>INDEX('V_Döviz'!S$2:S$28,MATCH(LARGE('V_Döviz'!$AL$2:$AL$28,ROW()-3),'V_Döviz'!$AL$2:$AL$28,0))</f>
        <v/>
      </c>
      <c r="U28" s="8">
        <f>INDEX('V_Döviz'!T$2:T$28,MATCH(LARGE('V_Döviz'!$AL$2:$AL$28,ROW()-3),'V_Döviz'!$AL$2:$AL$28,0))</f>
        <v/>
      </c>
      <c r="V28" s="8">
        <f>INDEX('V_Döviz'!U$2:U$28,MATCH(LARGE('V_Döviz'!$AL$2:$AL$28,ROW()-3),'V_Döviz'!$AL$2:$AL$28,0))</f>
        <v/>
      </c>
      <c r="W28" s="8">
        <f>INDEX('V_Döviz'!V$2:V$28,MATCH(LARGE('V_Döviz'!$AL$2:$AL$28,ROW()-3),'V_Döviz'!$AL$2:$AL$28,0))</f>
        <v/>
      </c>
      <c r="X28" s="8">
        <f>INDEX('V_Döviz'!W$2:W$28,MATCH(LARGE('V_Döviz'!$AL$2:$AL$28,ROW()-3),'V_Döviz'!$AL$2:$AL$28,0))</f>
        <v/>
      </c>
      <c r="Y28" s="8">
        <f>INDEX('V_Döviz'!X$2:X$28,MATCH(LARGE('V_Döviz'!$AL$2:$AL$28,ROW()-3),'V_Döviz'!$AL$2:$AL$28,0))</f>
        <v/>
      </c>
      <c r="Z28" s="8">
        <f>INDEX('V_Döviz'!Y$2:Y$28,MATCH(LARGE('V_Döviz'!$AL$2:$AL$28,ROW()-3),'V_Döviz'!$AL$2:$AL$28,0))</f>
        <v/>
      </c>
      <c r="AA28" s="8">
        <f>INDEX('V_Döviz'!Z$2:Z$28,MATCH(LARGE('V_Döviz'!$AL$2:$AL$28,ROW()-3),'V_Döviz'!$AL$2:$AL$28,0))</f>
        <v/>
      </c>
      <c r="AB28" s="8">
        <f>INDEX('V_Döviz'!AA$2:AA$28,MATCH(LARGE('V_Döviz'!$AL$2:$AL$28,ROW()-3),'V_Döviz'!$AL$2:$AL$28,0))</f>
        <v/>
      </c>
      <c r="AC28" s="8">
        <f>INDEX('V_Döviz'!AB$2:AB$28,MATCH(LARGE('V_Döviz'!$AL$2:$AL$28,ROW()-3),'V_Döviz'!$AL$2:$AL$28,0))</f>
        <v/>
      </c>
      <c r="AD28" s="8">
        <f>INDEX('V_Döviz'!AC$2:AC$28,MATCH(LARGE('V_Döviz'!$AL$2:$AL$28,ROW()-3),'V_Döviz'!$AL$2:$AL$28,0))</f>
        <v/>
      </c>
      <c r="AE28" s="8">
        <f>INDEX('V_Döviz'!AD$2:AD$28,MATCH(LARGE('V_Döviz'!$AL$2:$AL$28,ROW()-3),'V_Döviz'!$AL$2:$AL$28,0))</f>
        <v/>
      </c>
      <c r="AF28" s="9">
        <f>INDEX('V_Döviz'!AE$2:AE$28,MATCH(LARGE('V_Döviz'!$AL$2:$AL$28,ROW()-3),'V_Döviz'!$AL$2:$AL$28,0))</f>
        <v/>
      </c>
      <c r="AG28" s="9">
        <f>INDEX('V_Döviz'!AF$2:AF$28,MATCH(LARGE('V_Döviz'!$AL$2:$AL$28,ROW()-3),'V_Döviz'!$AL$2:$AL$28,0))</f>
        <v/>
      </c>
      <c r="AH28" s="9">
        <f>INDEX('V_Döviz'!AG$2:AG$28,MATCH(LARGE('V_Döviz'!$AL$2:$AL$28,ROW()-3),'V_Döviz'!$AL$2:$AL$28,0))</f>
        <v/>
      </c>
      <c r="AI28" s="9">
        <f>INDEX('V_Döviz'!AH$2:AH$28,MATCH(LARGE('V_Döviz'!$AL$2:$AL$28,ROW()-3),'V_Döviz'!$AL$2:$AL$28,0))</f>
        <v/>
      </c>
      <c r="AJ28" s="9">
        <f>INDEX('V_Döviz'!AI$2:AI$28,MATCH(LARGE('V_Döviz'!$AL$2:$AL$28,ROW()-3),'V_Döviz'!$AL$2:$AL$28,0))</f>
        <v/>
      </c>
      <c r="AK28" s="9">
        <f>INDEX('V_Döviz'!AJ$2:AJ$28,MATCH(LARGE('V_Döviz'!$AL$2:$AL$28,ROW()-3),'V_Döviz'!$AL$2:$AL$28,0))</f>
        <v/>
      </c>
    </row>
    <row r="29">
      <c r="A29" t="n">
        <v>26</v>
      </c>
      <c r="B29" s="5">
        <f>INDEX('V_Döviz'!A$2:A$28,MATCH(LARGE('V_Döviz'!$AL$2:$AL$28,ROW()-3),'V_Döviz'!$AL$2:$AL$28,0))</f>
        <v/>
      </c>
      <c r="C29" s="5">
        <f>INDEX('V_Döviz'!B$2:B$28,MATCH(LARGE('V_Döviz'!$AL$2:$AL$28,ROW()-3),'V_Döviz'!$AL$2:$AL$28,0))</f>
        <v/>
      </c>
      <c r="D29" s="5">
        <f>INDEX('V_Döviz'!C$2:C$28,MATCH(LARGE('V_Döviz'!$AL$2:$AL$28,ROW()-3),'V_Döviz'!$AL$2:$AL$28,0))</f>
        <v/>
      </c>
      <c r="E29" s="8">
        <f>INDEX('V_Döviz'!D$2:D$28,MATCH(LARGE('V_Döviz'!$AL$2:$AL$28,ROW()-3),'V_Döviz'!$AL$2:$AL$28,0))</f>
        <v/>
      </c>
      <c r="F29" s="9">
        <f>INDEX('V_Döviz'!E$2:E$28,MATCH(LARGE('V_Döviz'!$AL$2:$AL$28,ROW()-3),'V_Döviz'!$AL$2:$AL$28,0))</f>
        <v/>
      </c>
      <c r="G29" s="9">
        <f>INDEX('V_Döviz'!F$2:F$28,MATCH(LARGE('V_Döviz'!$AL$2:$AL$28,ROW()-3),'V_Döviz'!$AL$2:$AL$28,0))</f>
        <v/>
      </c>
      <c r="H29" s="9">
        <f>INDEX('V_Döviz'!G$2:G$28,MATCH(LARGE('V_Döviz'!$AL$2:$AL$28,ROW()-3),'V_Döviz'!$AL$2:$AL$28,0))</f>
        <v/>
      </c>
      <c r="I29" s="9">
        <f>INDEX('V_Döviz'!H$2:H$28,MATCH(LARGE('V_Döviz'!$AL$2:$AL$28,ROW()-3),'V_Döviz'!$AL$2:$AL$28,0))</f>
        <v/>
      </c>
      <c r="J29" s="9">
        <f>INDEX('V_Döviz'!I$2:I$28,MATCH(LARGE('V_Döviz'!$AL$2:$AL$28,ROW()-3),'V_Döviz'!$AL$2:$AL$28,0))</f>
        <v/>
      </c>
      <c r="K29" s="9">
        <f>INDEX('V_Döviz'!J$2:J$28,MATCH(LARGE('V_Döviz'!$AL$2:$AL$28,ROW()-3),'V_Döviz'!$AL$2:$AL$28,0))</f>
        <v/>
      </c>
      <c r="L29" s="10">
        <f>INDEX('V_Döviz'!K$2:K$28,MATCH(LARGE('V_Döviz'!$AL$2:$AL$28,ROW()-3),'V_Döviz'!$AL$2:$AL$28,0))</f>
        <v/>
      </c>
      <c r="M29" s="10">
        <f>INDEX('V_Döviz'!L$2:L$28,MATCH(LARGE('V_Döviz'!$AL$2:$AL$28,ROW()-3),'V_Döviz'!$AL$2:$AL$28,0))</f>
        <v/>
      </c>
      <c r="N29" s="8">
        <f>INDEX('V_Döviz'!M$2:M$28,MATCH(LARGE('V_Döviz'!$AL$2:$AL$28,ROW()-3),'V_Döviz'!$AL$2:$AL$28,0))</f>
        <v/>
      </c>
      <c r="O29" s="11">
        <f>INDEX('V_Döviz'!N$2:N$28,MATCH(LARGE('V_Döviz'!$AL$2:$AL$28,ROW()-3),'V_Döviz'!$AL$2:$AL$28,0))</f>
        <v/>
      </c>
      <c r="P29" s="11">
        <f>INDEX('V_Döviz'!O$2:O$28,MATCH(LARGE('V_Döviz'!$AL$2:$AL$28,ROW()-3),'V_Döviz'!$AL$2:$AL$28,0))</f>
        <v/>
      </c>
      <c r="Q29" s="8">
        <f>INDEX('V_Döviz'!P$2:P$28,MATCH(LARGE('V_Döviz'!$AL$2:$AL$28,ROW()-3),'V_Döviz'!$AL$2:$AL$28,0))</f>
        <v/>
      </c>
      <c r="R29" s="9">
        <f>INDEX('V_Döviz'!Q$2:Q$28,MATCH(LARGE('V_Döviz'!$AL$2:$AL$28,ROW()-3),'V_Döviz'!$AL$2:$AL$28,0))</f>
        <v/>
      </c>
      <c r="S29" s="5">
        <f>INDEX('V_Döviz'!R$2:R$28,MATCH(LARGE('V_Döviz'!$AL$2:$AL$28,ROW()-3),'V_Döviz'!$AL$2:$AL$28,0))</f>
        <v/>
      </c>
      <c r="T29" s="8">
        <f>INDEX('V_Döviz'!S$2:S$28,MATCH(LARGE('V_Döviz'!$AL$2:$AL$28,ROW()-3),'V_Döviz'!$AL$2:$AL$28,0))</f>
        <v/>
      </c>
      <c r="U29" s="8">
        <f>INDEX('V_Döviz'!T$2:T$28,MATCH(LARGE('V_Döviz'!$AL$2:$AL$28,ROW()-3),'V_Döviz'!$AL$2:$AL$28,0))</f>
        <v/>
      </c>
      <c r="V29" s="8">
        <f>INDEX('V_Döviz'!U$2:U$28,MATCH(LARGE('V_Döviz'!$AL$2:$AL$28,ROW()-3),'V_Döviz'!$AL$2:$AL$28,0))</f>
        <v/>
      </c>
      <c r="W29" s="8">
        <f>INDEX('V_Döviz'!V$2:V$28,MATCH(LARGE('V_Döviz'!$AL$2:$AL$28,ROW()-3),'V_Döviz'!$AL$2:$AL$28,0))</f>
        <v/>
      </c>
      <c r="X29" s="8">
        <f>INDEX('V_Döviz'!W$2:W$28,MATCH(LARGE('V_Döviz'!$AL$2:$AL$28,ROW()-3),'V_Döviz'!$AL$2:$AL$28,0))</f>
        <v/>
      </c>
      <c r="Y29" s="8">
        <f>INDEX('V_Döviz'!X$2:X$28,MATCH(LARGE('V_Döviz'!$AL$2:$AL$28,ROW()-3),'V_Döviz'!$AL$2:$AL$28,0))</f>
        <v/>
      </c>
      <c r="Z29" s="8">
        <f>INDEX('V_Döviz'!Y$2:Y$28,MATCH(LARGE('V_Döviz'!$AL$2:$AL$28,ROW()-3),'V_Döviz'!$AL$2:$AL$28,0))</f>
        <v/>
      </c>
      <c r="AA29" s="8">
        <f>INDEX('V_Döviz'!Z$2:Z$28,MATCH(LARGE('V_Döviz'!$AL$2:$AL$28,ROW()-3),'V_Döviz'!$AL$2:$AL$28,0))</f>
        <v/>
      </c>
      <c r="AB29" s="8">
        <f>INDEX('V_Döviz'!AA$2:AA$28,MATCH(LARGE('V_Döviz'!$AL$2:$AL$28,ROW()-3),'V_Döviz'!$AL$2:$AL$28,0))</f>
        <v/>
      </c>
      <c r="AC29" s="8">
        <f>INDEX('V_Döviz'!AB$2:AB$28,MATCH(LARGE('V_Döviz'!$AL$2:$AL$28,ROW()-3),'V_Döviz'!$AL$2:$AL$28,0))</f>
        <v/>
      </c>
      <c r="AD29" s="8">
        <f>INDEX('V_Döviz'!AC$2:AC$28,MATCH(LARGE('V_Döviz'!$AL$2:$AL$28,ROW()-3),'V_Döviz'!$AL$2:$AL$28,0))</f>
        <v/>
      </c>
      <c r="AE29" s="8">
        <f>INDEX('V_Döviz'!AD$2:AD$28,MATCH(LARGE('V_Döviz'!$AL$2:$AL$28,ROW()-3),'V_Döviz'!$AL$2:$AL$28,0))</f>
        <v/>
      </c>
      <c r="AF29" s="9">
        <f>INDEX('V_Döviz'!AE$2:AE$28,MATCH(LARGE('V_Döviz'!$AL$2:$AL$28,ROW()-3),'V_Döviz'!$AL$2:$AL$28,0))</f>
        <v/>
      </c>
      <c r="AG29" s="9">
        <f>INDEX('V_Döviz'!AF$2:AF$28,MATCH(LARGE('V_Döviz'!$AL$2:$AL$28,ROW()-3),'V_Döviz'!$AL$2:$AL$28,0))</f>
        <v/>
      </c>
      <c r="AH29" s="9">
        <f>INDEX('V_Döviz'!AG$2:AG$28,MATCH(LARGE('V_Döviz'!$AL$2:$AL$28,ROW()-3),'V_Döviz'!$AL$2:$AL$28,0))</f>
        <v/>
      </c>
      <c r="AI29" s="9">
        <f>INDEX('V_Döviz'!AH$2:AH$28,MATCH(LARGE('V_Döviz'!$AL$2:$AL$28,ROW()-3),'V_Döviz'!$AL$2:$AL$28,0))</f>
        <v/>
      </c>
      <c r="AJ29" s="9">
        <f>INDEX('V_Döviz'!AI$2:AI$28,MATCH(LARGE('V_Döviz'!$AL$2:$AL$28,ROW()-3),'V_Döviz'!$AL$2:$AL$28,0))</f>
        <v/>
      </c>
      <c r="AK29" s="9">
        <f>INDEX('V_Döviz'!AJ$2:AJ$28,MATCH(LARGE('V_Döviz'!$AL$2:$AL$28,ROW()-3),'V_Döviz'!$AL$2:$AL$28,0))</f>
        <v/>
      </c>
    </row>
    <row r="30">
      <c r="A30" t="n">
        <v>27</v>
      </c>
      <c r="B30" s="5">
        <f>INDEX('V_Döviz'!A$2:A$28,MATCH(LARGE('V_Döviz'!$AL$2:$AL$28,ROW()-3),'V_Döviz'!$AL$2:$AL$28,0))</f>
        <v/>
      </c>
      <c r="C30" s="5">
        <f>INDEX('V_Döviz'!B$2:B$28,MATCH(LARGE('V_Döviz'!$AL$2:$AL$28,ROW()-3),'V_Döviz'!$AL$2:$AL$28,0))</f>
        <v/>
      </c>
      <c r="D30" s="5">
        <f>INDEX('V_Döviz'!C$2:C$28,MATCH(LARGE('V_Döviz'!$AL$2:$AL$28,ROW()-3),'V_Döviz'!$AL$2:$AL$28,0))</f>
        <v/>
      </c>
      <c r="E30" s="8">
        <f>INDEX('V_Döviz'!D$2:D$28,MATCH(LARGE('V_Döviz'!$AL$2:$AL$28,ROW()-3),'V_Döviz'!$AL$2:$AL$28,0))</f>
        <v/>
      </c>
      <c r="F30" s="9">
        <f>INDEX('V_Döviz'!E$2:E$28,MATCH(LARGE('V_Döviz'!$AL$2:$AL$28,ROW()-3),'V_Döviz'!$AL$2:$AL$28,0))</f>
        <v/>
      </c>
      <c r="G30" s="9">
        <f>INDEX('V_Döviz'!F$2:F$28,MATCH(LARGE('V_Döviz'!$AL$2:$AL$28,ROW()-3),'V_Döviz'!$AL$2:$AL$28,0))</f>
        <v/>
      </c>
      <c r="H30" s="9">
        <f>INDEX('V_Döviz'!G$2:G$28,MATCH(LARGE('V_Döviz'!$AL$2:$AL$28,ROW()-3),'V_Döviz'!$AL$2:$AL$28,0))</f>
        <v/>
      </c>
      <c r="I30" s="9">
        <f>INDEX('V_Döviz'!H$2:H$28,MATCH(LARGE('V_Döviz'!$AL$2:$AL$28,ROW()-3),'V_Döviz'!$AL$2:$AL$28,0))</f>
        <v/>
      </c>
      <c r="J30" s="9">
        <f>INDEX('V_Döviz'!I$2:I$28,MATCH(LARGE('V_Döviz'!$AL$2:$AL$28,ROW()-3),'V_Döviz'!$AL$2:$AL$28,0))</f>
        <v/>
      </c>
      <c r="K30" s="9">
        <f>INDEX('V_Döviz'!J$2:J$28,MATCH(LARGE('V_Döviz'!$AL$2:$AL$28,ROW()-3),'V_Döviz'!$AL$2:$AL$28,0))</f>
        <v/>
      </c>
      <c r="L30" s="10">
        <f>INDEX('V_Döviz'!K$2:K$28,MATCH(LARGE('V_Döviz'!$AL$2:$AL$28,ROW()-3),'V_Döviz'!$AL$2:$AL$28,0))</f>
        <v/>
      </c>
      <c r="M30" s="10">
        <f>INDEX('V_Döviz'!L$2:L$28,MATCH(LARGE('V_Döviz'!$AL$2:$AL$28,ROW()-3),'V_Döviz'!$AL$2:$AL$28,0))</f>
        <v/>
      </c>
      <c r="N30" s="8">
        <f>INDEX('V_Döviz'!M$2:M$28,MATCH(LARGE('V_Döviz'!$AL$2:$AL$28,ROW()-3),'V_Döviz'!$AL$2:$AL$28,0))</f>
        <v/>
      </c>
      <c r="O30" s="11">
        <f>INDEX('V_Döviz'!N$2:N$28,MATCH(LARGE('V_Döviz'!$AL$2:$AL$28,ROW()-3),'V_Döviz'!$AL$2:$AL$28,0))</f>
        <v/>
      </c>
      <c r="P30" s="11">
        <f>INDEX('V_Döviz'!O$2:O$28,MATCH(LARGE('V_Döviz'!$AL$2:$AL$28,ROW()-3),'V_Döviz'!$AL$2:$AL$28,0))</f>
        <v/>
      </c>
      <c r="Q30" s="8">
        <f>INDEX('V_Döviz'!P$2:P$28,MATCH(LARGE('V_Döviz'!$AL$2:$AL$28,ROW()-3),'V_Döviz'!$AL$2:$AL$28,0))</f>
        <v/>
      </c>
      <c r="R30" s="9">
        <f>INDEX('V_Döviz'!Q$2:Q$28,MATCH(LARGE('V_Döviz'!$AL$2:$AL$28,ROW()-3),'V_Döviz'!$AL$2:$AL$28,0))</f>
        <v/>
      </c>
      <c r="S30" s="5">
        <f>INDEX('V_Döviz'!R$2:R$28,MATCH(LARGE('V_Döviz'!$AL$2:$AL$28,ROW()-3),'V_Döviz'!$AL$2:$AL$28,0))</f>
        <v/>
      </c>
      <c r="T30" s="8">
        <f>INDEX('V_Döviz'!S$2:S$28,MATCH(LARGE('V_Döviz'!$AL$2:$AL$28,ROW()-3),'V_Döviz'!$AL$2:$AL$28,0))</f>
        <v/>
      </c>
      <c r="U30" s="8">
        <f>INDEX('V_Döviz'!T$2:T$28,MATCH(LARGE('V_Döviz'!$AL$2:$AL$28,ROW()-3),'V_Döviz'!$AL$2:$AL$28,0))</f>
        <v/>
      </c>
      <c r="V30" s="8">
        <f>INDEX('V_Döviz'!U$2:U$28,MATCH(LARGE('V_Döviz'!$AL$2:$AL$28,ROW()-3),'V_Döviz'!$AL$2:$AL$28,0))</f>
        <v/>
      </c>
      <c r="W30" s="8">
        <f>INDEX('V_Döviz'!V$2:V$28,MATCH(LARGE('V_Döviz'!$AL$2:$AL$28,ROW()-3),'V_Döviz'!$AL$2:$AL$28,0))</f>
        <v/>
      </c>
      <c r="X30" s="8">
        <f>INDEX('V_Döviz'!W$2:W$28,MATCH(LARGE('V_Döviz'!$AL$2:$AL$28,ROW()-3),'V_Döviz'!$AL$2:$AL$28,0))</f>
        <v/>
      </c>
      <c r="Y30" s="8">
        <f>INDEX('V_Döviz'!X$2:X$28,MATCH(LARGE('V_Döviz'!$AL$2:$AL$28,ROW()-3),'V_Döviz'!$AL$2:$AL$28,0))</f>
        <v/>
      </c>
      <c r="Z30" s="8">
        <f>INDEX('V_Döviz'!Y$2:Y$28,MATCH(LARGE('V_Döviz'!$AL$2:$AL$28,ROW()-3),'V_Döviz'!$AL$2:$AL$28,0))</f>
        <v/>
      </c>
      <c r="AA30" s="8">
        <f>INDEX('V_Döviz'!Z$2:Z$28,MATCH(LARGE('V_Döviz'!$AL$2:$AL$28,ROW()-3),'V_Döviz'!$AL$2:$AL$28,0))</f>
        <v/>
      </c>
      <c r="AB30" s="8">
        <f>INDEX('V_Döviz'!AA$2:AA$28,MATCH(LARGE('V_Döviz'!$AL$2:$AL$28,ROW()-3),'V_Döviz'!$AL$2:$AL$28,0))</f>
        <v/>
      </c>
      <c r="AC30" s="8">
        <f>INDEX('V_Döviz'!AB$2:AB$28,MATCH(LARGE('V_Döviz'!$AL$2:$AL$28,ROW()-3),'V_Döviz'!$AL$2:$AL$28,0))</f>
        <v/>
      </c>
      <c r="AD30" s="8">
        <f>INDEX('V_Döviz'!AC$2:AC$28,MATCH(LARGE('V_Döviz'!$AL$2:$AL$28,ROW()-3),'V_Döviz'!$AL$2:$AL$28,0))</f>
        <v/>
      </c>
      <c r="AE30" s="8">
        <f>INDEX('V_Döviz'!AD$2:AD$28,MATCH(LARGE('V_Döviz'!$AL$2:$AL$28,ROW()-3),'V_Döviz'!$AL$2:$AL$28,0))</f>
        <v/>
      </c>
      <c r="AF30" s="9">
        <f>INDEX('V_Döviz'!AE$2:AE$28,MATCH(LARGE('V_Döviz'!$AL$2:$AL$28,ROW()-3),'V_Döviz'!$AL$2:$AL$28,0))</f>
        <v/>
      </c>
      <c r="AG30" s="9">
        <f>INDEX('V_Döviz'!AF$2:AF$28,MATCH(LARGE('V_Döviz'!$AL$2:$AL$28,ROW()-3),'V_Döviz'!$AL$2:$AL$28,0))</f>
        <v/>
      </c>
      <c r="AH30" s="9">
        <f>INDEX('V_Döviz'!AG$2:AG$28,MATCH(LARGE('V_Döviz'!$AL$2:$AL$28,ROW()-3),'V_Döviz'!$AL$2:$AL$28,0))</f>
        <v/>
      </c>
      <c r="AI30" s="9">
        <f>INDEX('V_Döviz'!AH$2:AH$28,MATCH(LARGE('V_Döviz'!$AL$2:$AL$28,ROW()-3),'V_Döviz'!$AL$2:$AL$28,0))</f>
        <v/>
      </c>
      <c r="AJ30" s="9">
        <f>INDEX('V_Döviz'!AI$2:AI$28,MATCH(LARGE('V_Döviz'!$AL$2:$AL$28,ROW()-3),'V_Döviz'!$AL$2:$AL$28,0))</f>
        <v/>
      </c>
      <c r="AK30" s="9">
        <f>INDEX('V_Döviz'!AJ$2:AJ$28,MATCH(LARGE('V_Döviz'!$AL$2:$AL$28,ROW()-3),'V_Döviz'!$AL$2:$AL$28,0))</f>
        <v/>
      </c>
    </row>
  </sheetData>
  <conditionalFormatting sqref="B4:AK30">
    <cfRule type="expression" priority="1" dxfId="0">
      <formula>OR($B4="BAI",$B4="BHI",$B4="BIS",$B4="BSD",$B4="BTE",$B4="BTK",$B4="BV1",$B4="BVD",$B4="BVF",$B4="BVV",$B4="BVZ",$B4="MTD",$B4="RUT",$B4="SPR")</formula>
    </cfRule>
  </conditionalFormatting>
  <dataValidations count="1">
    <dataValidation sqref="E2" showDropDown="0" showInputMessage="0" showErrorMessage="0" allowBlank="0" type="list">
      <formula1>"Günlük%,Haftalık,Aylık,Ay Başından Bu güne,Yılbaşına Göre,Yıllık"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 Kodu</t>
        </is>
      </c>
      <c r="B1" t="inlineStr">
        <is>
          <t>Günlük Sıra</t>
        </is>
      </c>
      <c r="C1" t="inlineStr">
        <is>
          <t>Haftalık Sıra</t>
        </is>
      </c>
      <c r="D1" t="inlineStr">
        <is>
          <t>Aylık Sıra</t>
        </is>
      </c>
      <c r="E1" t="inlineStr">
        <is>
          <t>Yılbaşına Göre</t>
        </is>
      </c>
      <c r="F1" t="inlineStr">
        <is>
          <t>Yıllık Sıra</t>
        </is>
      </c>
      <c r="G1" t="inlineStr">
        <is>
          <t>Kat. Toplam</t>
        </is>
      </c>
      <c r="H1" t="inlineStr">
        <is>
          <t>Kategori</t>
        </is>
      </c>
    </row>
    <row r="2">
      <c r="A2" t="inlineStr">
        <is>
          <t>BVZ</t>
        </is>
      </c>
      <c r="B2" t="n">
        <v>8</v>
      </c>
      <c r="C2" t="n">
        <v>3</v>
      </c>
      <c r="D2" t="n">
        <v>5</v>
      </c>
      <c r="E2" t="n">
        <v>4</v>
      </c>
      <c r="F2" t="n">
        <v>5</v>
      </c>
      <c r="G2" t="n">
        <v>13</v>
      </c>
      <c r="H2" t="inlineStr">
        <is>
          <t>Arbitraj</t>
        </is>
      </c>
      <c r="J2">
        <f>IF(ISNUMBER(INDEX($A$2:$H$15,1,MATCH('Takip Tablosu'!$B$1,$A$1:$H$1,0))),INDEX($A$2:$H$15,1,MATCH('Takip Tablosu'!$B$1,$A$1:$H$1,0)),999)*100+1</f>
        <v/>
      </c>
    </row>
    <row r="3">
      <c r="A3" t="inlineStr">
        <is>
          <t>BHI</t>
        </is>
      </c>
      <c r="B3" t="n">
        <v>13</v>
      </c>
      <c r="C3" t="n">
        <v>10</v>
      </c>
      <c r="D3" t="n">
        <v>3</v>
      </c>
      <c r="E3" t="n">
        <v>1</v>
      </c>
      <c r="F3" t="n">
        <v>1</v>
      </c>
      <c r="G3" t="n">
        <v>24</v>
      </c>
      <c r="H3" t="inlineStr">
        <is>
          <t>Mutlak Getiri</t>
        </is>
      </c>
      <c r="J3">
        <f>IF(ISNUMBER(INDEX($A$2:$H$15,2,MATCH('Takip Tablosu'!$B$1,$A$1:$H$1,0))),INDEX($A$2:$H$15,2,MATCH('Takip Tablosu'!$B$1,$A$1:$H$1,0)),999)*100+2</f>
        <v/>
      </c>
    </row>
    <row r="4">
      <c r="A4" t="inlineStr">
        <is>
          <t>BIS</t>
        </is>
      </c>
      <c r="B4" t="n">
        <v>26</v>
      </c>
      <c r="C4" t="n">
        <v>2</v>
      </c>
      <c r="D4" t="n">
        <v>1</v>
      </c>
      <c r="E4" t="n">
        <v>1</v>
      </c>
      <c r="F4" t="n">
        <v>2</v>
      </c>
      <c r="G4" t="n">
        <v>27</v>
      </c>
      <c r="H4" t="inlineStr">
        <is>
          <t>Döviz</t>
        </is>
      </c>
      <c r="J4">
        <f>IF(ISNUMBER(INDEX($A$2:$H$15,3,MATCH('Takip Tablosu'!$B$1,$A$1:$H$1,0))),INDEX($A$2:$H$15,3,MATCH('Takip Tablosu'!$B$1,$A$1:$H$1,0)),999)*100+3</f>
        <v/>
      </c>
    </row>
    <row r="5">
      <c r="A5" t="inlineStr">
        <is>
          <t>BSD</t>
        </is>
      </c>
      <c r="B5" t="n">
        <v>1</v>
      </c>
      <c r="C5" t="n">
        <v>1</v>
      </c>
      <c r="D5" t="n">
        <v>2</v>
      </c>
      <c r="E5" t="n">
        <v>3</v>
      </c>
      <c r="F5" t="inlineStr">
        <is>
          <t>-</t>
        </is>
      </c>
      <c r="G5" t="n">
        <v>27</v>
      </c>
      <c r="H5" t="inlineStr">
        <is>
          <t>Döviz</t>
        </is>
      </c>
      <c r="J5">
        <f>IF(ISNUMBER(INDEX($A$2:$H$15,4,MATCH('Takip Tablosu'!$B$1,$A$1:$H$1,0))),INDEX($A$2:$H$15,4,MATCH('Takip Tablosu'!$B$1,$A$1:$H$1,0)),999)*100+4</f>
        <v/>
      </c>
    </row>
    <row r="6">
      <c r="A6" t="inlineStr">
        <is>
          <t>BV1</t>
        </is>
      </c>
      <c r="B6" t="n">
        <v>29</v>
      </c>
      <c r="C6" t="n">
        <v>3</v>
      </c>
      <c r="D6" t="n">
        <v>10</v>
      </c>
      <c r="E6" t="n">
        <v>19</v>
      </c>
      <c r="F6" t="n">
        <v>8</v>
      </c>
      <c r="G6" t="n">
        <v>41</v>
      </c>
      <c r="H6" t="inlineStr">
        <is>
          <t>Hisse</t>
        </is>
      </c>
      <c r="J6">
        <f>IF(ISNUMBER(INDEX($A$2:$H$15,5,MATCH('Takip Tablosu'!$B$1,$A$1:$H$1,0))),INDEX($A$2:$H$15,5,MATCH('Takip Tablosu'!$B$1,$A$1:$H$1,0)),999)*100+5</f>
        <v/>
      </c>
    </row>
    <row r="7">
      <c r="A7" t="inlineStr">
        <is>
          <t>BVF</t>
        </is>
      </c>
      <c r="B7" t="n">
        <v>6</v>
      </c>
      <c r="C7" t="n">
        <v>3</v>
      </c>
      <c r="D7" t="n">
        <v>7</v>
      </c>
      <c r="E7" t="n">
        <v>7</v>
      </c>
      <c r="F7" t="inlineStr">
        <is>
          <t>-</t>
        </is>
      </c>
      <c r="G7" t="n">
        <v>61</v>
      </c>
      <c r="H7" t="inlineStr">
        <is>
          <t>Para Piyasası</t>
        </is>
      </c>
      <c r="J7">
        <f>IF(ISNUMBER(INDEX($A$2:$H$15,6,MATCH('Takip Tablosu'!$B$1,$A$1:$H$1,0))),INDEX($A$2:$H$15,6,MATCH('Takip Tablosu'!$B$1,$A$1:$H$1,0)),999)*100+6</f>
        <v/>
      </c>
    </row>
    <row r="8">
      <c r="A8" t="inlineStr">
        <is>
          <t>BVD</t>
        </is>
      </c>
      <c r="B8" t="n">
        <v>11</v>
      </c>
      <c r="C8" t="n">
        <v>6</v>
      </c>
      <c r="D8" t="n">
        <v>5</v>
      </c>
      <c r="E8" t="n">
        <v>1</v>
      </c>
      <c r="F8" t="inlineStr">
        <is>
          <t>-</t>
        </is>
      </c>
      <c r="G8" t="n">
        <v>28</v>
      </c>
      <c r="H8" t="inlineStr">
        <is>
          <t>Dengeli Değişken</t>
        </is>
      </c>
      <c r="J8">
        <f>IF(ISNUMBER(INDEX($A$2:$H$15,7,MATCH('Takip Tablosu'!$B$1,$A$1:$H$1,0))),INDEX($A$2:$H$15,7,MATCH('Takip Tablosu'!$B$1,$A$1:$H$1,0)),999)*100+7</f>
        <v/>
      </c>
    </row>
    <row r="9">
      <c r="A9" t="inlineStr">
        <is>
          <t>BVV</t>
        </is>
      </c>
      <c r="B9" t="n">
        <v>5</v>
      </c>
      <c r="C9" t="n">
        <v>10</v>
      </c>
      <c r="D9" t="n">
        <v>8</v>
      </c>
      <c r="E9" t="n">
        <v>2</v>
      </c>
      <c r="F9" t="n">
        <v>2</v>
      </c>
      <c r="G9" t="n">
        <v>18</v>
      </c>
      <c r="H9" t="inlineStr">
        <is>
          <t>Teknoloji</t>
        </is>
      </c>
      <c r="J9">
        <f>IF(ISNUMBER(INDEX($A$2:$H$15,8,MATCH('Takip Tablosu'!$B$1,$A$1:$H$1,0))),INDEX($A$2:$H$15,8,MATCH('Takip Tablosu'!$B$1,$A$1:$H$1,0)),999)*100+8</f>
        <v/>
      </c>
    </row>
    <row r="10">
      <c r="A10" t="inlineStr">
        <is>
          <t>RUT</t>
        </is>
      </c>
      <c r="B10" t="n">
        <v>7</v>
      </c>
      <c r="C10" t="n">
        <v>7</v>
      </c>
      <c r="D10" t="n">
        <v>7</v>
      </c>
      <c r="E10" t="n">
        <v>5</v>
      </c>
      <c r="F10" t="n">
        <v>4</v>
      </c>
      <c r="G10" t="n">
        <v>9</v>
      </c>
      <c r="H10" t="inlineStr">
        <is>
          <t>RUT</t>
        </is>
      </c>
      <c r="J10">
        <f>IF(ISNUMBER(INDEX($A$2:$H$15,9,MATCH('Takip Tablosu'!$B$1,$A$1:$H$1,0))),INDEX($A$2:$H$15,9,MATCH('Takip Tablosu'!$B$1,$A$1:$H$1,0)),999)*100+9</f>
        <v/>
      </c>
    </row>
    <row r="11">
      <c r="A11" t="inlineStr">
        <is>
          <t>BTE</t>
        </is>
      </c>
      <c r="B11" t="n">
        <v>2</v>
      </c>
      <c r="C11" t="n">
        <v>2</v>
      </c>
      <c r="D11" t="n">
        <v>2</v>
      </c>
      <c r="E11" t="n">
        <v>1</v>
      </c>
      <c r="F11" t="n">
        <v>1</v>
      </c>
      <c r="G11" t="n">
        <v>2</v>
      </c>
      <c r="H11" t="inlineStr">
        <is>
          <t>Oyun</t>
        </is>
      </c>
      <c r="J11">
        <f>IF(ISNUMBER(INDEX($A$2:$H$15,10,MATCH('Takip Tablosu'!$B$1,$A$1:$H$1,0))),INDEX($A$2:$H$15,10,MATCH('Takip Tablosu'!$B$1,$A$1:$H$1,0)),999)*100+10</f>
        <v/>
      </c>
    </row>
    <row r="12">
      <c r="A12" t="inlineStr">
        <is>
          <t>BTK</t>
        </is>
      </c>
      <c r="B12" t="n">
        <v>11</v>
      </c>
      <c r="C12" t="n">
        <v>15</v>
      </c>
      <c r="D12" t="n">
        <v>15</v>
      </c>
      <c r="E12" t="n">
        <v>3</v>
      </c>
      <c r="F12" t="inlineStr">
        <is>
          <t>-</t>
        </is>
      </c>
      <c r="G12" t="n">
        <v>18</v>
      </c>
      <c r="H12" t="inlineStr">
        <is>
          <t>Teknoloji</t>
        </is>
      </c>
      <c r="J12">
        <f>IF(ISNUMBER(INDEX($A$2:$H$15,11,MATCH('Takip Tablosu'!$B$1,$A$1:$H$1,0))),INDEX($A$2:$H$15,11,MATCH('Takip Tablosu'!$B$1,$A$1:$H$1,0)),999)*100+11</f>
        <v/>
      </c>
    </row>
    <row r="13">
      <c r="A13" t="inlineStr">
        <is>
          <t>MTD</t>
        </is>
      </c>
      <c r="B13" t="n">
        <v>16</v>
      </c>
      <c r="C13" t="n">
        <v>5</v>
      </c>
      <c r="D13" t="n">
        <v>17</v>
      </c>
      <c r="E13" t="n">
        <v>17</v>
      </c>
      <c r="F13" t="inlineStr">
        <is>
          <t>-</t>
        </is>
      </c>
      <c r="G13" t="n">
        <v>18</v>
      </c>
      <c r="H13" t="inlineStr">
        <is>
          <t>Teknoloji</t>
        </is>
      </c>
      <c r="J13">
        <f>IF(ISNUMBER(INDEX($A$2:$H$15,12,MATCH('Takip Tablosu'!$B$1,$A$1:$H$1,0))),INDEX($A$2:$H$15,12,MATCH('Takip Tablosu'!$B$1,$A$1:$H$1,0)),999)*100+12</f>
        <v/>
      </c>
    </row>
    <row r="14">
      <c r="A14" t="inlineStr">
        <is>
          <t>SPR</t>
        </is>
      </c>
      <c r="B14" t="n">
        <v>14</v>
      </c>
      <c r="C14" t="n">
        <v>6</v>
      </c>
      <c r="D14" t="n">
        <v>5</v>
      </c>
      <c r="E14" t="n">
        <v>57</v>
      </c>
      <c r="F14" t="n">
        <v>56</v>
      </c>
      <c r="G14" t="n">
        <v>58</v>
      </c>
      <c r="H14" t="inlineStr">
        <is>
          <t>Tüm Teknoloji</t>
        </is>
      </c>
      <c r="J14">
        <f>IF(ISNUMBER(INDEX($A$2:$H$15,13,MATCH('Takip Tablosu'!$B$1,$A$1:$H$1,0))),INDEX($A$2:$H$15,13,MATCH('Takip Tablosu'!$B$1,$A$1:$H$1,0)),999)*100+13</f>
        <v/>
      </c>
    </row>
    <row r="15">
      <c r="A15" t="inlineStr">
        <is>
          <t>BAI</t>
        </is>
      </c>
      <c r="B15" t="n">
        <v>19</v>
      </c>
      <c r="C15" t="n">
        <v>24</v>
      </c>
      <c r="D15" t="inlineStr">
        <is>
          <t>-</t>
        </is>
      </c>
      <c r="E15" t="inlineStr">
        <is>
          <t>-</t>
        </is>
      </c>
      <c r="F15" t="inlineStr">
        <is>
          <t>-</t>
        </is>
      </c>
      <c r="G15" t="n">
        <v>47</v>
      </c>
      <c r="H15" t="inlineStr">
        <is>
          <t>Altın</t>
        </is>
      </c>
      <c r="J15">
        <f>IF(ISNUMBER(INDEX($A$2:$H$15,14,MATCH('Takip Tablosu'!$B$1,$A$1:$H$1,0))),INDEX($A$2:$H$15,14,MATCH('Takip Tablosu'!$B$1,$A$1:$H$1,0)),999)*100+14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32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</cols>
  <sheetData>
    <row r="1">
      <c r="A1" s="1" t="inlineStr">
        <is>
          <t>Kategori</t>
        </is>
      </c>
      <c r="B1" s="1" t="inlineStr">
        <is>
          <t>Fon Kodu</t>
        </is>
      </c>
      <c r="C1" s="1" t="inlineStr">
        <is>
          <t>Fon Adı</t>
        </is>
      </c>
      <c r="D1" s="12" t="n">
        <v>46191</v>
      </c>
      <c r="E1" s="12" t="n">
        <v>46192</v>
      </c>
      <c r="F1" s="12" t="n">
        <v>46195</v>
      </c>
      <c r="G1" s="12" t="n">
        <v>46196</v>
      </c>
      <c r="H1" s="12" t="n">
        <v>46197</v>
      </c>
      <c r="I1" s="12" t="n">
        <v>46198</v>
      </c>
      <c r="J1" s="12" t="n">
        <v>46199</v>
      </c>
      <c r="K1" s="12" t="n">
        <v>46202</v>
      </c>
      <c r="L1" s="12" t="n">
        <v>46203</v>
      </c>
      <c r="M1" s="12" t="n">
        <v>46204</v>
      </c>
      <c r="N1" s="12" t="n">
        <v>46205</v>
      </c>
      <c r="O1" s="12" t="n">
        <v>46206</v>
      </c>
      <c r="P1" s="12" t="n">
        <v>46209</v>
      </c>
      <c r="Q1" s="12" t="n">
        <v>46210</v>
      </c>
      <c r="R1" s="12" t="n">
        <v>46211</v>
      </c>
      <c r="S1" s="12" t="n">
        <v>46212</v>
      </c>
      <c r="T1" s="12" t="n">
        <v>46213</v>
      </c>
      <c r="U1" s="12" t="n">
        <v>46216</v>
      </c>
      <c r="V1" s="12" t="n">
        <v>46217</v>
      </c>
      <c r="W1" s="12" t="n">
        <v>46219</v>
      </c>
      <c r="X1" s="12" t="n">
        <v>46220</v>
      </c>
    </row>
    <row r="2">
      <c r="A2" t="inlineStr">
        <is>
          <t>Arbitraj</t>
        </is>
      </c>
      <c r="B2" t="inlineStr">
        <is>
          <t>ICN</t>
        </is>
      </c>
      <c r="C2" t="inlineStr">
        <is>
          <t>İstanbul Portföy Üçüncü İstatistiksel Arbitraj Serbest (TL) Fon</t>
        </is>
      </c>
      <c r="D2" s="13" t="n">
        <v>0.2406360663212537</v>
      </c>
      <c r="E2" s="13" t="n">
        <v>0.3400931917600269</v>
      </c>
      <c r="F2" s="13" t="n">
        <v>-0.07182596051898971</v>
      </c>
      <c r="G2" s="13" t="n">
        <v>0.1893953144625593</v>
      </c>
      <c r="H2" s="13" t="n">
        <v>0.1367615426442148</v>
      </c>
      <c r="I2" s="13" t="n">
        <v>0.1710615724338949</v>
      </c>
      <c r="J2" s="13" t="n">
        <v>0.1753781092246776</v>
      </c>
      <c r="K2" s="13" t="n">
        <v>0.096587506689505</v>
      </c>
      <c r="L2" s="13" t="n">
        <v>0.4784467895022848</v>
      </c>
      <c r="M2" s="13" t="n">
        <v>0.2831593382003561</v>
      </c>
      <c r="N2" s="13" t="n">
        <v>0.03094320307270859</v>
      </c>
      <c r="O2" s="13" t="n">
        <v>-0.07643441466298473</v>
      </c>
      <c r="P2" s="13" t="n">
        <v>0.0422795224041872</v>
      </c>
      <c r="Q2" s="13" t="n">
        <v>0.2493289667888643</v>
      </c>
      <c r="R2" s="13" t="n">
        <v>0.101234739158218</v>
      </c>
      <c r="S2" s="13" t="n">
        <v>0.1585045777380056</v>
      </c>
      <c r="T2" s="13" t="n">
        <v>0.01648527548441248</v>
      </c>
      <c r="U2" s="13" t="n">
        <v>0.06762263869570795</v>
      </c>
      <c r="V2" s="13" t="n">
        <v>0.4712247726233354</v>
      </c>
      <c r="W2" s="13" t="n">
        <v>0.1537197070811347</v>
      </c>
      <c r="X2" s="13" t="n">
        <v>0.1098574532557794</v>
      </c>
    </row>
    <row r="3">
      <c r="A3" t="inlineStr">
        <is>
          <t>Arbitraj</t>
        </is>
      </c>
      <c r="B3" t="inlineStr">
        <is>
          <t>IRV</t>
        </is>
      </c>
      <c r="C3" t="inlineStr">
        <is>
          <t>İstanbul Portföy İstatistiksel Arbitraj Serbest Fon</t>
        </is>
      </c>
      <c r="D3" s="13" t="n">
        <v>0.1783591884184643</v>
      </c>
      <c r="E3" s="13" t="n">
        <v>0.249935629435849</v>
      </c>
      <c r="F3" s="13" t="n">
        <v>-0.105019153500574</v>
      </c>
      <c r="G3" s="13" t="n">
        <v>0.01775837156658966</v>
      </c>
      <c r="H3" s="13" t="n">
        <v>0.1904903358345589</v>
      </c>
      <c r="I3" s="13" t="n">
        <v>0.03411766464429533</v>
      </c>
      <c r="J3" s="13" t="n">
        <v>0.227774045558804</v>
      </c>
      <c r="K3" s="13" t="n">
        <v>0.01429382290139003</v>
      </c>
      <c r="L3" s="13" t="n">
        <v>0.503270435670311</v>
      </c>
      <c r="M3" s="13" t="n">
        <v>0.5564996622316798</v>
      </c>
      <c r="N3" s="13" t="n">
        <v>0.1407613092976323</v>
      </c>
      <c r="O3" s="13" t="n">
        <v>-0.1336241074896605</v>
      </c>
      <c r="P3" s="13" t="n">
        <v>0.5976580235061313</v>
      </c>
      <c r="Q3" s="13" t="n">
        <v>0.09998269384967617</v>
      </c>
      <c r="R3" s="13" t="n">
        <v>0.1637232815321576</v>
      </c>
      <c r="S3" s="13" t="n">
        <v>0.04985224470019922</v>
      </c>
      <c r="T3" s="13" t="n">
        <v>0.03598059940543852</v>
      </c>
      <c r="U3" s="13" t="n">
        <v>0.07436027122145195</v>
      </c>
      <c r="V3" s="13" t="n">
        <v>0.2903870799271679</v>
      </c>
      <c r="W3" s="13" t="n">
        <v>0.3273940880275328</v>
      </c>
      <c r="X3" s="13" t="n">
        <v>0.2306687239028049</v>
      </c>
    </row>
    <row r="4">
      <c r="A4" t="inlineStr">
        <is>
          <t>Arbitraj</t>
        </is>
      </c>
      <c r="B4" t="inlineStr">
        <is>
          <t>LPH</t>
        </is>
      </c>
      <c r="C4" t="inlineStr">
        <is>
          <t>Statech Portföy İstatistiksel Arbitraj Hisse Senedi Serbest (TL) Fon (Hisse Senedi Yoğun Fon)</t>
        </is>
      </c>
      <c r="D4" s="13" t="n">
        <v>0.2480572053304986</v>
      </c>
      <c r="E4" s="13" t="n">
        <v>0.496802689307474</v>
      </c>
      <c r="F4" s="13" t="n">
        <v>0.05110645099792865</v>
      </c>
      <c r="G4" s="13" t="n">
        <v>0.0776831655450394</v>
      </c>
      <c r="H4" s="13" t="n">
        <v>0.2278157877585674</v>
      </c>
      <c r="I4" s="13" t="n">
        <v>-0.04303391276900825</v>
      </c>
      <c r="J4" s="13" t="n">
        <v>0.3468316254890969</v>
      </c>
      <c r="K4" s="13" t="n">
        <v>0.1206255044273075</v>
      </c>
      <c r="L4" s="13" t="n">
        <v>0.1599854492542629</v>
      </c>
      <c r="M4" s="13" t="n">
        <v>-0.07031311855386635</v>
      </c>
      <c r="N4" s="13" t="n">
        <v>0.1252425074378616</v>
      </c>
      <c r="O4" s="13" t="n">
        <v>0.2198984503293699</v>
      </c>
      <c r="P4" s="13" t="n">
        <v>0.07062745430403972</v>
      </c>
      <c r="Q4" s="13" t="n">
        <v>0.09772284065097114</v>
      </c>
      <c r="R4" s="13" t="n">
        <v>0.2613522629316689</v>
      </c>
      <c r="S4" s="13" t="n">
        <v>0.06267932851613534</v>
      </c>
      <c r="T4" s="13" t="n">
        <v>0.1579336995626734</v>
      </c>
      <c r="U4" s="13" t="n">
        <v>0.1856807069108957</v>
      </c>
      <c r="V4" s="13" t="n">
        <v>0.2855476264706613</v>
      </c>
      <c r="W4" s="13" t="n">
        <v>0.107232114908129</v>
      </c>
      <c r="X4" s="13" t="n">
        <v>0.2857175567821502</v>
      </c>
    </row>
    <row r="5">
      <c r="A5" t="inlineStr">
        <is>
          <t>Arbitraj</t>
        </is>
      </c>
      <c r="B5" t="inlineStr">
        <is>
          <t>TCI</t>
        </is>
      </c>
      <c r="C5" t="inlineStr">
        <is>
          <t>Tacirler Portföy İstatistiksel Arbitraj Serbest Fon</t>
        </is>
      </c>
      <c r="D5" s="13" t="n">
        <v>0.1096629603028809</v>
      </c>
      <c r="E5" s="13" t="n">
        <v>0.07497627206751734</v>
      </c>
      <c r="F5" s="13" t="n">
        <v>0.2473635012591791</v>
      </c>
      <c r="G5" s="13" t="n">
        <v>0.1668417063152683</v>
      </c>
      <c r="H5" s="13" t="n">
        <v>0.08239445134892165</v>
      </c>
      <c r="I5" s="13" t="n">
        <v>0.08574419411679912</v>
      </c>
      <c r="J5" s="13" t="n">
        <v>0.05159809193189258</v>
      </c>
      <c r="K5" s="13" t="n">
        <v>0.2402579847015973</v>
      </c>
      <c r="L5" s="13" t="n">
        <v>0.2202753027197968</v>
      </c>
      <c r="M5" s="13" t="n">
        <v>0.1190313543498522</v>
      </c>
      <c r="N5" s="13" t="n">
        <v>0.07507190799298513</v>
      </c>
      <c r="O5" s="13" t="n">
        <v>0.1107547580284418</v>
      </c>
      <c r="P5" s="13" t="n">
        <v>0.1831207771461063</v>
      </c>
      <c r="Q5" s="13" t="n">
        <v>0.2106539647488193</v>
      </c>
      <c r="R5" s="13" t="n">
        <v>-0.0600407894420063</v>
      </c>
      <c r="S5" s="13" t="n">
        <v>0.1141323491858692</v>
      </c>
      <c r="T5" s="13" t="n">
        <v>0.08206156138956811</v>
      </c>
      <c r="U5" s="13" t="n">
        <v>0.3073260177989035</v>
      </c>
      <c r="V5" s="13" t="n">
        <v>0.2609060489499937</v>
      </c>
      <c r="W5" s="13" t="n">
        <v>0.1233683972647004</v>
      </c>
      <c r="X5" s="13" t="n">
        <v>0.156819212279613</v>
      </c>
    </row>
    <row r="6">
      <c r="A6" s="14" t="inlineStr">
        <is>
          <t>Arbitraj</t>
        </is>
      </c>
      <c r="B6" s="14" t="inlineStr">
        <is>
          <t>BVZ</t>
        </is>
      </c>
      <c r="C6" s="14" t="inlineStr">
        <is>
          <t>BV Portföy İstatistiksel Arbitraj Serbest (TL) Fon</t>
        </is>
      </c>
      <c r="D6" s="15" t="n">
        <v>0.1138698371003555</v>
      </c>
      <c r="E6" s="15" t="n">
        <v>0.1039802685061986</v>
      </c>
      <c r="F6" s="15" t="n">
        <v>0.3100948476457033</v>
      </c>
      <c r="G6" s="15" t="n">
        <v>0.1131998089234587</v>
      </c>
      <c r="H6" s="15" t="n">
        <v>0.08626609645321359</v>
      </c>
      <c r="I6" s="15" t="n">
        <v>0.08446459502065018</v>
      </c>
      <c r="J6" s="15" t="n">
        <v>0.08380232296729684</v>
      </c>
      <c r="K6" s="15" t="n">
        <v>0.2962157790586062</v>
      </c>
      <c r="L6" s="15" t="n">
        <v>0.1596456568209392</v>
      </c>
      <c r="M6" s="15" t="n">
        <v>0.1384885886813736</v>
      </c>
      <c r="N6" s="15" t="n">
        <v>0.09420166670266461</v>
      </c>
      <c r="O6" s="15" t="n">
        <v>0.1202920036782018</v>
      </c>
      <c r="P6" s="15" t="n">
        <v>0.2863108726905317</v>
      </c>
      <c r="Q6" s="15" t="n">
        <v>0.101254395711714</v>
      </c>
      <c r="R6" s="15" t="n">
        <v>0.1029024128503586</v>
      </c>
      <c r="S6" s="15" t="n">
        <v>0.0995325073075648</v>
      </c>
      <c r="T6" s="15" t="n">
        <v>0.09086208342263813</v>
      </c>
      <c r="U6" s="15" t="n">
        <v>0.3263039066410567</v>
      </c>
      <c r="V6" s="15" t="n">
        <v>0.2470981106840853</v>
      </c>
      <c r="W6" s="15" t="n">
        <v>0.1498647815680876</v>
      </c>
      <c r="X6" s="15" t="n">
        <v>0.1653739176360247</v>
      </c>
    </row>
    <row r="7">
      <c r="A7" t="inlineStr">
        <is>
          <t>Arbitraj</t>
        </is>
      </c>
      <c r="B7" t="inlineStr">
        <is>
          <t>SST</t>
        </is>
      </c>
      <c r="C7" t="inlineStr">
        <is>
          <t>Strateji Portföy İstatistiksel Arbitraj Serbest Fon</t>
        </is>
      </c>
      <c r="D7" s="13" t="n">
        <v>0.2371108154939572</v>
      </c>
      <c r="E7" s="13" t="n">
        <v>0.3126839389181013</v>
      </c>
      <c r="F7" s="13" t="n">
        <v>-0.1348335926037114</v>
      </c>
      <c r="G7" s="13" t="n">
        <v>0.1372930112651938</v>
      </c>
      <c r="H7" s="13" t="n">
        <v>0.1539342247959485</v>
      </c>
      <c r="I7" s="13" t="n">
        <v>0.1124996593868444</v>
      </c>
      <c r="J7" s="13" t="n">
        <v>0.1265657078866056</v>
      </c>
      <c r="K7" s="13" t="n">
        <v>0.09546771087844963</v>
      </c>
      <c r="L7" s="13" t="n">
        <v>0.1020368574199848</v>
      </c>
      <c r="M7" s="13" t="n">
        <v>-0.0550359865588268</v>
      </c>
      <c r="N7" s="13" t="n">
        <v>0.1391522634702325</v>
      </c>
      <c r="O7" s="13" t="n">
        <v>0.1766514196978264</v>
      </c>
      <c r="P7" s="13" t="n">
        <v>0.04013875251591692</v>
      </c>
      <c r="Q7" s="13" t="n">
        <v>0.1594601539602003</v>
      </c>
      <c r="R7" s="13" t="n">
        <v>0.239838221724975</v>
      </c>
      <c r="S7" s="13" t="n">
        <v>0.07100956095307254</v>
      </c>
      <c r="T7" s="13" t="n">
        <v>-0.09140720950326919</v>
      </c>
      <c r="U7" s="13" t="n">
        <v>-0.01052208804421806</v>
      </c>
      <c r="V7" s="13" t="n">
        <v>0.212902207432708</v>
      </c>
      <c r="W7" s="13" t="n">
        <v>0.08541535939761147</v>
      </c>
      <c r="X7" s="13" t="n">
        <v>0.22762255344142</v>
      </c>
    </row>
    <row r="8">
      <c r="A8" t="inlineStr">
        <is>
          <t>Arbitraj</t>
        </is>
      </c>
      <c r="B8" t="inlineStr">
        <is>
          <t>MPI</t>
        </is>
      </c>
      <c r="C8" t="inlineStr">
        <is>
          <t>Meksa Portföy İstatistiksel Arbitraj Serbest (TL) Fon</t>
        </is>
      </c>
      <c r="D8" s="13" t="n">
        <v>0.1812347988710217</v>
      </c>
      <c r="E8" s="13" t="n">
        <v>0.2414039147490721</v>
      </c>
      <c r="F8" s="13" t="n">
        <v>0.255387749338909</v>
      </c>
      <c r="G8" s="13" t="n">
        <v>-0.04136231749305441</v>
      </c>
      <c r="H8" s="13" t="n">
        <v>0.2391799622318613</v>
      </c>
      <c r="I8" s="13" t="n">
        <v>0.06492327931133524</v>
      </c>
      <c r="J8" s="13" t="n">
        <v>0.1560829919657225</v>
      </c>
      <c r="K8" s="13" t="n">
        <v>0.3365975259673304</v>
      </c>
      <c r="L8" s="13" t="n">
        <v>0.08661515897596672</v>
      </c>
      <c r="M8" s="13" t="n">
        <v>0.1594875247197258</v>
      </c>
      <c r="N8" s="13" t="n">
        <v>0.1356108189478844</v>
      </c>
      <c r="O8" s="13" t="n">
        <v>0.1523597853984704</v>
      </c>
      <c r="P8" s="13" t="n">
        <v>0.08740273492944262</v>
      </c>
      <c r="Q8" s="13" t="n">
        <v>0.1173343259547543</v>
      </c>
      <c r="R8" s="13" t="n">
        <v>0.2088999529865632</v>
      </c>
      <c r="S8" s="13" t="n">
        <v>0.08586598789408484</v>
      </c>
      <c r="T8" s="13" t="n">
        <v>0.151941391252608</v>
      </c>
      <c r="U8" s="13" t="n">
        <v>0.147352335023232</v>
      </c>
      <c r="V8" s="13" t="n">
        <v>0.1649123112430262</v>
      </c>
      <c r="W8" s="13" t="n">
        <v>0.07449945988728945</v>
      </c>
      <c r="X8" s="13" t="n">
        <v>0.2153498918073815</v>
      </c>
    </row>
    <row r="9">
      <c r="A9" t="inlineStr">
        <is>
          <t>Arbitraj</t>
        </is>
      </c>
      <c r="B9" t="inlineStr">
        <is>
          <t>NIS</t>
        </is>
      </c>
      <c r="C9" t="inlineStr">
        <is>
          <t>Neo Portföy İstatistiksel Arbitraj Serbest Fon</t>
        </is>
      </c>
      <c r="D9" s="13" t="n">
        <v>0.1676443852790754</v>
      </c>
      <c r="E9" s="13" t="n">
        <v>0.1630247475286062</v>
      </c>
      <c r="F9" s="13" t="n">
        <v>0.1176447290086813</v>
      </c>
      <c r="G9" s="13" t="n">
        <v>0.2606653673576931</v>
      </c>
      <c r="H9" s="13" t="n">
        <v>0.1606658446362541</v>
      </c>
      <c r="I9" s="13" t="n">
        <v>0.1564071534882805</v>
      </c>
      <c r="J9" s="13" t="n">
        <v>0.1478661731238784</v>
      </c>
      <c r="K9" s="13" t="n">
        <v>0.1422475979609095</v>
      </c>
      <c r="L9" s="13" t="n">
        <v>0.2498359245307835</v>
      </c>
      <c r="M9" s="13" t="n">
        <v>0.2111314051546964</v>
      </c>
      <c r="N9" s="13" t="n">
        <v>0.09759656264907157</v>
      </c>
      <c r="O9" s="13" t="n">
        <v>0.141864543736081</v>
      </c>
      <c r="P9" s="13" t="n">
        <v>0.1882153919176233</v>
      </c>
      <c r="Q9" s="13" t="n">
        <v>0.1289462064123281</v>
      </c>
      <c r="R9" s="13" t="n">
        <v>0.2641721856714963</v>
      </c>
      <c r="S9" s="13" t="n">
        <v>0.1625626701175831</v>
      </c>
      <c r="T9" s="13" t="n">
        <v>0.08498491170507716</v>
      </c>
      <c r="U9" s="13" t="n">
        <v>0.1885944133808604</v>
      </c>
      <c r="V9" s="13" t="n">
        <v>0.1356528443726912</v>
      </c>
      <c r="W9" s="13" t="n">
        <v>0.255057231474054</v>
      </c>
      <c r="X9" s="13" t="n">
        <v>0.1894862151478494</v>
      </c>
    </row>
    <row r="10">
      <c r="A10" t="inlineStr">
        <is>
          <t>Arbitraj</t>
        </is>
      </c>
      <c r="B10" t="inlineStr">
        <is>
          <t>INZ</t>
        </is>
      </c>
      <c r="C10" t="inlineStr">
        <is>
          <t>Inveo Portföy İstatistiksel Arbitraj Serbest (TL) Fon</t>
        </is>
      </c>
      <c r="D10" s="13" t="n">
        <v>0.1238285554855834</v>
      </c>
      <c r="E10" s="13" t="n">
        <v>0.1365078961634847</v>
      </c>
      <c r="F10" s="13" t="n">
        <v>0.2184739572418826</v>
      </c>
      <c r="G10" s="13" t="n">
        <v>0.2837861670613506</v>
      </c>
      <c r="H10" s="13" t="n">
        <v>0.1054872788501582</v>
      </c>
      <c r="I10" s="13" t="n">
        <v>0.1721092022735293</v>
      </c>
      <c r="J10" s="13" t="n">
        <v>0.2060287678570472</v>
      </c>
      <c r="K10" s="13" t="n">
        <v>0.2394129279916113</v>
      </c>
      <c r="L10" s="13" t="n">
        <v>0.384329014256779</v>
      </c>
      <c r="M10" s="13" t="n">
        <v>0.04297971576732174</v>
      </c>
      <c r="N10" s="13" t="n">
        <v>-0.06345233691241736</v>
      </c>
      <c r="O10" s="13" t="n">
        <v>0.09167433158323579</v>
      </c>
      <c r="P10" s="13" t="n">
        <v>0.1870160229873852</v>
      </c>
      <c r="Q10" s="13" t="n">
        <v>0.1868492178461301</v>
      </c>
      <c r="R10" s="13" t="n">
        <v>-0.1770392415757716</v>
      </c>
      <c r="S10" s="13" t="n">
        <v>0.03317398479099065</v>
      </c>
      <c r="T10" s="13" t="n">
        <v>0.05250805690428795</v>
      </c>
      <c r="U10" s="13" t="n">
        <v>0.3019222311224201</v>
      </c>
      <c r="V10" s="13" t="n">
        <v>0.1349067817742133</v>
      </c>
      <c r="W10" s="13" t="n">
        <v>0.09628397062280136</v>
      </c>
      <c r="X10" s="13" t="n">
        <v>0.1275305330558751</v>
      </c>
    </row>
    <row r="11">
      <c r="A11" t="inlineStr">
        <is>
          <t>Arbitraj</t>
        </is>
      </c>
      <c r="B11" t="inlineStr">
        <is>
          <t>AC5</t>
        </is>
      </c>
      <c r="C11" t="inlineStr">
        <is>
          <t>Pardus Portföy İstatistiksel Arbitraj Hisse Senedi Serbest (TL) Fon (Hisse Senedi Yoğun Fon)</t>
        </is>
      </c>
      <c r="D11" s="13" t="n">
        <v>0.3246145768022846</v>
      </c>
      <c r="E11" s="13" t="n">
        <v>0.2452407023951109</v>
      </c>
      <c r="F11" s="13" t="n">
        <v>-0.1898132967816935</v>
      </c>
      <c r="G11" s="13" t="n">
        <v>0.1918380157356347</v>
      </c>
      <c r="H11" s="13" t="n">
        <v>0.3216696537934993</v>
      </c>
      <c r="I11" s="13" t="n">
        <v>-0.1307914566414436</v>
      </c>
      <c r="J11" s="13" t="n">
        <v>0.3367051604995952</v>
      </c>
      <c r="K11" s="13" t="n">
        <v>-0.05907423671747125</v>
      </c>
      <c r="L11" s="13" t="n">
        <v>-0.1404892949398273</v>
      </c>
      <c r="M11" s="13" t="n">
        <v>0.1066303246431755</v>
      </c>
      <c r="N11" s="13" t="n">
        <v>0.2388710177771758</v>
      </c>
      <c r="O11" s="13" t="n">
        <v>0.1391957510489927</v>
      </c>
      <c r="P11" s="13" t="n">
        <v>0.05496996613023608</v>
      </c>
      <c r="Q11" s="13" t="n">
        <v>0.1685861171760061</v>
      </c>
      <c r="R11" s="13" t="n">
        <v>0.1260457268827064</v>
      </c>
      <c r="S11" s="13" t="n">
        <v>0.06092655095630839</v>
      </c>
      <c r="T11" s="13" t="n">
        <v>0.1850594520171667</v>
      </c>
      <c r="U11" s="13" t="n">
        <v>0.1511098875542682</v>
      </c>
      <c r="V11" s="13" t="n">
        <v>0.1312076675156204</v>
      </c>
      <c r="W11" s="13" t="n">
        <v>0.1055757851489814</v>
      </c>
      <c r="X11" s="13" t="n">
        <v>0.1417342555965817</v>
      </c>
    </row>
    <row r="12">
      <c r="A12" t="inlineStr">
        <is>
          <t>Arbitraj</t>
        </is>
      </c>
      <c r="B12" t="inlineStr">
        <is>
          <t>OFB</t>
        </is>
      </c>
      <c r="C12" t="inlineStr">
        <is>
          <t>Oyak Portföy İstatistiksel Arbitraj Serbest (TL) Fon</t>
        </is>
      </c>
      <c r="D12" s="13" t="n">
        <v>0.1067142545211341</v>
      </c>
      <c r="E12" s="13" t="n">
        <v>0.1060822866512989</v>
      </c>
      <c r="F12" s="13" t="n">
        <v>0.3027468587872173</v>
      </c>
      <c r="G12" s="13" t="n">
        <v>0.1216115329771839</v>
      </c>
      <c r="H12" s="13" t="n">
        <v>0.1061121418457489</v>
      </c>
      <c r="I12" s="13" t="n">
        <v>0.106102648343831</v>
      </c>
      <c r="J12" s="13" t="n">
        <v>0.1061117705037917</v>
      </c>
      <c r="K12" s="13" t="n">
        <v>0.3028070754014234</v>
      </c>
      <c r="L12" s="13" t="n">
        <v>0.1216159411981277</v>
      </c>
      <c r="M12" s="13" t="n">
        <v>0.1057834946490477</v>
      </c>
      <c r="N12" s="13" t="n">
        <v>0.1061270727653385</v>
      </c>
      <c r="O12" s="13" t="n">
        <v>0.1061259614532295</v>
      </c>
      <c r="P12" s="13" t="n">
        <v>0.3027485323229273</v>
      </c>
      <c r="Q12" s="13" t="n">
        <v>0.1215863191676547</v>
      </c>
      <c r="R12" s="13" t="n">
        <v>0.1061838053767694</v>
      </c>
      <c r="S12" s="13" t="n">
        <v>0.10618186755742</v>
      </c>
      <c r="T12" s="13" t="n">
        <v>0.1061798164359917</v>
      </c>
      <c r="U12" s="13" t="n">
        <v>0.3030228275969549</v>
      </c>
      <c r="V12" s="13" t="n">
        <v>0.1216872348071663</v>
      </c>
      <c r="W12" s="13" t="n">
        <v>0.2046187147847656</v>
      </c>
      <c r="X12" s="13" t="n">
        <v>0.1138728173537995</v>
      </c>
    </row>
    <row r="13">
      <c r="A13" t="inlineStr">
        <is>
          <t>Arbitraj</t>
        </is>
      </c>
      <c r="B13" t="inlineStr">
        <is>
          <t>DPI</t>
        </is>
      </c>
      <c r="C13" t="inlineStr">
        <is>
          <t>Deniz Portföy İstatistiksel Arbitraj Hisse Senedi Serbest Fon (Hisse Senedi Yoğun Fon)</t>
        </is>
      </c>
      <c r="D13" s="13" t="n">
        <v>0.1929783336818591</v>
      </c>
      <c r="E13" s="13" t="n">
        <v>0.3380208959024023</v>
      </c>
      <c r="F13" s="13" t="n">
        <v>0.04874891485415755</v>
      </c>
      <c r="G13" s="13" t="n">
        <v>0.04695095631463975</v>
      </c>
      <c r="H13" s="13" t="n">
        <v>0.148606271694085</v>
      </c>
      <c r="I13" s="13" t="n">
        <v>-0.009792557038690308</v>
      </c>
      <c r="J13" s="13" t="n">
        <v>0.2676458598029674</v>
      </c>
      <c r="K13" s="13" t="n">
        <v>0.08631798326483864</v>
      </c>
      <c r="L13" s="13" t="n">
        <v>0.1714803913196894</v>
      </c>
      <c r="M13" s="13" t="n">
        <v>-0.07061944830993871</v>
      </c>
      <c r="N13" s="13" t="n">
        <v>0.08894897170941274</v>
      </c>
      <c r="O13" s="13" t="n">
        <v>0.1120389902305785</v>
      </c>
      <c r="P13" s="13" t="n">
        <v>0.1813312098323472</v>
      </c>
      <c r="Q13" s="13" t="n">
        <v>0.1091416118306876</v>
      </c>
      <c r="R13" s="13" t="n">
        <v>0.2168561219263676</v>
      </c>
      <c r="S13" s="13" t="n">
        <v>0.16065424281686</v>
      </c>
      <c r="T13" s="13" t="n">
        <v>0.08888373847490971</v>
      </c>
      <c r="U13" s="13" t="n">
        <v>0.1342501783010208</v>
      </c>
      <c r="V13" s="13" t="n">
        <v>0.03515597479535337</v>
      </c>
      <c r="W13" s="13" t="n">
        <v>0.1714362860447238</v>
      </c>
      <c r="X13" s="13" t="n">
        <v>0.2335667092869365</v>
      </c>
    </row>
    <row r="14">
      <c r="A14" t="inlineStr">
        <is>
          <t>Arbitraj</t>
        </is>
      </c>
      <c r="B14" t="inlineStr">
        <is>
          <t>UZY</t>
        </is>
      </c>
      <c r="C14" t="inlineStr">
        <is>
          <t>Ünlü Portföy İkinci İstatistiksel Arbitraj Serbest Fon</t>
        </is>
      </c>
      <c r="D14" s="13" t="n">
        <v>0.05494893005484336</v>
      </c>
      <c r="E14" s="13" t="n">
        <v>0.0998334614119134</v>
      </c>
      <c r="F14" s="13" t="n">
        <v>0.2862438563772329</v>
      </c>
      <c r="G14" s="13" t="n">
        <v>0.09558901100941153</v>
      </c>
      <c r="H14" s="13" t="n">
        <v>0.08900914443650265</v>
      </c>
      <c r="I14" s="13" t="n">
        <v>0.08881565332441443</v>
      </c>
      <c r="J14" s="13" t="n">
        <v>0.08889676848480299</v>
      </c>
      <c r="K14" s="13" t="n">
        <v>0.2666474619927861</v>
      </c>
      <c r="L14" s="13" t="n">
        <v>0.1135442786830865</v>
      </c>
      <c r="M14" s="13" t="n">
        <v>0.02789054898104659</v>
      </c>
      <c r="N14" s="13" t="n">
        <v>0.1028354835728829</v>
      </c>
      <c r="O14" s="13" t="n">
        <v>0.05225629795129194</v>
      </c>
      <c r="P14" s="13" t="n">
        <v>0.3805726260089903</v>
      </c>
      <c r="Q14" s="13" t="n">
        <v>0.03162335442952191</v>
      </c>
      <c r="R14" s="13" t="n">
        <v>0.0843173560608923</v>
      </c>
      <c r="S14" s="13" t="n">
        <v>-0.08240555095173629</v>
      </c>
      <c r="T14" s="13" t="n">
        <v>0.1627430620583459</v>
      </c>
      <c r="U14" s="13" t="n">
        <v>0.439365982373463</v>
      </c>
      <c r="V14" s="13" t="n">
        <v>-0.03523189745002764</v>
      </c>
      <c r="W14" s="13" t="n">
        <v>0.1895618162915058</v>
      </c>
      <c r="X14" s="13" t="n">
        <v>0.5205526657151349</v>
      </c>
    </row>
    <row r="15">
      <c r="A15" t="inlineStr">
        <is>
          <t>Mutlak Getiri</t>
        </is>
      </c>
      <c r="B15" t="inlineStr">
        <is>
          <t>ZBO</t>
        </is>
      </c>
      <c r="C15" t="inlineStr">
        <is>
          <t>Ziraat Portföy Mutlak Getiri Hedefli Hisse Senedi Serbest Fon (Hisse Senedi Yoğun Fon)</t>
        </is>
      </c>
      <c r="D15" s="13" t="n">
        <v>-0.2382799494702548</v>
      </c>
      <c r="E15" s="13" t="n">
        <v>0.1335242678201176</v>
      </c>
      <c r="F15" s="13" t="n">
        <v>-0.2289625689734232</v>
      </c>
      <c r="G15" s="13" t="n">
        <v>0.2430738031396373</v>
      </c>
      <c r="H15" s="13" t="n">
        <v>-0.4060752479693064</v>
      </c>
      <c r="I15" s="13" t="n">
        <v>0.4749069685681562</v>
      </c>
      <c r="J15" s="13" t="n">
        <v>-0.9503277596662807</v>
      </c>
      <c r="K15" s="13" t="n">
        <v>0.8515035797833415</v>
      </c>
      <c r="L15" s="13" t="n">
        <v>-0.1799902061337844</v>
      </c>
      <c r="M15" s="13" t="n">
        <v>-0.1929706648155727</v>
      </c>
      <c r="N15" s="13" t="n">
        <v>-0.6100351112014901</v>
      </c>
      <c r="O15" s="13" t="n">
        <v>-0.3973408800071132</v>
      </c>
      <c r="P15" s="13" t="n">
        <v>-1.197263121326486</v>
      </c>
      <c r="Q15" s="13" t="n">
        <v>0.03696141182771839</v>
      </c>
      <c r="R15" s="13" t="n">
        <v>0.3722265457023033</v>
      </c>
      <c r="S15" s="13" t="n">
        <v>-0.8042281809170992</v>
      </c>
      <c r="T15" s="13" t="n">
        <v>0.4026460915061758</v>
      </c>
      <c r="U15" s="13" t="n">
        <v>-0.1396571231025434</v>
      </c>
      <c r="V15" s="13" t="n">
        <v>1.949213829983232</v>
      </c>
      <c r="W15" s="13" t="n">
        <v>0.8618194774224763</v>
      </c>
      <c r="X15" s="13" t="n">
        <v>1.745893744757487</v>
      </c>
    </row>
    <row r="16">
      <c r="A16" t="inlineStr">
        <is>
          <t>Mutlak Getiri</t>
        </is>
      </c>
      <c r="B16" t="inlineStr">
        <is>
          <t>MUT</t>
        </is>
      </c>
      <c r="C16" t="inlineStr">
        <is>
          <t>Garanti Portföy Mutlak Getiri Hedefli Hisse Senedi Serbest Fon (Hisse Senedi Yoğun Fon)</t>
        </is>
      </c>
      <c r="D16" s="13" t="n">
        <v>0.1674203525539264</v>
      </c>
      <c r="E16" s="13" t="n">
        <v>-0.2886672223327169</v>
      </c>
      <c r="F16" s="13" t="n">
        <v>-0.3012708846800383</v>
      </c>
      <c r="G16" s="13" t="n">
        <v>-0.2644986606049393</v>
      </c>
      <c r="H16" s="13" t="n">
        <v>-0.1855233965616709</v>
      </c>
      <c r="I16" s="13" t="n">
        <v>-0.4117045212905235</v>
      </c>
      <c r="J16" s="13" t="n">
        <v>-0.1178286878199319</v>
      </c>
      <c r="K16" s="13" t="n">
        <v>0.07319816668811541</v>
      </c>
      <c r="L16" s="13" t="n">
        <v>0.1073123376194918</v>
      </c>
      <c r="M16" s="13" t="n">
        <v>-0.2860084338971447</v>
      </c>
      <c r="N16" s="13" t="n">
        <v>0.2047576604854662</v>
      </c>
      <c r="O16" s="13" t="n">
        <v>0.5162431542154788</v>
      </c>
      <c r="P16" s="13" t="n">
        <v>0.3168650990085231</v>
      </c>
      <c r="Q16" s="13" t="n">
        <v>-0.1897846722957008</v>
      </c>
      <c r="R16" s="13" t="n">
        <v>0.08743472947450037</v>
      </c>
      <c r="S16" s="13" t="n">
        <v>-0.2861069146296913</v>
      </c>
      <c r="T16" s="13" t="n">
        <v>-0.02282064255136884</v>
      </c>
      <c r="U16" s="13" t="n">
        <v>0.4937621401518433</v>
      </c>
      <c r="V16" s="13" t="n">
        <v>1.481044032446244</v>
      </c>
      <c r="W16" s="13" t="n">
        <v>0.4891877550752932</v>
      </c>
      <c r="X16" s="13" t="n">
        <v>0.9462872391109656</v>
      </c>
    </row>
    <row r="17">
      <c r="A17" t="inlineStr">
        <is>
          <t>Mutlak Getiri</t>
        </is>
      </c>
      <c r="B17" t="inlineStr">
        <is>
          <t>FYF</t>
        </is>
      </c>
      <c r="C17" t="inlineStr">
        <is>
          <t>Strateji Portföy Mutlak Getiri Hedefli Hisse Senedi Serbest Fon(hisse Senedi Yoğun)</t>
        </is>
      </c>
      <c r="D17" s="13" t="n">
        <v>-0.003872141875282953</v>
      </c>
      <c r="E17" s="13" t="n">
        <v>-0.00484036476989802</v>
      </c>
      <c r="F17" s="13" t="n">
        <v>-0.3369056954488747</v>
      </c>
      <c r="G17" s="13" t="n">
        <v>-0.1369663412501665</v>
      </c>
      <c r="H17" s="13" t="n">
        <v>-0.01945449593401261</v>
      </c>
      <c r="I17" s="13" t="n">
        <v>-0.4261363636363535</v>
      </c>
      <c r="J17" s="13" t="n">
        <v>-0.007816622046785682</v>
      </c>
      <c r="K17" s="13" t="n">
        <v>0.231585530301559</v>
      </c>
      <c r="L17" s="13" t="n">
        <v>-0.2846697538386511</v>
      </c>
      <c r="M17" s="13" t="n">
        <v>-0.6814426639813131</v>
      </c>
      <c r="N17" s="13" t="n">
        <v>0.09450121079677132</v>
      </c>
      <c r="O17" s="13" t="n">
        <v>0.215377352923829</v>
      </c>
      <c r="P17" s="13" t="n">
        <v>0.2669257416512139</v>
      </c>
      <c r="Q17" s="13" t="n">
        <v>0.09689448288687785</v>
      </c>
      <c r="R17" s="13" t="n">
        <v>0.03324468085106336</v>
      </c>
      <c r="S17" s="13" t="n">
        <v>-0.3147420483647023</v>
      </c>
      <c r="T17" s="13" t="n">
        <v>-0.05294948227172469</v>
      </c>
      <c r="U17" s="13" t="n">
        <v>0.2334935740213817</v>
      </c>
      <c r="V17" s="13" t="n">
        <v>1.398676689374367</v>
      </c>
      <c r="W17" s="13" t="n">
        <v>0.5366950780427926</v>
      </c>
      <c r="X17" s="13" t="n">
        <v>1.225120735840535</v>
      </c>
    </row>
    <row r="18">
      <c r="A18" t="inlineStr">
        <is>
          <t>Mutlak Getiri</t>
        </is>
      </c>
      <c r="B18" t="inlineStr">
        <is>
          <t>MGH</t>
        </is>
      </c>
      <c r="C18" t="inlineStr">
        <is>
          <t>Teb Portföy Mutlak Getiri Hedefli Hisse Senedi Serbest Fon (Hisse Senedi Yoğun Fon)</t>
        </is>
      </c>
      <c r="D18" s="13" t="n">
        <v>0.4547966732588726</v>
      </c>
      <c r="E18" s="13" t="n">
        <v>0.1630177458760151</v>
      </c>
      <c r="F18" s="13" t="n">
        <v>-0.228883900272403</v>
      </c>
      <c r="G18" s="13" t="n">
        <v>-0.1137569108152658</v>
      </c>
      <c r="H18" s="13" t="n">
        <v>0.4377585094676117</v>
      </c>
      <c r="I18" s="13" t="n">
        <v>-0.5740816040281871</v>
      </c>
      <c r="J18" s="13" t="n">
        <v>0.1272019884929199</v>
      </c>
      <c r="K18" s="13" t="n">
        <v>-0.1064046288622666</v>
      </c>
      <c r="L18" s="13" t="n">
        <v>-0.1366735240874162</v>
      </c>
      <c r="M18" s="13" t="n">
        <v>-0.4006429308516357</v>
      </c>
      <c r="N18" s="13" t="n">
        <v>0.3763765579902989</v>
      </c>
      <c r="O18" s="13" t="n">
        <v>0.227557260332345</v>
      </c>
      <c r="P18" s="13" t="n">
        <v>0.05657031994503736</v>
      </c>
      <c r="Q18" s="13" t="n">
        <v>0.398424515629614</v>
      </c>
      <c r="R18" s="13" t="n">
        <v>-0.05914856304897187</v>
      </c>
      <c r="S18" s="13" t="n">
        <v>0.2330471218444208</v>
      </c>
      <c r="T18" s="13" t="n">
        <v>-0.481281203103967</v>
      </c>
      <c r="U18" s="13" t="n">
        <v>0.2477043394937706</v>
      </c>
      <c r="V18" s="13" t="n">
        <v>0.4189270701955738</v>
      </c>
      <c r="W18" s="13" t="n">
        <v>0.4830845101319703</v>
      </c>
      <c r="X18" s="13" t="n">
        <v>0.6945797853202373</v>
      </c>
    </row>
    <row r="19">
      <c r="A19" t="inlineStr">
        <is>
          <t>Mutlak Getiri</t>
        </is>
      </c>
      <c r="B19" t="inlineStr">
        <is>
          <t>HMG</t>
        </is>
      </c>
      <c r="C19" t="inlineStr">
        <is>
          <t>Hsbc Pyş Mutlak Getiri Hedefli Hisse Senedi Serbest (TL) Fon(hisse Senedi Yoğun Fon)</t>
        </is>
      </c>
      <c r="D19" s="13" t="n">
        <v>0.09905587370375724</v>
      </c>
      <c r="E19" s="13" t="n">
        <v>0.3803692364783506</v>
      </c>
      <c r="F19" s="13" t="n">
        <v>-0.1324707332101105</v>
      </c>
      <c r="G19" s="13" t="n">
        <v>-0.003084801184571884</v>
      </c>
      <c r="H19" s="13" t="n">
        <v>0.2653010858835181</v>
      </c>
      <c r="I19" s="13" t="n">
        <v>-0.07230324287736956</v>
      </c>
      <c r="J19" s="13" t="n">
        <v>0.118539957202457</v>
      </c>
      <c r="K19" s="13" t="n">
        <v>0.1768305809269011</v>
      </c>
      <c r="L19" s="13" t="n">
        <v>0.006139771907487379</v>
      </c>
      <c r="M19" s="13" t="n">
        <v>0.02455757985051488</v>
      </c>
      <c r="N19" s="13" t="n">
        <v>-0.07825806748609221</v>
      </c>
      <c r="O19" s="13" t="n">
        <v>0.3224914770109777</v>
      </c>
      <c r="P19" s="13" t="n">
        <v>0.07500612294881748</v>
      </c>
      <c r="Q19" s="13" t="n">
        <v>0.1606069412790401</v>
      </c>
      <c r="R19" s="13" t="n">
        <v>0.2092178003115341</v>
      </c>
      <c r="S19" s="13" t="n">
        <v>-0.06095795425105077</v>
      </c>
      <c r="T19" s="13" t="n">
        <v>0.02287317586422422</v>
      </c>
      <c r="U19" s="13" t="n">
        <v>0.2439247492148855</v>
      </c>
      <c r="V19" s="13" t="n">
        <v>0.3376220458070955</v>
      </c>
      <c r="W19" s="13" t="n">
        <v>0.03486116163453623</v>
      </c>
      <c r="X19" s="13" t="n">
        <v>0.2500037879361816</v>
      </c>
    </row>
    <row r="20">
      <c r="A20" t="inlineStr">
        <is>
          <t>Mutlak Getiri</t>
        </is>
      </c>
      <c r="B20" t="inlineStr">
        <is>
          <t>MTG</t>
        </is>
      </c>
      <c r="C20" t="inlineStr">
        <is>
          <t>Deniz Portföy Mutlak Getiri Hedefli Hisse Senedi Serbest Fon (Hisse Senedi Yogun Fon)</t>
        </is>
      </c>
      <c r="D20" s="13" t="n">
        <v>0.2242696770541786</v>
      </c>
      <c r="E20" s="13" t="n">
        <v>-0.4962927079045332</v>
      </c>
      <c r="F20" s="13" t="n">
        <v>0.3105239492541711</v>
      </c>
      <c r="G20" s="13" t="n">
        <v>0.6661507288616919</v>
      </c>
      <c r="H20" s="13" t="n">
        <v>0.2092770106924213</v>
      </c>
      <c r="I20" s="13" t="n">
        <v>-0.1801096612318087</v>
      </c>
      <c r="J20" s="13" t="n">
        <v>0.262972563945052</v>
      </c>
      <c r="K20" s="13" t="n">
        <v>0.2635282396163952</v>
      </c>
      <c r="L20" s="13" t="n">
        <v>0.1819726581423264</v>
      </c>
      <c r="M20" s="13" t="n">
        <v>0.309349547630533</v>
      </c>
      <c r="N20" s="13" t="n">
        <v>-0.4944834900238115</v>
      </c>
      <c r="O20" s="13" t="n">
        <v>0.1090027582977271</v>
      </c>
      <c r="P20" s="13" t="n">
        <v>0.1509486873730426</v>
      </c>
      <c r="Q20" s="13" t="n">
        <v>0.151030919213313</v>
      </c>
      <c r="R20" s="13" t="n">
        <v>0.1433186715713797</v>
      </c>
      <c r="S20" s="13" t="n">
        <v>0.06751105933684443</v>
      </c>
      <c r="T20" s="13" t="n">
        <v>0.4319521112137625</v>
      </c>
      <c r="U20" s="13" t="n">
        <v>0.2860329976614784</v>
      </c>
      <c r="V20" s="13" t="n">
        <v>0.32713565098339</v>
      </c>
      <c r="W20" s="13" t="n">
        <v>0.2867916414438731</v>
      </c>
      <c r="X20" s="13" t="n">
        <v>0.521083317293769</v>
      </c>
    </row>
    <row r="21">
      <c r="A21" s="14" t="inlineStr">
        <is>
          <t>Mutlak Getiri</t>
        </is>
      </c>
      <c r="B21" s="14" t="inlineStr">
        <is>
          <t>BHI</t>
        </is>
      </c>
      <c r="C21" s="14" t="inlineStr">
        <is>
          <t>BV Portföy Mutlak Getiri Hedefli Hisse Senedi Serbest (TL) Fon (Hisse Senedi Yoğun Fon)</t>
        </is>
      </c>
      <c r="D21" s="15" t="n">
        <v>0.1685622937162679</v>
      </c>
      <c r="E21" s="15" t="n">
        <v>0.2788203753351315</v>
      </c>
      <c r="F21" s="15" t="n">
        <v>0.06836065729109997</v>
      </c>
      <c r="G21" s="15" t="n">
        <v>0.1723856496499643</v>
      </c>
      <c r="H21" s="15" t="n">
        <v>0.1122202090905855</v>
      </c>
      <c r="I21" s="15" t="n">
        <v>0.007374041037433443</v>
      </c>
      <c r="J21" s="15" t="n">
        <v>0.1705795658808462</v>
      </c>
      <c r="K21" s="15" t="n">
        <v>0.2320042944807366</v>
      </c>
      <c r="L21" s="15" t="n">
        <v>0.1249806886700178</v>
      </c>
      <c r="M21" s="15" t="n">
        <v>0.1966514247277118</v>
      </c>
      <c r="N21" s="15" t="n">
        <v>0.04905520741782521</v>
      </c>
      <c r="O21" s="15" t="n">
        <v>0.1637346125155759</v>
      </c>
      <c r="P21" s="15" t="n">
        <v>0.1221770770325703</v>
      </c>
      <c r="Q21" s="15" t="n">
        <v>0.1776812903024894</v>
      </c>
      <c r="R21" s="15" t="n">
        <v>0.1621785571704004</v>
      </c>
      <c r="S21" s="15" t="n">
        <v>0.08109099083082327</v>
      </c>
      <c r="T21" s="15" t="n">
        <v>0.1524817039675552</v>
      </c>
      <c r="U21" s="15" t="n">
        <v>0.1339371415478574</v>
      </c>
      <c r="V21" s="15" t="n">
        <v>0.2608899235353013</v>
      </c>
      <c r="W21" s="15" t="n">
        <v>0.02119226539587515</v>
      </c>
      <c r="X21" s="15" t="n">
        <v>0.3283003924363648</v>
      </c>
    </row>
    <row r="22">
      <c r="A22" t="inlineStr">
        <is>
          <t>Mutlak Getiri</t>
        </is>
      </c>
      <c r="B22" t="inlineStr">
        <is>
          <t>PPM</t>
        </is>
      </c>
      <c r="C22" t="inlineStr">
        <is>
          <t>Piramit Portföy Mutlak Getiri Hedefli Hisse Senedi Serbest Fon (Hisse Senedi Yoğun Fon)</t>
        </is>
      </c>
      <c r="D22" s="13" t="n">
        <v>0.1951380141126835</v>
      </c>
      <c r="E22" s="13" t="n">
        <v>0.3140630226281083</v>
      </c>
      <c r="F22" s="13" t="n">
        <v>0.03266497752221209</v>
      </c>
      <c r="G22" s="13" t="n">
        <v>0.04462109856080421</v>
      </c>
      <c r="H22" s="13" t="n">
        <v>0.241650350828837</v>
      </c>
      <c r="I22" s="13" t="n">
        <v>-0.04927638593459349</v>
      </c>
      <c r="J22" s="13" t="n">
        <v>0.3015558231110882</v>
      </c>
      <c r="K22" s="13" t="n">
        <v>0.05320030686555288</v>
      </c>
      <c r="L22" s="13" t="n">
        <v>0.2333018668002396</v>
      </c>
      <c r="M22" s="13" t="n">
        <v>0.08456968445897939</v>
      </c>
      <c r="N22" s="13" t="n">
        <v>0.06884684888837089</v>
      </c>
      <c r="O22" s="13" t="n">
        <v>0.2309628377243911</v>
      </c>
      <c r="P22" s="13" t="n">
        <v>0.0932923338496483</v>
      </c>
      <c r="Q22" s="13" t="n">
        <v>0.1300284398356499</v>
      </c>
      <c r="R22" s="13" t="n">
        <v>0.2089979940777642</v>
      </c>
      <c r="S22" s="13" t="n">
        <v>0.04132160505123661</v>
      </c>
      <c r="T22" s="13" t="n">
        <v>0.1365860537397401</v>
      </c>
      <c r="U22" s="13" t="n">
        <v>0.0735997259635246</v>
      </c>
      <c r="V22" s="13" t="n">
        <v>0.2455957026932243</v>
      </c>
      <c r="W22" s="13" t="n">
        <v>0.06392797574530373</v>
      </c>
      <c r="X22" s="13" t="n">
        <v>0.2655960674341262</v>
      </c>
    </row>
    <row r="23">
      <c r="A23" t="inlineStr">
        <is>
          <t>Mutlak Getiri</t>
        </is>
      </c>
      <c r="B23" t="inlineStr">
        <is>
          <t>YMH</t>
        </is>
      </c>
      <c r="C23" t="inlineStr">
        <is>
          <t>Yapı Kredi Portföy Mutlak Getiri Hedefli Hisse Senedi Serbest Fon (Hisse Senedi Yoğun Fon)</t>
        </is>
      </c>
      <c r="D23" s="13" t="n">
        <v>0.1283520055417098</v>
      </c>
      <c r="E23" s="13" t="n">
        <v>0.395272429980853</v>
      </c>
      <c r="F23" s="13" t="n">
        <v>-0.04412907688730039</v>
      </c>
      <c r="G23" s="13" t="n">
        <v>0.04249133103928493</v>
      </c>
      <c r="H23" s="13" t="n">
        <v>0.2241608710402465</v>
      </c>
      <c r="I23" s="13" t="n">
        <v>-0.06075763916573163</v>
      </c>
      <c r="J23" s="13" t="n">
        <v>0.3774026757551896</v>
      </c>
      <c r="K23" s="13" t="n">
        <v>0.1000426400448839</v>
      </c>
      <c r="L23" s="13" t="n">
        <v>0.053197407811445</v>
      </c>
      <c r="M23" s="13" t="n">
        <v>0.175892408857381</v>
      </c>
      <c r="N23" s="13" t="n">
        <v>0.01320325391236388</v>
      </c>
      <c r="O23" s="13" t="n">
        <v>0.2059041622853197</v>
      </c>
      <c r="P23" s="13" t="n">
        <v>-0.003015033217801388</v>
      </c>
      <c r="Q23" s="13" t="n">
        <v>0.1325343691377157</v>
      </c>
      <c r="R23" s="13" t="n">
        <v>0.2188963018045831</v>
      </c>
      <c r="S23" s="13" t="n">
        <v>0.02305670512499081</v>
      </c>
      <c r="T23" s="13" t="n">
        <v>0.1891781232511436</v>
      </c>
      <c r="U23" s="13" t="n">
        <v>0.0774967443545993</v>
      </c>
      <c r="V23" s="13" t="n">
        <v>0.2443588088680393</v>
      </c>
      <c r="W23" s="13" t="n">
        <v>0.02364866401289856</v>
      </c>
      <c r="X23" s="13" t="n">
        <v>0.264815405410479</v>
      </c>
    </row>
    <row r="24">
      <c r="A24" t="inlineStr">
        <is>
          <t>Mutlak Getiri</t>
        </is>
      </c>
      <c r="B24" t="inlineStr">
        <is>
          <t>HIM</t>
        </is>
      </c>
      <c r="C24" t="inlineStr">
        <is>
          <t>Hedef Portföy İkinci Mutlak Getiri Hedefli Hisse Senedi Serbest Fon (Hisse Senedi Yoğun Fon)</t>
        </is>
      </c>
      <c r="D24" s="13" t="n">
        <v>0.1044751467204952</v>
      </c>
      <c r="E24" s="13" t="n">
        <v>0.1248056852162671</v>
      </c>
      <c r="F24" s="13" t="n">
        <v>0.1845719602207696</v>
      </c>
      <c r="G24" s="13" t="n">
        <v>0.01436634658269487</v>
      </c>
      <c r="H24" s="13" t="n">
        <v>0.2154906008829949</v>
      </c>
      <c r="I24" s="13" t="n">
        <v>-0.1206372233293118</v>
      </c>
      <c r="J24" s="13" t="n">
        <v>0.1691803665460512</v>
      </c>
      <c r="K24" s="13" t="n">
        <v>0.1474443548054261</v>
      </c>
      <c r="L24" s="13" t="n">
        <v>0.2683373948357826</v>
      </c>
      <c r="M24" s="13" t="n">
        <v>-0.00251310282072259</v>
      </c>
      <c r="N24" s="13" t="n">
        <v>0.07767253604364921</v>
      </c>
      <c r="O24" s="13" t="n">
        <v>0.1907477405600488</v>
      </c>
      <c r="P24" s="13" t="n">
        <v>0.06072881893151028</v>
      </c>
      <c r="Q24" s="13" t="n">
        <v>0.1291074054630137</v>
      </c>
      <c r="R24" s="13" t="n">
        <v>0.221138391042297</v>
      </c>
      <c r="S24" s="13" t="n">
        <v>0.05470758225247785</v>
      </c>
      <c r="T24" s="13" t="n">
        <v>0.1711535792823682</v>
      </c>
      <c r="U24" s="13" t="n">
        <v>0.05699695324434817</v>
      </c>
      <c r="V24" s="13" t="n">
        <v>0.2300099901757724</v>
      </c>
      <c r="W24" s="13" t="n">
        <v>0.07069944071647072</v>
      </c>
      <c r="X24" s="13" t="n">
        <v>0.4780538068391627</v>
      </c>
    </row>
    <row r="25">
      <c r="A25" t="inlineStr">
        <is>
          <t>Mutlak Getiri</t>
        </is>
      </c>
      <c r="B25" t="inlineStr">
        <is>
          <t>HVN</t>
        </is>
      </c>
      <c r="C25" t="inlineStr">
        <is>
          <t>Hedef Portföy Mutlak Getiri Hedefli Hisse Senedi Serbest Fon (Hisse Senedi Yoğun Fon)</t>
        </is>
      </c>
      <c r="D25" s="13" t="n">
        <v>0.1371521308577206</v>
      </c>
      <c r="E25" s="13" t="n">
        <v>0.442833200016568</v>
      </c>
      <c r="F25" s="13" t="n">
        <v>-0.3154146869174479</v>
      </c>
      <c r="G25" s="13" t="n">
        <v>0.2447068504365824</v>
      </c>
      <c r="H25" s="13" t="n">
        <v>0.03650203083709336</v>
      </c>
      <c r="I25" s="13" t="n">
        <v>-0.1130006542325424</v>
      </c>
      <c r="J25" s="13" t="n">
        <v>0.0727997965699112</v>
      </c>
      <c r="K25" s="13" t="n">
        <v>-0.00450659462123415</v>
      </c>
      <c r="L25" s="13" t="n">
        <v>-0.09325604521912556</v>
      </c>
      <c r="M25" s="13" t="n">
        <v>-0.3633093631277173</v>
      </c>
      <c r="N25" s="13" t="n">
        <v>0.1516174413516369</v>
      </c>
      <c r="O25" s="13" t="n">
        <v>-0.04438880630102116</v>
      </c>
      <c r="P25" s="13" t="n">
        <v>0.09782746151132393</v>
      </c>
      <c r="Q25" s="13" t="n">
        <v>0.1183243574921278</v>
      </c>
      <c r="R25" s="13" t="n">
        <v>0.1709848246845835</v>
      </c>
      <c r="S25" s="13" t="n">
        <v>0.0008143913698077654</v>
      </c>
      <c r="T25" s="13" t="n">
        <v>0.01512676331623108</v>
      </c>
      <c r="U25" s="13" t="n">
        <v>-0.01806967688195993</v>
      </c>
      <c r="V25" s="13" t="n">
        <v>0.2088871745874021</v>
      </c>
      <c r="W25" s="13" t="n">
        <v>0.1897593908332773</v>
      </c>
      <c r="X25" s="13" t="n">
        <v>0.1164463012032657</v>
      </c>
    </row>
    <row r="26">
      <c r="A26" t="inlineStr">
        <is>
          <t>Mutlak Getiri</t>
        </is>
      </c>
      <c r="B26" t="inlineStr">
        <is>
          <t>HDK</t>
        </is>
      </c>
      <c r="C26" t="inlineStr">
        <is>
          <t>Hedef Portföy Vega İstatistiksel Arbitraj Hisse Senedi Serbest Fon (Hisse Senedi Yoğun Fon)</t>
        </is>
      </c>
      <c r="D26" s="13" t="n">
        <v>0.1640750514826372</v>
      </c>
      <c r="E26" s="13" t="n">
        <v>0.1588111418590055</v>
      </c>
      <c r="F26" s="13" t="n">
        <v>-0.07924527133766901</v>
      </c>
      <c r="G26" s="13" t="n">
        <v>0.1729013381523981</v>
      </c>
      <c r="H26" s="13" t="n">
        <v>-0.02295415903246223</v>
      </c>
      <c r="I26" s="13" t="n">
        <v>-0.0294898057384807</v>
      </c>
      <c r="J26" s="13" t="n">
        <v>0.3280591290308665</v>
      </c>
      <c r="K26" s="13" t="n">
        <v>-0.3450114524063741</v>
      </c>
      <c r="L26" s="13" t="n">
        <v>0.1864794009551307</v>
      </c>
      <c r="M26" s="13" t="n">
        <v>-0.4618813194628202</v>
      </c>
      <c r="N26" s="13" t="n">
        <v>0.3182690576960079</v>
      </c>
      <c r="O26" s="13" t="n">
        <v>0.09768699738630371</v>
      </c>
      <c r="P26" s="13" t="n">
        <v>-0.01583031550059788</v>
      </c>
      <c r="Q26" s="13" t="n">
        <v>0.1910585426316835</v>
      </c>
      <c r="R26" s="13" t="n">
        <v>0.2804366873300657</v>
      </c>
      <c r="S26" s="13" t="n">
        <v>-0.1864007763679565</v>
      </c>
      <c r="T26" s="13" t="n">
        <v>0.2788733011776845</v>
      </c>
      <c r="U26" s="13" t="n">
        <v>0.04777830864788335</v>
      </c>
      <c r="V26" s="13" t="n">
        <v>0.206587731856489</v>
      </c>
      <c r="W26" s="13" t="n">
        <v>-0.03692654003089046</v>
      </c>
      <c r="X26" s="13" t="n">
        <v>0.248971365907491</v>
      </c>
    </row>
    <row r="27">
      <c r="A27" t="inlineStr">
        <is>
          <t>Mutlak Getiri</t>
        </is>
      </c>
      <c r="B27" t="inlineStr">
        <is>
          <t>HAT</t>
        </is>
      </c>
      <c r="C27" t="inlineStr">
        <is>
          <t>Hedef Portföy Atlas İstatistiksel Arbitraj Hisse Senedi Serbest Fon (Hisse Senedi Yoğun Fon)</t>
        </is>
      </c>
      <c r="D27" s="13" t="n">
        <v>-0.05833580900423962</v>
      </c>
      <c r="E27" s="13" t="n">
        <v>0.4524745037210787</v>
      </c>
      <c r="F27" s="13" t="n">
        <v>-0.5299568179348069</v>
      </c>
      <c r="G27" s="13" t="n">
        <v>0.2723399928169279</v>
      </c>
      <c r="H27" s="13" t="n">
        <v>0.3513272813482793</v>
      </c>
      <c r="I27" s="13" t="n">
        <v>-0.204156229506447</v>
      </c>
      <c r="J27" s="13" t="n">
        <v>0.2097447835815114</v>
      </c>
      <c r="K27" s="13" t="n">
        <v>-0.1013203356632464</v>
      </c>
      <c r="L27" s="13" t="n">
        <v>-0.1495788923736807</v>
      </c>
      <c r="M27" s="13" t="n">
        <v>-0.5181134956845468</v>
      </c>
      <c r="N27" s="13" t="n">
        <v>0.1758789614745515</v>
      </c>
      <c r="O27" s="13" t="n">
        <v>0.1676757310332011</v>
      </c>
      <c r="P27" s="13" t="n">
        <v>-0.2415649304940759</v>
      </c>
      <c r="Q27" s="13" t="n">
        <v>0.211847324906711</v>
      </c>
      <c r="R27" s="13" t="n">
        <v>0.1538383450039538</v>
      </c>
      <c r="S27" s="13" t="n">
        <v>0.0473907330899026</v>
      </c>
      <c r="T27" s="13" t="n">
        <v>0.1770248190412937</v>
      </c>
      <c r="U27" s="13" t="n">
        <v>-0.08047523423080349</v>
      </c>
      <c r="V27" s="13" t="n">
        <v>0.1877832159060011</v>
      </c>
      <c r="W27" s="13" t="n">
        <v>0.05567052079342716</v>
      </c>
      <c r="X27" s="13" t="n">
        <v>-0.02003238479364455</v>
      </c>
    </row>
    <row r="28">
      <c r="A28" t="inlineStr">
        <is>
          <t>Mutlak Getiri</t>
        </is>
      </c>
      <c r="B28" t="inlineStr">
        <is>
          <t>HIS</t>
        </is>
      </c>
      <c r="C28" t="inlineStr">
        <is>
          <t>Hedef Portföy İkinci İstatistiksel Arbitraj Hisse Senedi Serbest Fon (Hisse Senedi Yoğun Fon)</t>
        </is>
      </c>
      <c r="D28" s="13" t="n">
        <v>0.09277199067683206</v>
      </c>
      <c r="E28" s="13" t="n">
        <v>0.6070053804985598</v>
      </c>
      <c r="F28" s="13" t="n">
        <v>-0.5517532388833679</v>
      </c>
      <c r="G28" s="13" t="n">
        <v>-0.05476632389542768</v>
      </c>
      <c r="H28" s="13" t="n">
        <v>0.2499523736978704</v>
      </c>
      <c r="I28" s="13" t="n">
        <v>-0.5960228071954621</v>
      </c>
      <c r="J28" s="13" t="n">
        <v>0.0551071163271688</v>
      </c>
      <c r="K28" s="13" t="n">
        <v>-0.2334632909772427</v>
      </c>
      <c r="L28" s="13" t="n">
        <v>-0.298446179736056</v>
      </c>
      <c r="M28" s="13" t="n">
        <v>-2.541320009847714</v>
      </c>
      <c r="N28" s="13" t="n">
        <v>0.02828399724130737</v>
      </c>
      <c r="O28" s="13" t="n">
        <v>0.1253764608624142</v>
      </c>
      <c r="P28" s="13" t="n">
        <v>-0.2846232898966128</v>
      </c>
      <c r="Q28" s="13" t="n">
        <v>-0.126163694072956</v>
      </c>
      <c r="R28" s="13" t="n">
        <v>0.2537284632311732</v>
      </c>
      <c r="S28" s="13" t="n">
        <v>-0.1980273148143863</v>
      </c>
      <c r="T28" s="13" t="n">
        <v>-0.1536057006568003</v>
      </c>
      <c r="U28" s="13" t="n">
        <v>-0.4520540694307185</v>
      </c>
      <c r="V28" s="13" t="n">
        <v>0.1643043511113218</v>
      </c>
      <c r="W28" s="13" t="n">
        <v>0.03998426706013358</v>
      </c>
      <c r="X28" s="13" t="n">
        <v>-0.04335069533335512</v>
      </c>
    </row>
    <row r="29">
      <c r="A29" t="inlineStr">
        <is>
          <t>Mutlak Getiri</t>
        </is>
      </c>
      <c r="B29" t="inlineStr">
        <is>
          <t>IAU</t>
        </is>
      </c>
      <c r="C29" t="inlineStr">
        <is>
          <t>Pardus Portföy İkinci İstatistiksel Arbitraj Hisse Senedi Serbest (TL) Fon (Hisse Senedi Yoğun Fon)</t>
        </is>
      </c>
      <c r="D29" s="13" t="n">
        <v>0.09286977168716515</v>
      </c>
      <c r="E29" s="13" t="n">
        <v>0.3372572401501239</v>
      </c>
      <c r="F29" s="13" t="n">
        <v>-0.0140217022584932</v>
      </c>
      <c r="G29" s="13" t="n">
        <v>0.07818294570931528</v>
      </c>
      <c r="H29" s="13" t="n">
        <v>0.2592550397139348</v>
      </c>
      <c r="I29" s="13" t="n">
        <v>-0.04248374294050228</v>
      </c>
      <c r="J29" s="13" t="n">
        <v>0.08940033644948553</v>
      </c>
      <c r="K29" s="13" t="n">
        <v>0.3277986557207901</v>
      </c>
      <c r="L29" s="13" t="n">
        <v>0.1816862901797389</v>
      </c>
      <c r="M29" s="13" t="n">
        <v>0.04941440971435451</v>
      </c>
      <c r="N29" s="13" t="n">
        <v>-0.2091302636757164</v>
      </c>
      <c r="O29" s="13" t="n">
        <v>0.2118558843642315</v>
      </c>
      <c r="P29" s="13" t="n">
        <v>0.06678320605040255</v>
      </c>
      <c r="Q29" s="13" t="n">
        <v>-0.04554115516438584</v>
      </c>
      <c r="R29" s="13" t="n">
        <v>0.4370086996482891</v>
      </c>
      <c r="S29" s="13" t="n">
        <v>0.06338376874091001</v>
      </c>
      <c r="T29" s="13" t="n">
        <v>0.1333817741068</v>
      </c>
      <c r="U29" s="13" t="n">
        <v>0.1518925578120278</v>
      </c>
      <c r="V29" s="13" t="n">
        <v>0.1322994018614798</v>
      </c>
      <c r="W29" s="13" t="n">
        <v>-0.07832349513819947</v>
      </c>
      <c r="X29" s="13" t="n">
        <v>0.4483428365419373</v>
      </c>
    </row>
    <row r="30">
      <c r="A30" t="inlineStr">
        <is>
          <t>Mutlak Getiri</t>
        </is>
      </c>
      <c r="B30" t="inlineStr">
        <is>
          <t>KIH</t>
        </is>
      </c>
      <c r="C30" t="inlineStr">
        <is>
          <t>Kare Portföy İstatistiksel Arbitraj Serbest Fon</t>
        </is>
      </c>
      <c r="D30" s="13" t="n">
        <v>0.09549296689461695</v>
      </c>
      <c r="E30" s="13" t="n">
        <v>0.09547089656352092</v>
      </c>
      <c r="F30" s="13" t="n">
        <v>0.2606221275703646</v>
      </c>
      <c r="G30" s="13" t="n">
        <v>0.1214083923809284</v>
      </c>
      <c r="H30" s="13" t="n">
        <v>0.09556616943862117</v>
      </c>
      <c r="I30" s="13" t="n">
        <v>0.0955435653261949</v>
      </c>
      <c r="J30" s="13" t="n">
        <v>0.09558951093691093</v>
      </c>
      <c r="K30" s="13" t="n">
        <v>0.2593660534639497</v>
      </c>
      <c r="L30" s="13" t="n">
        <v>0.1228562506704778</v>
      </c>
      <c r="M30" s="13" t="n">
        <v>0.09540727920687164</v>
      </c>
      <c r="N30" s="13" t="n">
        <v>0.09558906248401389</v>
      </c>
      <c r="O30" s="13" t="n">
        <v>0.09563400783463294</v>
      </c>
      <c r="P30" s="13" t="n">
        <v>0.2581828797666663</v>
      </c>
      <c r="Q30" s="13" t="n">
        <v>0.1231932505031175</v>
      </c>
      <c r="R30" s="13" t="n">
        <v>0.08894251954092436</v>
      </c>
      <c r="S30" s="13" t="n">
        <v>0.09529795681724185</v>
      </c>
      <c r="T30" s="13" t="n">
        <v>0.09534255993082219</v>
      </c>
      <c r="U30" s="13" t="n">
        <v>0.2466810614654369</v>
      </c>
      <c r="V30" s="13" t="n">
        <v>0.1244868961694401</v>
      </c>
      <c r="W30" s="13" t="n">
        <v>0.1756544779431657</v>
      </c>
      <c r="X30" s="13" t="n">
        <v>0.1100621847982319</v>
      </c>
    </row>
    <row r="31">
      <c r="A31" t="inlineStr">
        <is>
          <t>Mutlak Getiri</t>
        </is>
      </c>
      <c r="B31" t="inlineStr">
        <is>
          <t>HEH</t>
        </is>
      </c>
      <c r="C31" t="inlineStr">
        <is>
          <t>Hedef Portföy Algo Everest İstatistiksel Arbitraj Hisse Senedi Serbest Fon (Hisse Senedi Yoğun Fon)</t>
        </is>
      </c>
      <c r="D31" s="13" t="n">
        <v>0.1855750305953308</v>
      </c>
      <c r="E31" s="13" t="n">
        <v>0.4180925563078475</v>
      </c>
      <c r="F31" s="13" t="n">
        <v>0.06486931562550424</v>
      </c>
      <c r="G31" s="13" t="n">
        <v>0.120989495095114</v>
      </c>
      <c r="H31" s="13" t="n">
        <v>0.350734018795773</v>
      </c>
      <c r="I31" s="13" t="n">
        <v>0.05612190303398989</v>
      </c>
      <c r="J31" s="13" t="n">
        <v>0.3145788493450041</v>
      </c>
      <c r="K31" s="13" t="n">
        <v>-0.002259494331535716</v>
      </c>
      <c r="L31" s="13" t="n">
        <v>0.2509050115762079</v>
      </c>
      <c r="M31" s="13" t="n">
        <v>0.09945687593666541</v>
      </c>
      <c r="N31" s="13" t="n">
        <v>0.05866977542476892</v>
      </c>
      <c r="O31" s="13" t="n">
        <v>0.1820549131372529</v>
      </c>
      <c r="P31" s="13" t="n">
        <v>0.02031108225797329</v>
      </c>
      <c r="Q31" s="13" t="n">
        <v>0.2025002229969708</v>
      </c>
      <c r="R31" s="13" t="n">
        <v>0.2364041567231023</v>
      </c>
      <c r="S31" s="13" t="n">
        <v>0.1335592808268782</v>
      </c>
      <c r="T31" s="13" t="n">
        <v>0.1170269309758165</v>
      </c>
      <c r="U31" s="13" t="n">
        <v>0.06725659380064641</v>
      </c>
      <c r="V31" s="13" t="n">
        <v>0.1027791171920533</v>
      </c>
      <c r="W31" s="13" t="n">
        <v>0.07532741711004931</v>
      </c>
      <c r="X31" s="13" t="n">
        <v>0.2525110085774829</v>
      </c>
    </row>
    <row r="32">
      <c r="A32" t="inlineStr">
        <is>
          <t>Mutlak Getiri</t>
        </is>
      </c>
      <c r="B32" t="inlineStr">
        <is>
          <t>SPN</t>
        </is>
      </c>
      <c r="C32" t="inlineStr">
        <is>
          <t>Azimut Portföy İstatistiksel Arbitraj Hisse Senedi Serbest Fon (Hisse Senedi Yoğun Fon)</t>
        </is>
      </c>
      <c r="D32" s="13" t="n">
        <v>0.001276372654412938</v>
      </c>
      <c r="E32" s="13" t="n">
        <v>0.4926735562484241</v>
      </c>
      <c r="F32" s="13" t="n">
        <v>0.06603464724892483</v>
      </c>
      <c r="G32" s="13" t="n">
        <v>-0.06481621733436249</v>
      </c>
      <c r="H32" s="13" t="n">
        <v>0.301020402272334</v>
      </c>
      <c r="I32" s="13" t="n">
        <v>-0.2319475884682176</v>
      </c>
      <c r="J32" s="13" t="n">
        <v>0.4013974804275788</v>
      </c>
      <c r="K32" s="13" t="n">
        <v>0.2195532459717153</v>
      </c>
      <c r="L32" s="13" t="n">
        <v>-0.1382714505002491</v>
      </c>
      <c r="M32" s="13" t="n">
        <v>0.1904073726068711</v>
      </c>
      <c r="N32" s="13" t="n">
        <v>-0.09468934279157626</v>
      </c>
      <c r="O32" s="13" t="n">
        <v>0.1303838208925434</v>
      </c>
      <c r="P32" s="13" t="n">
        <v>0.184624389979704</v>
      </c>
      <c r="Q32" s="13" t="n">
        <v>0.05258429783796537</v>
      </c>
      <c r="R32" s="13" t="n">
        <v>0.189050196806928</v>
      </c>
      <c r="S32" s="13" t="n">
        <v>0.05495694762538417</v>
      </c>
      <c r="T32" s="13" t="n">
        <v>0.1779340986662437</v>
      </c>
      <c r="U32" s="13" t="n">
        <v>0.1193536217590108</v>
      </c>
      <c r="V32" s="13" t="n">
        <v>0.0773969411000941</v>
      </c>
      <c r="W32" s="13" t="n">
        <v>0.04887654175902423</v>
      </c>
      <c r="X32" s="13" t="n">
        <v>0.3034376978865883</v>
      </c>
    </row>
    <row r="33">
      <c r="A33" t="inlineStr">
        <is>
          <t>Mutlak Getiri</t>
        </is>
      </c>
      <c r="B33" t="inlineStr">
        <is>
          <t>LTC</t>
        </is>
      </c>
      <c r="C33" t="inlineStr">
        <is>
          <t>AK Portföy Birinci İstatistiksel Arbitraj Hisse Senedi Serbest Fon (Hisse Senedi Yoğun Fon)</t>
        </is>
      </c>
      <c r="D33" s="13" t="n">
        <v>0.09602426651600382</v>
      </c>
      <c r="E33" s="13" t="n">
        <v>0.3383250903963519</v>
      </c>
      <c r="F33" s="13" t="n">
        <v>-0.02016950240265603</v>
      </c>
      <c r="G33" s="13" t="n">
        <v>0.05056492549533331</v>
      </c>
      <c r="H33" s="13" t="n">
        <v>0.2550536097025047</v>
      </c>
      <c r="I33" s="13" t="n">
        <v>-0.04975780616395253</v>
      </c>
      <c r="J33" s="13" t="n">
        <v>0.08329761879872777</v>
      </c>
      <c r="K33" s="13" t="n">
        <v>0.1930896365436752</v>
      </c>
      <c r="L33" s="13" t="n">
        <v>0.2117416959793061</v>
      </c>
      <c r="M33" s="13" t="n">
        <v>0.2883354495269996</v>
      </c>
      <c r="N33" s="13" t="n">
        <v>-0.3538241925508889</v>
      </c>
      <c r="O33" s="13" t="n">
        <v>0.1499561516502323</v>
      </c>
      <c r="P33" s="13" t="n">
        <v>0.008899449858090769</v>
      </c>
      <c r="Q33" s="13" t="n">
        <v>-0.1388710266193249</v>
      </c>
      <c r="R33" s="13" t="n">
        <v>0.6006166174500116</v>
      </c>
      <c r="S33" s="13" t="n">
        <v>0.08928952435387494</v>
      </c>
      <c r="T33" s="13" t="n">
        <v>0.0426346949519818</v>
      </c>
      <c r="U33" s="13" t="n">
        <v>0.1740820497257323</v>
      </c>
      <c r="V33" s="13" t="n">
        <v>0.02391402296391121</v>
      </c>
      <c r="W33" s="13" t="n">
        <v>-0.08648233427549501</v>
      </c>
      <c r="X33" s="13" t="n">
        <v>0.4378813482798227</v>
      </c>
    </row>
    <row r="34">
      <c r="A34" t="inlineStr">
        <is>
          <t>Mutlak Getiri</t>
        </is>
      </c>
      <c r="B34" t="inlineStr">
        <is>
          <t>MTF</t>
        </is>
      </c>
      <c r="C34" t="inlineStr">
        <is>
          <t>MT Portföy Birinci İstatistiksel Arbitraj Hisse Senedi Serbest (TL) Fon (Hisse Senedi Yoğun Fon)</t>
        </is>
      </c>
      <c r="D34" s="13" t="n">
        <v>0.1100433109653132</v>
      </c>
      <c r="E34" s="13" t="n">
        <v>0.2978301476895817</v>
      </c>
      <c r="F34" s="13" t="n">
        <v>-0.1278125613237369</v>
      </c>
      <c r="G34" s="13" t="n">
        <v>-0.1423604700564685</v>
      </c>
      <c r="H34" s="13" t="n">
        <v>0.4401645716525904</v>
      </c>
      <c r="I34" s="13" t="n">
        <v>0.01515490904466787</v>
      </c>
      <c r="J34" s="13" t="n">
        <v>0.1184860396392429</v>
      </c>
      <c r="K34" s="13" t="n">
        <v>0.01889989331895769</v>
      </c>
      <c r="L34" s="13" t="n">
        <v>0.3320880952433436</v>
      </c>
      <c r="M34" s="13" t="n">
        <v>0.1579535923958764</v>
      </c>
      <c r="N34" s="13" t="n">
        <v>-0.1037896822919326</v>
      </c>
      <c r="O34" s="13" t="n">
        <v>0.17426547470063</v>
      </c>
      <c r="P34" s="13" t="n">
        <v>-0.1919457648616563</v>
      </c>
      <c r="Q34" s="13" t="n">
        <v>0.04824419801008339</v>
      </c>
      <c r="R34" s="13" t="n">
        <v>0.561523957939003</v>
      </c>
      <c r="S34" s="13" t="n">
        <v>-0.1905640461856484</v>
      </c>
      <c r="T34" s="13" t="n">
        <v>0.1003341787281453</v>
      </c>
      <c r="U34" s="13" t="n">
        <v>0.1825422316391379</v>
      </c>
      <c r="V34" s="13" t="n">
        <v>-0.04345279565793891</v>
      </c>
      <c r="W34" s="13" t="n">
        <v>-0.1484612849937839</v>
      </c>
      <c r="X34" s="13" t="n">
        <v>0.5701428649825369</v>
      </c>
    </row>
    <row r="35">
      <c r="A35" t="inlineStr">
        <is>
          <t>Mutlak Getiri</t>
        </is>
      </c>
      <c r="B35" t="inlineStr">
        <is>
          <t>NSH</t>
        </is>
      </c>
      <c r="C35" t="inlineStr">
        <is>
          <t>Nurol Portföy İstatistiksel Arbitraj Hisse Senedi Serbest Fon (Hisse Senedi Yoğun Fon)</t>
        </is>
      </c>
      <c r="D35" s="13" t="n">
        <v>0.1227693783775408</v>
      </c>
      <c r="E35" s="13" t="n">
        <v>0.3353487200356442</v>
      </c>
      <c r="F35" s="13" t="n">
        <v>0.03360627162558583</v>
      </c>
      <c r="G35" s="13" t="n">
        <v>0.07747118602834391</v>
      </c>
      <c r="H35" s="13" t="n">
        <v>0.1555458985802227</v>
      </c>
      <c r="I35" s="13" t="n">
        <v>-0.09048584009770932</v>
      </c>
      <c r="J35" s="13" t="n">
        <v>0.209910979428729</v>
      </c>
      <c r="K35" s="13" t="n">
        <v>-0.004184615621416476</v>
      </c>
      <c r="L35" s="13" t="n">
        <v>0.3688868985746163</v>
      </c>
      <c r="M35" s="13" t="n">
        <v>-0.002204515806847329</v>
      </c>
      <c r="N35" s="13" t="n">
        <v>0.03757344554247144</v>
      </c>
      <c r="O35" s="13" t="n">
        <v>0.08877225055141658</v>
      </c>
      <c r="P35" s="13" t="n">
        <v>0.1018084765727956</v>
      </c>
      <c r="Q35" s="13" t="n">
        <v>-0.004207820425516928</v>
      </c>
      <c r="R35" s="13" t="n">
        <v>0.406693393826485</v>
      </c>
      <c r="S35" s="13" t="n">
        <v>0.003333712741593331</v>
      </c>
      <c r="T35" s="13" t="n">
        <v>0.09567436617519132</v>
      </c>
      <c r="U35" s="13" t="n">
        <v>0.09334678186729839</v>
      </c>
      <c r="V35" s="13" t="n">
        <v>-0.1909400219222257</v>
      </c>
      <c r="W35" s="13" t="n">
        <v>0.1929721376236149</v>
      </c>
      <c r="X35" s="13" t="n">
        <v>0.795593955235141</v>
      </c>
    </row>
    <row r="36">
      <c r="A36" t="inlineStr">
        <is>
          <t>Mutlak Getiri</t>
        </is>
      </c>
      <c r="B36" t="inlineStr">
        <is>
          <t>HDA</t>
        </is>
      </c>
      <c r="C36" t="inlineStr">
        <is>
          <t>Hedef Portföy Dördüncü İstatistiksel Arbitraj Hisse Senedi Serbest (TL) Fon (Hisse Senedi Yoğun Fon)</t>
        </is>
      </c>
      <c r="D36" s="13" t="n">
        <v>0.281872972344277</v>
      </c>
      <c r="E36" s="13" t="n">
        <v>0.3226066347528977</v>
      </c>
      <c r="F36" s="13" t="n">
        <v>0.04882096858929152</v>
      </c>
      <c r="G36" s="13" t="n">
        <v>-0.07261041984609751</v>
      </c>
      <c r="H36" s="13" t="n">
        <v>0.1836828819469449</v>
      </c>
      <c r="I36" s="13" t="n">
        <v>0.0675854908016138</v>
      </c>
      <c r="J36" s="13" t="n">
        <v>0.1559125407434081</v>
      </c>
      <c r="K36" s="13" t="n">
        <v>0.1909038817122788</v>
      </c>
      <c r="L36" s="13" t="n">
        <v>-0.0894643649693716</v>
      </c>
      <c r="M36" s="13" t="n">
        <v>0.182785282737763</v>
      </c>
      <c r="N36" s="13" t="n">
        <v>-0.02077470710986073</v>
      </c>
      <c r="O36" s="13" t="n">
        <v>-0.09362197004429973</v>
      </c>
      <c r="P36" s="13" t="n">
        <v>0.3486160680859607</v>
      </c>
      <c r="Q36" s="13" t="n">
        <v>0.1823909194525131</v>
      </c>
      <c r="R36" s="13" t="n">
        <v>0.03942401872756296</v>
      </c>
      <c r="S36" s="13" t="n">
        <v>0.3890553611418435</v>
      </c>
      <c r="T36" s="13" t="n">
        <v>-0.002043540598883897</v>
      </c>
      <c r="U36" s="13" t="n">
        <v>0.005965942051910922</v>
      </c>
      <c r="V36" s="13" t="n">
        <v>-0.2437980151407282</v>
      </c>
      <c r="W36" s="13" t="n">
        <v>0.66941511997336</v>
      </c>
      <c r="X36" s="13" t="n">
        <v>0.03331218638544797</v>
      </c>
    </row>
    <row r="37">
      <c r="A37" t="inlineStr">
        <is>
          <t>Mutlak Getiri</t>
        </is>
      </c>
      <c r="B37" t="inlineStr">
        <is>
          <t>FS5</t>
        </is>
      </c>
      <c r="C37" t="inlineStr">
        <is>
          <t>One Portföy Birinci İstatistiksel Arbitraj Hisse Senedi Serbest Fon (Hisse Senedi Yoğun Fon)</t>
        </is>
      </c>
      <c r="D37" s="13" t="n">
        <v>-4.430044426111579</v>
      </c>
      <c r="E37" s="13" t="n">
        <v>-0.1794588625068982</v>
      </c>
      <c r="F37" s="13" t="n">
        <v>-3.413616478978521</v>
      </c>
      <c r="G37" s="13" t="n">
        <v>0.7233364824116073</v>
      </c>
      <c r="H37" s="13" t="n">
        <v>-0.2230360523968189</v>
      </c>
      <c r="I37" s="13" t="n">
        <v>-1.467537661164264</v>
      </c>
      <c r="J37" s="13" t="n">
        <v>-1.467340150843022</v>
      </c>
      <c r="K37" s="13" t="n">
        <v>-0.3745734038022919</v>
      </c>
      <c r="L37" s="13" t="n">
        <v>-1.584381235966514</v>
      </c>
      <c r="M37" s="13" t="n">
        <v>-0.495091475645415</v>
      </c>
      <c r="N37" s="13" t="n">
        <v>0.7533055290321888</v>
      </c>
      <c r="O37" s="13" t="n">
        <v>-0.30722350829121</v>
      </c>
      <c r="P37" s="13" t="n">
        <v>1.850301180411118</v>
      </c>
      <c r="Q37" s="13" t="n">
        <v>0.01270215266591102</v>
      </c>
      <c r="R37" s="13" t="n">
        <v>-0.9134153518351784</v>
      </c>
      <c r="S37" s="13" t="n">
        <v>-2.754426186251724</v>
      </c>
      <c r="T37" s="13" t="n">
        <v>-0.6143254080334448</v>
      </c>
      <c r="U37" s="13" t="n">
        <v>2.288812533064255</v>
      </c>
      <c r="V37" s="13" t="n">
        <v>-0.2698035624898454</v>
      </c>
      <c r="W37" s="13" t="n">
        <v>1.258568758408041</v>
      </c>
      <c r="X37" s="13" t="n">
        <v>2.273892305796665</v>
      </c>
    </row>
    <row r="38">
      <c r="A38" t="inlineStr">
        <is>
          <t>Mutlak Getiri</t>
        </is>
      </c>
      <c r="B38" t="inlineStr">
        <is>
          <t>MGB</t>
        </is>
      </c>
      <c r="C38" t="inlineStr">
        <is>
          <t>İŞ Portföy Mutlak Getiri Hedefli Hisse Senedi Serbest Fon (Hisse Senedi Yoğun Fon)</t>
        </is>
      </c>
      <c r="D38" s="13" t="n">
        <v>0</v>
      </c>
      <c r="E38" s="13" t="n">
        <v>-0.2274968338946359</v>
      </c>
      <c r="F38" s="13" t="n">
        <v>0.7527992098916414</v>
      </c>
      <c r="G38" s="13" t="n">
        <v>-0.2168342737608908</v>
      </c>
      <c r="H38" s="13" t="n">
        <v>-0.4090336114499604</v>
      </c>
      <c r="I38" s="13" t="n">
        <v>0.3261048017859203</v>
      </c>
      <c r="J38" s="13" t="n">
        <v>-0.259587701667674</v>
      </c>
      <c r="K38" s="13" t="n">
        <v>0.191163846069542</v>
      </c>
      <c r="L38" s="13" t="n">
        <v>0.304612677132976</v>
      </c>
      <c r="M38" s="13" t="n">
        <v>0.2851940267770914</v>
      </c>
      <c r="N38" s="13" t="n">
        <v>-0.666847699064721</v>
      </c>
      <c r="O38" s="13" t="n">
        <v>-0.09506802327874375</v>
      </c>
      <c r="P38" s="13" t="n">
        <v>-0.6742775306167959</v>
      </c>
      <c r="Q38" s="13" t="n">
        <v>-0.2738445555234281</v>
      </c>
      <c r="R38" s="13" t="n">
        <v>-0.01504920885140315</v>
      </c>
      <c r="S38" s="13" t="n">
        <v>-1.54198570865981</v>
      </c>
      <c r="T38" s="13" t="n">
        <v>0.2695852421974232</v>
      </c>
      <c r="U38" s="13" t="n">
        <v>0.3865825973087489</v>
      </c>
      <c r="V38" s="13" t="n">
        <v>-0.6391878978020626</v>
      </c>
      <c r="W38" s="13" t="n">
        <v>-0.5546602418114777</v>
      </c>
      <c r="X38" s="13" t="n">
        <v>0.9319760643785813</v>
      </c>
    </row>
    <row r="39">
      <c r="A39" t="inlineStr">
        <is>
          <t>Para Piyasası</t>
        </is>
      </c>
      <c r="B39" t="inlineStr">
        <is>
          <t>PRY</t>
        </is>
      </c>
      <c r="C39" t="inlineStr">
        <is>
          <t>Pusula Portföy Para Piyasası (TL) Fonu</t>
        </is>
      </c>
      <c r="D39" s="13" t="n">
        <v>0.1356367446906814</v>
      </c>
      <c r="E39" s="13" t="n">
        <v>0.1209585537057745</v>
      </c>
      <c r="F39" s="13" t="n">
        <v>0.3758874835936288</v>
      </c>
      <c r="G39" s="13" t="n">
        <v>0.1413292381382325</v>
      </c>
      <c r="H39" s="13" t="n">
        <v>0.1316643814651242</v>
      </c>
      <c r="I39" s="13" t="n">
        <v>0.1177878730175941</v>
      </c>
      <c r="J39" s="13" t="n">
        <v>0.1323554584654385</v>
      </c>
      <c r="K39" s="13" t="n">
        <v>0.3855180088737642</v>
      </c>
      <c r="L39" s="13" t="n">
        <v>0.1259626700436778</v>
      </c>
      <c r="M39" s="13" t="n">
        <v>0.1343081359346909</v>
      </c>
      <c r="N39" s="13" t="n">
        <v>0.1272530890721102</v>
      </c>
      <c r="O39" s="13" t="n">
        <v>0.1288079025516309</v>
      </c>
      <c r="P39" s="13" t="n">
        <v>0.3761448214707031</v>
      </c>
      <c r="Q39" s="13" t="n">
        <v>0.1223666391168665</v>
      </c>
      <c r="R39" s="13" t="n">
        <v>0.1258294138463123</v>
      </c>
      <c r="S39" s="13" t="n">
        <v>0.1236001448460256</v>
      </c>
      <c r="T39" s="13" t="n">
        <v>0.1298534910970872</v>
      </c>
      <c r="U39" s="13" t="n">
        <v>0.3853899682651374</v>
      </c>
      <c r="V39" s="13" t="n">
        <v>0.128456969570645</v>
      </c>
      <c r="W39" s="13" t="n">
        <v>0.2608607443200128</v>
      </c>
      <c r="X39" s="13" t="n">
        <v>0.1335131583863447</v>
      </c>
    </row>
    <row r="40">
      <c r="A40" t="inlineStr">
        <is>
          <t>Para Piyasası</t>
        </is>
      </c>
      <c r="B40" t="inlineStr">
        <is>
          <t>MPL</t>
        </is>
      </c>
      <c r="C40" t="inlineStr">
        <is>
          <t>MT Portföy Para Piyasası (TL) Fonu</t>
        </is>
      </c>
      <c r="D40" s="13" t="n">
        <v>0.1058080731239475</v>
      </c>
      <c r="E40" s="13" t="n">
        <v>0.1237744542538444</v>
      </c>
      <c r="F40" s="13" t="n">
        <v>0.3617565003787071</v>
      </c>
      <c r="G40" s="13" t="n">
        <v>0.1223797934297055</v>
      </c>
      <c r="H40" s="13" t="n">
        <v>0.1236083460016024</v>
      </c>
      <c r="I40" s="13" t="n">
        <v>0.1204911124569552</v>
      </c>
      <c r="J40" s="13" t="n">
        <v>0.1278545186895963</v>
      </c>
      <c r="K40" s="13" t="n">
        <v>0.3775288731167059</v>
      </c>
      <c r="L40" s="13" t="n">
        <v>0.1222130505440067</v>
      </c>
      <c r="M40" s="13" t="n">
        <v>0.1311542944098631</v>
      </c>
      <c r="N40" s="13" t="n">
        <v>0.1354955242396372</v>
      </c>
      <c r="O40" s="13" t="n">
        <v>0.1255646741921579</v>
      </c>
      <c r="P40" s="13" t="n">
        <v>0.3305285945180758</v>
      </c>
      <c r="Q40" s="13" t="n">
        <v>0.1204032988834536</v>
      </c>
      <c r="R40" s="13" t="n">
        <v>0.1199458732523251</v>
      </c>
      <c r="S40" s="13" t="n">
        <v>0.1170959577954989</v>
      </c>
      <c r="T40" s="13" t="n">
        <v>0.1248082522114391</v>
      </c>
      <c r="U40" s="13" t="n">
        <v>0.3702719203884097</v>
      </c>
      <c r="V40" s="13" t="n">
        <v>0.1230548641586005</v>
      </c>
      <c r="W40" s="13" t="n">
        <v>0.2483386829215561</v>
      </c>
      <c r="X40" s="13" t="n">
        <v>0.7855313403453801</v>
      </c>
    </row>
    <row r="41">
      <c r="A41" t="inlineStr">
        <is>
          <t>Para Piyasası</t>
        </is>
      </c>
      <c r="B41" t="inlineStr">
        <is>
          <t>IDL</t>
        </is>
      </c>
      <c r="C41" t="inlineStr">
        <is>
          <t>Aktif Portföy Para Piyasası (TL) Fonu</t>
        </is>
      </c>
      <c r="D41" s="13" t="n">
        <v>0.07167889701167329</v>
      </c>
      <c r="E41" s="13" t="n">
        <v>0.1031465189913261</v>
      </c>
      <c r="F41" s="13" t="n">
        <v>0.3056458497140868</v>
      </c>
      <c r="G41" s="13" t="n">
        <v>0.1155582028560698</v>
      </c>
      <c r="H41" s="13" t="n">
        <v>0.1016013825556161</v>
      </c>
      <c r="I41" s="13" t="n">
        <v>0.09322672400655652</v>
      </c>
      <c r="J41" s="13" t="n">
        <v>0.1249265681984468</v>
      </c>
      <c r="K41" s="13" t="n">
        <v>0.3173821594446347</v>
      </c>
      <c r="L41" s="13" t="n">
        <v>0.1206394081599171</v>
      </c>
      <c r="M41" s="13" t="n">
        <v>0.1069150300595734</v>
      </c>
      <c r="N41" s="13" t="n">
        <v>0.1138368877022788</v>
      </c>
      <c r="O41" s="13" t="n">
        <v>0.1078507439411291</v>
      </c>
      <c r="P41" s="13" t="n">
        <v>0.3109440246617412</v>
      </c>
      <c r="Q41" s="13" t="n">
        <v>0.1075921026700399</v>
      </c>
      <c r="R41" s="13" t="n">
        <v>0.1102068556768421</v>
      </c>
      <c r="S41" s="13" t="n">
        <v>0.1022855646890974</v>
      </c>
      <c r="T41" s="13" t="n">
        <v>0.08588553119479592</v>
      </c>
      <c r="U41" s="13" t="n">
        <v>0.3331905737029794</v>
      </c>
      <c r="V41" s="13" t="n">
        <v>0.1211616169122465</v>
      </c>
      <c r="W41" s="13" t="n">
        <v>0.1959438315062512</v>
      </c>
      <c r="X41" s="13" t="n">
        <v>0.1177980684768931</v>
      </c>
    </row>
    <row r="42">
      <c r="A42" t="inlineStr">
        <is>
          <t>Para Piyasası</t>
        </is>
      </c>
      <c r="B42" t="inlineStr">
        <is>
          <t>GO6</t>
        </is>
      </c>
      <c r="C42" t="inlineStr">
        <is>
          <t>One Portföy Para Piyasası (TL) Fonu</t>
        </is>
      </c>
      <c r="D42" s="13" t="n">
        <v>0.1041409407735117</v>
      </c>
      <c r="E42" s="13" t="n">
        <v>0.1067570233356907</v>
      </c>
      <c r="F42" s="13" t="n">
        <v>0.3453807529229858</v>
      </c>
      <c r="G42" s="13" t="n">
        <v>0.1224736820957917</v>
      </c>
      <c r="H42" s="13" t="n">
        <v>0.115050149775886</v>
      </c>
      <c r="I42" s="13" t="n">
        <v>0.1153688898331007</v>
      </c>
      <c r="J42" s="13" t="n">
        <v>0.1228182432637004</v>
      </c>
      <c r="K42" s="13" t="n">
        <v>0.3472082502198548</v>
      </c>
      <c r="L42" s="13" t="n">
        <v>0.1174859257240923</v>
      </c>
      <c r="M42" s="13" t="n">
        <v>0.1177461012929815</v>
      </c>
      <c r="N42" s="13" t="n">
        <v>0.1205397377347595</v>
      </c>
      <c r="O42" s="13" t="n">
        <v>0.09982006576907398</v>
      </c>
      <c r="P42" s="13" t="n">
        <v>0.3376910855503734</v>
      </c>
      <c r="Q42" s="13" t="n">
        <v>0.1131485594377146</v>
      </c>
      <c r="R42" s="13" t="n">
        <v>0.1169204962839343</v>
      </c>
      <c r="S42" s="13" t="n">
        <v>0.1149349343031902</v>
      </c>
      <c r="T42" s="13" t="n">
        <v>0.1128575896298001</v>
      </c>
      <c r="U42" s="13" t="n">
        <v>0.2417934729536997</v>
      </c>
      <c r="V42" s="13" t="n">
        <v>0.1182985328871844</v>
      </c>
      <c r="W42" s="13" t="n">
        <v>0.190754941540705</v>
      </c>
      <c r="X42" s="13" t="n">
        <v>0.1112065964641307</v>
      </c>
    </row>
    <row r="43">
      <c r="A43" t="inlineStr">
        <is>
          <t>Para Piyasası</t>
        </is>
      </c>
      <c r="B43" t="inlineStr">
        <is>
          <t>VK6</t>
        </is>
      </c>
      <c r="C43" t="inlineStr">
        <is>
          <t>V Portföy Vakıfbank Para Piyasası (TL) Fonu</t>
        </is>
      </c>
      <c r="D43" s="13" t="n">
        <v>0.09543348208920222</v>
      </c>
      <c r="E43" s="13" t="n">
        <v>0.09603823594741545</v>
      </c>
      <c r="F43" s="13" t="n">
        <v>0.3125005631394728</v>
      </c>
      <c r="G43" s="13" t="n">
        <v>0.1126106474034216</v>
      </c>
      <c r="H43" s="13" t="n">
        <v>0.106690592155867</v>
      </c>
      <c r="I43" s="13" t="n">
        <v>0.09904838774934532</v>
      </c>
      <c r="J43" s="13" t="n">
        <v>0.110359859095488</v>
      </c>
      <c r="K43" s="13" t="n">
        <v>0.3249394890916912</v>
      </c>
      <c r="L43" s="13" t="n">
        <v>0.1084802575610055</v>
      </c>
      <c r="M43" s="13" t="n">
        <v>0.1070142143678288</v>
      </c>
      <c r="N43" s="13" t="n">
        <v>0.1118559419498011</v>
      </c>
      <c r="O43" s="13" t="n">
        <v>0.110436195044028</v>
      </c>
      <c r="P43" s="13" t="n">
        <v>0.3008412294751794</v>
      </c>
      <c r="Q43" s="13" t="n">
        <v>0.107530986900839</v>
      </c>
      <c r="R43" s="13" t="n">
        <v>0.1073649691669898</v>
      </c>
      <c r="S43" s="13" t="n">
        <v>0.08355949312286448</v>
      </c>
      <c r="T43" s="13" t="n">
        <v>0.09584177284591711</v>
      </c>
      <c r="U43" s="13" t="n">
        <v>0.327368307856668</v>
      </c>
      <c r="V43" s="13" t="n">
        <v>0.1172511569483614</v>
      </c>
      <c r="W43" s="13" t="n">
        <v>0.2087539774452418</v>
      </c>
      <c r="X43" s="13" t="n">
        <v>0.1178706815257335</v>
      </c>
    </row>
    <row r="44">
      <c r="A44" t="inlineStr">
        <is>
          <t>Para Piyasası</t>
        </is>
      </c>
      <c r="B44" t="inlineStr">
        <is>
          <t>PPT</t>
        </is>
      </c>
      <c r="C44" t="inlineStr">
        <is>
          <t>Atlas Portföy Para Piyasası (TL) Fonu</t>
        </is>
      </c>
      <c r="D44" s="13" t="n">
        <v>0.09229420746010852</v>
      </c>
      <c r="E44" s="13" t="n">
        <v>0.106946770049654</v>
      </c>
      <c r="F44" s="13" t="n">
        <v>0.3383741674966911</v>
      </c>
      <c r="G44" s="13" t="n">
        <v>0.1228147972507809</v>
      </c>
      <c r="H44" s="13" t="n">
        <v>0.1166781371273906</v>
      </c>
      <c r="I44" s="13" t="n">
        <v>0.103995987839367</v>
      </c>
      <c r="J44" s="13" t="n">
        <v>0.120141859434364</v>
      </c>
      <c r="K44" s="13" t="n">
        <v>0.3633507945568271</v>
      </c>
      <c r="L44" s="13" t="n">
        <v>0.1199205510108881</v>
      </c>
      <c r="M44" s="13" t="n">
        <v>0.1254543136396835</v>
      </c>
      <c r="N44" s="13" t="n">
        <v>0.1206636891724067</v>
      </c>
      <c r="O44" s="13" t="n">
        <v>0.1339487402540085</v>
      </c>
      <c r="P44" s="13" t="n">
        <v>0.3353126746251878</v>
      </c>
      <c r="Q44" s="13" t="n">
        <v>0.1203413623183325</v>
      </c>
      <c r="R44" s="13" t="n">
        <v>0.1214514461247873</v>
      </c>
      <c r="S44" s="13" t="n">
        <v>0.1188298377930996</v>
      </c>
      <c r="T44" s="13" t="n">
        <v>0.1186888000844766</v>
      </c>
      <c r="U44" s="13" t="n">
        <v>0.3596835169738855</v>
      </c>
      <c r="V44" s="13" t="n">
        <v>0.117164953113269</v>
      </c>
      <c r="W44" s="13" t="n">
        <v>0.2370866577098507</v>
      </c>
      <c r="X44" s="13" t="n">
        <v>0.1159552959390409</v>
      </c>
    </row>
    <row r="45">
      <c r="A45" t="inlineStr">
        <is>
          <t>Para Piyasası</t>
        </is>
      </c>
      <c r="B45" t="inlineStr">
        <is>
          <t>EIL</t>
        </is>
      </c>
      <c r="C45" t="inlineStr">
        <is>
          <t>Astra Portföy Para Piyasası (TL) Fonu</t>
        </is>
      </c>
      <c r="D45" s="13" t="n">
        <v>0.1301659152792789</v>
      </c>
      <c r="E45" s="13" t="n">
        <v>0.07678761714884352</v>
      </c>
      <c r="F45" s="13" t="n">
        <v>0.3026532179379204</v>
      </c>
      <c r="G45" s="13" t="n">
        <v>0.1083625719399128</v>
      </c>
      <c r="H45" s="13" t="n">
        <v>0.1112161586993787</v>
      </c>
      <c r="I45" s="13" t="n">
        <v>0.1054602530521143</v>
      </c>
      <c r="J45" s="13" t="n">
        <v>0.1164608250992405</v>
      </c>
      <c r="K45" s="13" t="n">
        <v>0.3313107157906892</v>
      </c>
      <c r="L45" s="13" t="n">
        <v>0.1103599859625604</v>
      </c>
      <c r="M45" s="13" t="n">
        <v>0.1238150683379402</v>
      </c>
      <c r="N45" s="13" t="n">
        <v>0.1014292429881269</v>
      </c>
      <c r="O45" s="13" t="n">
        <v>0.108609808458171</v>
      </c>
      <c r="P45" s="13" t="n">
        <v>0.3040293735827593</v>
      </c>
      <c r="Q45" s="13" t="n">
        <v>0.107625101975839</v>
      </c>
      <c r="R45" s="13" t="n">
        <v>0.1100771993494121</v>
      </c>
      <c r="S45" s="13" t="n">
        <v>0.1087034975404855</v>
      </c>
      <c r="T45" s="13" t="n">
        <v>0.1088039431597743</v>
      </c>
      <c r="U45" s="13" t="n">
        <v>0.3371676882486518</v>
      </c>
      <c r="V45" s="13" t="n">
        <v>0.1164870157809972</v>
      </c>
      <c r="W45" s="13" t="n">
        <v>0.1838594365080493</v>
      </c>
      <c r="X45" s="13" t="n">
        <v>0.129267788761811</v>
      </c>
    </row>
    <row r="46">
      <c r="A46" t="inlineStr">
        <is>
          <t>Para Piyasası</t>
        </is>
      </c>
      <c r="B46" t="inlineStr">
        <is>
          <t>PPN</t>
        </is>
      </c>
      <c r="C46" t="inlineStr">
        <is>
          <t>Nurol Portföy Para Piyasası (TL) Fonu</t>
        </is>
      </c>
      <c r="D46" s="13" t="n">
        <v>0.1035528081188897</v>
      </c>
      <c r="E46" s="13" t="n">
        <v>0.09155324247507313</v>
      </c>
      <c r="F46" s="13" t="n">
        <v>0.3199297502364695</v>
      </c>
      <c r="G46" s="13" t="n">
        <v>0.119880201224043</v>
      </c>
      <c r="H46" s="13" t="n">
        <v>0.1081844203344673</v>
      </c>
      <c r="I46" s="13" t="n">
        <v>0.09488449073395966</v>
      </c>
      <c r="J46" s="13" t="n">
        <v>0.1173541346396023</v>
      </c>
      <c r="K46" s="13" t="n">
        <v>0.327108313864799</v>
      </c>
      <c r="L46" s="13" t="n">
        <v>0.1108108733490987</v>
      </c>
      <c r="M46" s="13" t="n">
        <v>0.1176406276025554</v>
      </c>
      <c r="N46" s="13" t="n">
        <v>0.1035772728047446</v>
      </c>
      <c r="O46" s="13" t="n">
        <v>0.1085767983169506</v>
      </c>
      <c r="P46" s="13" t="n">
        <v>0.3231647805788995</v>
      </c>
      <c r="Q46" s="13" t="n">
        <v>0.1056128635192</v>
      </c>
      <c r="R46" s="13" t="n">
        <v>0.1087784480674259</v>
      </c>
      <c r="S46" s="13" t="n">
        <v>0.1090967087128858</v>
      </c>
      <c r="T46" s="13" t="n">
        <v>0.1008212847356749</v>
      </c>
      <c r="U46" s="13" t="n">
        <v>0.3349158128173491</v>
      </c>
      <c r="V46" s="13" t="n">
        <v>0.1151607176609115</v>
      </c>
      <c r="W46" s="13" t="n">
        <v>0.2014936509536769</v>
      </c>
      <c r="X46" s="13" t="n">
        <v>0.1330793508843353</v>
      </c>
    </row>
    <row r="47">
      <c r="A47" t="inlineStr">
        <is>
          <t>Para Piyasası</t>
        </is>
      </c>
      <c r="B47" t="inlineStr">
        <is>
          <t>IOO</t>
        </is>
      </c>
      <c r="C47" t="inlineStr">
        <is>
          <t>İŞ Portföy İkinci Para Piyasası (TL) Fonu</t>
        </is>
      </c>
      <c r="D47" s="13" t="n">
        <v>0.1176916678726991</v>
      </c>
      <c r="E47" s="13" t="n">
        <v>0.07590918179865014</v>
      </c>
      <c r="F47" s="13" t="n">
        <v>0.3277133521151665</v>
      </c>
      <c r="G47" s="13" t="n">
        <v>0.1087341329890412</v>
      </c>
      <c r="H47" s="13" t="n">
        <v>0.1123909584218374</v>
      </c>
      <c r="I47" s="13" t="n">
        <v>0.1062501850645381</v>
      </c>
      <c r="J47" s="13" t="n">
        <v>0.1223364835632568</v>
      </c>
      <c r="K47" s="13" t="n">
        <v>0.3191310366761568</v>
      </c>
      <c r="L47" s="13" t="n">
        <v>0.1052563769259551</v>
      </c>
      <c r="M47" s="13" t="n">
        <v>0.1267494119310042</v>
      </c>
      <c r="N47" s="13" t="n">
        <v>0.09727724704013951</v>
      </c>
      <c r="O47" s="13" t="n">
        <v>0.05975888231166682</v>
      </c>
      <c r="P47" s="13" t="n">
        <v>0.3040245089681148</v>
      </c>
      <c r="Q47" s="13" t="n">
        <v>0.08414958199385314</v>
      </c>
      <c r="R47" s="13" t="n">
        <v>0.05173028205331942</v>
      </c>
      <c r="S47" s="13" t="n">
        <v>0.09281993958487611</v>
      </c>
      <c r="T47" s="13" t="n">
        <v>0.1176954130247321</v>
      </c>
      <c r="U47" s="13" t="n">
        <v>0.3331124727054879</v>
      </c>
      <c r="V47" s="13" t="n">
        <v>0.1151243379159173</v>
      </c>
      <c r="W47" s="13" t="n">
        <v>0.2450350926067157</v>
      </c>
      <c r="X47" s="13" t="n">
        <v>0.1159319223873467</v>
      </c>
    </row>
    <row r="48">
      <c r="A48" s="14" t="inlineStr">
        <is>
          <t>Para Piyasası</t>
        </is>
      </c>
      <c r="B48" s="14" t="inlineStr">
        <is>
          <t>BVF</t>
        </is>
      </c>
      <c r="C48" s="14" t="inlineStr">
        <is>
          <t>BV Portföy Para Piyasası (TL) Fon</t>
        </is>
      </c>
      <c r="D48" s="15" t="n">
        <v>0.1298045939274406</v>
      </c>
      <c r="E48" s="15" t="n">
        <v>0.09882112920218677</v>
      </c>
      <c r="F48" s="15" t="n">
        <v>0.2793376573549056</v>
      </c>
      <c r="G48" s="15" t="n">
        <v>0.1161420865349205</v>
      </c>
      <c r="H48" s="15" t="n">
        <v>0.1154031482099693</v>
      </c>
      <c r="I48" s="15" t="n">
        <v>0.1022192516192844</v>
      </c>
      <c r="J48" s="15" t="n">
        <v>0.1212566986978247</v>
      </c>
      <c r="K48" s="15" t="n">
        <v>0.3352537285122192</v>
      </c>
      <c r="L48" s="15" t="n">
        <v>0.1123780945236241</v>
      </c>
      <c r="M48" s="15" t="n">
        <v>0.1255902968756883</v>
      </c>
      <c r="N48" s="15" t="n">
        <v>0.1026812376232478</v>
      </c>
      <c r="O48" s="15" t="n">
        <v>0.1032487854623287</v>
      </c>
      <c r="P48" s="15" t="n">
        <v>0.3294429046542424</v>
      </c>
      <c r="Q48" s="15" t="n">
        <v>0.08947859734482755</v>
      </c>
      <c r="R48" s="15" t="n">
        <v>0.08962172936468615</v>
      </c>
      <c r="S48" s="15" t="n">
        <v>0.1118339655729716</v>
      </c>
      <c r="T48" s="15" t="n">
        <v>0.1161625533494082</v>
      </c>
      <c r="U48" s="15" t="n">
        <v>0.3517161360156784</v>
      </c>
      <c r="V48" s="15" t="n">
        <v>0.1142912868962398</v>
      </c>
      <c r="W48" s="15" t="n">
        <v>0.2547402195842929</v>
      </c>
      <c r="X48" s="15" t="n">
        <v>0.1274881160760133</v>
      </c>
    </row>
    <row r="49">
      <c r="A49" t="inlineStr">
        <is>
          <t>Para Piyasası</t>
        </is>
      </c>
      <c r="B49" t="inlineStr">
        <is>
          <t>RBP</t>
        </is>
      </c>
      <c r="C49" t="inlineStr">
        <is>
          <t>Re-pıe Portföy Birinci Para Piyasası (TL) Fonu</t>
        </is>
      </c>
      <c r="D49" s="13" t="n">
        <v>0.09955935239827074</v>
      </c>
      <c r="E49" s="13" t="n">
        <v>0.1053025560449949</v>
      </c>
      <c r="F49" s="13" t="n">
        <v>0.3411022789655993</v>
      </c>
      <c r="G49" s="13" t="n">
        <v>0.1176488390215669</v>
      </c>
      <c r="H49" s="13" t="n">
        <v>0.1157158132979674</v>
      </c>
      <c r="I49" s="13" t="n">
        <v>0.1084584371606301</v>
      </c>
      <c r="J49" s="13" t="n">
        <v>0.1202164933635785</v>
      </c>
      <c r="K49" s="13" t="n">
        <v>0.3481197953831172</v>
      </c>
      <c r="L49" s="13" t="n">
        <v>0.115527929334247</v>
      </c>
      <c r="M49" s="13" t="n">
        <v>0.1133331615454258</v>
      </c>
      <c r="N49" s="13" t="n">
        <v>0.1160595535264042</v>
      </c>
      <c r="O49" s="13" t="n">
        <v>0.1127464224512931</v>
      </c>
      <c r="P49" s="13" t="n">
        <v>0.3309947210801134</v>
      </c>
      <c r="Q49" s="13" t="n">
        <v>0.1131786589352757</v>
      </c>
      <c r="R49" s="13" t="n">
        <v>0.1154679123317681</v>
      </c>
      <c r="S49" s="13" t="n">
        <v>0.1138953750491556</v>
      </c>
      <c r="T49" s="13" t="n">
        <v>0.1146006092244356</v>
      </c>
      <c r="U49" s="13" t="n">
        <v>0.352024756156033</v>
      </c>
      <c r="V49" s="13" t="n">
        <v>0.1141602046666801</v>
      </c>
      <c r="W49" s="13" t="n">
        <v>0.2289361454899552</v>
      </c>
      <c r="X49" s="13" t="n">
        <v>0.1180480031209408</v>
      </c>
    </row>
    <row r="50">
      <c r="A50" t="inlineStr">
        <is>
          <t>Para Piyasası</t>
        </is>
      </c>
      <c r="B50" t="inlineStr">
        <is>
          <t>GTL</t>
        </is>
      </c>
      <c r="C50" t="inlineStr">
        <is>
          <t>Garanti Portföy Birinci Para Piyasası (TL) Fonu</t>
        </is>
      </c>
      <c r="D50" s="13" t="n">
        <v>0.1160969170701964</v>
      </c>
      <c r="E50" s="13" t="n">
        <v>0.08975163419457921</v>
      </c>
      <c r="F50" s="13" t="n">
        <v>0.3110716099542943</v>
      </c>
      <c r="G50" s="13" t="n">
        <v>0.1099613948484235</v>
      </c>
      <c r="H50" s="13" t="n">
        <v>0.1106308328131078</v>
      </c>
      <c r="I50" s="13" t="n">
        <v>0.1026151065223857</v>
      </c>
      <c r="J50" s="13" t="n">
        <v>0.1135494452636276</v>
      </c>
      <c r="K50" s="13" t="n">
        <v>0.3158450232748633</v>
      </c>
      <c r="L50" s="13" t="n">
        <v>0.1075674062907206</v>
      </c>
      <c r="M50" s="13" t="n">
        <v>0.1137263821677115</v>
      </c>
      <c r="N50" s="13" t="n">
        <v>0.1026291874275165</v>
      </c>
      <c r="O50" s="13" t="n">
        <v>0.0892193308550171</v>
      </c>
      <c r="P50" s="13" t="n">
        <v>0.3135531593803975</v>
      </c>
      <c r="Q50" s="13" t="n">
        <v>0.09743549770053761</v>
      </c>
      <c r="R50" s="13" t="n">
        <v>0.09656192812363962</v>
      </c>
      <c r="S50" s="13" t="n">
        <v>0.09569080201341507</v>
      </c>
      <c r="T50" s="13" t="n">
        <v>0.1018171643531129</v>
      </c>
      <c r="U50" s="13" t="n">
        <v>0.3253282398888224</v>
      </c>
      <c r="V50" s="13" t="n">
        <v>0.1137665232331386</v>
      </c>
      <c r="W50" s="13" t="n">
        <v>0.219544059555199</v>
      </c>
      <c r="X50" s="13" t="n">
        <v>0.1118456067816798</v>
      </c>
    </row>
    <row r="51">
      <c r="A51" t="inlineStr">
        <is>
          <t>Para Piyasası</t>
        </is>
      </c>
      <c r="B51" t="inlineStr">
        <is>
          <t>IUZ</t>
        </is>
      </c>
      <c r="C51" t="inlineStr">
        <is>
          <t>İŞ Portföy Anadolubank Para Piyasası (TL) Fonu</t>
        </is>
      </c>
      <c r="D51" s="13" t="n">
        <v>0.09598225442795094</v>
      </c>
      <c r="E51" s="13" t="n">
        <v>0.06302706722369766</v>
      </c>
      <c r="F51" s="13" t="n">
        <v>0.2831509239833441</v>
      </c>
      <c r="G51" s="13" t="n">
        <v>0.1134023460993117</v>
      </c>
      <c r="H51" s="13" t="n">
        <v>0.1164757422809526</v>
      </c>
      <c r="I51" s="13" t="n">
        <v>0.1009758087457735</v>
      </c>
      <c r="J51" s="13" t="n">
        <v>0.1133184223090833</v>
      </c>
      <c r="K51" s="13" t="n">
        <v>0.3242166011486525</v>
      </c>
      <c r="L51" s="13" t="n">
        <v>0.1072854685469915</v>
      </c>
      <c r="M51" s="13" t="n">
        <v>0.1138367035486088</v>
      </c>
      <c r="N51" s="13" t="n">
        <v>0.1094013466863997</v>
      </c>
      <c r="O51" s="13" t="n">
        <v>0.08908383769092865</v>
      </c>
      <c r="P51" s="13" t="n">
        <v>0.308459020692986</v>
      </c>
      <c r="Q51" s="13" t="n">
        <v>0.1026654367719759</v>
      </c>
      <c r="R51" s="13" t="n">
        <v>0.09300786463561916</v>
      </c>
      <c r="S51" s="13" t="n">
        <v>0.1026632042997688</v>
      </c>
      <c r="T51" s="13" t="n">
        <v>0.1070054674069176</v>
      </c>
      <c r="U51" s="13" t="n">
        <v>0.317989990067491</v>
      </c>
      <c r="V51" s="13" t="n">
        <v>0.1135899737390256</v>
      </c>
      <c r="W51" s="13" t="n">
        <v>0.213957707328194</v>
      </c>
      <c r="X51" s="13" t="n">
        <v>0.1034288420274754</v>
      </c>
    </row>
    <row r="52">
      <c r="A52" t="inlineStr">
        <is>
          <t>Para Piyasası</t>
        </is>
      </c>
      <c r="B52" t="inlineStr">
        <is>
          <t>AC4</t>
        </is>
      </c>
      <c r="C52" t="inlineStr">
        <is>
          <t>Pardus Portföy Para Piyasası (TL) Fon</t>
        </is>
      </c>
      <c r="D52" s="13" t="n">
        <v>0.08262072732041492</v>
      </c>
      <c r="E52" s="13" t="n">
        <v>0.1179475197989222</v>
      </c>
      <c r="F52" s="13" t="n">
        <v>0.3271923739874838</v>
      </c>
      <c r="G52" s="13" t="n">
        <v>0.1333857358272628</v>
      </c>
      <c r="H52" s="13" t="n">
        <v>0.1131827914096384</v>
      </c>
      <c r="I52" s="13" t="n">
        <v>0.08881165208876052</v>
      </c>
      <c r="J52" s="13" t="n">
        <v>0.1186302206489964</v>
      </c>
      <c r="K52" s="13" t="n">
        <v>0.3484426275320862</v>
      </c>
      <c r="L52" s="13" t="n">
        <v>0.1193778243159471</v>
      </c>
      <c r="M52" s="13" t="n">
        <v>0.1466535519114132</v>
      </c>
      <c r="N52" s="13" t="n">
        <v>0.09115391706580045</v>
      </c>
      <c r="O52" s="13" t="n">
        <v>0.1157546582660762</v>
      </c>
      <c r="P52" s="13" t="n">
        <v>0.3294665471742286</v>
      </c>
      <c r="Q52" s="13" t="n">
        <v>0.1130573474646734</v>
      </c>
      <c r="R52" s="13" t="n">
        <v>0.1131136395233545</v>
      </c>
      <c r="S52" s="13" t="n">
        <v>0.110045685235205</v>
      </c>
      <c r="T52" s="13" t="n">
        <v>0.1109998403049817</v>
      </c>
      <c r="U52" s="13" t="n">
        <v>0.3476653276587971</v>
      </c>
      <c r="V52" s="13" t="n">
        <v>0.1126591447458525</v>
      </c>
      <c r="W52" s="13" t="n">
        <v>0.2221184504845874</v>
      </c>
      <c r="X52" s="13" t="n">
        <v>0.1023970696123255</v>
      </c>
    </row>
    <row r="53">
      <c r="A53" t="inlineStr">
        <is>
          <t>Para Piyasası</t>
        </is>
      </c>
      <c r="B53" t="inlineStr">
        <is>
          <t>YLB</t>
        </is>
      </c>
      <c r="C53" t="inlineStr">
        <is>
          <t>Yapı Kredi Portföy Para Piyasası Fonu</t>
        </is>
      </c>
      <c r="D53" s="13" t="n">
        <v>0.09804804354132113</v>
      </c>
      <c r="E53" s="13" t="n">
        <v>0.09042627935840208</v>
      </c>
      <c r="F53" s="13" t="n">
        <v>0.311095525006011</v>
      </c>
      <c r="G53" s="13" t="n">
        <v>0.1082763794111985</v>
      </c>
      <c r="H53" s="13" t="n">
        <v>0.103538077444143</v>
      </c>
      <c r="I53" s="13" t="n">
        <v>0.0984639621898431</v>
      </c>
      <c r="J53" s="13" t="n">
        <v>0.114012438038924</v>
      </c>
      <c r="K53" s="13" t="n">
        <v>0.31377483783539</v>
      </c>
      <c r="L53" s="13" t="n">
        <v>0.107771587015093</v>
      </c>
      <c r="M53" s="13" t="n">
        <v>0.1051586990515885</v>
      </c>
      <c r="N53" s="13" t="n">
        <v>0.1077164915862738</v>
      </c>
      <c r="O53" s="13" t="n">
        <v>0.1030230724168746</v>
      </c>
      <c r="P53" s="13" t="n">
        <v>0.3085195979404931</v>
      </c>
      <c r="Q53" s="13" t="n">
        <v>0.1038123184077921</v>
      </c>
      <c r="R53" s="13" t="n">
        <v>0.1038199516467664</v>
      </c>
      <c r="S53" s="13" t="n">
        <v>0.1022726291148857</v>
      </c>
      <c r="T53" s="13" t="n">
        <v>0.0961853201182139</v>
      </c>
      <c r="U53" s="13" t="n">
        <v>0.3212675066365689</v>
      </c>
      <c r="V53" s="13" t="n">
        <v>0.1125131976720484</v>
      </c>
      <c r="W53" s="13" t="n">
        <v>0.2034863925628017</v>
      </c>
      <c r="X53" s="13" t="n">
        <v>0.1170697387288921</v>
      </c>
    </row>
    <row r="54">
      <c r="A54" t="inlineStr">
        <is>
          <t>Para Piyasası</t>
        </is>
      </c>
      <c r="B54" t="inlineStr">
        <is>
          <t>ANL</t>
        </is>
      </c>
      <c r="C54" t="inlineStr">
        <is>
          <t>AK Portföy Alternatif Bank Para Piyasası (Tl)fonu</t>
        </is>
      </c>
      <c r="D54" s="13" t="n">
        <v>0.06398776152634067</v>
      </c>
      <c r="E54" s="13" t="n">
        <v>0.1077297017526346</v>
      </c>
      <c r="F54" s="13" t="n">
        <v>0.3032124207681841</v>
      </c>
      <c r="G54" s="13" t="n">
        <v>0.1055879940661253</v>
      </c>
      <c r="H54" s="13" t="n">
        <v>0.1198414646468304</v>
      </c>
      <c r="I54" s="13" t="n">
        <v>0.08742503233964971</v>
      </c>
      <c r="J54" s="13" t="n">
        <v>0.1160132269705905</v>
      </c>
      <c r="K54" s="13" t="n">
        <v>0.3208992552169887</v>
      </c>
      <c r="L54" s="13" t="n">
        <v>0.109648896893999</v>
      </c>
      <c r="M54" s="13" t="n">
        <v>0.1119618333435213</v>
      </c>
      <c r="N54" s="13" t="n">
        <v>0.1038416510850571</v>
      </c>
      <c r="O54" s="13" t="n">
        <v>0.09433221808712311</v>
      </c>
      <c r="P54" s="13" t="n">
        <v>0.2893881385067631</v>
      </c>
      <c r="Q54" s="13" t="n">
        <v>0.1044973339980215</v>
      </c>
      <c r="R54" s="13" t="n">
        <v>0.09962627897512899</v>
      </c>
      <c r="S54" s="13" t="n">
        <v>0.1260205186910612</v>
      </c>
      <c r="T54" s="13" t="n">
        <v>0.1018570860114032</v>
      </c>
      <c r="U54" s="13" t="n">
        <v>0.3365096241914278</v>
      </c>
      <c r="V54" s="13" t="n">
        <v>0.1124527767723649</v>
      </c>
      <c r="W54" s="13" t="n">
        <v>0.2153303509429882</v>
      </c>
      <c r="X54" s="13" t="n">
        <v>0.1117164447421493</v>
      </c>
    </row>
    <row r="55">
      <c r="A55" t="inlineStr">
        <is>
          <t>Para Piyasası</t>
        </is>
      </c>
      <c r="B55" t="inlineStr">
        <is>
          <t>YVD</t>
        </is>
      </c>
      <c r="C55" t="inlineStr">
        <is>
          <t>Yapı Kredi Portföy İkinci Para Piyasası (TL) Fonu</t>
        </is>
      </c>
      <c r="D55" s="13" t="n">
        <v>0.09948848336625016</v>
      </c>
      <c r="E55" s="13" t="n">
        <v>0.05941112084222322</v>
      </c>
      <c r="F55" s="13" t="n">
        <v>0.3054167700604626</v>
      </c>
      <c r="G55" s="13" t="n">
        <v>0.1111082712488276</v>
      </c>
      <c r="H55" s="13" t="n">
        <v>0.1001947535522296</v>
      </c>
      <c r="I55" s="13" t="n">
        <v>0.09371825429480563</v>
      </c>
      <c r="J55" s="13" t="n">
        <v>0.1154335525096473</v>
      </c>
      <c r="K55" s="13" t="n">
        <v>0.3125261869139973</v>
      </c>
      <c r="L55" s="13" t="n">
        <v>0.1030210491822503</v>
      </c>
      <c r="M55" s="13" t="n">
        <v>0.1043497140545302</v>
      </c>
      <c r="N55" s="13" t="n">
        <v>0.1122907089649905</v>
      </c>
      <c r="O55" s="13" t="n">
        <v>0.09751486224800487</v>
      </c>
      <c r="P55" s="13" t="n">
        <v>0.3005546996920128</v>
      </c>
      <c r="Q55" s="13" t="n">
        <v>0.1014769530867543</v>
      </c>
      <c r="R55" s="13" t="n">
        <v>0.1063596923355892</v>
      </c>
      <c r="S55" s="13" t="n">
        <v>0.1008157753565442</v>
      </c>
      <c r="T55" s="13" t="n">
        <v>0.09156916860171282</v>
      </c>
      <c r="U55" s="13" t="n">
        <v>0.3182224233664765</v>
      </c>
      <c r="V55" s="13" t="n">
        <v>0.1123600277667558</v>
      </c>
      <c r="W55" s="13" t="n">
        <v>0.1868994118207068</v>
      </c>
      <c r="X55" s="13" t="n">
        <v>0.1206581077590307</v>
      </c>
    </row>
    <row r="56">
      <c r="A56" t="inlineStr">
        <is>
          <t>Para Piyasası</t>
        </is>
      </c>
      <c r="B56" t="inlineStr">
        <is>
          <t>PRD</t>
        </is>
      </c>
      <c r="C56" t="inlineStr">
        <is>
          <t>Piramit Portföy Para Piyasası (TL) Fonu</t>
        </is>
      </c>
      <c r="D56" s="13" t="n">
        <v>0.08898989118963918</v>
      </c>
      <c r="E56" s="13" t="n">
        <v>0.1092096126503073</v>
      </c>
      <c r="F56" s="13" t="n">
        <v>0.3269503019026176</v>
      </c>
      <c r="G56" s="13" t="n">
        <v>0.1220867785505897</v>
      </c>
      <c r="H56" s="13" t="n">
        <v>0.1142654108736485</v>
      </c>
      <c r="I56" s="13" t="n">
        <v>0.08977524712143747</v>
      </c>
      <c r="J56" s="13" t="n">
        <v>0.1161291439942147</v>
      </c>
      <c r="K56" s="13" t="n">
        <v>0.3461623730969254</v>
      </c>
      <c r="L56" s="13" t="n">
        <v>0.1176357972127562</v>
      </c>
      <c r="M56" s="13" t="n">
        <v>0.1260618056291962</v>
      </c>
      <c r="N56" s="13" t="n">
        <v>0.1020982641484869</v>
      </c>
      <c r="O56" s="13" t="n">
        <v>0.1171395348416482</v>
      </c>
      <c r="P56" s="13" t="n">
        <v>0.3251323220815117</v>
      </c>
      <c r="Q56" s="13" t="n">
        <v>0.1135175450323045</v>
      </c>
      <c r="R56" s="13" t="n">
        <v>0.1105563560912737</v>
      </c>
      <c r="S56" s="13" t="n">
        <v>0.1128594165981101</v>
      </c>
      <c r="T56" s="13" t="n">
        <v>0.1113415399494944</v>
      </c>
      <c r="U56" s="13" t="n">
        <v>0.3577607510824921</v>
      </c>
      <c r="V56" s="13" t="n">
        <v>0.1122500327061182</v>
      </c>
      <c r="W56" s="13" t="n">
        <v>0.2217507516199868</v>
      </c>
      <c r="X56" s="13" t="n">
        <v>0.1071589570514231</v>
      </c>
    </row>
    <row r="57">
      <c r="A57" t="inlineStr">
        <is>
          <t>Para Piyasası</t>
        </is>
      </c>
      <c r="B57" t="inlineStr">
        <is>
          <t>DLY</t>
        </is>
      </c>
      <c r="C57" t="inlineStr">
        <is>
          <t>Deniz Portföy Para Piyasası (TL) Fonu</t>
        </is>
      </c>
      <c r="D57" s="13" t="n">
        <v>0.09347721492887207</v>
      </c>
      <c r="E57" s="13" t="n">
        <v>0.08713927176289271</v>
      </c>
      <c r="F57" s="13" t="n">
        <v>0.3066834401673324</v>
      </c>
      <c r="G57" s="13" t="n">
        <v>0.1134028646412544</v>
      </c>
      <c r="H57" s="13" t="n">
        <v>0.106634909189518</v>
      </c>
      <c r="I57" s="13" t="n">
        <v>0.09246897590609038</v>
      </c>
      <c r="J57" s="13" t="n">
        <v>0.1112483965317379</v>
      </c>
      <c r="K57" s="13" t="n">
        <v>0.3180407391133455</v>
      </c>
      <c r="L57" s="13" t="n">
        <v>0.1070817956247083</v>
      </c>
      <c r="M57" s="13" t="n">
        <v>0.1076628620339637</v>
      </c>
      <c r="N57" s="13" t="n">
        <v>0.1079118756741382</v>
      </c>
      <c r="O57" s="13" t="n">
        <v>0.1085070159945856</v>
      </c>
      <c r="P57" s="13" t="n">
        <v>0.3033793989752676</v>
      </c>
      <c r="Q57" s="13" t="n">
        <v>0.1025314714415471</v>
      </c>
      <c r="R57" s="13" t="n">
        <v>0.1045671701209505</v>
      </c>
      <c r="S57" s="13" t="n">
        <v>0.1021987387785916</v>
      </c>
      <c r="T57" s="13" t="n">
        <v>0.09880381060540788</v>
      </c>
      <c r="U57" s="13" t="n">
        <v>0.319216297913627</v>
      </c>
      <c r="V57" s="13" t="n">
        <v>0.112237450662378</v>
      </c>
      <c r="W57" s="13" t="n">
        <v>0.2079600278034111</v>
      </c>
      <c r="X57" s="13" t="n">
        <v>0.1159320455909274</v>
      </c>
    </row>
    <row r="58">
      <c r="A58" t="inlineStr">
        <is>
          <t>Para Piyasası</t>
        </is>
      </c>
      <c r="B58" t="inlineStr">
        <is>
          <t>HVT</t>
        </is>
      </c>
      <c r="C58" t="inlineStr">
        <is>
          <t>Allbatross Portföy Birinci Para Piyasası (TL) Fonu</t>
        </is>
      </c>
      <c r="D58" s="13" t="n">
        <v>0.08306027637163815</v>
      </c>
      <c r="E58" s="13" t="n">
        <v>0.1097458796423201</v>
      </c>
      <c r="F58" s="13" t="n">
        <v>0.3140949691672335</v>
      </c>
      <c r="G58" s="13" t="n">
        <v>0.1100745487407684</v>
      </c>
      <c r="H58" s="13" t="n">
        <v>0.1100665690206393</v>
      </c>
      <c r="I58" s="13" t="n">
        <v>0.1093809216003327</v>
      </c>
      <c r="J58" s="13" t="n">
        <v>0.1100510345316108</v>
      </c>
      <c r="K58" s="13" t="n">
        <v>0.3474357653987292</v>
      </c>
      <c r="L58" s="13" t="n">
        <v>0.1102231772302398</v>
      </c>
      <c r="M58" s="13" t="n">
        <v>0.1117170051228467</v>
      </c>
      <c r="N58" s="13" t="n">
        <v>0.1348071290025343</v>
      </c>
      <c r="O58" s="13" t="n">
        <v>0.1146645279330283</v>
      </c>
      <c r="P58" s="13" t="n">
        <v>0.2909152195040843</v>
      </c>
      <c r="Q58" s="13" t="n">
        <v>0.1101446523344762</v>
      </c>
      <c r="R58" s="13" t="n">
        <v>0.1102683597486998</v>
      </c>
      <c r="S58" s="13" t="n">
        <v>0.1076339609164201</v>
      </c>
      <c r="T58" s="13" t="n">
        <v>0.1120499950905796</v>
      </c>
      <c r="U58" s="13" t="n">
        <v>0.3244570304126837</v>
      </c>
      <c r="V58" s="13" t="n">
        <v>0.1121819116399303</v>
      </c>
      <c r="W58" s="13" t="n">
        <v>0.238340366303591</v>
      </c>
      <c r="X58" s="13" t="n">
        <v>0.1104893711561195</v>
      </c>
    </row>
    <row r="59">
      <c r="A59" t="inlineStr">
        <is>
          <t>Para Piyasası</t>
        </is>
      </c>
      <c r="B59" t="inlineStr">
        <is>
          <t>KIE</t>
        </is>
      </c>
      <c r="C59" t="inlineStr">
        <is>
          <t>Trıve Portföy Para Piyasası (TL) Fonu</t>
        </is>
      </c>
      <c r="D59" s="13" t="n">
        <v>0.09574759569597191</v>
      </c>
      <c r="E59" s="13" t="n">
        <v>0.1071291655097006</v>
      </c>
      <c r="F59" s="13" t="n">
        <v>0.3187976957842453</v>
      </c>
      <c r="G59" s="13" t="n">
        <v>0.128392458564397</v>
      </c>
      <c r="H59" s="13" t="n">
        <v>0.1096494260981018</v>
      </c>
      <c r="I59" s="13" t="n">
        <v>0.08986608502761229</v>
      </c>
      <c r="J59" s="13" t="n">
        <v>0.1129046208999673</v>
      </c>
      <c r="K59" s="13" t="n">
        <v>0.3345864143347699</v>
      </c>
      <c r="L59" s="13" t="n">
        <v>0.1139356203055941</v>
      </c>
      <c r="M59" s="13" t="n">
        <v>0.1244888454151383</v>
      </c>
      <c r="N59" s="13" t="n">
        <v>0.09956777805752992</v>
      </c>
      <c r="O59" s="13" t="n">
        <v>0.1188694800327683</v>
      </c>
      <c r="P59" s="13" t="n">
        <v>0.3042071964698856</v>
      </c>
      <c r="Q59" s="13" t="n">
        <v>0.1069359984072094</v>
      </c>
      <c r="R59" s="13" t="n">
        <v>0.1035070006286887</v>
      </c>
      <c r="S59" s="13" t="n">
        <v>0.1102721376646354</v>
      </c>
      <c r="T59" s="13" t="n">
        <v>0.1046000932497071</v>
      </c>
      <c r="U59" s="13" t="n">
        <v>0.321914030576842</v>
      </c>
      <c r="V59" s="13" t="n">
        <v>0.1120286410718485</v>
      </c>
      <c r="W59" s="13" t="n">
        <v>0.2320088891673233</v>
      </c>
      <c r="X59" s="13" t="n">
        <v>0.1334065638097792</v>
      </c>
    </row>
    <row r="60">
      <c r="A60" t="inlineStr">
        <is>
          <t>Para Piyasası</t>
        </is>
      </c>
      <c r="B60" t="inlineStr">
        <is>
          <t>BRG</t>
        </is>
      </c>
      <c r="C60" t="inlineStr">
        <is>
          <t>Teb Portföy Burgan Bank Para Piyasası (TL) Fonu</t>
        </is>
      </c>
      <c r="D60" s="13" t="n">
        <v>0.09655474174432577</v>
      </c>
      <c r="E60" s="13" t="n">
        <v>0.09558315870756839</v>
      </c>
      <c r="F60" s="13" t="n">
        <v>0.3001621272499477</v>
      </c>
      <c r="G60" s="13" t="n">
        <v>0.1189763905508734</v>
      </c>
      <c r="H60" s="13" t="n">
        <v>0.1078899493385466</v>
      </c>
      <c r="I60" s="13" t="n">
        <v>0.08505494066939345</v>
      </c>
      <c r="J60" s="13" t="n">
        <v>0.1137255716392227</v>
      </c>
      <c r="K60" s="13" t="n">
        <v>0.3195676201350306</v>
      </c>
      <c r="L60" s="13" t="n">
        <v>0.1079201924076845</v>
      </c>
      <c r="M60" s="13" t="n">
        <v>0.1172230025613397</v>
      </c>
      <c r="N60" s="13" t="n">
        <v>0.09901225016120119</v>
      </c>
      <c r="O60" s="13" t="n">
        <v>0.1092200341572758</v>
      </c>
      <c r="P60" s="13" t="n">
        <v>0.3078666486307391</v>
      </c>
      <c r="Q60" s="13" t="n">
        <v>0.09805157139086695</v>
      </c>
      <c r="R60" s="13" t="n">
        <v>0.09980103360816006</v>
      </c>
      <c r="S60" s="13" t="n">
        <v>0.09984492693948521</v>
      </c>
      <c r="T60" s="13" t="n">
        <v>0.1020987859474021</v>
      </c>
      <c r="U60" s="13" t="n">
        <v>0.3328881331912337</v>
      </c>
      <c r="V60" s="13" t="n">
        <v>0.1118239115710962</v>
      </c>
      <c r="W60" s="13" t="n">
        <v>0.2170681290660781</v>
      </c>
      <c r="X60" s="13" t="n">
        <v>0.1176310742629472</v>
      </c>
    </row>
    <row r="61">
      <c r="A61" t="inlineStr">
        <is>
          <t>Para Piyasası</t>
        </is>
      </c>
      <c r="B61" t="inlineStr">
        <is>
          <t>PRH</t>
        </is>
      </c>
      <c r="C61" t="inlineStr">
        <is>
          <t>Aura Portföy Para Piyasası (TL) Fonu</t>
        </is>
      </c>
      <c r="D61" s="13" t="n">
        <v>0.0933226333825754</v>
      </c>
      <c r="E61" s="13" t="n">
        <v>0.08159339973965452</v>
      </c>
      <c r="F61" s="13" t="n">
        <v>0.3102713603600593</v>
      </c>
      <c r="G61" s="13" t="n">
        <v>0.1234225617222418</v>
      </c>
      <c r="H61" s="13" t="n">
        <v>0.1022954674640086</v>
      </c>
      <c r="I61" s="13" t="n">
        <v>0.08891874994529925</v>
      </c>
      <c r="J61" s="13" t="n">
        <v>0.1084146159611388</v>
      </c>
      <c r="K61" s="13" t="n">
        <v>0.3226596862195175</v>
      </c>
      <c r="L61" s="13" t="n">
        <v>0.1115278493164951</v>
      </c>
      <c r="M61" s="13" t="n">
        <v>0.1227082186969541</v>
      </c>
      <c r="N61" s="13" t="n">
        <v>0.09968680201748459</v>
      </c>
      <c r="O61" s="13" t="n">
        <v>0.1143376634143989</v>
      </c>
      <c r="P61" s="13" t="n">
        <v>0.3209064922296445</v>
      </c>
      <c r="Q61" s="13" t="n">
        <v>0.1111060984049672</v>
      </c>
      <c r="R61" s="13" t="n">
        <v>0.1146742259609645</v>
      </c>
      <c r="S61" s="13" t="n">
        <v>0.1093712065454167</v>
      </c>
      <c r="T61" s="13" t="n">
        <v>0.1076253775857072</v>
      </c>
      <c r="U61" s="13" t="n">
        <v>0.3388704795170172</v>
      </c>
      <c r="V61" s="13" t="n">
        <v>0.1111943415175842</v>
      </c>
      <c r="W61" s="13" t="n">
        <v>0.2113437811271712</v>
      </c>
      <c r="X61" s="13" t="n">
        <v>0.1146814575367694</v>
      </c>
    </row>
    <row r="62">
      <c r="A62" t="inlineStr">
        <is>
          <t>Para Piyasası</t>
        </is>
      </c>
      <c r="B62" t="inlineStr">
        <is>
          <t>DL2</t>
        </is>
      </c>
      <c r="C62" t="inlineStr">
        <is>
          <t>Deniz Portföy İkinci Para Piyasası (TL) Fonu</t>
        </is>
      </c>
      <c r="D62" s="13" t="n">
        <v>0.08967462035294194</v>
      </c>
      <c r="E62" s="13" t="n">
        <v>0.05339369643351244</v>
      </c>
      <c r="F62" s="13" t="n">
        <v>0.3082315393529544</v>
      </c>
      <c r="G62" s="13" t="n">
        <v>0.1212953377911496</v>
      </c>
      <c r="H62" s="13" t="n">
        <v>0.1051127802093932</v>
      </c>
      <c r="I62" s="13" t="n">
        <v>0.08030859112964084</v>
      </c>
      <c r="J62" s="13" t="n">
        <v>0.1163754705225006</v>
      </c>
      <c r="K62" s="13" t="n">
        <v>0.3272470104153324</v>
      </c>
      <c r="L62" s="13" t="n">
        <v>0.108000264874053</v>
      </c>
      <c r="M62" s="13" t="n">
        <v>0.1126207344203545</v>
      </c>
      <c r="N62" s="13" t="n">
        <v>0.1115136096904168</v>
      </c>
      <c r="O62" s="13" t="n">
        <v>0.1147106387943353</v>
      </c>
      <c r="P62" s="13" t="n">
        <v>0.2969106996731918</v>
      </c>
      <c r="Q62" s="13" t="n">
        <v>0.1027481635302863</v>
      </c>
      <c r="R62" s="13" t="n">
        <v>0.1089546118470786</v>
      </c>
      <c r="S62" s="13" t="n">
        <v>0.1088783456923315</v>
      </c>
      <c r="T62" s="13" t="n">
        <v>0.09747392065386773</v>
      </c>
      <c r="U62" s="13" t="n">
        <v>0.3307761140204368</v>
      </c>
      <c r="V62" s="13" t="n">
        <v>0.1109474304473945</v>
      </c>
      <c r="W62" s="13" t="n">
        <v>0.2040751117494022</v>
      </c>
      <c r="X62" s="13" t="n">
        <v>0.1139133754861854</v>
      </c>
    </row>
    <row r="63">
      <c r="A63" t="inlineStr">
        <is>
          <t>Para Piyasası</t>
        </is>
      </c>
      <c r="B63" t="inlineStr">
        <is>
          <t>OYL</t>
        </is>
      </c>
      <c r="C63" t="inlineStr">
        <is>
          <t>Oyak Portföy Birinci Para Piyasası (TL) Fonu</t>
        </is>
      </c>
      <c r="D63" s="13" t="n">
        <v>0.1012876104730109</v>
      </c>
      <c r="E63" s="13" t="n">
        <v>0.0985397598010529</v>
      </c>
      <c r="F63" s="13" t="n">
        <v>0.3052386080591107</v>
      </c>
      <c r="G63" s="13" t="n">
        <v>0.1126341235286654</v>
      </c>
      <c r="H63" s="13" t="n">
        <v>0.1059280215803815</v>
      </c>
      <c r="I63" s="13" t="n">
        <v>0.09004212920058485</v>
      </c>
      <c r="J63" s="13" t="n">
        <v>0.1103172935490671</v>
      </c>
      <c r="K63" s="13" t="n">
        <v>0.3194364275594275</v>
      </c>
      <c r="L63" s="13" t="n">
        <v>0.1065756523672245</v>
      </c>
      <c r="M63" s="13" t="n">
        <v>0.1221376040129174</v>
      </c>
      <c r="N63" s="13" t="n">
        <v>0.1011135537826169</v>
      </c>
      <c r="O63" s="13" t="n">
        <v>0.1068765966320884</v>
      </c>
      <c r="P63" s="13" t="n">
        <v>0.3085696429966367</v>
      </c>
      <c r="Q63" s="13" t="n">
        <v>0.1018911516944998</v>
      </c>
      <c r="R63" s="13" t="n">
        <v>0.1050290774945895</v>
      </c>
      <c r="S63" s="13" t="n">
        <v>0.09844240795311432</v>
      </c>
      <c r="T63" s="13" t="n">
        <v>0.09705157320600843</v>
      </c>
      <c r="U63" s="13" t="n">
        <v>0.3270698804837435</v>
      </c>
      <c r="V63" s="13" t="n">
        <v>0.1108154600452327</v>
      </c>
      <c r="W63" s="13" t="n">
        <v>0.2033658332528887</v>
      </c>
      <c r="X63" s="13" t="n">
        <v>0.1123949107584288</v>
      </c>
    </row>
    <row r="64">
      <c r="A64" t="inlineStr">
        <is>
          <t>Para Piyasası</t>
        </is>
      </c>
      <c r="B64" t="inlineStr">
        <is>
          <t>IOP</t>
        </is>
      </c>
      <c r="C64" t="inlineStr">
        <is>
          <t>İŞ Portföy Odeabank Para Piyasası (TL) Fonu</t>
        </is>
      </c>
      <c r="D64" s="13" t="n">
        <v>0.09451475247581609</v>
      </c>
      <c r="E64" s="13" t="n">
        <v>0.08654683059508006</v>
      </c>
      <c r="F64" s="13" t="n">
        <v>0.3080183812233184</v>
      </c>
      <c r="G64" s="13" t="n">
        <v>0.1195380494860343</v>
      </c>
      <c r="H64" s="13" t="n">
        <v>0.1078822660602663</v>
      </c>
      <c r="I64" s="13" t="n">
        <v>0.09911104832243112</v>
      </c>
      <c r="J64" s="13" t="n">
        <v>0.1154814246488334</v>
      </c>
      <c r="K64" s="13" t="n">
        <v>0.3271924058698028</v>
      </c>
      <c r="L64" s="13" t="n">
        <v>0.111371312458175</v>
      </c>
      <c r="M64" s="13" t="n">
        <v>0.1091061111299751</v>
      </c>
      <c r="N64" s="13" t="n">
        <v>0.116156090658226</v>
      </c>
      <c r="O64" s="13" t="n">
        <v>0.1010158333806244</v>
      </c>
      <c r="P64" s="13" t="n">
        <v>0.3083943285457469</v>
      </c>
      <c r="Q64" s="13" t="n">
        <v>0.1043937292615205</v>
      </c>
      <c r="R64" s="13" t="n">
        <v>0.1033383278254529</v>
      </c>
      <c r="S64" s="13" t="n">
        <v>0.1052388859674291</v>
      </c>
      <c r="T64" s="13" t="n">
        <v>0.1103150632675298</v>
      </c>
      <c r="U64" s="13" t="n">
        <v>0.3189768375143176</v>
      </c>
      <c r="V64" s="13" t="n">
        <v>0.1105526460775774</v>
      </c>
      <c r="W64" s="13" t="n">
        <v>0.2100158542026609</v>
      </c>
      <c r="X64" s="13" t="n">
        <v>0.1026167687214752</v>
      </c>
    </row>
    <row r="65">
      <c r="A65" t="inlineStr">
        <is>
          <t>Para Piyasası</t>
        </is>
      </c>
      <c r="B65" t="inlineStr">
        <is>
          <t>IGL</t>
        </is>
      </c>
      <c r="C65" t="inlineStr">
        <is>
          <t>Teb Portföy Ing Bank Para Piyasası (TL) Fonu</t>
        </is>
      </c>
      <c r="D65" s="13" t="n">
        <v>0.09135799589170546</v>
      </c>
      <c r="E65" s="13" t="n">
        <v>0.09417627880878854</v>
      </c>
      <c r="F65" s="13" t="n">
        <v>0.2967521737691659</v>
      </c>
      <c r="G65" s="13" t="n">
        <v>0.1178275153629782</v>
      </c>
      <c r="H65" s="13" t="n">
        <v>0.1069189684048233</v>
      </c>
      <c r="I65" s="13" t="n">
        <v>0.08441012383402224</v>
      </c>
      <c r="J65" s="13" t="n">
        <v>0.1126279666820551</v>
      </c>
      <c r="K65" s="13" t="n">
        <v>0.3191308667201742</v>
      </c>
      <c r="L65" s="13" t="n">
        <v>0.1073162829570595</v>
      </c>
      <c r="M65" s="13" t="n">
        <v>0.1140287155546593</v>
      </c>
      <c r="N65" s="13" t="n">
        <v>0.1016896975133408</v>
      </c>
      <c r="O65" s="13" t="n">
        <v>0.1097597196779265</v>
      </c>
      <c r="P65" s="13" t="n">
        <v>0.301537293810572</v>
      </c>
      <c r="Q65" s="13" t="n">
        <v>0.09619959459730154</v>
      </c>
      <c r="R65" s="13" t="n">
        <v>0.09884744430823655</v>
      </c>
      <c r="S65" s="13" t="n">
        <v>0.09830225012819049</v>
      </c>
      <c r="T65" s="13" t="n">
        <v>0.1022323477667397</v>
      </c>
      <c r="U65" s="13" t="n">
        <v>0.3306180855718654</v>
      </c>
      <c r="V65" s="13" t="n">
        <v>0.1104743382529749</v>
      </c>
      <c r="W65" s="13" t="n">
        <v>0.2161815861401184</v>
      </c>
      <c r="X65" s="13" t="n">
        <v>0.1143339019278322</v>
      </c>
    </row>
    <row r="66">
      <c r="A66" t="inlineStr">
        <is>
          <t>Para Piyasası</t>
        </is>
      </c>
      <c r="B66" t="inlineStr">
        <is>
          <t>ZBJ</t>
        </is>
      </c>
      <c r="C66" t="inlineStr">
        <is>
          <t>Ziraat Portföy Başak Para Piyasası (TL) Fonu</t>
        </is>
      </c>
      <c r="D66" s="13" t="n">
        <v>0.09560486911559529</v>
      </c>
      <c r="E66" s="13" t="n">
        <v>0.09814198715791811</v>
      </c>
      <c r="F66" s="13" t="n">
        <v>0.3171910695237923</v>
      </c>
      <c r="G66" s="13" t="n">
        <v>0.1131937496934299</v>
      </c>
      <c r="H66" s="13" t="n">
        <v>0.1087630086363811</v>
      </c>
      <c r="I66" s="13" t="n">
        <v>0.09756031351739747</v>
      </c>
      <c r="J66" s="13" t="n">
        <v>0.1109632559795459</v>
      </c>
      <c r="K66" s="13" t="n">
        <v>0.3304070080762944</v>
      </c>
      <c r="L66" s="13" t="n">
        <v>0.1094934256899105</v>
      </c>
      <c r="M66" s="13" t="n">
        <v>0.1113964584017246</v>
      </c>
      <c r="N66" s="13" t="n">
        <v>0.1093336038270332</v>
      </c>
      <c r="O66" s="13" t="n">
        <v>0.1112733025622648</v>
      </c>
      <c r="P66" s="13" t="n">
        <v>0.3068731521731705</v>
      </c>
      <c r="Q66" s="13" t="n">
        <v>0.1074597097146412</v>
      </c>
      <c r="R66" s="13" t="n">
        <v>0.1090073536867742</v>
      </c>
      <c r="S66" s="13" t="n">
        <v>0.1073692804333781</v>
      </c>
      <c r="T66" s="13" t="n">
        <v>0.1065256038862428</v>
      </c>
      <c r="U66" s="13" t="n">
        <v>0.3335490283716824</v>
      </c>
      <c r="V66" s="13" t="n">
        <v>0.1097455543177972</v>
      </c>
      <c r="W66" s="13" t="n">
        <v>0.2130114922356707</v>
      </c>
      <c r="X66" s="13" t="n">
        <v>0.1124247639742615</v>
      </c>
    </row>
    <row r="67">
      <c r="A67" t="inlineStr">
        <is>
          <t>Para Piyasası</t>
        </is>
      </c>
      <c r="B67" t="inlineStr">
        <is>
          <t>PPZ</t>
        </is>
      </c>
      <c r="C67" t="inlineStr">
        <is>
          <t>Azimut Portföy Para Piyasası (TL) Fonu</t>
        </is>
      </c>
      <c r="D67" s="13" t="n">
        <v>0.1038035204361965</v>
      </c>
      <c r="E67" s="13" t="n">
        <v>0.09618686842829405</v>
      </c>
      <c r="F67" s="13" t="n">
        <v>0.3104801880320363</v>
      </c>
      <c r="G67" s="13" t="n">
        <v>0.1290459181377379</v>
      </c>
      <c r="H67" s="13" t="n">
        <v>0.1088977689860604</v>
      </c>
      <c r="I67" s="13" t="n">
        <v>0.09387383214847222</v>
      </c>
      <c r="J67" s="13" t="n">
        <v>0.1150662768524935</v>
      </c>
      <c r="K67" s="13" t="n">
        <v>0.3205647302410242</v>
      </c>
      <c r="L67" s="13" t="n">
        <v>0.1090087035080511</v>
      </c>
      <c r="M67" s="13" t="n">
        <v>0.1188066002169252</v>
      </c>
      <c r="N67" s="13" t="n">
        <v>0.09803857145445072</v>
      </c>
      <c r="O67" s="13" t="n">
        <v>0.1062205127597471</v>
      </c>
      <c r="P67" s="13" t="n">
        <v>0.3151724883607709</v>
      </c>
      <c r="Q67" s="13" t="n">
        <v>0.09761095513165507</v>
      </c>
      <c r="R67" s="13" t="n">
        <v>0.09980950815384748</v>
      </c>
      <c r="S67" s="13" t="n">
        <v>0.1016990957516617</v>
      </c>
      <c r="T67" s="13" t="n">
        <v>0.1046956291721024</v>
      </c>
      <c r="U67" s="13" t="n">
        <v>0.3272723346019246</v>
      </c>
      <c r="V67" s="13" t="n">
        <v>0.109436638734528</v>
      </c>
      <c r="W67" s="13" t="n">
        <v>0.2195194257457844</v>
      </c>
      <c r="X67" s="13" t="n">
        <v>0.1130374187775285</v>
      </c>
    </row>
    <row r="68">
      <c r="A68" t="inlineStr">
        <is>
          <t>Para Piyasası</t>
        </is>
      </c>
      <c r="B68" t="inlineStr">
        <is>
          <t>GAL</t>
        </is>
      </c>
      <c r="C68" t="inlineStr">
        <is>
          <t>Garanti Portföy İkinci Para Piyasası (TL) Fonu</t>
        </is>
      </c>
      <c r="D68" s="13" t="n">
        <v>0.08659172419531735</v>
      </c>
      <c r="E68" s="13" t="n">
        <v>0.06663725677462651</v>
      </c>
      <c r="F68" s="13" t="n">
        <v>0.2773009292105666</v>
      </c>
      <c r="G68" s="13" t="n">
        <v>0.1148402044684804</v>
      </c>
      <c r="H68" s="13" t="n">
        <v>0.1098470686474284</v>
      </c>
      <c r="I68" s="13" t="n">
        <v>0.0862362934463734</v>
      </c>
      <c r="J68" s="13" t="n">
        <v>0.1143117931130089</v>
      </c>
      <c r="K68" s="13" t="n">
        <v>0.3141465686395506</v>
      </c>
      <c r="L68" s="13" t="n">
        <v>0.1073401603586488</v>
      </c>
      <c r="M68" s="13" t="n">
        <v>0.114827653614058</v>
      </c>
      <c r="N68" s="13" t="n">
        <v>0.09966167655597324</v>
      </c>
      <c r="O68" s="13" t="n">
        <v>0.07860158295633912</v>
      </c>
      <c r="P68" s="13" t="n">
        <v>0.2981823679284679</v>
      </c>
      <c r="Q68" s="13" t="n">
        <v>0.08557202371577421</v>
      </c>
      <c r="R68" s="13" t="n">
        <v>0.08683389214285686</v>
      </c>
      <c r="S68" s="13" t="n">
        <v>0.08494833626617737</v>
      </c>
      <c r="T68" s="13" t="n">
        <v>0.1055462477392854</v>
      </c>
      <c r="U68" s="13" t="n">
        <v>0.3251038667386519</v>
      </c>
      <c r="V68" s="13" t="n">
        <v>0.1088781397976746</v>
      </c>
      <c r="W68" s="13" t="n">
        <v>0.223757599519403</v>
      </c>
      <c r="X68" s="13" t="n">
        <v>0.1097809313924225</v>
      </c>
    </row>
    <row r="69">
      <c r="A69" t="inlineStr">
        <is>
          <t>Para Piyasası</t>
        </is>
      </c>
      <c r="B69" t="inlineStr">
        <is>
          <t>HLL</t>
        </is>
      </c>
      <c r="C69" t="inlineStr">
        <is>
          <t>Ziraat Portföy Halkbank Para Piyasası (TL) Fonu</t>
        </is>
      </c>
      <c r="D69" s="13" t="n">
        <v>0.09225661359342219</v>
      </c>
      <c r="E69" s="13" t="n">
        <v>0.09525330374877683</v>
      </c>
      <c r="F69" s="13" t="n">
        <v>0.3098384194042181</v>
      </c>
      <c r="G69" s="13" t="n">
        <v>0.1171907698317654</v>
      </c>
      <c r="H69" s="13" t="n">
        <v>0.107577826704941</v>
      </c>
      <c r="I69" s="13" t="n">
        <v>0.09298544527220898</v>
      </c>
      <c r="J69" s="13" t="n">
        <v>0.1090312352237666</v>
      </c>
      <c r="K69" s="13" t="n">
        <v>0.3270152977589591</v>
      </c>
      <c r="L69" s="13" t="n">
        <v>0.1099421488289787</v>
      </c>
      <c r="M69" s="13" t="n">
        <v>0.1139708323190325</v>
      </c>
      <c r="N69" s="13" t="n">
        <v>0.1047227472175338</v>
      </c>
      <c r="O69" s="13" t="n">
        <v>0.1076494602345601</v>
      </c>
      <c r="P69" s="13" t="n">
        <v>0.302472999390635</v>
      </c>
      <c r="Q69" s="13" t="n">
        <v>0.1052851495708884</v>
      </c>
      <c r="R69" s="13" t="n">
        <v>0.1065474506874775</v>
      </c>
      <c r="S69" s="13" t="n">
        <v>0.103965216914248</v>
      </c>
      <c r="T69" s="13" t="n">
        <v>0.1044053008297574</v>
      </c>
      <c r="U69" s="13" t="n">
        <v>0.3279451417308898</v>
      </c>
      <c r="V69" s="13" t="n">
        <v>0.1088667759881812</v>
      </c>
      <c r="W69" s="13" t="n">
        <v>0.2106829616627781</v>
      </c>
      <c r="X69" s="13" t="n">
        <v>0.1101516284762516</v>
      </c>
    </row>
    <row r="70">
      <c r="A70" t="inlineStr">
        <is>
          <t>Para Piyasası</t>
        </is>
      </c>
      <c r="B70" t="inlineStr">
        <is>
          <t>BGP</t>
        </is>
      </c>
      <c r="C70" t="inlineStr">
        <is>
          <t>AK Portföy Üçüncü Para Piyasası (TL) Fonu</t>
        </is>
      </c>
      <c r="D70" s="13" t="n">
        <v>0.1082490680421655</v>
      </c>
      <c r="E70" s="13" t="n">
        <v>0.1016401607160322</v>
      </c>
      <c r="F70" s="13" t="n">
        <v>0.3199233035671822</v>
      </c>
      <c r="G70" s="13" t="n">
        <v>0.1126077960901029</v>
      </c>
      <c r="H70" s="13" t="n">
        <v>0.1111114010015957</v>
      </c>
      <c r="I70" s="13" t="n">
        <v>0.09935827584397483</v>
      </c>
      <c r="J70" s="13" t="n">
        <v>0.1137743434299399</v>
      </c>
      <c r="K70" s="13" t="n">
        <v>0.3247465660244808</v>
      </c>
      <c r="L70" s="13" t="n">
        <v>0.1077688510434216</v>
      </c>
      <c r="M70" s="13" t="n">
        <v>0.1143689993497565</v>
      </c>
      <c r="N70" s="13" t="n">
        <v>0.1076591743317312</v>
      </c>
      <c r="O70" s="13" t="n">
        <v>0.1012135125529445</v>
      </c>
      <c r="P70" s="13" t="n">
        <v>0.3055112526509696</v>
      </c>
      <c r="Q70" s="13" t="n">
        <v>0.09787624942585449</v>
      </c>
      <c r="R70" s="13" t="n">
        <v>0.09970852207421554</v>
      </c>
      <c r="S70" s="13" t="n">
        <v>0.1027069434965666</v>
      </c>
      <c r="T70" s="13" t="n">
        <v>0.1463423159541177</v>
      </c>
      <c r="U70" s="13" t="n">
        <v>0.2958593144850585</v>
      </c>
      <c r="V70" s="13" t="n">
        <v>0.1088540189226217</v>
      </c>
      <c r="W70" s="13" t="n">
        <v>0.2308021530903703</v>
      </c>
      <c r="X70" s="13" t="n">
        <v>0.11367168943337</v>
      </c>
    </row>
    <row r="71">
      <c r="A71" t="inlineStr">
        <is>
          <t>Para Piyasası</t>
        </is>
      </c>
      <c r="B71" t="inlineStr">
        <is>
          <t>KPP</t>
        </is>
      </c>
      <c r="C71" t="inlineStr">
        <is>
          <t>Kare Portföy Para Piyasası Fonu</t>
        </is>
      </c>
      <c r="D71" s="13" t="n">
        <v>0.09421379586740386</v>
      </c>
      <c r="E71" s="13" t="n">
        <v>0.09693431684658638</v>
      </c>
      <c r="F71" s="13" t="n">
        <v>0.2821695235274424</v>
      </c>
      <c r="G71" s="13" t="n">
        <v>0.1395919531645307</v>
      </c>
      <c r="H71" s="13" t="n">
        <v>0.1081844772615526</v>
      </c>
      <c r="I71" s="13" t="n">
        <v>0.08126088916096119</v>
      </c>
      <c r="J71" s="13" t="n">
        <v>0.1139618948525767</v>
      </c>
      <c r="K71" s="13" t="n">
        <v>0.3145071060344673</v>
      </c>
      <c r="L71" s="13" t="n">
        <v>0.110195842742189</v>
      </c>
      <c r="M71" s="13" t="n">
        <v>0.1111107768428266</v>
      </c>
      <c r="N71" s="13" t="n">
        <v>0.1078822130578638</v>
      </c>
      <c r="O71" s="13" t="n">
        <v>0.1080661364755153</v>
      </c>
      <c r="P71" s="13" t="n">
        <v>0.323781803449319</v>
      </c>
      <c r="Q71" s="13" t="n">
        <v>0.1016232487424995</v>
      </c>
      <c r="R71" s="13" t="n">
        <v>0.1083212626178609</v>
      </c>
      <c r="S71" s="13" t="n">
        <v>0.1100599281445458</v>
      </c>
      <c r="T71" s="13" t="n">
        <v>0.100901492600558</v>
      </c>
      <c r="U71" s="13" t="n">
        <v>0.3240937940668376</v>
      </c>
      <c r="V71" s="13" t="n">
        <v>0.1082866124123782</v>
      </c>
      <c r="W71" s="13" t="n">
        <v>0.2043201276564544</v>
      </c>
      <c r="X71" s="13" t="n">
        <v>0.1051557191895425</v>
      </c>
    </row>
    <row r="72">
      <c r="A72" t="inlineStr">
        <is>
          <t>Para Piyasası</t>
        </is>
      </c>
      <c r="B72" t="inlineStr">
        <is>
          <t>HSL</t>
        </is>
      </c>
      <c r="C72" t="inlineStr">
        <is>
          <t>Hsbc Portföy Para Piyasası (TL) Fonu</t>
        </is>
      </c>
      <c r="D72" s="13" t="n">
        <v>0.09552587117960254</v>
      </c>
      <c r="E72" s="13" t="n">
        <v>0.09907774721911178</v>
      </c>
      <c r="F72" s="13" t="n">
        <v>0.3102878670564913</v>
      </c>
      <c r="G72" s="13" t="n">
        <v>0.1119732957067354</v>
      </c>
      <c r="H72" s="13" t="n">
        <v>0.108126433595479</v>
      </c>
      <c r="I72" s="13" t="n">
        <v>0.09542885530562373</v>
      </c>
      <c r="J72" s="13" t="n">
        <v>0.1125132063946266</v>
      </c>
      <c r="K72" s="13" t="n">
        <v>0.3182174388705494</v>
      </c>
      <c r="L72" s="13" t="n">
        <v>0.108033533402474</v>
      </c>
      <c r="M72" s="13" t="n">
        <v>0.1112787339013543</v>
      </c>
      <c r="N72" s="13" t="n">
        <v>0.1037783289737249</v>
      </c>
      <c r="O72" s="13" t="n">
        <v>0.1037936313578847</v>
      </c>
      <c r="P72" s="13" t="n">
        <v>0.3122269614023176</v>
      </c>
      <c r="Q72" s="13" t="n">
        <v>0.1030386317127929</v>
      </c>
      <c r="R72" s="13" t="n">
        <v>0.1039733880342952</v>
      </c>
      <c r="S72" s="13" t="n">
        <v>0.1035335435483065</v>
      </c>
      <c r="T72" s="13" t="n">
        <v>0.102866930243195</v>
      </c>
      <c r="U72" s="13" t="n">
        <v>0.3250014565574499</v>
      </c>
      <c r="V72" s="13" t="n">
        <v>0.1081978011735707</v>
      </c>
      <c r="W72" s="13" t="n">
        <v>0.2098752415042204</v>
      </c>
      <c r="X72" s="13" t="n">
        <v>0.1129450523157605</v>
      </c>
    </row>
    <row r="73">
      <c r="A73" t="inlineStr">
        <is>
          <t>Para Piyasası</t>
        </is>
      </c>
      <c r="B73" t="inlineStr">
        <is>
          <t>IJV</t>
        </is>
      </c>
      <c r="C73" t="inlineStr">
        <is>
          <t>İstanbul Portföy Birinci Para Piyasası (TL) Fonu</t>
        </is>
      </c>
      <c r="D73" s="13" t="n">
        <v>0.1115104188085247</v>
      </c>
      <c r="E73" s="13" t="n">
        <v>0.1052435196977841</v>
      </c>
      <c r="F73" s="13" t="n">
        <v>0.3106492154454354</v>
      </c>
      <c r="G73" s="13" t="n">
        <v>0.1017960227394532</v>
      </c>
      <c r="H73" s="13" t="n">
        <v>0.1160713508661759</v>
      </c>
      <c r="I73" s="13" t="n">
        <v>0.1022738160322278</v>
      </c>
      <c r="J73" s="13" t="n">
        <v>0.1057373210078261</v>
      </c>
      <c r="K73" s="13" t="n">
        <v>0.320271409416728</v>
      </c>
      <c r="L73" s="13" t="n">
        <v>0.09846469886400921</v>
      </c>
      <c r="M73" s="13" t="n">
        <v>0.1210161071236726</v>
      </c>
      <c r="N73" s="13" t="n">
        <v>0.1069146586561986</v>
      </c>
      <c r="O73" s="13" t="n">
        <v>0.1069128948455678</v>
      </c>
      <c r="P73" s="13" t="n">
        <v>0.321930926724967</v>
      </c>
      <c r="Q73" s="13" t="n">
        <v>0.09343351565431757</v>
      </c>
      <c r="R73" s="13" t="n">
        <v>0.114297025761001</v>
      </c>
      <c r="S73" s="13" t="n">
        <v>0.09575317984151788</v>
      </c>
      <c r="T73" s="13" t="n">
        <v>0.1064497816691379</v>
      </c>
      <c r="U73" s="13" t="n">
        <v>0.3019713796089674</v>
      </c>
      <c r="V73" s="13" t="n">
        <v>0.1081467795211788</v>
      </c>
      <c r="W73" s="13" t="n">
        <v>0.2167260634001522</v>
      </c>
      <c r="X73" s="13" t="n">
        <v>0.107759396680307</v>
      </c>
    </row>
    <row r="74">
      <c r="A74" t="inlineStr">
        <is>
          <t>Para Piyasası</t>
        </is>
      </c>
      <c r="B74" t="inlineStr">
        <is>
          <t>IRY</t>
        </is>
      </c>
      <c r="C74" t="inlineStr">
        <is>
          <t>Inveo Portföy Para Piyasası (TL) Fonu</t>
        </is>
      </c>
      <c r="D74" s="13" t="n">
        <v>0.09362878775274197</v>
      </c>
      <c r="E74" s="13" t="n">
        <v>0.1028175769529849</v>
      </c>
      <c r="F74" s="13" t="n">
        <v>0.3115641091430588</v>
      </c>
      <c r="G74" s="13" t="n">
        <v>0.1618796515702625</v>
      </c>
      <c r="H74" s="13" t="n">
        <v>0.1130499824334219</v>
      </c>
      <c r="I74" s="13" t="n">
        <v>0.09452352024759136</v>
      </c>
      <c r="J74" s="13" t="n">
        <v>0.113720127185668</v>
      </c>
      <c r="K74" s="13" t="n">
        <v>0.3328281303806246</v>
      </c>
      <c r="L74" s="13" t="n">
        <v>0.1111219985010736</v>
      </c>
      <c r="M74" s="13" t="n">
        <v>0.1101785977875469</v>
      </c>
      <c r="N74" s="13" t="n">
        <v>0.1133603795168137</v>
      </c>
      <c r="O74" s="13" t="n">
        <v>0.1208863981950525</v>
      </c>
      <c r="P74" s="13" t="n">
        <v>0.3138196923438752</v>
      </c>
      <c r="Q74" s="13" t="n">
        <v>0.1077745643093042</v>
      </c>
      <c r="R74" s="13" t="n">
        <v>0.1094961601526334</v>
      </c>
      <c r="S74" s="13" t="n">
        <v>0.1079079056504728</v>
      </c>
      <c r="T74" s="13" t="n">
        <v>0.1062722917723136</v>
      </c>
      <c r="U74" s="13" t="n">
        <v>0.3320852551896181</v>
      </c>
      <c r="V74" s="13" t="n">
        <v>0.1078945309443746</v>
      </c>
      <c r="W74" s="13" t="n">
        <v>0.2126125816315438</v>
      </c>
      <c r="X74" s="13" t="n">
        <v>0.1026881415733927</v>
      </c>
    </row>
    <row r="75">
      <c r="A75" t="inlineStr">
        <is>
          <t>Para Piyasası</t>
        </is>
      </c>
      <c r="B75" t="inlineStr">
        <is>
          <t>NRG</t>
        </is>
      </c>
      <c r="C75" t="inlineStr">
        <is>
          <t>Neo Portföy Birinci Para Piyasası Fonu</t>
        </is>
      </c>
      <c r="D75" s="13" t="n">
        <v>0.1070855619598854</v>
      </c>
      <c r="E75" s="13" t="n">
        <v>0.05614489992518124</v>
      </c>
      <c r="F75" s="13" t="n">
        <v>0.3132869956439244</v>
      </c>
      <c r="G75" s="13" t="n">
        <v>0.1179981183049739</v>
      </c>
      <c r="H75" s="13" t="n">
        <v>0.1032030985770094</v>
      </c>
      <c r="I75" s="13" t="n">
        <v>0.09973713300315268</v>
      </c>
      <c r="J75" s="13" t="n">
        <v>0.1102594281155111</v>
      </c>
      <c r="K75" s="13" t="n">
        <v>0.3206992752836424</v>
      </c>
      <c r="L75" s="13" t="n">
        <v>0.1024187457064452</v>
      </c>
      <c r="M75" s="13" t="n">
        <v>0.1045521933957794</v>
      </c>
      <c r="N75" s="13" t="n">
        <v>0.1142771604844661</v>
      </c>
      <c r="O75" s="13" t="n">
        <v>0.1090743706268826</v>
      </c>
      <c r="P75" s="13" t="n">
        <v>0.3119119038877294</v>
      </c>
      <c r="Q75" s="13" t="n">
        <v>0.1078063074982483</v>
      </c>
      <c r="R75" s="13" t="n">
        <v>0.1123781236750609</v>
      </c>
      <c r="S75" s="13" t="n">
        <v>0.1071932097427064</v>
      </c>
      <c r="T75" s="13" t="n">
        <v>0.1017057218015927</v>
      </c>
      <c r="U75" s="13" t="n">
        <v>0.3189571774278921</v>
      </c>
      <c r="V75" s="13" t="n">
        <v>0.1077519482805656</v>
      </c>
      <c r="W75" s="13" t="n">
        <v>0.1980053335864707</v>
      </c>
      <c r="X75" s="13" t="n">
        <v>0.1229213085421899</v>
      </c>
    </row>
    <row r="76">
      <c r="A76" t="inlineStr">
        <is>
          <t>Para Piyasası</t>
        </is>
      </c>
      <c r="B76" t="inlineStr">
        <is>
          <t>TI1</t>
        </is>
      </c>
      <c r="C76" t="inlineStr">
        <is>
          <t>İŞ Portföy Para Piyasası (TL) Fonu</t>
        </is>
      </c>
      <c r="D76" s="13" t="n">
        <v>0.1042903977696463</v>
      </c>
      <c r="E76" s="13" t="n">
        <v>0.08204578447945643</v>
      </c>
      <c r="F76" s="13" t="n">
        <v>0.3107449961144981</v>
      </c>
      <c r="G76" s="13" t="n">
        <v>0.1137021025445772</v>
      </c>
      <c r="H76" s="13" t="n">
        <v>0.1068452933028485</v>
      </c>
      <c r="I76" s="13" t="n">
        <v>0.1045449797242304</v>
      </c>
      <c r="J76" s="13" t="n">
        <v>0.1126738916202852</v>
      </c>
      <c r="K76" s="13" t="n">
        <v>0.3200205779472443</v>
      </c>
      <c r="L76" s="13" t="n">
        <v>0.1088829287642756</v>
      </c>
      <c r="M76" s="13" t="n">
        <v>0.1107852833779344</v>
      </c>
      <c r="N76" s="13" t="n">
        <v>0.1062869028894298</v>
      </c>
      <c r="O76" s="13" t="n">
        <v>0.08626086626564167</v>
      </c>
      <c r="P76" s="13" t="n">
        <v>0.2959577503275135</v>
      </c>
      <c r="Q76" s="13" t="n">
        <v>0.1022929747785284</v>
      </c>
      <c r="R76" s="13" t="n">
        <v>0.09845343933878592</v>
      </c>
      <c r="S76" s="13" t="n">
        <v>0.1027511111414414</v>
      </c>
      <c r="T76" s="13" t="n">
        <v>0.1080307651351475</v>
      </c>
      <c r="U76" s="13" t="n">
        <v>0.3174388694958674</v>
      </c>
      <c r="V76" s="13" t="n">
        <v>0.1076859714961742</v>
      </c>
      <c r="W76" s="13" t="n">
        <v>0.2126553174706336</v>
      </c>
      <c r="X76" s="13" t="n">
        <v>0.1036660458133554</v>
      </c>
    </row>
    <row r="77">
      <c r="A77" t="inlineStr">
        <is>
          <t>Para Piyasası</t>
        </is>
      </c>
      <c r="B77" t="inlineStr">
        <is>
          <t>FI5</t>
        </is>
      </c>
      <c r="C77" t="inlineStr">
        <is>
          <t>Qnb Portföy Para Piyasası (TL) Fonu</t>
        </is>
      </c>
      <c r="D77" s="13" t="n">
        <v>0.09625392081811235</v>
      </c>
      <c r="E77" s="13" t="n">
        <v>0.08692427574796824</v>
      </c>
      <c r="F77" s="13" t="n">
        <v>0.3103957418880476</v>
      </c>
      <c r="G77" s="13" t="n">
        <v>0.116423584830927</v>
      </c>
      <c r="H77" s="13" t="n">
        <v>0.1104623248179504</v>
      </c>
      <c r="I77" s="13" t="n">
        <v>0.09484719122712093</v>
      </c>
      <c r="J77" s="13" t="n">
        <v>0.1122958947021635</v>
      </c>
      <c r="K77" s="13" t="n">
        <v>0.3209909566956215</v>
      </c>
      <c r="L77" s="13" t="n">
        <v>0.1072044301176023</v>
      </c>
      <c r="M77" s="13" t="n">
        <v>0.1128308136763234</v>
      </c>
      <c r="N77" s="13" t="n">
        <v>0.1041278876333429</v>
      </c>
      <c r="O77" s="13" t="n">
        <v>0.1012630489939603</v>
      </c>
      <c r="P77" s="13" t="n">
        <v>0.3064741909307056</v>
      </c>
      <c r="Q77" s="13" t="n">
        <v>0.1028111374756335</v>
      </c>
      <c r="R77" s="13" t="n">
        <v>0.1050989971355332</v>
      </c>
      <c r="S77" s="13" t="n">
        <v>0.1088767210669195</v>
      </c>
      <c r="T77" s="13" t="n">
        <v>0.1022257141788385</v>
      </c>
      <c r="U77" s="13" t="n">
        <v>0.3194267985970223</v>
      </c>
      <c r="V77" s="13" t="n">
        <v>0.1075067526428164</v>
      </c>
      <c r="W77" s="13" t="n">
        <v>0.2089612422245368</v>
      </c>
      <c r="X77" s="13" t="n">
        <v>0.1187346851606152</v>
      </c>
    </row>
    <row r="78">
      <c r="A78" t="inlineStr">
        <is>
          <t>Para Piyasası</t>
        </is>
      </c>
      <c r="B78" t="inlineStr">
        <is>
          <t>TCB</t>
        </is>
      </c>
      <c r="C78" t="inlineStr">
        <is>
          <t>Tacirler Portföy Para Piyasası Fonu</t>
        </is>
      </c>
      <c r="D78" s="13" t="n">
        <v>0.08535889535548069</v>
      </c>
      <c r="E78" s="13" t="n">
        <v>0.09167115140789051</v>
      </c>
      <c r="F78" s="13" t="n">
        <v>0.3098472179820844</v>
      </c>
      <c r="G78" s="13" t="n">
        <v>0.1194678004751371</v>
      </c>
      <c r="H78" s="13" t="n">
        <v>0.1038991678992351</v>
      </c>
      <c r="I78" s="13" t="n">
        <v>0.09789924535998917</v>
      </c>
      <c r="J78" s="13" t="n">
        <v>0.1104817274995451</v>
      </c>
      <c r="K78" s="13" t="n">
        <v>0.3251995748433822</v>
      </c>
      <c r="L78" s="13" t="n">
        <v>0.1086495892955286</v>
      </c>
      <c r="M78" s="13" t="n">
        <v>0.1022269257616282</v>
      </c>
      <c r="N78" s="13" t="n">
        <v>0.1111201086907654</v>
      </c>
      <c r="O78" s="13" t="n">
        <v>0.1078511115405245</v>
      </c>
      <c r="P78" s="13" t="n">
        <v>0.3079423079512811</v>
      </c>
      <c r="Q78" s="13" t="n">
        <v>0.1069566579400938</v>
      </c>
      <c r="R78" s="13" t="n">
        <v>0.1104186969699716</v>
      </c>
      <c r="S78" s="13" t="n">
        <v>0.1076176314297017</v>
      </c>
      <c r="T78" s="13" t="n">
        <v>0.1003648821047198</v>
      </c>
      <c r="U78" s="13" t="n">
        <v>0.3195087497270599</v>
      </c>
      <c r="V78" s="13" t="n">
        <v>0.1074963131429962</v>
      </c>
      <c r="W78" s="13" t="n">
        <v>0.2067747575055678</v>
      </c>
      <c r="X78" s="13" t="n">
        <v>0.1120301817280067</v>
      </c>
    </row>
    <row r="79">
      <c r="A79" t="inlineStr">
        <is>
          <t>Para Piyasası</t>
        </is>
      </c>
      <c r="B79" t="inlineStr">
        <is>
          <t>TZL</t>
        </is>
      </c>
      <c r="C79" t="inlineStr">
        <is>
          <t>Ziraat Portföy Para Piyasası (TL) Fonu</t>
        </is>
      </c>
      <c r="D79" s="13" t="n">
        <v>0.09230458963238597</v>
      </c>
      <c r="E79" s="13" t="n">
        <v>0.09531928084316466</v>
      </c>
      <c r="F79" s="13" t="n">
        <v>0.3127830725517367</v>
      </c>
      <c r="G79" s="13" t="n">
        <v>0.1242600353485335</v>
      </c>
      <c r="H79" s="13" t="n">
        <v>0.1063764183522498</v>
      </c>
      <c r="I79" s="13" t="n">
        <v>0.09702308533410253</v>
      </c>
      <c r="J79" s="13" t="n">
        <v>0.1084682134285142</v>
      </c>
      <c r="K79" s="13" t="n">
        <v>0.3265889513036635</v>
      </c>
      <c r="L79" s="13" t="n">
        <v>0.1072320348044498</v>
      </c>
      <c r="M79" s="13" t="n">
        <v>0.1117079067774362</v>
      </c>
      <c r="N79" s="13" t="n">
        <v>0.1062333771514101</v>
      </c>
      <c r="O79" s="13" t="n">
        <v>0.1068840994632891</v>
      </c>
      <c r="P79" s="13" t="n">
        <v>0.3050570838068145</v>
      </c>
      <c r="Q79" s="13" t="n">
        <v>0.1049246139458448</v>
      </c>
      <c r="R79" s="13" t="n">
        <v>0.1055741639513608</v>
      </c>
      <c r="S79" s="13" t="n">
        <v>0.1047040971168478</v>
      </c>
      <c r="T79" s="13" t="n">
        <v>0.1053525140596312</v>
      </c>
      <c r="U79" s="13" t="n">
        <v>0.3263247953845028</v>
      </c>
      <c r="V79" s="13" t="n">
        <v>0.1071633410812955</v>
      </c>
      <c r="W79" s="13" t="n">
        <v>0.2103279306445494</v>
      </c>
      <c r="X79" s="13" t="n">
        <v>0.1098330687810734</v>
      </c>
    </row>
    <row r="80">
      <c r="A80" t="inlineStr">
        <is>
          <t>Para Piyasası</t>
        </is>
      </c>
      <c r="B80" t="inlineStr">
        <is>
          <t>CFO</t>
        </is>
      </c>
      <c r="C80" t="inlineStr">
        <is>
          <t>Rota Portföy İkinci Para Piyasası Fonu</t>
        </is>
      </c>
      <c r="D80" s="13" t="n">
        <v>0.1022007657392354</v>
      </c>
      <c r="E80" s="13" t="n">
        <v>0.102734525053827</v>
      </c>
      <c r="F80" s="13" t="n">
        <v>0.3098846049566228</v>
      </c>
      <c r="G80" s="13" t="n">
        <v>0.1100225128853882</v>
      </c>
      <c r="H80" s="13" t="n">
        <v>0.1101555084313421</v>
      </c>
      <c r="I80" s="13" t="n">
        <v>0.0989590070450852</v>
      </c>
      <c r="J80" s="13" t="n">
        <v>0.1126282587552874</v>
      </c>
      <c r="K80" s="13" t="n">
        <v>0.3275495078531643</v>
      </c>
      <c r="L80" s="13" t="n">
        <v>0.1077615656582376</v>
      </c>
      <c r="M80" s="13" t="n">
        <v>0.1120555472956086</v>
      </c>
      <c r="N80" s="13" t="n">
        <v>0.1126013685009752</v>
      </c>
      <c r="O80" s="13" t="n">
        <v>0.1126004373271927</v>
      </c>
      <c r="P80" s="13" t="n">
        <v>0.3028881109719217</v>
      </c>
      <c r="Q80" s="13" t="n">
        <v>0.09994837739337736</v>
      </c>
      <c r="R80" s="13" t="n">
        <v>0.09984858035747557</v>
      </c>
      <c r="S80" s="13" t="n">
        <v>0.1022479130805332</v>
      </c>
      <c r="T80" s="13" t="n">
        <v>0.1118793483787295</v>
      </c>
      <c r="U80" s="13" t="n">
        <v>0.3242911663385417</v>
      </c>
      <c r="V80" s="13" t="n">
        <v>0.1070434064327275</v>
      </c>
      <c r="W80" s="13" t="n">
        <v>0.2256101446768577</v>
      </c>
      <c r="X80" s="13" t="n">
        <v>0.1079268871722272</v>
      </c>
    </row>
    <row r="81">
      <c r="A81" t="inlineStr">
        <is>
          <t>Para Piyasası</t>
        </is>
      </c>
      <c r="B81" t="inlineStr">
        <is>
          <t>NVB</t>
        </is>
      </c>
      <c r="C81" t="inlineStr">
        <is>
          <t>Neo Portföy İkinci Para Piyasası (TL) Fon</t>
        </is>
      </c>
      <c r="D81" s="13" t="n">
        <v>0.1104231555625779</v>
      </c>
      <c r="E81" s="13" t="n">
        <v>0.05559419035165991</v>
      </c>
      <c r="F81" s="13" t="n">
        <v>0.3094656415123298</v>
      </c>
      <c r="G81" s="13" t="n">
        <v>0.1183844041914739</v>
      </c>
      <c r="H81" s="13" t="n">
        <v>0.1043852393533662</v>
      </c>
      <c r="I81" s="13" t="n">
        <v>0.09753039116653373</v>
      </c>
      <c r="J81" s="13" t="n">
        <v>0.1104737287922708</v>
      </c>
      <c r="K81" s="13" t="n">
        <v>0.3195054760110283</v>
      </c>
      <c r="L81" s="13" t="n">
        <v>0.101820510374484</v>
      </c>
      <c r="M81" s="13" t="n">
        <v>0.1075443606795679</v>
      </c>
      <c r="N81" s="13" t="n">
        <v>0.1109083918130027</v>
      </c>
      <c r="O81" s="13" t="n">
        <v>0.1075065497458283</v>
      </c>
      <c r="P81" s="13" t="n">
        <v>0.3104471797608754</v>
      </c>
      <c r="Q81" s="13" t="n">
        <v>0.1043594108504076</v>
      </c>
      <c r="R81" s="13" t="n">
        <v>0.1083823670761319</v>
      </c>
      <c r="S81" s="13" t="n">
        <v>0.1055062671635021</v>
      </c>
      <c r="T81" s="13" t="n">
        <v>0.1041581902514466</v>
      </c>
      <c r="U81" s="13" t="n">
        <v>0.3189560335343788</v>
      </c>
      <c r="V81" s="13" t="n">
        <v>0.1069818225977404</v>
      </c>
      <c r="W81" s="13" t="n">
        <v>0.2037842878234386</v>
      </c>
      <c r="X81" s="13" t="n">
        <v>0.1214704581648629</v>
      </c>
    </row>
    <row r="82">
      <c r="A82" t="inlineStr">
        <is>
          <t>Para Piyasası</t>
        </is>
      </c>
      <c r="B82" t="inlineStr">
        <is>
          <t>FSK</t>
        </is>
      </c>
      <c r="C82" t="inlineStr">
        <is>
          <t>Qnb Portföy İkinci Para Piyasası (TL) Fonu</t>
        </is>
      </c>
      <c r="D82" s="13" t="n">
        <v>0.08495182413412738</v>
      </c>
      <c r="E82" s="13" t="n">
        <v>0.07341421617108601</v>
      </c>
      <c r="F82" s="13" t="n">
        <v>0.2986714673331337</v>
      </c>
      <c r="G82" s="13" t="n">
        <v>0.1250946319178103</v>
      </c>
      <c r="H82" s="13" t="n">
        <v>0.1106382741543843</v>
      </c>
      <c r="I82" s="13" t="n">
        <v>0.08090355878225264</v>
      </c>
      <c r="J82" s="13" t="n">
        <v>0.1186495542427446</v>
      </c>
      <c r="K82" s="13" t="n">
        <v>0.316701044389367</v>
      </c>
      <c r="L82" s="13" t="n">
        <v>0.1097398818617146</v>
      </c>
      <c r="M82" s="13" t="n">
        <v>0.1223970103246375</v>
      </c>
      <c r="N82" s="13" t="n">
        <v>0.09592939872558048</v>
      </c>
      <c r="O82" s="13" t="n">
        <v>0.09526813096418785</v>
      </c>
      <c r="P82" s="13" t="n">
        <v>0.2903239928890855</v>
      </c>
      <c r="Q82" s="13" t="n">
        <v>0.09990310447220985</v>
      </c>
      <c r="R82" s="13" t="n">
        <v>0.1048339148187472</v>
      </c>
      <c r="S82" s="13" t="n">
        <v>0.1027689121296582</v>
      </c>
      <c r="T82" s="13" t="n">
        <v>0.1017896020405251</v>
      </c>
      <c r="U82" s="13" t="n">
        <v>0.3149855626624953</v>
      </c>
      <c r="V82" s="13" t="n">
        <v>0.1069632221574413</v>
      </c>
      <c r="W82" s="13" t="n">
        <v>0.2006762383585103</v>
      </c>
      <c r="X82" s="13" t="n">
        <v>0.1215355975979326</v>
      </c>
    </row>
    <row r="83">
      <c r="A83" t="inlineStr">
        <is>
          <t>Para Piyasası</t>
        </is>
      </c>
      <c r="B83" t="inlineStr">
        <is>
          <t>ALE</t>
        </is>
      </c>
      <c r="C83" t="inlineStr">
        <is>
          <t>AK Portföy Para Piyasası (TL) Fonu</t>
        </is>
      </c>
      <c r="D83" s="13" t="n">
        <v>0.1072828851414354</v>
      </c>
      <c r="E83" s="13" t="n">
        <v>0.1004684329799277</v>
      </c>
      <c r="F83" s="13" t="n">
        <v>0.3064348389079097</v>
      </c>
      <c r="G83" s="13" t="n">
        <v>0.1106846143890561</v>
      </c>
      <c r="H83" s="13" t="n">
        <v>0.1090338740042718</v>
      </c>
      <c r="I83" s="13" t="n">
        <v>0.09165710970593377</v>
      </c>
      <c r="J83" s="13" t="n">
        <v>0.1120153725314932</v>
      </c>
      <c r="K83" s="13" t="n">
        <v>0.3206540592004981</v>
      </c>
      <c r="L83" s="13" t="n">
        <v>0.1063499491853248</v>
      </c>
      <c r="M83" s="13" t="n">
        <v>0.1128450071871123</v>
      </c>
      <c r="N83" s="13" t="n">
        <v>0.1055001214274709</v>
      </c>
      <c r="O83" s="13" t="n">
        <v>0.1132388744873536</v>
      </c>
      <c r="P83" s="13" t="n">
        <v>0.2967755241097381</v>
      </c>
      <c r="Q83" s="13" t="n">
        <v>0.09459141784158298</v>
      </c>
      <c r="R83" s="13" t="n">
        <v>0.09648958199002244</v>
      </c>
      <c r="S83" s="13" t="n">
        <v>0.09967752756916415</v>
      </c>
      <c r="T83" s="13" t="n">
        <v>0.1251799049485136</v>
      </c>
      <c r="U83" s="13" t="n">
        <v>0.3067581281268827</v>
      </c>
      <c r="V83" s="13" t="n">
        <v>0.1068572331043738</v>
      </c>
      <c r="W83" s="13" t="n">
        <v>0.2259178737315404</v>
      </c>
      <c r="X83" s="13" t="n">
        <v>0.1116316023321851</v>
      </c>
    </row>
    <row r="84">
      <c r="A84" t="inlineStr">
        <is>
          <t>Para Piyasası</t>
        </is>
      </c>
      <c r="B84" t="inlineStr">
        <is>
          <t>HIP</t>
        </is>
      </c>
      <c r="C84" t="inlineStr">
        <is>
          <t>Hsbc Portföy İkinci Para Piyasası (TL) Fonu</t>
        </is>
      </c>
      <c r="D84" s="13" t="n">
        <v>0.08947864599528899</v>
      </c>
      <c r="E84" s="13" t="n">
        <v>0.1161688577568709</v>
      </c>
      <c r="F84" s="13" t="n">
        <v>0.3139629135008315</v>
      </c>
      <c r="G84" s="13" t="n">
        <v>0.1251626007263917</v>
      </c>
      <c r="H84" s="13" t="n">
        <v>0.1122844933444833</v>
      </c>
      <c r="I84" s="13" t="n">
        <v>0.09827366099068868</v>
      </c>
      <c r="J84" s="13" t="n">
        <v>0.111117156302698</v>
      </c>
      <c r="K84" s="13" t="n">
        <v>0.3197620903461207</v>
      </c>
      <c r="L84" s="13" t="n">
        <v>0.1074677389363732</v>
      </c>
      <c r="M84" s="13" t="n">
        <v>0.1135926528467168</v>
      </c>
      <c r="N84" s="13" t="n">
        <v>0.1039678717362769</v>
      </c>
      <c r="O84" s="13" t="n">
        <v>0.1028869644405184</v>
      </c>
      <c r="P84" s="13" t="n">
        <v>0.3040671717768229</v>
      </c>
      <c r="Q84" s="13" t="n">
        <v>0.1038746604936192</v>
      </c>
      <c r="R84" s="13" t="n">
        <v>0.1005241582251237</v>
      </c>
      <c r="S84" s="13" t="n">
        <v>0.1036626669831842</v>
      </c>
      <c r="T84" s="13" t="n">
        <v>0.1114765278635854</v>
      </c>
      <c r="U84" s="13" t="n">
        <v>0.3304387178263646</v>
      </c>
      <c r="V84" s="13" t="n">
        <v>0.106321181333624</v>
      </c>
      <c r="W84" s="13" t="n">
        <v>0.2232727227311049</v>
      </c>
      <c r="X84" s="13" t="n">
        <v>0.1104770066434835</v>
      </c>
    </row>
    <row r="85">
      <c r="A85" t="inlineStr">
        <is>
          <t>Para Piyasası</t>
        </is>
      </c>
      <c r="B85" t="inlineStr">
        <is>
          <t>UPP</t>
        </is>
      </c>
      <c r="C85" t="inlineStr">
        <is>
          <t>Ünlü Portföy Para Piyasası (TL) Fonu</t>
        </is>
      </c>
      <c r="D85" s="13" t="n">
        <v>0.09263693901369052</v>
      </c>
      <c r="E85" s="13" t="n">
        <v>0.07180513173221659</v>
      </c>
      <c r="F85" s="13" t="n">
        <v>0.3047514537667162</v>
      </c>
      <c r="G85" s="13" t="n">
        <v>0.1173117220351738</v>
      </c>
      <c r="H85" s="13" t="n">
        <v>0.1029626079098067</v>
      </c>
      <c r="I85" s="13" t="n">
        <v>0.09756494350818823</v>
      </c>
      <c r="J85" s="13" t="n">
        <v>0.1094930918453585</v>
      </c>
      <c r="K85" s="13" t="n">
        <v>0.3185240016307267</v>
      </c>
      <c r="L85" s="13" t="n">
        <v>0.1051005817681139</v>
      </c>
      <c r="M85" s="13" t="n">
        <v>0.103307507958772</v>
      </c>
      <c r="N85" s="13" t="n">
        <v>0.1109754810826091</v>
      </c>
      <c r="O85" s="13" t="n">
        <v>0.1038361038702806</v>
      </c>
      <c r="P85" s="13" t="n">
        <v>0.3023190021106625</v>
      </c>
      <c r="Q85" s="13" t="n">
        <v>0.1054912330290092</v>
      </c>
      <c r="R85" s="13" t="n">
        <v>0.1045149503960507</v>
      </c>
      <c r="S85" s="13" t="n">
        <v>0.1056425488254131</v>
      </c>
      <c r="T85" s="13" t="n">
        <v>0.1026583557605543</v>
      </c>
      <c r="U85" s="13" t="n">
        <v>0.3158521748775955</v>
      </c>
      <c r="V85" s="13" t="n">
        <v>0.1061581195694217</v>
      </c>
      <c r="W85" s="13" t="n">
        <v>0.2018448548662732</v>
      </c>
      <c r="X85" s="13" t="n">
        <v>0.1069697461363761</v>
      </c>
    </row>
    <row r="86">
      <c r="A86" t="inlineStr">
        <is>
          <t>Para Piyasası</t>
        </is>
      </c>
      <c r="B86" t="inlineStr">
        <is>
          <t>PPP</t>
        </is>
      </c>
      <c r="C86" t="inlineStr">
        <is>
          <t>Perform Portföy Para Piyasası (TL) Fonu</t>
        </is>
      </c>
      <c r="D86" s="13" t="n">
        <v>0.09201051725138409</v>
      </c>
      <c r="E86" s="13" t="n">
        <v>0.1053225219570297</v>
      </c>
      <c r="F86" s="13" t="n">
        <v>0.3009178130202406</v>
      </c>
      <c r="G86" s="13" t="n">
        <v>0.1078989394373675</v>
      </c>
      <c r="H86" s="13" t="n">
        <v>0.1066577768142452</v>
      </c>
      <c r="I86" s="13" t="n">
        <v>0.09547771375140179</v>
      </c>
      <c r="J86" s="13" t="n">
        <v>0.1067826909306069</v>
      </c>
      <c r="K86" s="13" t="n">
        <v>0.329827093939894</v>
      </c>
      <c r="L86" s="13" t="n">
        <v>0.1064536014035777</v>
      </c>
      <c r="M86" s="13" t="n">
        <v>0.1045810279661996</v>
      </c>
      <c r="N86" s="13" t="n">
        <v>0.1198839758352888</v>
      </c>
      <c r="O86" s="13" t="n">
        <v>0.1257493904108342</v>
      </c>
      <c r="P86" s="13" t="n">
        <v>0.2910687445506932</v>
      </c>
      <c r="Q86" s="13" t="n">
        <v>0.1060983345990474</v>
      </c>
      <c r="R86" s="13" t="n">
        <v>0.1067582793077282</v>
      </c>
      <c r="S86" s="13" t="n">
        <v>0.1025182040259809</v>
      </c>
      <c r="T86" s="13" t="n">
        <v>0.1049601372658637</v>
      </c>
      <c r="U86" s="13" t="n">
        <v>0.3176971010892649</v>
      </c>
      <c r="V86" s="13" t="n">
        <v>0.1060531026372491</v>
      </c>
      <c r="W86" s="13" t="n">
        <v>0.2075478616836435</v>
      </c>
      <c r="X86" s="13" t="n">
        <v>0.09041868040622347</v>
      </c>
    </row>
    <row r="87">
      <c r="A87" t="inlineStr">
        <is>
          <t>Para Piyasası</t>
        </is>
      </c>
      <c r="B87" t="inlineStr">
        <is>
          <t>GPZ</t>
        </is>
      </c>
      <c r="C87" t="inlineStr">
        <is>
          <t>Garanti Portföy Üçüncü Para Piyasası Fonu</t>
        </is>
      </c>
      <c r="D87" s="13" t="n">
        <v>0.1056586438286544</v>
      </c>
      <c r="E87" s="13" t="n">
        <v>0.0946755518552056</v>
      </c>
      <c r="F87" s="13" t="n">
        <v>0.3105018843518215</v>
      </c>
      <c r="G87" s="13" t="n">
        <v>0.1183426157472356</v>
      </c>
      <c r="H87" s="13" t="n">
        <v>0.1190722688783286</v>
      </c>
      <c r="I87" s="13" t="n">
        <v>0.0872302890487342</v>
      </c>
      <c r="J87" s="13" t="n">
        <v>0.1220810507539305</v>
      </c>
      <c r="K87" s="13" t="n">
        <v>0.3266331113889409</v>
      </c>
      <c r="L87" s="13" t="n">
        <v>0.1150562215126438</v>
      </c>
      <c r="M87" s="13" t="n">
        <v>0.1327746945022579</v>
      </c>
      <c r="N87" s="13" t="n">
        <v>0.08531122709751759</v>
      </c>
      <c r="O87" s="13" t="n">
        <v>0.103749902465422</v>
      </c>
      <c r="P87" s="13" t="n">
        <v>0.2875430790493461</v>
      </c>
      <c r="Q87" s="13" t="n">
        <v>0.09117749218479076</v>
      </c>
      <c r="R87" s="13" t="n">
        <v>0.09553937170010407</v>
      </c>
      <c r="S87" s="13" t="n">
        <v>0.1020289693789866</v>
      </c>
      <c r="T87" s="13" t="n">
        <v>0.1127748820941354</v>
      </c>
      <c r="U87" s="13" t="n">
        <v>0.3444568185045682</v>
      </c>
      <c r="V87" s="13" t="n">
        <v>0.1059298362476868</v>
      </c>
      <c r="W87" s="13" t="n">
        <v>0.2246567566835056</v>
      </c>
      <c r="X87" s="13" t="n">
        <v>0.1076486771409257</v>
      </c>
    </row>
    <row r="88">
      <c r="A88" t="inlineStr">
        <is>
          <t>Para Piyasası</t>
        </is>
      </c>
      <c r="B88" t="inlineStr">
        <is>
          <t>ECB</t>
        </is>
      </c>
      <c r="C88" t="inlineStr">
        <is>
          <t>Global MD Portföy Para Piyasası (TL) Fonu</t>
        </is>
      </c>
      <c r="D88" s="13" t="n">
        <v>0.08422595023998003</v>
      </c>
      <c r="E88" s="13" t="n">
        <v>0.09242290825937083</v>
      </c>
      <c r="F88" s="13" t="n">
        <v>0.3086461647414662</v>
      </c>
      <c r="G88" s="13" t="n">
        <v>0.1108009425204726</v>
      </c>
      <c r="H88" s="13" t="n">
        <v>0.1049868285704303</v>
      </c>
      <c r="I88" s="13" t="n">
        <v>0.09926280044671998</v>
      </c>
      <c r="J88" s="13" t="n">
        <v>0.1083745445397355</v>
      </c>
      <c r="K88" s="13" t="n">
        <v>0.3174884975586156</v>
      </c>
      <c r="L88" s="13" t="n">
        <v>0.1146267504026577</v>
      </c>
      <c r="M88" s="13" t="n">
        <v>0.1019817005969648</v>
      </c>
      <c r="N88" s="13" t="n">
        <v>0.1090926102814249</v>
      </c>
      <c r="O88" s="13" t="n">
        <v>0.1032949320532106</v>
      </c>
      <c r="P88" s="13" t="n">
        <v>0.2914096659188292</v>
      </c>
      <c r="Q88" s="13" t="n">
        <v>0.1055242664469658</v>
      </c>
      <c r="R88" s="13" t="n">
        <v>0.1077399332940043</v>
      </c>
      <c r="S88" s="13" t="n">
        <v>0.1059580947729621</v>
      </c>
      <c r="T88" s="13" t="n">
        <v>0.1034456922547555</v>
      </c>
      <c r="U88" s="13" t="n">
        <v>0.3159169258432071</v>
      </c>
      <c r="V88" s="13" t="n">
        <v>0.1057018647097951</v>
      </c>
      <c r="W88" s="13" t="n">
        <v>0.2045179432053956</v>
      </c>
      <c r="X88" s="13" t="n">
        <v>0.1126534276635116</v>
      </c>
    </row>
    <row r="89">
      <c r="A89" t="inlineStr">
        <is>
          <t>Para Piyasası</t>
        </is>
      </c>
      <c r="B89" t="inlineStr">
        <is>
          <t>RPP</t>
        </is>
      </c>
      <c r="C89" t="inlineStr">
        <is>
          <t>Rota Portföy Para Piyasası (TL) Fonu</t>
        </is>
      </c>
      <c r="D89" s="13" t="n">
        <v>0.1076905432540798</v>
      </c>
      <c r="E89" s="13" t="n">
        <v>0.08763907200968202</v>
      </c>
      <c r="F89" s="13" t="n">
        <v>0.3203505252554306</v>
      </c>
      <c r="G89" s="13" t="n">
        <v>0.120674487874739</v>
      </c>
      <c r="H89" s="13" t="n">
        <v>0.1095191758354819</v>
      </c>
      <c r="I89" s="13" t="n">
        <v>0.09261321697797698</v>
      </c>
      <c r="J89" s="13" t="n">
        <v>0.1133462172199229</v>
      </c>
      <c r="K89" s="13" t="n">
        <v>0.3250414565314497</v>
      </c>
      <c r="L89" s="13" t="n">
        <v>0.1073066167153414</v>
      </c>
      <c r="M89" s="13" t="n">
        <v>0.108469712197401</v>
      </c>
      <c r="N89" s="13" t="n">
        <v>0.1021600216193574</v>
      </c>
      <c r="O89" s="13" t="n">
        <v>0.1081778316860182</v>
      </c>
      <c r="P89" s="13" t="n">
        <v>0.306515932033502</v>
      </c>
      <c r="Q89" s="13" t="n">
        <v>0.09733658070858464</v>
      </c>
      <c r="R89" s="13" t="n">
        <v>0.1007314716375385</v>
      </c>
      <c r="S89" s="13" t="n">
        <v>0.1034611854703771</v>
      </c>
      <c r="T89" s="13" t="n">
        <v>0.1096226250629773</v>
      </c>
      <c r="U89" s="13" t="n">
        <v>0.3243545008113413</v>
      </c>
      <c r="V89" s="13" t="n">
        <v>0.1056811887063969</v>
      </c>
      <c r="W89" s="13" t="n">
        <v>0.2212784609212815</v>
      </c>
      <c r="X89" s="13" t="n">
        <v>0.1155162034777613</v>
      </c>
    </row>
    <row r="90">
      <c r="A90" t="inlineStr">
        <is>
          <t>Para Piyasası</t>
        </is>
      </c>
      <c r="B90" t="inlineStr">
        <is>
          <t>TKM</t>
        </is>
      </c>
      <c r="C90" t="inlineStr">
        <is>
          <t>Teb Portföy Para Piyasası (TL) Fonu</t>
        </is>
      </c>
      <c r="D90" s="13" t="n">
        <v>0.08554958145363667</v>
      </c>
      <c r="E90" s="13" t="n">
        <v>0.1038638340166598</v>
      </c>
      <c r="F90" s="13" t="n">
        <v>0.2988571939195994</v>
      </c>
      <c r="G90" s="13" t="n">
        <v>0.1182957492724235</v>
      </c>
      <c r="H90" s="13" t="n">
        <v>0.1122234581633741</v>
      </c>
      <c r="I90" s="13" t="n">
        <v>0.08592507728319987</v>
      </c>
      <c r="J90" s="13" t="n">
        <v>0.1075608360141311</v>
      </c>
      <c r="K90" s="13" t="n">
        <v>0.3218429327629169</v>
      </c>
      <c r="L90" s="13" t="n">
        <v>0.108083145416038</v>
      </c>
      <c r="M90" s="13" t="n">
        <v>0.1104202348761074</v>
      </c>
      <c r="N90" s="13" t="n">
        <v>0.1029452135377751</v>
      </c>
      <c r="O90" s="13" t="n">
        <v>0.1116541463844545</v>
      </c>
      <c r="P90" s="13" t="n">
        <v>0.3027931321234689</v>
      </c>
      <c r="Q90" s="13" t="n">
        <v>0.1024145448161207</v>
      </c>
      <c r="R90" s="13" t="n">
        <v>0.1032841434480236</v>
      </c>
      <c r="S90" s="13" t="n">
        <v>0.1031775773710164</v>
      </c>
      <c r="T90" s="13" t="n">
        <v>0.1050159711789567</v>
      </c>
      <c r="U90" s="13" t="n">
        <v>0.3263736103623627</v>
      </c>
      <c r="V90" s="13" t="n">
        <v>0.1055327224053659</v>
      </c>
      <c r="W90" s="13" t="n">
        <v>0.2137444448205628</v>
      </c>
      <c r="X90" s="13" t="n">
        <v>0.101336190048773</v>
      </c>
    </row>
    <row r="91">
      <c r="A91" t="inlineStr">
        <is>
          <t>Para Piyasası</t>
        </is>
      </c>
      <c r="B91" t="inlineStr">
        <is>
          <t>SLF</t>
        </is>
      </c>
      <c r="C91" t="inlineStr">
        <is>
          <t>Rota Portföy Şekerbank Para Piyasası (TL) Fonu</t>
        </is>
      </c>
      <c r="D91" s="13" t="n">
        <v>0.08904951311963227</v>
      </c>
      <c r="E91" s="13" t="n">
        <v>0.1031287332029285</v>
      </c>
      <c r="F91" s="13" t="n">
        <v>0.2984572042376454</v>
      </c>
      <c r="G91" s="13" t="n">
        <v>0.1192763237345185</v>
      </c>
      <c r="H91" s="13" t="n">
        <v>0.1074296776883754</v>
      </c>
      <c r="I91" s="13" t="n">
        <v>0.09146817702569976</v>
      </c>
      <c r="J91" s="13" t="n">
        <v>0.1101742072725065</v>
      </c>
      <c r="K91" s="13" t="n">
        <v>0.3177869422396062</v>
      </c>
      <c r="L91" s="13" t="n">
        <v>0.1087132242012068</v>
      </c>
      <c r="M91" s="13" t="n">
        <v>0.1139189172276511</v>
      </c>
      <c r="N91" s="13" t="n">
        <v>0.09954347143628084</v>
      </c>
      <c r="O91" s="13" t="n">
        <v>0.1085874083901484</v>
      </c>
      <c r="P91" s="13" t="n">
        <v>0.3037912884675809</v>
      </c>
      <c r="Q91" s="13" t="n">
        <v>0.09907287871127046</v>
      </c>
      <c r="R91" s="13" t="n">
        <v>0.09930863203424511</v>
      </c>
      <c r="S91" s="13" t="n">
        <v>0.1014425668424579</v>
      </c>
      <c r="T91" s="13" t="n">
        <v>0.1096127767872934</v>
      </c>
      <c r="U91" s="13" t="n">
        <v>0.3191790178411757</v>
      </c>
      <c r="V91" s="13" t="n">
        <v>0.1054586386519896</v>
      </c>
      <c r="W91" s="13" t="n">
        <v>0.2244376655058611</v>
      </c>
      <c r="X91" s="13" t="n">
        <v>0.1026686690378753</v>
      </c>
    </row>
    <row r="92">
      <c r="A92" t="inlineStr">
        <is>
          <t>Para Piyasası</t>
        </is>
      </c>
      <c r="B92" t="inlineStr">
        <is>
          <t>FIL</t>
        </is>
      </c>
      <c r="C92" t="inlineStr">
        <is>
          <t>Fiba Portföy Para Piyasası (TL) Fonu</t>
        </is>
      </c>
      <c r="D92" s="13" t="n">
        <v>0.06340057636886609</v>
      </c>
      <c r="E92" s="13" t="n">
        <v>0.1056966764587219</v>
      </c>
      <c r="F92" s="13" t="n">
        <v>0.298054875470033</v>
      </c>
      <c r="G92" s="13" t="n">
        <v>0.1244897783565513</v>
      </c>
      <c r="H92" s="13" t="n">
        <v>0.1131620337079475</v>
      </c>
      <c r="I92" s="13" t="n">
        <v>0.08899648592652909</v>
      </c>
      <c r="J92" s="13" t="n">
        <v>0.1100745361859445</v>
      </c>
      <c r="K92" s="13" t="n">
        <v>0.326718987399599</v>
      </c>
      <c r="L92" s="13" t="n">
        <v>0.1121574075128473</v>
      </c>
      <c r="M92" s="13" t="n">
        <v>0.1103256882559966</v>
      </c>
      <c r="N92" s="13" t="n">
        <v>0.1056596056510761</v>
      </c>
      <c r="O92" s="13" t="n">
        <v>0.1044131583278096</v>
      </c>
      <c r="P92" s="13" t="n">
        <v>0.3010084633829679</v>
      </c>
      <c r="Q92" s="13" t="n">
        <v>0.1065344923080191</v>
      </c>
      <c r="R92" s="13" t="n">
        <v>0.1069856853717521</v>
      </c>
      <c r="S92" s="13" t="n">
        <v>0.10630738342845</v>
      </c>
      <c r="T92" s="13" t="n">
        <v>0.1053494418451262</v>
      </c>
      <c r="U92" s="13" t="n">
        <v>0.3275339563231672</v>
      </c>
      <c r="V92" s="13" t="n">
        <v>0.1051754747620981</v>
      </c>
      <c r="W92" s="13" t="n">
        <v>0.2129316769490242</v>
      </c>
      <c r="X92" s="13" t="n">
        <v>0.1000889057878318</v>
      </c>
    </row>
    <row r="93">
      <c r="A93" t="inlineStr">
        <is>
          <t>Para Piyasası</t>
        </is>
      </c>
      <c r="B93" t="inlineStr">
        <is>
          <t>PJL</t>
        </is>
      </c>
      <c r="C93" t="inlineStr">
        <is>
          <t>Phillip Portföy Para Piyasası Fonu</t>
        </is>
      </c>
      <c r="D93" s="13" t="n">
        <v>0.07640685249257206</v>
      </c>
      <c r="E93" s="13" t="n">
        <v>0.09376963603848765</v>
      </c>
      <c r="F93" s="13" t="n">
        <v>0.2964158444080933</v>
      </c>
      <c r="G93" s="13" t="n">
        <v>0.1181339749091181</v>
      </c>
      <c r="H93" s="13" t="n">
        <v>0.1036698852898699</v>
      </c>
      <c r="I93" s="13" t="n">
        <v>0.09428155391209003</v>
      </c>
      <c r="J93" s="13" t="n">
        <v>0.1094286082490514</v>
      </c>
      <c r="K93" s="13" t="n">
        <v>0.3213578306795917</v>
      </c>
      <c r="L93" s="13" t="n">
        <v>0.1072913152398325</v>
      </c>
      <c r="M93" s="13" t="n">
        <v>0.1012649690852241</v>
      </c>
      <c r="N93" s="13" t="n">
        <v>0.1168493139009241</v>
      </c>
      <c r="O93" s="13" t="n">
        <v>0.1101252829650123</v>
      </c>
      <c r="P93" s="13" t="n">
        <v>0.3147256325035652</v>
      </c>
      <c r="Q93" s="13" t="n">
        <v>0.1039873455151108</v>
      </c>
      <c r="R93" s="13" t="n">
        <v>0.1081941873953163</v>
      </c>
      <c r="S93" s="13" t="n">
        <v>0.1037066308799295</v>
      </c>
      <c r="T93" s="13" t="n">
        <v>0.1016676471937483</v>
      </c>
      <c r="U93" s="13" t="n">
        <v>0.315727968235846</v>
      </c>
      <c r="V93" s="13" t="n">
        <v>0.1050116041729776</v>
      </c>
      <c r="W93" s="13" t="n">
        <v>0.1957719973787686</v>
      </c>
      <c r="X93" s="13" t="n">
        <v>0.09350967728274373</v>
      </c>
    </row>
    <row r="94">
      <c r="A94" t="inlineStr">
        <is>
          <t>Para Piyasası</t>
        </is>
      </c>
      <c r="B94" t="inlineStr">
        <is>
          <t>PPI</t>
        </is>
      </c>
      <c r="C94" t="inlineStr">
        <is>
          <t>Yapı Kredi Portföy Üçüncü Para Piyasası (TL) Fonu</t>
        </is>
      </c>
      <c r="D94" s="13" t="n">
        <v>0.1042526165063951</v>
      </c>
      <c r="E94" s="13" t="n">
        <v>0.03683656733741714</v>
      </c>
      <c r="F94" s="13" t="n">
        <v>0.2908876870334698</v>
      </c>
      <c r="G94" s="13" t="n">
        <v>0.1260107452035752</v>
      </c>
      <c r="H94" s="13" t="n">
        <v>0.1060494304036652</v>
      </c>
      <c r="I94" s="13" t="n">
        <v>0.07935972296242433</v>
      </c>
      <c r="J94" s="13" t="n">
        <v>0.1180382763993126</v>
      </c>
      <c r="K94" s="13" t="n">
        <v>0.3188571683402364</v>
      </c>
      <c r="L94" s="13" t="n">
        <v>0.09909462703374672</v>
      </c>
      <c r="M94" s="13" t="n">
        <v>0.1117180430884712</v>
      </c>
      <c r="N94" s="13" t="n">
        <v>0.1109002466144426</v>
      </c>
      <c r="O94" s="13" t="n">
        <v>0.1010843722175636</v>
      </c>
      <c r="P94" s="13" t="n">
        <v>0.2904970127223905</v>
      </c>
      <c r="Q94" s="13" t="n">
        <v>0.08882770872786772</v>
      </c>
      <c r="R94" s="13" t="n">
        <v>0.09844142826891389</v>
      </c>
      <c r="S94" s="13" t="n">
        <v>0.09829872532896022</v>
      </c>
      <c r="T94" s="13" t="n">
        <v>0.1047123299226849</v>
      </c>
      <c r="U94" s="13" t="n">
        <v>0.3281431904219589</v>
      </c>
      <c r="V94" s="13" t="n">
        <v>0.1048084529660764</v>
      </c>
      <c r="W94" s="13" t="n">
        <v>0.2015541558232581</v>
      </c>
      <c r="X94" s="13" t="n">
        <v>0.1257407120027976</v>
      </c>
    </row>
    <row r="95">
      <c r="A95" t="inlineStr">
        <is>
          <t>Para Piyasası</t>
        </is>
      </c>
      <c r="B95" t="inlineStr">
        <is>
          <t>HYV</t>
        </is>
      </c>
      <c r="C95" t="inlineStr">
        <is>
          <t>Hedef Portföy Para Piyasası (TL) Fonu</t>
        </is>
      </c>
      <c r="D95" s="13" t="n">
        <v>0.05826361582512707</v>
      </c>
      <c r="E95" s="13" t="n">
        <v>0.1089611235763011</v>
      </c>
      <c r="F95" s="13" t="n">
        <v>0.2921136402359803</v>
      </c>
      <c r="G95" s="13" t="n">
        <v>0.1149172787346275</v>
      </c>
      <c r="H95" s="13" t="n">
        <v>0.1097282281621315</v>
      </c>
      <c r="I95" s="13" t="n">
        <v>0.0888980783615434</v>
      </c>
      <c r="J95" s="13" t="n">
        <v>0.107464930951795</v>
      </c>
      <c r="K95" s="13" t="n">
        <v>0.3247789233721043</v>
      </c>
      <c r="L95" s="13" t="n">
        <v>0.1102409925195502</v>
      </c>
      <c r="M95" s="13" t="n">
        <v>0.1058001990591251</v>
      </c>
      <c r="N95" s="13" t="n">
        <v>0.1109528080722955</v>
      </c>
      <c r="O95" s="13" t="n">
        <v>0.1155559164828901</v>
      </c>
      <c r="P95" s="13" t="n">
        <v>0.292479117895228</v>
      </c>
      <c r="Q95" s="13" t="n">
        <v>0.1055727845625798</v>
      </c>
      <c r="R95" s="13" t="n">
        <v>0.1052793304506139</v>
      </c>
      <c r="S95" s="13" t="n">
        <v>0.1035478322019001</v>
      </c>
      <c r="T95" s="13" t="n">
        <v>0.1048780866589105</v>
      </c>
      <c r="U95" s="13" t="n">
        <v>0.321714977001486</v>
      </c>
      <c r="V95" s="13" t="n">
        <v>0.1042512704029885</v>
      </c>
      <c r="W95" s="13" t="n">
        <v>0.2132484897089837</v>
      </c>
      <c r="X95" s="13" t="n">
        <v>0.0868660272330013</v>
      </c>
    </row>
    <row r="96">
      <c r="A96" t="inlineStr">
        <is>
          <t>Para Piyasası</t>
        </is>
      </c>
      <c r="B96" t="inlineStr">
        <is>
          <t>FFD</t>
        </is>
      </c>
      <c r="C96" t="inlineStr">
        <is>
          <t>Fiba Portföy Üçüncü Para Piyasası (TL) Fonu</t>
        </is>
      </c>
      <c r="D96" s="13" t="n">
        <v>0.09015431063399415</v>
      </c>
      <c r="E96" s="13" t="n">
        <v>0.08169421227928186</v>
      </c>
      <c r="F96" s="13" t="n">
        <v>0.3055799740466325</v>
      </c>
      <c r="G96" s="13" t="n">
        <v>0.1126784074785059</v>
      </c>
      <c r="H96" s="13" t="n">
        <v>0.102130142982193</v>
      </c>
      <c r="I96" s="13" t="n">
        <v>0.0957794573885451</v>
      </c>
      <c r="J96" s="13" t="n">
        <v>0.1081688265762493</v>
      </c>
      <c r="K96" s="13" t="n">
        <v>0.3158441558441583</v>
      </c>
      <c r="L96" s="13" t="n">
        <v>0.1035689873024381</v>
      </c>
      <c r="M96" s="13" t="n">
        <v>0.105531069588416</v>
      </c>
      <c r="N96" s="13" t="n">
        <v>0.1054198189259559</v>
      </c>
      <c r="O96" s="13" t="n">
        <v>0.1053088025769755</v>
      </c>
      <c r="P96" s="13" t="n">
        <v>0.2949669966996638</v>
      </c>
      <c r="Q96" s="13" t="n">
        <v>0.1069452728132747</v>
      </c>
      <c r="R96" s="13" t="n">
        <v>0.1088854648176651</v>
      </c>
      <c r="S96" s="13" t="n">
        <v>0.1005582006238681</v>
      </c>
      <c r="T96" s="13" t="n">
        <v>0.1004571826885625</v>
      </c>
      <c r="U96" s="13" t="n">
        <v>0.3010691025273404</v>
      </c>
      <c r="V96" s="13" t="n">
        <v>0.1041390153758037</v>
      </c>
      <c r="W96" s="13" t="n">
        <v>0.1917428198433546</v>
      </c>
      <c r="X96" s="13" t="n">
        <v>0.1221548108636394</v>
      </c>
    </row>
    <row r="97">
      <c r="A97" t="inlineStr">
        <is>
          <t>Para Piyasası</t>
        </is>
      </c>
      <c r="B97" t="inlineStr">
        <is>
          <t>ICE</t>
        </is>
      </c>
      <c r="C97" t="inlineStr">
        <is>
          <t>Icbc Turkey Portföy Para Piyasası (TL) Fonu</t>
        </is>
      </c>
      <c r="D97" s="13" t="n">
        <v>0.08951753900863224</v>
      </c>
      <c r="E97" s="13" t="n">
        <v>0.09126623457966776</v>
      </c>
      <c r="F97" s="13" t="n">
        <v>0.3020914754333859</v>
      </c>
      <c r="G97" s="13" t="n">
        <v>0.1119317095549688</v>
      </c>
      <c r="H97" s="13" t="n">
        <v>0.1035952565277887</v>
      </c>
      <c r="I97" s="13" t="n">
        <v>0.09028332413347773</v>
      </c>
      <c r="J97" s="13" t="n">
        <v>0.1084735916449864</v>
      </c>
      <c r="K97" s="13" t="n">
        <v>0.3149263680856107</v>
      </c>
      <c r="L97" s="13" t="n">
        <v>0.1052304708275553</v>
      </c>
      <c r="M97" s="13" t="n">
        <v>0.1150752583504833</v>
      </c>
      <c r="N97" s="13" t="n">
        <v>0.0987034951516641</v>
      </c>
      <c r="O97" s="13" t="n">
        <v>0.1042624302586947</v>
      </c>
      <c r="P97" s="13" t="n">
        <v>0.3012522882438473</v>
      </c>
      <c r="Q97" s="13" t="n">
        <v>0.1039454118605176</v>
      </c>
      <c r="R97" s="13" t="n">
        <v>0.1053821184520576</v>
      </c>
      <c r="S97" s="13" t="n">
        <v>0.1032540238479651</v>
      </c>
      <c r="T97" s="13" t="n">
        <v>0.1003006807854145</v>
      </c>
      <c r="U97" s="13" t="n">
        <v>0.3152437122928342</v>
      </c>
      <c r="V97" s="13" t="n">
        <v>0.1038391871278854</v>
      </c>
      <c r="W97" s="13" t="n">
        <v>0.1967850661896531</v>
      </c>
      <c r="X97" s="13" t="n">
        <v>0.111427267344455</v>
      </c>
    </row>
    <row r="98">
      <c r="A98" t="inlineStr">
        <is>
          <t>Para Piyasası</t>
        </is>
      </c>
      <c r="B98" t="inlineStr">
        <is>
          <t>FPI</t>
        </is>
      </c>
      <c r="C98" t="inlineStr">
        <is>
          <t>Fonmap Portföy Birinci Para Piyasası (TL) Fonu</t>
        </is>
      </c>
      <c r="D98" s="13" t="n">
        <v>0.1579991368603206</v>
      </c>
      <c r="E98" s="13" t="n">
        <v>0.09872011794627156</v>
      </c>
      <c r="F98" s="13" t="n">
        <v>0.2792964155478028</v>
      </c>
      <c r="G98" s="13" t="n">
        <v>0.08125808147090297</v>
      </c>
      <c r="H98" s="13" t="n">
        <v>0.1309706000805377</v>
      </c>
      <c r="I98" s="13" t="n">
        <v>0.08213165841595149</v>
      </c>
      <c r="J98" s="13" t="n">
        <v>0.09400014628497821</v>
      </c>
      <c r="K98" s="13" t="n">
        <v>0.2909300567365936</v>
      </c>
      <c r="L98" s="13" t="n">
        <v>0.06741719674971947</v>
      </c>
      <c r="M98" s="13" t="n">
        <v>0.147065707085603</v>
      </c>
      <c r="N98" s="13" t="n">
        <v>0.1011489514185504</v>
      </c>
      <c r="O98" s="13" t="n">
        <v>0.1005279413003102</v>
      </c>
      <c r="P98" s="13" t="n">
        <v>0.3064238983530698</v>
      </c>
      <c r="Q98" s="13" t="n">
        <v>0.1002791759539656</v>
      </c>
      <c r="R98" s="13" t="n">
        <v>0.1169347297735657</v>
      </c>
      <c r="S98" s="13" t="n">
        <v>0.07789187465594427</v>
      </c>
      <c r="T98" s="13" t="n">
        <v>0.1021237944874631</v>
      </c>
      <c r="U98" s="13" t="n">
        <v>0.2675787860973111</v>
      </c>
      <c r="V98" s="13" t="n">
        <v>0.1034056343633516</v>
      </c>
      <c r="W98" s="13" t="n">
        <v>0.2058087934548203</v>
      </c>
      <c r="X98" s="13" t="n">
        <v>0.1031260172377868</v>
      </c>
    </row>
    <row r="99">
      <c r="A99" t="inlineStr">
        <is>
          <t>Para Piyasası</t>
        </is>
      </c>
      <c r="B99" t="inlineStr">
        <is>
          <t>AAL</t>
        </is>
      </c>
      <c r="C99" t="inlineStr">
        <is>
          <t>Ata Portföy Para Piyasası (TL) Fonu</t>
        </is>
      </c>
      <c r="D99" s="13" t="n">
        <v>0.09171065168402937</v>
      </c>
      <c r="E99" s="13" t="n">
        <v>0.1045002813468976</v>
      </c>
      <c r="F99" s="13" t="n">
        <v>0.3120867974424568</v>
      </c>
      <c r="G99" s="13" t="n">
        <v>0.1132452049097177</v>
      </c>
      <c r="H99" s="13" t="n">
        <v>0.1220750901585133</v>
      </c>
      <c r="I99" s="13" t="n">
        <v>0.09292335369541771</v>
      </c>
      <c r="J99" s="13" t="n">
        <v>0.1103246538406433</v>
      </c>
      <c r="K99" s="13" t="n">
        <v>0.3231784507749191</v>
      </c>
      <c r="L99" s="13" t="n">
        <v>0.1052486649039563</v>
      </c>
      <c r="M99" s="13" t="n">
        <v>0.1091955480438056</v>
      </c>
      <c r="N99" s="13" t="n">
        <v>0.09223813830951944</v>
      </c>
      <c r="O99" s="13" t="n">
        <v>0.09090259457977812</v>
      </c>
      <c r="P99" s="13" t="n">
        <v>0.2767437937906347</v>
      </c>
      <c r="Q99" s="13" t="n">
        <v>0.09196367968635766</v>
      </c>
      <c r="R99" s="13" t="n">
        <v>0.094013152357042</v>
      </c>
      <c r="S99" s="13" t="n">
        <v>0.08794350769638637</v>
      </c>
      <c r="T99" s="13" t="n">
        <v>0.0926293541861245</v>
      </c>
      <c r="U99" s="13" t="n">
        <v>0.2738475716828948</v>
      </c>
      <c r="V99" s="13" t="n">
        <v>0.09249723068360804</v>
      </c>
      <c r="W99" s="13" t="n">
        <v>0.191861875940913</v>
      </c>
      <c r="X99" s="13" t="n">
        <v>0.09502711050273227</v>
      </c>
    </row>
    <row r="100">
      <c r="A100" t="inlineStr">
        <is>
          <t>Hisse</t>
        </is>
      </c>
      <c r="B100" t="inlineStr">
        <is>
          <t>PHE</t>
        </is>
      </c>
      <c r="C100" t="inlineStr">
        <is>
          <t>Pusula Portföy Hisse Senedi Fonu (Hisse Senedi Yoğun Fon)</t>
        </is>
      </c>
      <c r="D100" s="13" t="n">
        <v>1.034054533752582</v>
      </c>
      <c r="E100" s="13" t="n">
        <v>2.343115302791299</v>
      </c>
      <c r="F100" s="13" t="n">
        <v>0.7703682823789748</v>
      </c>
      <c r="G100" s="13" t="n">
        <v>0.1901197588496828</v>
      </c>
      <c r="H100" s="13" t="n">
        <v>0.2042075056782444</v>
      </c>
      <c r="I100" s="13" t="n">
        <v>0.07849178682108882</v>
      </c>
      <c r="J100" s="13" t="n">
        <v>-0.001299948489541514</v>
      </c>
      <c r="K100" s="13" t="n">
        <v>0.09227045996567096</v>
      </c>
      <c r="L100" s="13" t="n">
        <v>0.2020665006589928</v>
      </c>
      <c r="M100" s="13" t="n">
        <v>-0.01790304327432546</v>
      </c>
      <c r="N100" s="13" t="n">
        <v>0.5697590191588775</v>
      </c>
      <c r="O100" s="13" t="n">
        <v>0.6763945888432765</v>
      </c>
      <c r="P100" s="13" t="n">
        <v>0.07234120079457895</v>
      </c>
      <c r="Q100" s="13" t="n">
        <v>0.005384350677961613</v>
      </c>
      <c r="R100" s="13" t="n">
        <v>0.5124986173358659</v>
      </c>
      <c r="S100" s="13" t="n">
        <v>0.2504346940620961</v>
      </c>
      <c r="T100" s="13" t="n">
        <v>1.082188617498225</v>
      </c>
      <c r="U100" s="13" t="n">
        <v>1.100879546993139</v>
      </c>
      <c r="V100" s="13" t="n">
        <v>0.1225582818338289</v>
      </c>
      <c r="W100" s="13" t="n">
        <v>0.6106970084041707</v>
      </c>
      <c r="X100" s="13" t="n">
        <v>0.4687259913469966</v>
      </c>
    </row>
    <row r="101">
      <c r="A101" t="inlineStr">
        <is>
          <t>Hisse</t>
        </is>
      </c>
      <c r="B101" t="inlineStr">
        <is>
          <t>NNF</t>
        </is>
      </c>
      <c r="C101" t="inlineStr">
        <is>
          <t>Hedef Portföy Birinci Hisse Senedi (TL) Fonu (Hisse Senedi Yoğun Fon)</t>
        </is>
      </c>
      <c r="D101" s="13" t="n">
        <v>-0.1660468584930297</v>
      </c>
      <c r="E101" s="13" t="n">
        <v>1.67970341212953</v>
      </c>
      <c r="F101" s="13" t="n">
        <v>-0.1601747673405929</v>
      </c>
      <c r="G101" s="13" t="n">
        <v>0.8045004128639732</v>
      </c>
      <c r="H101" s="13" t="n">
        <v>0.4195463925345866</v>
      </c>
      <c r="I101" s="13" t="n">
        <v>0.02019761126550446</v>
      </c>
      <c r="J101" s="13" t="n">
        <v>0.1322277324143251</v>
      </c>
      <c r="K101" s="13" t="n">
        <v>1.014479947252456</v>
      </c>
      <c r="L101" s="13" t="n">
        <v>-1.73427940341857</v>
      </c>
      <c r="M101" s="13" t="n">
        <v>-0.9344636821638885</v>
      </c>
      <c r="N101" s="13" t="n">
        <v>1.250380173149335</v>
      </c>
      <c r="O101" s="13" t="n">
        <v>-0.582804213344712</v>
      </c>
      <c r="P101" s="13" t="n">
        <v>0.1611980381583056</v>
      </c>
      <c r="Q101" s="13" t="n">
        <v>0.4890486623820633</v>
      </c>
      <c r="R101" s="13" t="n">
        <v>1.865276273390903</v>
      </c>
      <c r="S101" s="13" t="n">
        <v>-1.970638357060028</v>
      </c>
      <c r="T101" s="13" t="n">
        <v>-0.1854353917465912</v>
      </c>
      <c r="U101" s="13" t="n">
        <v>-0.2760546806542918</v>
      </c>
      <c r="V101" s="13" t="n">
        <v>0.1095349119596634</v>
      </c>
      <c r="W101" s="13" t="n">
        <v>0.2636776827245058</v>
      </c>
      <c r="X101" s="13" t="n">
        <v>1.540177431054435</v>
      </c>
    </row>
    <row r="102">
      <c r="A102" t="inlineStr">
        <is>
          <t>Hisse</t>
        </is>
      </c>
      <c r="B102" t="inlineStr">
        <is>
          <t>BIH</t>
        </is>
      </c>
      <c r="C102" t="inlineStr">
        <is>
          <t>Pardus Portföy Birinci Hisse Senedi (TL) Fonu (Hisse Senedi Yoğun Fon)</t>
        </is>
      </c>
      <c r="D102" s="13" t="n">
        <v>-0.2867574354532332</v>
      </c>
      <c r="E102" s="13" t="n">
        <v>0.6605201506471925</v>
      </c>
      <c r="F102" s="13" t="n">
        <v>-0.1262668820376955</v>
      </c>
      <c r="G102" s="13" t="n">
        <v>0.2353168710605313</v>
      </c>
      <c r="H102" s="13" t="n">
        <v>0.158180126955898</v>
      </c>
      <c r="I102" s="13" t="n">
        <v>0.2124269370285425</v>
      </c>
      <c r="J102" s="13" t="n">
        <v>0.02670673450950733</v>
      </c>
      <c r="K102" s="13" t="n">
        <v>-0.1095715629354843</v>
      </c>
      <c r="L102" s="13" t="n">
        <v>0.4505432227476014</v>
      </c>
      <c r="M102" s="13" t="n">
        <v>-0.3031241415542563</v>
      </c>
      <c r="N102" s="13" t="n">
        <v>0.6742232204792753</v>
      </c>
      <c r="O102" s="13" t="n">
        <v>0.6949255196348592</v>
      </c>
      <c r="P102" s="13" t="n">
        <v>0.4425554841457791</v>
      </c>
      <c r="Q102" s="13" t="n">
        <v>0.2062279681391388</v>
      </c>
      <c r="R102" s="13" t="n">
        <v>1.298435104529383</v>
      </c>
      <c r="S102" s="13" t="n">
        <v>0.1276302930519391</v>
      </c>
      <c r="T102" s="13" t="n">
        <v>-0.1228577910789674</v>
      </c>
      <c r="U102" s="13" t="n">
        <v>0.5112460662344498</v>
      </c>
      <c r="V102" s="13" t="n">
        <v>-0.07807655896212573</v>
      </c>
      <c r="W102" s="13" t="n">
        <v>0.3028995110657462</v>
      </c>
      <c r="X102" s="13" t="n">
        <v>0.4481168640438238</v>
      </c>
    </row>
    <row r="103">
      <c r="A103" t="inlineStr">
        <is>
          <t>Hisse</t>
        </is>
      </c>
      <c r="B103" t="inlineStr">
        <is>
          <t>GO9</t>
        </is>
      </c>
      <c r="C103" t="inlineStr">
        <is>
          <t>One Portföy Birinci Hisse Senedi Fonu (Hisse Senedi Yoğun Fon)</t>
        </is>
      </c>
      <c r="D103" s="13" t="n">
        <v>-0.5236893867800574</v>
      </c>
      <c r="E103" s="13" t="n">
        <v>2.426384017221084</v>
      </c>
      <c r="F103" s="13" t="n">
        <v>-1.101530490985814</v>
      </c>
      <c r="G103" s="13" t="n">
        <v>0.4314711317889408</v>
      </c>
      <c r="H103" s="13" t="n">
        <v>-1.651086967154336</v>
      </c>
      <c r="I103" s="13" t="n">
        <v>-1.591202347611631</v>
      </c>
      <c r="J103" s="13" t="n">
        <v>-0.1842978682711549</v>
      </c>
      <c r="K103" s="13" t="n">
        <v>-0.2110039042342859</v>
      </c>
      <c r="L103" s="13" t="n">
        <v>0.3298980176848376</v>
      </c>
      <c r="M103" s="13" t="n">
        <v>-0.1589024257418026</v>
      </c>
      <c r="N103" s="13" t="n">
        <v>1.860578374745536</v>
      </c>
      <c r="O103" s="13" t="n">
        <v>0.8950708184958023</v>
      </c>
      <c r="P103" s="13" t="n">
        <v>0.7277190995177429</v>
      </c>
      <c r="Q103" s="13" t="n">
        <v>-0.2106113336446946</v>
      </c>
      <c r="R103" s="13" t="n">
        <v>1.012245840076531</v>
      </c>
      <c r="S103" s="13" t="n">
        <v>-0.8736983201843018</v>
      </c>
      <c r="T103" s="13" t="n">
        <v>0.2355294232862626</v>
      </c>
      <c r="U103" s="13" t="n">
        <v>2.221618467090769</v>
      </c>
      <c r="V103" s="13" t="n">
        <v>-0.1305030469704427</v>
      </c>
      <c r="W103" s="13" t="n">
        <v>1.446464506663081</v>
      </c>
      <c r="X103" s="13" t="n">
        <v>1.146738974647588</v>
      </c>
    </row>
    <row r="104">
      <c r="A104" t="inlineStr">
        <is>
          <t>Hisse</t>
        </is>
      </c>
      <c r="B104" t="inlineStr">
        <is>
          <t>MTH</t>
        </is>
      </c>
      <c r="C104" t="inlineStr">
        <is>
          <t>MT Portföy Birinci Hisse Senedi Fonu (Hisse Senedi Yoğun Fon)</t>
        </is>
      </c>
      <c r="D104" s="13" t="n">
        <v>0.6580974611001711</v>
      </c>
      <c r="E104" s="13" t="n">
        <v>1.324954211176022</v>
      </c>
      <c r="F104" s="13" t="n">
        <v>0.06906341786871995</v>
      </c>
      <c r="G104" s="13" t="n">
        <v>0.4856767813553819</v>
      </c>
      <c r="H104" s="13" t="n">
        <v>-1.714686144728539</v>
      </c>
      <c r="I104" s="13" t="n">
        <v>-1.819536559171797</v>
      </c>
      <c r="J104" s="13" t="n">
        <v>-1.858069657640671</v>
      </c>
      <c r="K104" s="13" t="n">
        <v>-0.3006345640014452</v>
      </c>
      <c r="L104" s="13" t="n">
        <v>-0.1340237317912107</v>
      </c>
      <c r="M104" s="13" t="n">
        <v>-0.09835030536857747</v>
      </c>
      <c r="N104" s="13" t="n">
        <v>1.193344836085752</v>
      </c>
      <c r="O104" s="13" t="n">
        <v>0.873578158012811</v>
      </c>
      <c r="P104" s="13" t="n">
        <v>1.230151658497691</v>
      </c>
      <c r="Q104" s="13" t="n">
        <v>0.8012457355550451</v>
      </c>
      <c r="R104" s="13" t="n">
        <v>1.147992385842045</v>
      </c>
      <c r="S104" s="13" t="n">
        <v>-1.026595082637627</v>
      </c>
      <c r="T104" s="13" t="n">
        <v>-0.5279351292677759</v>
      </c>
      <c r="U104" s="13" t="n">
        <v>1.132907647376147</v>
      </c>
      <c r="V104" s="13" t="n">
        <v>-0.4433495684931454</v>
      </c>
      <c r="W104" s="13" t="n">
        <v>0.7727318644032755</v>
      </c>
      <c r="X104" s="13" t="n">
        <v>0.2903278390577579</v>
      </c>
    </row>
    <row r="105">
      <c r="A105" t="inlineStr">
        <is>
          <t>Hisse</t>
        </is>
      </c>
      <c r="B105" t="inlineStr">
        <is>
          <t>THD</t>
        </is>
      </c>
      <c r="C105" t="inlineStr">
        <is>
          <t>Trıve Portföy Birinci Hisse Senedi (TL) Fon (Hisse Senedi Yoğun Fon)</t>
        </is>
      </c>
      <c r="D105" s="13" t="n">
        <v>-1.410057615257398</v>
      </c>
      <c r="E105" s="13" t="n">
        <v>1.859521033452616</v>
      </c>
      <c r="F105" s="13" t="n">
        <v>-0.7481545093789621</v>
      </c>
      <c r="G105" s="13" t="n">
        <v>-0.436899191687945</v>
      </c>
      <c r="H105" s="13" t="n">
        <v>-0.6147908100314181</v>
      </c>
      <c r="I105" s="13" t="n">
        <v>-0.7892968469193629</v>
      </c>
      <c r="J105" s="13" t="n">
        <v>-0.4468019246513966</v>
      </c>
      <c r="K105" s="13" t="n">
        <v>0.3152726180873922</v>
      </c>
      <c r="L105" s="13" t="n">
        <v>-1.195429855888153</v>
      </c>
      <c r="M105" s="13" t="n">
        <v>-0.4659518433516863</v>
      </c>
      <c r="N105" s="13" t="n">
        <v>0.7516761000718075</v>
      </c>
      <c r="O105" s="13" t="n">
        <v>-0.2785399825560808</v>
      </c>
      <c r="P105" s="13" t="n">
        <v>-0.09912002209595538</v>
      </c>
      <c r="Q105" s="13" t="n">
        <v>0.9610432272501912</v>
      </c>
      <c r="R105" s="13" t="n">
        <v>0.05966367501735181</v>
      </c>
      <c r="S105" s="13" t="n">
        <v>-2.22231459284602</v>
      </c>
      <c r="T105" s="13" t="n">
        <v>-0.09589545627088913</v>
      </c>
      <c r="U105" s="13" t="n">
        <v>1.317276922254274</v>
      </c>
      <c r="V105" s="13" t="n">
        <v>-0.4882672033629021</v>
      </c>
      <c r="W105" s="13" t="n">
        <v>0.3353255660906607</v>
      </c>
      <c r="X105" s="13" t="n">
        <v>2.353095769170044</v>
      </c>
    </row>
    <row r="106">
      <c r="A106" t="inlineStr">
        <is>
          <t>Hisse</t>
        </is>
      </c>
      <c r="B106" t="inlineStr">
        <is>
          <t>NHY</t>
        </is>
      </c>
      <c r="C106" t="inlineStr">
        <is>
          <t>Neo Portföy Birinci Hisse Senedi (TL) Fonu (Hisse Senedi Yoğun Fon)</t>
        </is>
      </c>
      <c r="D106" s="13" t="n">
        <v>-0.6959842125454307</v>
      </c>
      <c r="E106" s="13" t="n">
        <v>2.764963606407367</v>
      </c>
      <c r="F106" s="13" t="n">
        <v>0.5343101914137671</v>
      </c>
      <c r="G106" s="13" t="n">
        <v>0.3933702371772041</v>
      </c>
      <c r="H106" s="13" t="n">
        <v>-0.781132618623448</v>
      </c>
      <c r="I106" s="13" t="n">
        <v>0.1801583981395627</v>
      </c>
      <c r="J106" s="13" t="n">
        <v>-0.6569370417604414</v>
      </c>
      <c r="K106" s="13" t="n">
        <v>1.165513385614836</v>
      </c>
      <c r="L106" s="13" t="n">
        <v>-0.5423596317218782</v>
      </c>
      <c r="M106" s="13" t="n">
        <v>-1.216491520967844</v>
      </c>
      <c r="N106" s="13" t="n">
        <v>0.5965438823256619</v>
      </c>
      <c r="O106" s="13" t="n">
        <v>0.3195619518743698</v>
      </c>
      <c r="P106" s="13" t="n">
        <v>-0.5337058151848817</v>
      </c>
      <c r="Q106" s="13" t="n">
        <v>-0.0778405471874799</v>
      </c>
      <c r="R106" s="13" t="n">
        <v>0.2184567933793957</v>
      </c>
      <c r="S106" s="13" t="n">
        <v>-1.636838177479971</v>
      </c>
      <c r="T106" s="13" t="n">
        <v>-1.137574536129282</v>
      </c>
      <c r="U106" s="13" t="n">
        <v>0.5356364384125012</v>
      </c>
      <c r="V106" s="13" t="n">
        <v>-0.4983383268071795</v>
      </c>
      <c r="W106" s="13" t="n">
        <v>1.014709280191695</v>
      </c>
      <c r="X106" s="13" t="n">
        <v>1.955553370436225</v>
      </c>
    </row>
    <row r="107">
      <c r="A107" t="inlineStr">
        <is>
          <t>Hisse</t>
        </is>
      </c>
      <c r="B107" t="inlineStr">
        <is>
          <t>TLH</t>
        </is>
      </c>
      <c r="C107" t="inlineStr">
        <is>
          <t>Aura Portföy Hisse Senedi Fonu (Hisse Senedi Yoğun Fon)</t>
        </is>
      </c>
      <c r="D107" s="13" t="n">
        <v>-0.5119151216312345</v>
      </c>
      <c r="E107" s="13" t="n">
        <v>1.836265782110691</v>
      </c>
      <c r="F107" s="13" t="n">
        <v>-0.4376218006952648</v>
      </c>
      <c r="G107" s="13" t="n">
        <v>-0.124300656466203</v>
      </c>
      <c r="H107" s="13" t="n">
        <v>-0.9189820920565417</v>
      </c>
      <c r="I107" s="13" t="n">
        <v>-0.9688993938569812</v>
      </c>
      <c r="J107" s="13" t="n">
        <v>-1.15616588198526</v>
      </c>
      <c r="K107" s="13" t="n">
        <v>-0.7461089392662101</v>
      </c>
      <c r="L107" s="13" t="n">
        <v>-0.6301141613110017</v>
      </c>
      <c r="M107" s="13" t="n">
        <v>-0.3684332004553537</v>
      </c>
      <c r="N107" s="13" t="n">
        <v>0.9546359373481694</v>
      </c>
      <c r="O107" s="13" t="n">
        <v>-0.02585571160109712</v>
      </c>
      <c r="P107" s="13" t="n">
        <v>-0.8649982797868216</v>
      </c>
      <c r="Q107" s="13" t="n">
        <v>0.4121572201273294</v>
      </c>
      <c r="R107" s="13" t="n">
        <v>-0.04764255340840018</v>
      </c>
      <c r="S107" s="13" t="n">
        <v>-2.387751180190412</v>
      </c>
      <c r="T107" s="13" t="n">
        <v>-1.229896347100701</v>
      </c>
      <c r="U107" s="13" t="n">
        <v>1.507194563519798</v>
      </c>
      <c r="V107" s="13" t="n">
        <v>-0.5418822685623992</v>
      </c>
      <c r="W107" s="13" t="n">
        <v>0.5953142377362663</v>
      </c>
      <c r="X107" s="13" t="n">
        <v>0.7336456833111571</v>
      </c>
    </row>
    <row r="108">
      <c r="A108" t="inlineStr">
        <is>
          <t>Hisse</t>
        </is>
      </c>
      <c r="B108" t="inlineStr">
        <is>
          <t>ST1</t>
        </is>
      </c>
      <c r="C108" t="inlineStr">
        <is>
          <t>Strateji Portföy Birinci Hisse Senedi Fonu (Hisse Senedi Yoğun Fon)</t>
        </is>
      </c>
      <c r="D108" s="13" t="n">
        <v>-0.6339271045026407</v>
      </c>
      <c r="E108" s="13" t="n">
        <v>1.431290910563066</v>
      </c>
      <c r="F108" s="13" t="n">
        <v>-0.5021979819990641</v>
      </c>
      <c r="G108" s="13" t="n">
        <v>0.05326078799059442</v>
      </c>
      <c r="H108" s="13" t="n">
        <v>-0.9090604739727337</v>
      </c>
      <c r="I108" s="13" t="n">
        <v>-1.550877135855477</v>
      </c>
      <c r="J108" s="13" t="n">
        <v>-0.6669314626706613</v>
      </c>
      <c r="K108" s="13" t="n">
        <v>-0.3157983991191715</v>
      </c>
      <c r="L108" s="13" t="n">
        <v>-0.2106369373515715</v>
      </c>
      <c r="M108" s="13" t="n">
        <v>-0.4615189814729193</v>
      </c>
      <c r="N108" s="13" t="n">
        <v>-0.132894052935062</v>
      </c>
      <c r="O108" s="13" t="n">
        <v>-0.349021573992947</v>
      </c>
      <c r="P108" s="13" t="n">
        <v>0.4649217469986366</v>
      </c>
      <c r="Q108" s="13" t="n">
        <v>-1.233475280615937</v>
      </c>
      <c r="R108" s="13" t="n">
        <v>-0.338036159636057</v>
      </c>
      <c r="S108" s="13" t="n">
        <v>-2.318993782982981</v>
      </c>
      <c r="T108" s="13" t="n">
        <v>-0.7242122787791461</v>
      </c>
      <c r="U108" s="13" t="n">
        <v>1.445571711402782</v>
      </c>
      <c r="V108" s="13" t="n">
        <v>-0.5829244732769023</v>
      </c>
      <c r="W108" s="13" t="n">
        <v>0.7302901227308256</v>
      </c>
      <c r="X108" s="13" t="n">
        <v>1.758952781403589</v>
      </c>
    </row>
    <row r="109">
      <c r="A109" t="inlineStr">
        <is>
          <t>Hisse</t>
        </is>
      </c>
      <c r="B109" t="inlineStr">
        <is>
          <t>EC2</t>
        </is>
      </c>
      <c r="C109" t="inlineStr">
        <is>
          <t>Global MD Portföy Birinci Hisse Senedi Fonu(hisse Senedi Yoğun Fon)</t>
        </is>
      </c>
      <c r="D109" s="13" t="n">
        <v>-0.8764771560574869</v>
      </c>
      <c r="E109" s="13" t="n">
        <v>1.891423852795127</v>
      </c>
      <c r="F109" s="13" t="n">
        <v>-0.6549741806921694</v>
      </c>
      <c r="G109" s="13" t="n">
        <v>0.1944551943537709</v>
      </c>
      <c r="H109" s="13" t="n">
        <v>-1.664915240906051</v>
      </c>
      <c r="I109" s="13" t="n">
        <v>-0.4359697545332719</v>
      </c>
      <c r="J109" s="13" t="n">
        <v>-1.563898344694281</v>
      </c>
      <c r="K109" s="13" t="n">
        <v>0.739724185533075</v>
      </c>
      <c r="L109" s="13" t="n">
        <v>-0.8759656233600976</v>
      </c>
      <c r="M109" s="13" t="n">
        <v>-0.2158958206005535</v>
      </c>
      <c r="N109" s="13" t="n">
        <v>0.5236017163167128</v>
      </c>
      <c r="O109" s="13" t="n">
        <v>0.09055335564160938</v>
      </c>
      <c r="P109" s="13" t="n">
        <v>-1.336118825673493</v>
      </c>
      <c r="Q109" s="13" t="n">
        <v>-0.9111910746474994</v>
      </c>
      <c r="R109" s="13" t="n">
        <v>-0.05936252563415456</v>
      </c>
      <c r="S109" s="13" t="n">
        <v>-2.436669358815158</v>
      </c>
      <c r="T109" s="13" t="n">
        <v>0.1563305822882999</v>
      </c>
      <c r="U109" s="13" t="n">
        <v>2.155164154404421</v>
      </c>
      <c r="V109" s="13" t="n">
        <v>-0.7034615009147149</v>
      </c>
      <c r="W109" s="13" t="n">
        <v>0.2024826541158653</v>
      </c>
      <c r="X109" s="13" t="n">
        <v>1.682308730266269</v>
      </c>
    </row>
    <row r="110">
      <c r="A110" t="inlineStr">
        <is>
          <t>Hisse</t>
        </is>
      </c>
      <c r="B110" t="inlineStr">
        <is>
          <t>ICF</t>
        </is>
      </c>
      <c r="C110" t="inlineStr">
        <is>
          <t>Icbc Turkey Portföy Hisse Senedi Fonu(hisse Senedi Yoğun Fon)</t>
        </is>
      </c>
      <c r="D110" s="13" t="n">
        <v>-1.167441628032351</v>
      </c>
      <c r="E110" s="13" t="n">
        <v>1.506936477371723</v>
      </c>
      <c r="F110" s="13" t="n">
        <v>-0.5075034526599076</v>
      </c>
      <c r="G110" s="13" t="n">
        <v>0.02302768358592999</v>
      </c>
      <c r="H110" s="13" t="n">
        <v>-1.467243019034215</v>
      </c>
      <c r="I110" s="13" t="n">
        <v>-0.9919150681299005</v>
      </c>
      <c r="J110" s="13" t="n">
        <v>-0.7777883147977782</v>
      </c>
      <c r="K110" s="13" t="n">
        <v>0.6363269965409257</v>
      </c>
      <c r="L110" s="13" t="n">
        <v>-0.6301992227310649</v>
      </c>
      <c r="M110" s="13" t="n">
        <v>-0.6335707887212161</v>
      </c>
      <c r="N110" s="13" t="n">
        <v>0.6730037681516476</v>
      </c>
      <c r="O110" s="13" t="n">
        <v>0.08165795647419039</v>
      </c>
      <c r="P110" s="13" t="n">
        <v>-0.2661766156775935</v>
      </c>
      <c r="Q110" s="13" t="n">
        <v>0.156296053859406</v>
      </c>
      <c r="R110" s="13" t="n">
        <v>0.2872627955971208</v>
      </c>
      <c r="S110" s="13" t="n">
        <v>-2.372590546932607</v>
      </c>
      <c r="T110" s="13" t="n">
        <v>-0.2980140282116461</v>
      </c>
      <c r="U110" s="13" t="n">
        <v>1.487294158452146</v>
      </c>
      <c r="V110" s="13" t="n">
        <v>-0.7186024845384664</v>
      </c>
      <c r="W110" s="13" t="n">
        <v>0.534388969692845</v>
      </c>
      <c r="X110" s="13" t="n">
        <v>1.992692317967215</v>
      </c>
    </row>
    <row r="111">
      <c r="A111" t="inlineStr">
        <is>
          <t>Hisse</t>
        </is>
      </c>
      <c r="B111" t="inlineStr">
        <is>
          <t>BHA</t>
        </is>
      </c>
      <c r="C111" t="inlineStr">
        <is>
          <t>Bulls Portföy Hisse Senedi (TL) Fonu (Hisse Senedi Yoğun Fon)</t>
        </is>
      </c>
      <c r="D111" s="13" t="n">
        <v>-0.8926630276685166</v>
      </c>
      <c r="E111" s="13" t="n">
        <v>1.730034956630178</v>
      </c>
      <c r="F111" s="13" t="n">
        <v>-1.311678151088991</v>
      </c>
      <c r="G111" s="13" t="n">
        <v>-0.05102499301408159</v>
      </c>
      <c r="H111" s="13" t="n">
        <v>-1.342784036850342</v>
      </c>
      <c r="I111" s="13" t="n">
        <v>-1.429284795825381</v>
      </c>
      <c r="J111" s="13" t="n">
        <v>0.2071351767582996</v>
      </c>
      <c r="K111" s="13" t="n">
        <v>0.02015883136916585</v>
      </c>
      <c r="L111" s="13" t="n">
        <v>-1.098845555083794</v>
      </c>
      <c r="M111" s="13" t="n">
        <v>-0.4446900393519693</v>
      </c>
      <c r="N111" s="13" t="n">
        <v>0.6887838095378518</v>
      </c>
      <c r="O111" s="13" t="n">
        <v>0.8907466734814795</v>
      </c>
      <c r="P111" s="13" t="n">
        <v>0.9394167177265045</v>
      </c>
      <c r="Q111" s="13" t="n">
        <v>0.9406864407734306</v>
      </c>
      <c r="R111" s="13" t="n">
        <v>1.838545728679364</v>
      </c>
      <c r="S111" s="13" t="n">
        <v>-1.375321884492942</v>
      </c>
      <c r="T111" s="13" t="n">
        <v>-0.6584868135978583</v>
      </c>
      <c r="U111" s="13" t="n">
        <v>2.054168919044863</v>
      </c>
      <c r="V111" s="13" t="n">
        <v>-0.7427837342538934</v>
      </c>
      <c r="W111" s="13" t="n">
        <v>0.6989639752924326</v>
      </c>
      <c r="X111" s="13" t="n">
        <v>1.891920702457583</v>
      </c>
    </row>
    <row r="112">
      <c r="A112" t="inlineStr">
        <is>
          <t>Hisse</t>
        </is>
      </c>
      <c r="B112" t="inlineStr">
        <is>
          <t>HVZ</t>
        </is>
      </c>
      <c r="C112" t="inlineStr">
        <is>
          <t>Allbatross Portföy Birinci Hisse Senedi (TL) Fonu (Hisse Senedi Yoğun Fon)</t>
        </is>
      </c>
      <c r="D112" s="13" t="n">
        <v>-0.486628675297418</v>
      </c>
      <c r="E112" s="13" t="n">
        <v>1.171756463694562</v>
      </c>
      <c r="F112" s="13" t="n">
        <v>-0.7482557178781435</v>
      </c>
      <c r="G112" s="13" t="n">
        <v>0.02459116320383536</v>
      </c>
      <c r="H112" s="13" t="n">
        <v>-0.9702833487019391</v>
      </c>
      <c r="I112" s="13" t="n">
        <v>-0.2181874853892318</v>
      </c>
      <c r="J112" s="13" t="n">
        <v>-0.6606878799882199</v>
      </c>
      <c r="K112" s="13" t="n">
        <v>0.7373954197619659</v>
      </c>
      <c r="L112" s="13" t="n">
        <v>-0.0979565480867417</v>
      </c>
      <c r="M112" s="13" t="n">
        <v>-0.8104496939698724</v>
      </c>
      <c r="N112" s="13" t="n">
        <v>-0.3156240964348633</v>
      </c>
      <c r="O112" s="13" t="n">
        <v>-0.3659073436872329</v>
      </c>
      <c r="P112" s="13" t="n">
        <v>-0.1629507875740122</v>
      </c>
      <c r="Q112" s="13" t="n">
        <v>-0.7495641460466551</v>
      </c>
      <c r="R112" s="13" t="n">
        <v>0.4932904354146395</v>
      </c>
      <c r="S112" s="13" t="n">
        <v>-2.05614198592462</v>
      </c>
      <c r="T112" s="13" t="n">
        <v>0.01250329825854823</v>
      </c>
      <c r="U112" s="13" t="n">
        <v>1.575233299692114</v>
      </c>
      <c r="V112" s="13" t="n">
        <v>-0.78651833097938</v>
      </c>
      <c r="W112" s="13" t="n">
        <v>0.5714068556883278</v>
      </c>
      <c r="X112" s="13" t="n">
        <v>2.34022299902783</v>
      </c>
    </row>
    <row r="113">
      <c r="A113" t="inlineStr">
        <is>
          <t>Hisse</t>
        </is>
      </c>
      <c r="B113" t="inlineStr">
        <is>
          <t>EID</t>
        </is>
      </c>
      <c r="C113" t="inlineStr">
        <is>
          <t>Astra Portföy Hisse Senedi Fonu (Hisse Yoğun Fon)</t>
        </is>
      </c>
      <c r="D113" s="13" t="n">
        <v>-0.3590774302152488</v>
      </c>
      <c r="E113" s="13" t="n">
        <v>2.326483015706016</v>
      </c>
      <c r="F113" s="13" t="n">
        <v>-0.7831380209937122</v>
      </c>
      <c r="G113" s="13" t="n">
        <v>0.3314198315588657</v>
      </c>
      <c r="H113" s="13" t="n">
        <v>-1.263589901971551</v>
      </c>
      <c r="I113" s="13" t="n">
        <v>-1.062457140794748</v>
      </c>
      <c r="J113" s="13" t="n">
        <v>-0.936257573938204</v>
      </c>
      <c r="K113" s="13" t="n">
        <v>-0.06730665957458415</v>
      </c>
      <c r="L113" s="13" t="n">
        <v>-0.4065685593122259</v>
      </c>
      <c r="M113" s="13" t="n">
        <v>-0.9120387261879581</v>
      </c>
      <c r="N113" s="13" t="n">
        <v>1.084522425322376</v>
      </c>
      <c r="O113" s="13" t="n">
        <v>0.1141532598579742</v>
      </c>
      <c r="P113" s="13" t="n">
        <v>-0.8830768710421877</v>
      </c>
      <c r="Q113" s="13" t="n">
        <v>0.04249979448092134</v>
      </c>
      <c r="R113" s="13" t="n">
        <v>0.406884109090222</v>
      </c>
      <c r="S113" s="13" t="n">
        <v>-2.481081643094429</v>
      </c>
      <c r="T113" s="13" t="n">
        <v>-0.6043431423415457</v>
      </c>
      <c r="U113" s="13" t="n">
        <v>1.016212565096386</v>
      </c>
      <c r="V113" s="13" t="n">
        <v>-0.794772239587116</v>
      </c>
      <c r="W113" s="13" t="n">
        <v>1.001755522902603</v>
      </c>
      <c r="X113" s="13" t="n">
        <v>1.334668001334682</v>
      </c>
    </row>
    <row r="114">
      <c r="A114" t="inlineStr">
        <is>
          <t>Hisse</t>
        </is>
      </c>
      <c r="B114" t="inlineStr">
        <is>
          <t>RHI</t>
        </is>
      </c>
      <c r="C114" t="inlineStr">
        <is>
          <t>Re-pıe Portföy Birinci Hisse Senedi (TL) Fonu (Hisse Senedi Yoğun Fon)</t>
        </is>
      </c>
      <c r="D114" s="13" t="n">
        <v>-0.8879539940892189</v>
      </c>
      <c r="E114" s="13" t="n">
        <v>2.392734005874075</v>
      </c>
      <c r="F114" s="13" t="n">
        <v>-0.1733398408223397</v>
      </c>
      <c r="G114" s="13" t="n">
        <v>0.1234285384799749</v>
      </c>
      <c r="H114" s="13" t="n">
        <v>-1.267857078583756</v>
      </c>
      <c r="I114" s="13" t="n">
        <v>-0.639486806521361</v>
      </c>
      <c r="J114" s="13" t="n">
        <v>-0.9601143747485219</v>
      </c>
      <c r="K114" s="13" t="n">
        <v>0.6976306243729136</v>
      </c>
      <c r="L114" s="13" t="n">
        <v>-0.9045792446490508</v>
      </c>
      <c r="M114" s="13" t="n">
        <v>-0.2561610126651237</v>
      </c>
      <c r="N114" s="13" t="n">
        <v>0.6535854459374546</v>
      </c>
      <c r="O114" s="13" t="n">
        <v>0.2292047108070072</v>
      </c>
      <c r="P114" s="13" t="n">
        <v>-0.6131147903874146</v>
      </c>
      <c r="Q114" s="13" t="n">
        <v>0.01961251364988037</v>
      </c>
      <c r="R114" s="13" t="n">
        <v>-0.2147056349249499</v>
      </c>
      <c r="S114" s="13" t="n">
        <v>-1.705719391926785</v>
      </c>
      <c r="T114" s="13" t="n">
        <v>-1.539373567223423</v>
      </c>
      <c r="U114" s="13" t="n">
        <v>1.626531799164255</v>
      </c>
      <c r="V114" s="13" t="n">
        <v>-0.7960898256052173</v>
      </c>
      <c r="W114" s="13" t="n">
        <v>0.205972176602387</v>
      </c>
      <c r="X114" s="13" t="n">
        <v>1.234751062139527</v>
      </c>
    </row>
    <row r="115">
      <c r="A115" t="inlineStr">
        <is>
          <t>Hisse</t>
        </is>
      </c>
      <c r="B115" t="inlineStr">
        <is>
          <t>TZD</t>
        </is>
      </c>
      <c r="C115" t="inlineStr">
        <is>
          <t>Ziraat Portföy Hisse Senedi Fonu (Hisse Senedi Yoğun Fon)</t>
        </is>
      </c>
      <c r="D115" s="13" t="n">
        <v>-0.899504394114814</v>
      </c>
      <c r="E115" s="13" t="n">
        <v>2.130839635485504</v>
      </c>
      <c r="F115" s="13" t="n">
        <v>-0.434051563083826</v>
      </c>
      <c r="G115" s="13" t="n">
        <v>-0.01247005622860842</v>
      </c>
      <c r="H115" s="13" t="n">
        <v>-1.542648415108405</v>
      </c>
      <c r="I115" s="13" t="n">
        <v>-0.4886927993754564</v>
      </c>
      <c r="J115" s="13" t="n">
        <v>-1.723553137933731</v>
      </c>
      <c r="K115" s="13" t="n">
        <v>0.6933833999702044</v>
      </c>
      <c r="L115" s="13" t="n">
        <v>-0.3676719646699356</v>
      </c>
      <c r="M115" s="13" t="n">
        <v>-0.3372982948911529</v>
      </c>
      <c r="N115" s="13" t="n">
        <v>0.2021542544983213</v>
      </c>
      <c r="O115" s="13" t="n">
        <v>-0.003971705247596269</v>
      </c>
      <c r="P115" s="13" t="n">
        <v>-1.15386673021648</v>
      </c>
      <c r="Q115" s="13" t="n">
        <v>-0.2273989026137402</v>
      </c>
      <c r="R115" s="13" t="n">
        <v>0.3001635611957321</v>
      </c>
      <c r="S115" s="13" t="n">
        <v>-2.779758129411747</v>
      </c>
      <c r="T115" s="13" t="n">
        <v>-0.3488705327039709</v>
      </c>
      <c r="U115" s="13" t="n">
        <v>1.680297328593272</v>
      </c>
      <c r="V115" s="13" t="n">
        <v>-0.8063211317611008</v>
      </c>
      <c r="W115" s="13" t="n">
        <v>1.47500887890184</v>
      </c>
      <c r="X115" s="13" t="n">
        <v>2.36239506389142</v>
      </c>
    </row>
    <row r="116">
      <c r="A116" t="inlineStr">
        <is>
          <t>Hisse</t>
        </is>
      </c>
      <c r="B116" t="inlineStr">
        <is>
          <t>KYA</t>
        </is>
      </c>
      <c r="C116" t="inlineStr">
        <is>
          <t>Kare Portföy Hisse Senedi Fonu(hisse Senedi Yoğun Fon)</t>
        </is>
      </c>
      <c r="D116" s="13" t="n">
        <v>-1.146779063319481</v>
      </c>
      <c r="E116" s="13" t="n">
        <v>2.177158384079725</v>
      </c>
      <c r="F116" s="13" t="n">
        <v>-0.692360185772134</v>
      </c>
      <c r="G116" s="13" t="n">
        <v>-0.4951063367260478</v>
      </c>
      <c r="H116" s="13" t="n">
        <v>-1.011668057669335</v>
      </c>
      <c r="I116" s="13" t="n">
        <v>-1.070198119321264</v>
      </c>
      <c r="J116" s="13" t="n">
        <v>0.03183412166651856</v>
      </c>
      <c r="K116" s="13" t="n">
        <v>-0.01887722287652327</v>
      </c>
      <c r="L116" s="13" t="n">
        <v>-0.3177151908463238</v>
      </c>
      <c r="M116" s="13" t="n">
        <v>-1.0157721251009</v>
      </c>
      <c r="N116" s="13" t="n">
        <v>0.6805745003856778</v>
      </c>
      <c r="O116" s="13" t="n">
        <v>0.03792787648464468</v>
      </c>
      <c r="P116" s="13" t="n">
        <v>0.9031146231768261</v>
      </c>
      <c r="Q116" s="13" t="n">
        <v>0.593355122457595</v>
      </c>
      <c r="R116" s="13" t="n">
        <v>0.08133077690768431</v>
      </c>
      <c r="S116" s="13" t="n">
        <v>-1.48146676961296</v>
      </c>
      <c r="T116" s="13" t="n">
        <v>-0.2997072646252152</v>
      </c>
      <c r="U116" s="13" t="n">
        <v>1.502704041613345</v>
      </c>
      <c r="V116" s="13" t="n">
        <v>-0.8218213872769997</v>
      </c>
      <c r="W116" s="13" t="n">
        <v>0.1633661460486602</v>
      </c>
      <c r="X116" s="13" t="n">
        <v>2.45384830057136</v>
      </c>
    </row>
    <row r="117">
      <c r="A117" t="inlineStr">
        <is>
          <t>Hisse</t>
        </is>
      </c>
      <c r="B117" t="inlineStr">
        <is>
          <t>HVS</t>
        </is>
      </c>
      <c r="C117" t="inlineStr">
        <is>
          <t>Hsbc Portföy Hisse Senedi (TL) Fonu (Hisse Senedi Yoğun Fon)</t>
        </is>
      </c>
      <c r="D117" s="13" t="n">
        <v>-0.7079265732836793</v>
      </c>
      <c r="E117" s="13" t="n">
        <v>2.500491093282786</v>
      </c>
      <c r="F117" s="13" t="n">
        <v>-0.6654044444660778</v>
      </c>
      <c r="G117" s="13" t="n">
        <v>0.1025892296620645</v>
      </c>
      <c r="H117" s="13" t="n">
        <v>-0.9216226138032302</v>
      </c>
      <c r="I117" s="13" t="n">
        <v>-0.8088495476852642</v>
      </c>
      <c r="J117" s="13" t="n">
        <v>-0.4761433385691571</v>
      </c>
      <c r="K117" s="13" t="n">
        <v>-0.3257243409978017</v>
      </c>
      <c r="L117" s="13" t="n">
        <v>-0.7790338047827805</v>
      </c>
      <c r="M117" s="13" t="n">
        <v>-0.534228648090318</v>
      </c>
      <c r="N117" s="13" t="n">
        <v>0.940843547797332</v>
      </c>
      <c r="O117" s="13" t="n">
        <v>0.5481566413829464</v>
      </c>
      <c r="P117" s="13" t="n">
        <v>0.139785128140546</v>
      </c>
      <c r="Q117" s="13" t="n">
        <v>0.212482136734371</v>
      </c>
      <c r="R117" s="13" t="n">
        <v>-0.2150285206237612</v>
      </c>
      <c r="S117" s="13" t="n">
        <v>-2.201283440662138</v>
      </c>
      <c r="T117" s="13" t="n">
        <v>-1.055262782441457</v>
      </c>
      <c r="U117" s="13" t="n">
        <v>1.576174775901396</v>
      </c>
      <c r="V117" s="13" t="n">
        <v>-0.8430808992268779</v>
      </c>
      <c r="W117" s="13" t="n">
        <v>0.8021000718384741</v>
      </c>
      <c r="X117" s="13" t="n">
        <v>1.556916355391658</v>
      </c>
    </row>
    <row r="118">
      <c r="A118" t="inlineStr">
        <is>
          <t>Hisse</t>
        </is>
      </c>
      <c r="B118" t="inlineStr">
        <is>
          <t>AK3</t>
        </is>
      </c>
      <c r="C118" t="inlineStr">
        <is>
          <t>AK Portföy Hisse Senedi (TL) Fonu (Hisse Senedi Yoğun Fon)</t>
        </is>
      </c>
      <c r="D118" s="13" t="n">
        <v>-0.7724258994310618</v>
      </c>
      <c r="E118" s="13" t="n">
        <v>2.14273607388713</v>
      </c>
      <c r="F118" s="13" t="n">
        <v>-1.107973223371717</v>
      </c>
      <c r="G118" s="13" t="n">
        <v>-0.1102804264572432</v>
      </c>
      <c r="H118" s="13" t="n">
        <v>-1.84560696756737</v>
      </c>
      <c r="I118" s="13" t="n">
        <v>-1.359526768541286</v>
      </c>
      <c r="J118" s="13" t="n">
        <v>-0.7048667004849296</v>
      </c>
      <c r="K118" s="13" t="n">
        <v>0.1995491389974902</v>
      </c>
      <c r="L118" s="13" t="n">
        <v>-0.9763863028360298</v>
      </c>
      <c r="M118" s="13" t="n">
        <v>-0.5820371378726041</v>
      </c>
      <c r="N118" s="13" t="n">
        <v>1.614102590327771</v>
      </c>
      <c r="O118" s="13" t="n">
        <v>0.5972755055303258</v>
      </c>
      <c r="P118" s="13" t="n">
        <v>-0.20530026500587</v>
      </c>
      <c r="Q118" s="13" t="n">
        <v>0.08697402793085285</v>
      </c>
      <c r="R118" s="13" t="n">
        <v>-0.01864552566557265</v>
      </c>
      <c r="S118" s="13" t="n">
        <v>-2.303012885868183</v>
      </c>
      <c r="T118" s="13" t="n">
        <v>-0.5788038454400235</v>
      </c>
      <c r="U118" s="13" t="n">
        <v>1.825364481996483</v>
      </c>
      <c r="V118" s="13" t="n">
        <v>-0.9020229807544911</v>
      </c>
      <c r="W118" s="13" t="n">
        <v>0.701614564814701</v>
      </c>
      <c r="X118" s="13" t="n">
        <v>2.110020513516697</v>
      </c>
    </row>
    <row r="119">
      <c r="A119" t="inlineStr">
        <is>
          <t>Hisse</t>
        </is>
      </c>
      <c r="B119" t="inlineStr">
        <is>
          <t>OPH</t>
        </is>
      </c>
      <c r="C119" t="inlineStr">
        <is>
          <t>Osmanlı Portföy Birinci Hisse Senedi Fonu(hisse Senedi Yoğun Fon)</t>
        </is>
      </c>
      <c r="D119" s="13" t="n">
        <v>-1.203995799537405</v>
      </c>
      <c r="E119" s="13" t="n">
        <v>1.336178774011842</v>
      </c>
      <c r="F119" s="13" t="n">
        <v>0.3207651310351833</v>
      </c>
      <c r="G119" s="13" t="n">
        <v>-0.3098208001767633</v>
      </c>
      <c r="H119" s="13" t="n">
        <v>-1.306303968961708</v>
      </c>
      <c r="I119" s="13" t="n">
        <v>-1.092888044937357</v>
      </c>
      <c r="J119" s="13" t="n">
        <v>-0.8340641902964796</v>
      </c>
      <c r="K119" s="13" t="n">
        <v>-0.4796698474667238</v>
      </c>
      <c r="L119" s="13" t="n">
        <v>-0.04239518464370651</v>
      </c>
      <c r="M119" s="13" t="n">
        <v>-0.4327445364607607</v>
      </c>
      <c r="N119" s="13" t="n">
        <v>0.2319711477584807</v>
      </c>
      <c r="O119" s="13" t="n">
        <v>-0.1133994185355314</v>
      </c>
      <c r="P119" s="13" t="n">
        <v>1.05370463494443</v>
      </c>
      <c r="Q119" s="13" t="n">
        <v>-0.06089065442571595</v>
      </c>
      <c r="R119" s="13" t="n">
        <v>0.6094984186867602</v>
      </c>
      <c r="S119" s="13" t="n">
        <v>-1.447131008976821</v>
      </c>
      <c r="T119" s="13" t="n">
        <v>-0.5442117444574901</v>
      </c>
      <c r="U119" s="13" t="n">
        <v>1.778288252366234</v>
      </c>
      <c r="V119" s="13" t="n">
        <v>-0.9109622033114606</v>
      </c>
      <c r="W119" s="13" t="n">
        <v>0.8793677382171738</v>
      </c>
      <c r="X119" s="13" t="n">
        <v>2.301343999646477</v>
      </c>
    </row>
    <row r="120">
      <c r="A120" t="inlineStr">
        <is>
          <t>Hisse</t>
        </is>
      </c>
      <c r="B120" t="inlineStr">
        <is>
          <t>NPH</t>
        </is>
      </c>
      <c r="C120" t="inlineStr">
        <is>
          <t>Nurol Portföy Birinci Hisse Senedi Fonu (Hisse Senedi Yoğun Fon)</t>
        </is>
      </c>
      <c r="D120" s="13" t="n">
        <v>-1.507710625921388</v>
      </c>
      <c r="E120" s="13" t="n">
        <v>1.110538377872117</v>
      </c>
      <c r="F120" s="13" t="n">
        <v>-0.2149659799648651</v>
      </c>
      <c r="G120" s="13" t="n">
        <v>0.2859955706502548</v>
      </c>
      <c r="H120" s="13" t="n">
        <v>-1.377376155389143</v>
      </c>
      <c r="I120" s="13" t="n">
        <v>-2.316534834513984</v>
      </c>
      <c r="J120" s="13" t="n">
        <v>-0.9720689492476287</v>
      </c>
      <c r="K120" s="13" t="n">
        <v>-0.4486674557999781</v>
      </c>
      <c r="L120" s="13" t="n">
        <v>-0.1414659251100736</v>
      </c>
      <c r="M120" s="13" t="n">
        <v>-0.6895341194279481</v>
      </c>
      <c r="N120" s="13" t="n">
        <v>0.3863331816580606</v>
      </c>
      <c r="O120" s="13" t="n">
        <v>0.9863405753216314</v>
      </c>
      <c r="P120" s="13" t="n">
        <v>0.5281067539796513</v>
      </c>
      <c r="Q120" s="13" t="n">
        <v>-1.016532412310323</v>
      </c>
      <c r="R120" s="13" t="n">
        <v>-0.4790961603341248</v>
      </c>
      <c r="S120" s="13" t="n">
        <v>-4.085210310042953</v>
      </c>
      <c r="T120" s="13" t="n">
        <v>-0.7757387352555711</v>
      </c>
      <c r="U120" s="13" t="n">
        <v>1.288814660488158</v>
      </c>
      <c r="V120" s="13" t="n">
        <v>-0.9267708544490549</v>
      </c>
      <c r="W120" s="13" t="n">
        <v>0.9509982278277374</v>
      </c>
      <c r="X120" s="13" t="n">
        <v>1.154237914821454</v>
      </c>
    </row>
    <row r="121">
      <c r="A121" t="inlineStr">
        <is>
          <t>Hisse</t>
        </is>
      </c>
      <c r="B121" t="inlineStr">
        <is>
          <t>DAH</t>
        </is>
      </c>
      <c r="C121" t="inlineStr">
        <is>
          <t>Deniz Portföy Hisse Senedi Fonu (Hisse Senedi Yoğun Fon)</t>
        </is>
      </c>
      <c r="D121" s="13" t="n">
        <v>-0.8682856408037565</v>
      </c>
      <c r="E121" s="13" t="n">
        <v>2.395197198825483</v>
      </c>
      <c r="F121" s="13" t="n">
        <v>-1.00473219033772</v>
      </c>
      <c r="G121" s="13" t="n">
        <v>-0.5057648213979804</v>
      </c>
      <c r="H121" s="13" t="n">
        <v>-1.637855503599628</v>
      </c>
      <c r="I121" s="13" t="n">
        <v>-0.7208522715587251</v>
      </c>
      <c r="J121" s="13" t="n">
        <v>-0.8252978235887776</v>
      </c>
      <c r="K121" s="13" t="n">
        <v>0.587605329744334</v>
      </c>
      <c r="L121" s="13" t="n">
        <v>-0.9398341687009482</v>
      </c>
      <c r="M121" s="13" t="n">
        <v>-0.5578171166653934</v>
      </c>
      <c r="N121" s="13" t="n">
        <v>1.332414518452585</v>
      </c>
      <c r="O121" s="13" t="n">
        <v>-0.1964807760048815</v>
      </c>
      <c r="P121" s="13" t="n">
        <v>-0.5119571212320095</v>
      </c>
      <c r="Q121" s="13" t="n">
        <v>-0.002038547229310517</v>
      </c>
      <c r="R121" s="13" t="n">
        <v>0.1690046731816608</v>
      </c>
      <c r="S121" s="13" t="n">
        <v>-2.597246216883597</v>
      </c>
      <c r="T121" s="13" t="n">
        <v>-0.287004583367434</v>
      </c>
      <c r="U121" s="13" t="n">
        <v>2.046129739747515</v>
      </c>
      <c r="V121" s="13" t="n">
        <v>-0.9541249970767329</v>
      </c>
      <c r="W121" s="13" t="n">
        <v>0.3235049450041716</v>
      </c>
      <c r="X121" s="13" t="n">
        <v>2.287943001044157</v>
      </c>
    </row>
    <row r="122">
      <c r="A122" s="14" t="inlineStr">
        <is>
          <t>Hisse</t>
        </is>
      </c>
      <c r="B122" s="14" t="inlineStr">
        <is>
          <t>BV1</t>
        </is>
      </c>
      <c r="C122" s="14" t="inlineStr">
        <is>
          <t>BV Portföy Birinci Hisse Senedi (TL) Fon (Hisse Senedi Yoğun Fon)</t>
        </is>
      </c>
      <c r="D122" s="15" t="n">
        <v>-0.9880098427962669</v>
      </c>
      <c r="E122" s="15" t="n">
        <v>2.434204825586428</v>
      </c>
      <c r="F122" s="15" t="n">
        <v>-0.5439629855071959</v>
      </c>
      <c r="G122" s="15" t="n">
        <v>0.1682602079400297</v>
      </c>
      <c r="H122" s="15" t="n">
        <v>-1.411626878133809</v>
      </c>
      <c r="I122" s="15" t="n">
        <v>-1.115913310761252</v>
      </c>
      <c r="J122" s="15" t="n">
        <v>-1.069367171696445</v>
      </c>
      <c r="K122" s="15" t="n">
        <v>-0.4280194864021425</v>
      </c>
      <c r="L122" s="15" t="n">
        <v>-0.2115018295773208</v>
      </c>
      <c r="M122" s="15" t="n">
        <v>-0.3289368079196553</v>
      </c>
      <c r="N122" s="15" t="n">
        <v>0.7785126639562989</v>
      </c>
      <c r="O122" s="15" t="n">
        <v>0.3216560428124904</v>
      </c>
      <c r="P122" s="15" t="n">
        <v>1.136905232198071</v>
      </c>
      <c r="Q122" s="15" t="n">
        <v>-0.5882393706462485</v>
      </c>
      <c r="R122" s="15" t="n">
        <v>0.542858989747419</v>
      </c>
      <c r="S122" s="15" t="n">
        <v>-2.341998905772924</v>
      </c>
      <c r="T122" s="15" t="n">
        <v>-0.625551843609462</v>
      </c>
      <c r="U122" s="15" t="n">
        <v>2.665263759531333</v>
      </c>
      <c r="V122" s="15" t="n">
        <v>-0.9602731961110833</v>
      </c>
      <c r="W122" s="15" t="n">
        <v>1.097592680245563</v>
      </c>
      <c r="X122" s="15" t="n">
        <v>1.561003348707901</v>
      </c>
    </row>
    <row r="123">
      <c r="A123" t="inlineStr">
        <is>
          <t>Hisse</t>
        </is>
      </c>
      <c r="B123" t="inlineStr">
        <is>
          <t>RHS</t>
        </is>
      </c>
      <c r="C123" t="inlineStr">
        <is>
          <t>Rota Portföy Hisse Senedi (TL) Fon (Hisse Senedi Yoğun Fon)</t>
        </is>
      </c>
      <c r="D123" s="13" t="n">
        <v>-1.008065076670328</v>
      </c>
      <c r="E123" s="13" t="n">
        <v>2.561601232145017</v>
      </c>
      <c r="F123" s="13" t="n">
        <v>-0.129346081813897</v>
      </c>
      <c r="G123" s="13" t="n">
        <v>0.2867605343235713</v>
      </c>
      <c r="H123" s="13" t="n">
        <v>-1.74359690113437</v>
      </c>
      <c r="I123" s="13" t="n">
        <v>-1.493023836385132</v>
      </c>
      <c r="J123" s="13" t="n">
        <v>-1.167268225122764</v>
      </c>
      <c r="K123" s="13" t="n">
        <v>0.2135901478226732</v>
      </c>
      <c r="L123" s="13" t="n">
        <v>-0.0804841325654948</v>
      </c>
      <c r="M123" s="13" t="n">
        <v>-0.8178859472372957</v>
      </c>
      <c r="N123" s="13" t="n">
        <v>0.8404318360101914</v>
      </c>
      <c r="O123" s="13" t="n">
        <v>0.2351807902210457</v>
      </c>
      <c r="P123" s="13" t="n">
        <v>0.0805100797589553</v>
      </c>
      <c r="Q123" s="13" t="n">
        <v>0.5086018772560097</v>
      </c>
      <c r="R123" s="13" t="n">
        <v>0.280592115815792</v>
      </c>
      <c r="S123" s="13" t="n">
        <v>-1.549604147762085</v>
      </c>
      <c r="T123" s="13" t="n">
        <v>-0.4407409450276734</v>
      </c>
      <c r="U123" s="13" t="n">
        <v>1.76160781064485</v>
      </c>
      <c r="V123" s="13" t="n">
        <v>-0.9935636470169373</v>
      </c>
      <c r="W123" s="13" t="n">
        <v>0.8629859561806175</v>
      </c>
      <c r="X123" s="13" t="n">
        <v>1.73952975951428</v>
      </c>
    </row>
    <row r="124">
      <c r="A124" t="inlineStr">
        <is>
          <t>Hisse</t>
        </is>
      </c>
      <c r="B124" t="inlineStr">
        <is>
          <t>OHB</t>
        </is>
      </c>
      <c r="C124" t="inlineStr">
        <is>
          <t>Oyak Portföy Birinci Hisse Senedi (TL) Fonu (Hisse Senedi Yoğun Fon)</t>
        </is>
      </c>
      <c r="D124" s="13" t="n">
        <v>-0.5026689217355162</v>
      </c>
      <c r="E124" s="13" t="n">
        <v>2.198254451190729</v>
      </c>
      <c r="F124" s="13" t="n">
        <v>-0.9459865623046237</v>
      </c>
      <c r="G124" s="13" t="n">
        <v>-0.2947049606200403</v>
      </c>
      <c r="H124" s="13" t="n">
        <v>-0.9474978327816852</v>
      </c>
      <c r="I124" s="13" t="n">
        <v>-1.031844366949264</v>
      </c>
      <c r="J124" s="13" t="n">
        <v>-0.7346491820674705</v>
      </c>
      <c r="K124" s="13" t="n">
        <v>0.09744463554206551</v>
      </c>
      <c r="L124" s="13" t="n">
        <v>-0.8036945459628853</v>
      </c>
      <c r="M124" s="13" t="n">
        <v>-0.2633246554369029</v>
      </c>
      <c r="N124" s="13" t="n">
        <v>0.9656602289318084</v>
      </c>
      <c r="O124" s="13" t="n">
        <v>0.03397900881880744</v>
      </c>
      <c r="P124" s="13" t="n">
        <v>-0.3787168981140621</v>
      </c>
      <c r="Q124" s="13" t="n">
        <v>-0.02491955677091928</v>
      </c>
      <c r="R124" s="13" t="n">
        <v>0.1015793908309304</v>
      </c>
      <c r="S124" s="13" t="n">
        <v>-2.030205496410009</v>
      </c>
      <c r="T124" s="13" t="n">
        <v>-0.655259879790393</v>
      </c>
      <c r="U124" s="13" t="n">
        <v>1.720647165250822</v>
      </c>
      <c r="V124" s="13" t="n">
        <v>-0.9960623708506811</v>
      </c>
      <c r="W124" s="13" t="n">
        <v>0.5322818577968347</v>
      </c>
      <c r="X124" s="13" t="n">
        <v>2.04696177732171</v>
      </c>
    </row>
    <row r="125">
      <c r="A125" t="inlineStr">
        <is>
          <t>Hisse</t>
        </is>
      </c>
      <c r="B125" t="inlineStr">
        <is>
          <t>TI2</t>
        </is>
      </c>
      <c r="C125" t="inlineStr">
        <is>
          <t>İŞ Portföy Hisse Senedi (TL) Fonu (Hisse Senedi Yoğun Fon)</t>
        </is>
      </c>
      <c r="D125" s="13" t="n">
        <v>-0.6231630221527507</v>
      </c>
      <c r="E125" s="13" t="n">
        <v>2.229164460446897</v>
      </c>
      <c r="F125" s="13" t="n">
        <v>-0.5149871623171487</v>
      </c>
      <c r="G125" s="13" t="n">
        <v>-0.366670881274489</v>
      </c>
      <c r="H125" s="13" t="n">
        <v>-1.304867124514775</v>
      </c>
      <c r="I125" s="13" t="n">
        <v>-0.5302090581792984</v>
      </c>
      <c r="J125" s="13" t="n">
        <v>-0.9345225874641483</v>
      </c>
      <c r="K125" s="13" t="n">
        <v>0.1189726900108878</v>
      </c>
      <c r="L125" s="13" t="n">
        <v>-0.6999547674356177</v>
      </c>
      <c r="M125" s="13" t="n">
        <v>-0.9334177449738967</v>
      </c>
      <c r="N125" s="13" t="n">
        <v>0.2836768889061814</v>
      </c>
      <c r="O125" s="13" t="n">
        <v>0.08004414084661349</v>
      </c>
      <c r="P125" s="13" t="n">
        <v>-0.70351446630742</v>
      </c>
      <c r="Q125" s="13" t="n">
        <v>0.0664706434358342</v>
      </c>
      <c r="R125" s="13" t="n">
        <v>0.2758653027094438</v>
      </c>
      <c r="S125" s="13" t="n">
        <v>-2.368408747291806</v>
      </c>
      <c r="T125" s="13" t="n">
        <v>-0.1979644781480716</v>
      </c>
      <c r="U125" s="13" t="n">
        <v>1.478080734561327</v>
      </c>
      <c r="V125" s="13" t="n">
        <v>-1.004926108374382</v>
      </c>
      <c r="W125" s="13" t="n">
        <v>-0.1074840764331175</v>
      </c>
      <c r="X125" s="13" t="n">
        <v>1.676961702466828</v>
      </c>
    </row>
    <row r="126">
      <c r="A126" t="inlineStr">
        <is>
          <t>Hisse</t>
        </is>
      </c>
      <c r="B126" t="inlineStr">
        <is>
          <t>FPH</t>
        </is>
      </c>
      <c r="C126" t="inlineStr">
        <is>
          <t>Fiba Portföy Hisse Senedi (TL) Fonu (Hisse Senedi Yoğun Fon)</t>
        </is>
      </c>
      <c r="D126" s="13" t="n">
        <v>-0.5416626687377302</v>
      </c>
      <c r="E126" s="13" t="n">
        <v>2.492893715033273</v>
      </c>
      <c r="F126" s="13" t="n">
        <v>-0.8031470093820658</v>
      </c>
      <c r="G126" s="13" t="n">
        <v>0.1672842367528071</v>
      </c>
      <c r="H126" s="13" t="n">
        <v>-0.9295615786429678</v>
      </c>
      <c r="I126" s="13" t="n">
        <v>-0.8211833218077613</v>
      </c>
      <c r="J126" s="13" t="n">
        <v>-0.997944395517969</v>
      </c>
      <c r="K126" s="13" t="n">
        <v>0.007873344404973892</v>
      </c>
      <c r="L126" s="13" t="n">
        <v>-0.5122107647824503</v>
      </c>
      <c r="M126" s="13" t="n">
        <v>-0.7773383996922401</v>
      </c>
      <c r="N126" s="13" t="n">
        <v>1.194605353135425</v>
      </c>
      <c r="O126" s="13" t="n">
        <v>0.2268952843990535</v>
      </c>
      <c r="P126" s="13" t="n">
        <v>-0.6363451277224264</v>
      </c>
      <c r="Q126" s="13" t="n">
        <v>0.2150677146111946</v>
      </c>
      <c r="R126" s="13" t="n">
        <v>-0.2644788948635846</v>
      </c>
      <c r="S126" s="13" t="n">
        <v>-2.314613820304412</v>
      </c>
      <c r="T126" s="13" t="n">
        <v>-0.7266375878044906</v>
      </c>
      <c r="U126" s="13" t="n">
        <v>1.365373374833911</v>
      </c>
      <c r="V126" s="13" t="n">
        <v>-1.018770251658252</v>
      </c>
      <c r="W126" s="13" t="n">
        <v>0.6611259228286315</v>
      </c>
      <c r="X126" s="13" t="n">
        <v>1.976239234150023</v>
      </c>
    </row>
    <row r="127">
      <c r="A127" t="inlineStr">
        <is>
          <t>Hisse</t>
        </is>
      </c>
      <c r="B127" t="inlineStr">
        <is>
          <t>YHS</t>
        </is>
      </c>
      <c r="C127" t="inlineStr">
        <is>
          <t>Yapı Kredi Portföy Birinci Hisse Senedi Fonu (Hisse Senedi Yoğun Fon)</t>
        </is>
      </c>
      <c r="D127" s="13" t="n">
        <v>-0.5666600614796735</v>
      </c>
      <c r="E127" s="13" t="n">
        <v>2.104779732833006</v>
      </c>
      <c r="F127" s="13" t="n">
        <v>-0.4197692532061148</v>
      </c>
      <c r="G127" s="13" t="n">
        <v>0.1616202672825251</v>
      </c>
      <c r="H127" s="13" t="n">
        <v>-1.834354435084262</v>
      </c>
      <c r="I127" s="13" t="n">
        <v>-1.397383327976609</v>
      </c>
      <c r="J127" s="13" t="n">
        <v>-0.6462135312389927</v>
      </c>
      <c r="K127" s="13" t="n">
        <v>0.04345246086299159</v>
      </c>
      <c r="L127" s="13" t="n">
        <v>-0.9935254574819252</v>
      </c>
      <c r="M127" s="13" t="n">
        <v>-0.45965470979763</v>
      </c>
      <c r="N127" s="13" t="n">
        <v>1.088921345340754</v>
      </c>
      <c r="O127" s="13" t="n">
        <v>0.5771937283039819</v>
      </c>
      <c r="P127" s="13" t="n">
        <v>-0.03367125436516405</v>
      </c>
      <c r="Q127" s="13" t="n">
        <v>0.6281776356205082</v>
      </c>
      <c r="R127" s="13" t="n">
        <v>0.06808298711515892</v>
      </c>
      <c r="S127" s="13" t="n">
        <v>-2.166872351131066</v>
      </c>
      <c r="T127" s="13" t="n">
        <v>-0.3726787891779604</v>
      </c>
      <c r="U127" s="13" t="n">
        <v>1.676198163764098</v>
      </c>
      <c r="V127" s="13" t="n">
        <v>-1.0330832249555</v>
      </c>
      <c r="W127" s="13" t="n">
        <v>0.6016555037837268</v>
      </c>
      <c r="X127" s="13" t="n">
        <v>1.932647748558725</v>
      </c>
    </row>
    <row r="128">
      <c r="A128" t="inlineStr">
        <is>
          <t>Hisse</t>
        </is>
      </c>
      <c r="B128" t="inlineStr">
        <is>
          <t>ASJ</t>
        </is>
      </c>
      <c r="C128" t="inlineStr">
        <is>
          <t>Aktif Portföy Hisse Senedi (TL) Fonu (Hisse Senedi Yoğun Fon)</t>
        </is>
      </c>
      <c r="D128" s="13" t="n">
        <v>-0.6092623918802498</v>
      </c>
      <c r="E128" s="13" t="n">
        <v>2.257795347685332</v>
      </c>
      <c r="F128" s="13" t="n">
        <v>-1.020425339268749</v>
      </c>
      <c r="G128" s="13" t="n">
        <v>-0.2502676544032134</v>
      </c>
      <c r="H128" s="13" t="n">
        <v>-1.030122226344443</v>
      </c>
      <c r="I128" s="13" t="n">
        <v>-0.9371017259815595</v>
      </c>
      <c r="J128" s="13" t="n">
        <v>-0.5111094212262524</v>
      </c>
      <c r="K128" s="13" t="n">
        <v>0.4051602562597401</v>
      </c>
      <c r="L128" s="13" t="n">
        <v>-0.6805446539713711</v>
      </c>
      <c r="M128" s="13" t="n">
        <v>-0.2228566884212912</v>
      </c>
      <c r="N128" s="13" t="n">
        <v>0.866858567789075</v>
      </c>
      <c r="O128" s="13" t="n">
        <v>0.323535680680398</v>
      </c>
      <c r="P128" s="13" t="n">
        <v>-0.2110048458050517</v>
      </c>
      <c r="Q128" s="13" t="n">
        <v>0.664990602321236</v>
      </c>
      <c r="R128" s="13" t="n">
        <v>0.5685958172291228</v>
      </c>
      <c r="S128" s="13" t="n">
        <v>-2.115851187697804</v>
      </c>
      <c r="T128" s="13" t="n">
        <v>-0.4748155445627567</v>
      </c>
      <c r="U128" s="13" t="n">
        <v>1.105747030815696</v>
      </c>
      <c r="V128" s="13" t="n">
        <v>-1.08701425848583</v>
      </c>
      <c r="W128" s="13" t="n">
        <v>0.5170616933414918</v>
      </c>
      <c r="X128" s="13" t="n">
        <v>1.940124370975926</v>
      </c>
    </row>
    <row r="129">
      <c r="A129" t="inlineStr">
        <is>
          <t>Hisse</t>
        </is>
      </c>
      <c r="B129" t="inlineStr">
        <is>
          <t>PHI</t>
        </is>
      </c>
      <c r="C129" t="inlineStr">
        <is>
          <t>Piramit Portföy Hisse Senedi Fonu (Hisse Senedi Yoğun Fon)</t>
        </is>
      </c>
      <c r="D129" s="13" t="n">
        <v>-1.108801108801105</v>
      </c>
      <c r="E129" s="13" t="n">
        <v>1.377428455433827</v>
      </c>
      <c r="F129" s="13" t="n">
        <v>-0.1807833947104154</v>
      </c>
      <c r="G129" s="13" t="n">
        <v>0.1956124548021521</v>
      </c>
      <c r="H129" s="13" t="n">
        <v>-0.7387774307862416</v>
      </c>
      <c r="I129" s="13" t="n">
        <v>-0.8538586794191949</v>
      </c>
      <c r="J129" s="13" t="n">
        <v>-0.8220809291995756</v>
      </c>
      <c r="K129" s="13" t="n">
        <v>1.126576184338846</v>
      </c>
      <c r="L129" s="13" t="n">
        <v>-0.2981114012915342</v>
      </c>
      <c r="M129" s="13" t="n">
        <v>-0.8363654740246473</v>
      </c>
      <c r="N129" s="13" t="n">
        <v>0.08330311553652603</v>
      </c>
      <c r="O129" s="13" t="n">
        <v>-0.3540862889485186</v>
      </c>
      <c r="P129" s="13" t="n">
        <v>-0.4635070878914238</v>
      </c>
      <c r="Q129" s="13" t="n">
        <v>-0.009412037271672169</v>
      </c>
      <c r="R129" s="13" t="n">
        <v>0.3492655286903235</v>
      </c>
      <c r="S129" s="13" t="n">
        <v>-1.943792497707442</v>
      </c>
      <c r="T129" s="13" t="n">
        <v>-0.3806373970556387</v>
      </c>
      <c r="U129" s="13" t="n">
        <v>1.271244202311217</v>
      </c>
      <c r="V129" s="13" t="n">
        <v>-1.096543867722477</v>
      </c>
      <c r="W129" s="13" t="n">
        <v>0.9322423092523735</v>
      </c>
      <c r="X129" s="13" t="n">
        <v>2.28971683261705</v>
      </c>
    </row>
    <row r="130">
      <c r="A130" t="inlineStr">
        <is>
          <t>Hisse</t>
        </is>
      </c>
      <c r="B130" t="inlineStr">
        <is>
          <t>UPH</t>
        </is>
      </c>
      <c r="C130" t="inlineStr">
        <is>
          <t>Ünlü Portföy Hisse Senedi (TL) Fonu(hisse Senedi Yoğun Fon)</t>
        </is>
      </c>
      <c r="D130" s="13" t="n">
        <v>-0.7544504266238428</v>
      </c>
      <c r="E130" s="13" t="n">
        <v>2.224978799309518</v>
      </c>
      <c r="F130" s="13" t="n">
        <v>-1.019851736304223</v>
      </c>
      <c r="G130" s="13" t="n">
        <v>-0.5318287875133332</v>
      </c>
      <c r="H130" s="13" t="n">
        <v>-1.344132481679683</v>
      </c>
      <c r="I130" s="13" t="n">
        <v>-0.8269075352854149</v>
      </c>
      <c r="J130" s="13" t="n">
        <v>-0.5700652837897113</v>
      </c>
      <c r="K130" s="13" t="n">
        <v>0.6672410890332658</v>
      </c>
      <c r="L130" s="13" t="n">
        <v>-0.5433588532904654</v>
      </c>
      <c r="M130" s="13" t="n">
        <v>-0.616891798170216</v>
      </c>
      <c r="N130" s="13" t="n">
        <v>1.298555860491613</v>
      </c>
      <c r="O130" s="13" t="n">
        <v>-0.174324088308131</v>
      </c>
      <c r="P130" s="13" t="n">
        <v>-0.8469585679792502</v>
      </c>
      <c r="Q130" s="13" t="n">
        <v>0.09849192961168818</v>
      </c>
      <c r="R130" s="13" t="n">
        <v>0.308364523985305</v>
      </c>
      <c r="S130" s="13" t="n">
        <v>-2.329906358923206</v>
      </c>
      <c r="T130" s="13" t="n">
        <v>-0.8533253692060816</v>
      </c>
      <c r="U130" s="13" t="n">
        <v>1.317611413074893</v>
      </c>
      <c r="V130" s="13" t="n">
        <v>-1.126057568464289</v>
      </c>
      <c r="W130" s="13" t="n">
        <v>0.2912775549730684</v>
      </c>
      <c r="X130" s="13" t="n">
        <v>1.983423429653475</v>
      </c>
    </row>
    <row r="131">
      <c r="A131" t="inlineStr">
        <is>
          <t>Hisse</t>
        </is>
      </c>
      <c r="B131" t="inlineStr">
        <is>
          <t>FYD</t>
        </is>
      </c>
      <c r="C131" t="inlineStr">
        <is>
          <t>Qnb Portföy Birinci Hisse Senedi Fonu (Hisse Senedi Yoğun Fon)</t>
        </is>
      </c>
      <c r="D131" s="13" t="n">
        <v>-0.6109461231188829</v>
      </c>
      <c r="E131" s="13" t="n">
        <v>2.380478214185722</v>
      </c>
      <c r="F131" s="13" t="n">
        <v>-0.8261560926508538</v>
      </c>
      <c r="G131" s="13" t="n">
        <v>-0.3487891571271051</v>
      </c>
      <c r="H131" s="13" t="n">
        <v>-1.224480641773817</v>
      </c>
      <c r="I131" s="13" t="n">
        <v>-1.014996532342838</v>
      </c>
      <c r="J131" s="13" t="n">
        <v>-0.7006252204177832</v>
      </c>
      <c r="K131" s="13" t="n">
        <v>-0.207029107336365</v>
      </c>
      <c r="L131" s="13" t="n">
        <v>-0.875415976314764</v>
      </c>
      <c r="M131" s="13" t="n">
        <v>-0.1718362713566735</v>
      </c>
      <c r="N131" s="13" t="n">
        <v>1.061776061776065</v>
      </c>
      <c r="O131" s="13" t="n">
        <v>0.5452178418128284</v>
      </c>
      <c r="P131" s="13" t="n">
        <v>-0.1955948710678279</v>
      </c>
      <c r="Q131" s="13" t="n">
        <v>-0.2844244315029276</v>
      </c>
      <c r="R131" s="13" t="n">
        <v>0.2721778893379101</v>
      </c>
      <c r="S131" s="13" t="n">
        <v>-2.423872531047944</v>
      </c>
      <c r="T131" s="13" t="n">
        <v>-0.9808936873145879</v>
      </c>
      <c r="U131" s="13" t="n">
        <v>2.043743806033782</v>
      </c>
      <c r="V131" s="13" t="n">
        <v>-1.151429134135684</v>
      </c>
      <c r="W131" s="13" t="n">
        <v>0.3254310268008265</v>
      </c>
      <c r="X131" s="13" t="n">
        <v>1.827195462260689</v>
      </c>
    </row>
    <row r="132">
      <c r="A132" t="inlineStr">
        <is>
          <t>Hisse</t>
        </is>
      </c>
      <c r="B132" t="inlineStr">
        <is>
          <t>AHI</t>
        </is>
      </c>
      <c r="C132" t="inlineStr">
        <is>
          <t>Atlas Portföy Birinci Hisse Senedi Fonu(hisse Senedi Yoğun)</t>
        </is>
      </c>
      <c r="D132" s="13" t="n">
        <v>-1.062636140858952</v>
      </c>
      <c r="E132" s="13" t="n">
        <v>2.330191534065507</v>
      </c>
      <c r="F132" s="13" t="n">
        <v>-1.02638127298359</v>
      </c>
      <c r="G132" s="13" t="n">
        <v>-0.275300003961354</v>
      </c>
      <c r="H132" s="13" t="n">
        <v>-1.151897271717106</v>
      </c>
      <c r="I132" s="13" t="n">
        <v>-0.4305225523431822</v>
      </c>
      <c r="J132" s="13" t="n">
        <v>-1.203447328734941</v>
      </c>
      <c r="K132" s="13" t="n">
        <v>0.5046515557480369</v>
      </c>
      <c r="L132" s="13" t="n">
        <v>-0.9612435282637777</v>
      </c>
      <c r="M132" s="13" t="n">
        <v>-0.5052291491326577</v>
      </c>
      <c r="N132" s="13" t="n">
        <v>0.5898966770989889</v>
      </c>
      <c r="O132" s="13" t="n">
        <v>-0.6393266681906318</v>
      </c>
      <c r="P132" s="13" t="n">
        <v>-0.7385587946851402</v>
      </c>
      <c r="Q132" s="13" t="n">
        <v>0.163098418797647</v>
      </c>
      <c r="R132" s="13" t="n">
        <v>0.2262003968944271</v>
      </c>
      <c r="S132" s="13" t="n">
        <v>-2.586260029873999</v>
      </c>
      <c r="T132" s="13" t="n">
        <v>-0.3375369473028522</v>
      </c>
      <c r="U132" s="13" t="n">
        <v>1.16216843161332</v>
      </c>
      <c r="V132" s="13" t="n">
        <v>-1.210507485024581</v>
      </c>
      <c r="W132" s="13" t="n">
        <v>0.0137209494263324</v>
      </c>
      <c r="X132" s="13" t="n">
        <v>2.181096818656503</v>
      </c>
    </row>
    <row r="133">
      <c r="A133" t="inlineStr">
        <is>
          <t>Hisse</t>
        </is>
      </c>
      <c r="B133" t="inlineStr">
        <is>
          <t>MAC</t>
        </is>
      </c>
      <c r="C133" t="inlineStr">
        <is>
          <t>Marmara Capıtal Portföy Hisse Senedi (TL) Fonu (Hisse Senedi Yoğun Fon)</t>
        </is>
      </c>
      <c r="D133" s="13" t="n">
        <v>-1.852235847828299</v>
      </c>
      <c r="E133" s="13" t="n">
        <v>1.043089470839687</v>
      </c>
      <c r="F133" s="13" t="n">
        <v>0.3909498037957038</v>
      </c>
      <c r="G133" s="13" t="n">
        <v>-0.865313358229558</v>
      </c>
      <c r="H133" s="13" t="n">
        <v>-1.815601173593651</v>
      </c>
      <c r="I133" s="13" t="n">
        <v>-0.9810678536683715</v>
      </c>
      <c r="J133" s="13" t="n">
        <v>-0.8209244005769278</v>
      </c>
      <c r="K133" s="13" t="n">
        <v>0.6365610249835951</v>
      </c>
      <c r="L133" s="13" t="n">
        <v>0.5386299238566927</v>
      </c>
      <c r="M133" s="13" t="n">
        <v>-0.6302726173216033</v>
      </c>
      <c r="N133" s="13" t="n">
        <v>0.1063416945120466</v>
      </c>
      <c r="O133" s="13" t="n">
        <v>0.1102563586201422</v>
      </c>
      <c r="P133" s="13" t="n">
        <v>0.5882663555396794</v>
      </c>
      <c r="Q133" s="13" t="n">
        <v>-0.9754183087166357</v>
      </c>
      <c r="R133" s="13" t="n">
        <v>-0.5504485253003177</v>
      </c>
      <c r="S133" s="13" t="n">
        <v>-2.20420813756026</v>
      </c>
      <c r="T133" s="13" t="n">
        <v>-0.9355837178064652</v>
      </c>
      <c r="U133" s="13" t="n">
        <v>2.1051293942562</v>
      </c>
      <c r="V133" s="13" t="n">
        <v>-1.261619589553431</v>
      </c>
      <c r="W133" s="13" t="n">
        <v>0.6003414929531381</v>
      </c>
      <c r="X133" s="13" t="n">
        <v>2.131798465993784</v>
      </c>
    </row>
    <row r="134">
      <c r="A134" t="inlineStr">
        <is>
          <t>Hisse</t>
        </is>
      </c>
      <c r="B134" t="inlineStr">
        <is>
          <t>TYH</t>
        </is>
      </c>
      <c r="C134" t="inlineStr">
        <is>
          <t>Teb Portföy Hisse Senedi Fonu (Hisse Senedi Yoğun Fon)</t>
        </is>
      </c>
      <c r="D134" s="13" t="n">
        <v>-0.615229695111974</v>
      </c>
      <c r="E134" s="13" t="n">
        <v>2.690958297759849</v>
      </c>
      <c r="F134" s="13" t="n">
        <v>-1.096382120853356</v>
      </c>
      <c r="G134" s="13" t="n">
        <v>-0.3907903781364852</v>
      </c>
      <c r="H134" s="13" t="n">
        <v>-1.206694254109586</v>
      </c>
      <c r="I134" s="13" t="n">
        <v>-1.155271254471102</v>
      </c>
      <c r="J134" s="13" t="n">
        <v>-0.638429459651757</v>
      </c>
      <c r="K134" s="13" t="n">
        <v>0.06375559995630553</v>
      </c>
      <c r="L134" s="13" t="n">
        <v>-0.9124355355056291</v>
      </c>
      <c r="M134" s="13" t="n">
        <v>-0.4251684782983101</v>
      </c>
      <c r="N134" s="13" t="n">
        <v>1.139051880369424</v>
      </c>
      <c r="O134" s="13" t="n">
        <v>0.0590615226636837</v>
      </c>
      <c r="P134" s="13" t="n">
        <v>-0.3504982602025919</v>
      </c>
      <c r="Q134" s="13" t="n">
        <v>0.4170896519827272</v>
      </c>
      <c r="R134" s="13" t="n">
        <v>0.351001995061373</v>
      </c>
      <c r="S134" s="13" t="n">
        <v>-2.168221300057604</v>
      </c>
      <c r="T134" s="13" t="n">
        <v>-0.4596055979643965</v>
      </c>
      <c r="U134" s="13" t="n">
        <v>1.679604495854048</v>
      </c>
      <c r="V134" s="13" t="n">
        <v>-1.320368288966689</v>
      </c>
      <c r="W134" s="13" t="n">
        <v>0.4110639445518816</v>
      </c>
      <c r="X134" s="13" t="n">
        <v>1.962115520703467</v>
      </c>
    </row>
    <row r="135">
      <c r="A135" t="inlineStr">
        <is>
          <t>Hisse</t>
        </is>
      </c>
      <c r="B135" t="inlineStr">
        <is>
          <t>THF</t>
        </is>
      </c>
      <c r="C135" t="inlineStr">
        <is>
          <t>Tera Portföy Hisse Senedi (TL) Fonu (Hisse Senedi Yoğun Fon)</t>
        </is>
      </c>
      <c r="D135" s="13" t="n">
        <v>-1.020849704507265</v>
      </c>
      <c r="E135" s="13" t="n">
        <v>1.75237749487569</v>
      </c>
      <c r="F135" s="13" t="n">
        <v>-1.324125786430119</v>
      </c>
      <c r="G135" s="13" t="n">
        <v>0.004072176873881617</v>
      </c>
      <c r="H135" s="13" t="n">
        <v>-1.584236037029341</v>
      </c>
      <c r="I135" s="13" t="n">
        <v>-0.9484105405017207</v>
      </c>
      <c r="J135" s="13" t="n">
        <v>-1.137155985411997</v>
      </c>
      <c r="K135" s="13" t="n">
        <v>0.0880796682223961</v>
      </c>
      <c r="L135" s="13" t="n">
        <v>-0.08076528938885108</v>
      </c>
      <c r="M135" s="13" t="n">
        <v>-0.4423628340935126</v>
      </c>
      <c r="N135" s="13" t="n">
        <v>1.530200152959393</v>
      </c>
      <c r="O135" s="13" t="n">
        <v>0.8240043395724816</v>
      </c>
      <c r="P135" s="13" t="n">
        <v>-0.7545852992533963</v>
      </c>
      <c r="Q135" s="13" t="n">
        <v>0.07908933882139202</v>
      </c>
      <c r="R135" s="13" t="n">
        <v>-0.6398742909141664</v>
      </c>
      <c r="S135" s="13" t="n">
        <v>-2.402552530303681</v>
      </c>
      <c r="T135" s="13" t="n">
        <v>-0.9591472060858641</v>
      </c>
      <c r="U135" s="13" t="n">
        <v>1.481569917788716</v>
      </c>
      <c r="V135" s="13" t="n">
        <v>-1.367564242954999</v>
      </c>
      <c r="W135" s="13" t="n">
        <v>0.8403794350841043</v>
      </c>
      <c r="X135" s="13" t="n">
        <v>1.655964405281685</v>
      </c>
    </row>
    <row r="136">
      <c r="A136" t="inlineStr">
        <is>
          <t>Hisse</t>
        </is>
      </c>
      <c r="B136" t="inlineStr">
        <is>
          <t>GAF</t>
        </is>
      </c>
      <c r="C136" t="inlineStr">
        <is>
          <t>Inveo Portföy Birinci Hisse Senedi Fonu (Hisse Senedi Yoğun Fon)</t>
        </is>
      </c>
      <c r="D136" s="13" t="n">
        <v>-0.9539668842025728</v>
      </c>
      <c r="E136" s="13" t="n">
        <v>3.018963604310043</v>
      </c>
      <c r="F136" s="13" t="n">
        <v>-1.137222707673635</v>
      </c>
      <c r="G136" s="13" t="n">
        <v>0.1251444563567627</v>
      </c>
      <c r="H136" s="13" t="n">
        <v>-1.301944851738701</v>
      </c>
      <c r="I136" s="13" t="n">
        <v>-0.6734799922902157</v>
      </c>
      <c r="J136" s="13" t="n">
        <v>-1.152452088496703</v>
      </c>
      <c r="K136" s="13" t="n">
        <v>-0.1315075727352899</v>
      </c>
      <c r="L136" s="13" t="n">
        <v>-1.153801498321083</v>
      </c>
      <c r="M136" s="13" t="n">
        <v>-0.7387744659076323</v>
      </c>
      <c r="N136" s="13" t="n">
        <v>1.109467585608948</v>
      </c>
      <c r="O136" s="13" t="n">
        <v>0.3305380034693606</v>
      </c>
      <c r="P136" s="13" t="n">
        <v>-0.9198009561818266</v>
      </c>
      <c r="Q136" s="13" t="n">
        <v>0.2798774414236149</v>
      </c>
      <c r="R136" s="13" t="n">
        <v>-0.128040228926396</v>
      </c>
      <c r="S136" s="13" t="n">
        <v>-2.665754939331344</v>
      </c>
      <c r="T136" s="13" t="n">
        <v>-0.9977620904215834</v>
      </c>
      <c r="U136" s="13" t="n">
        <v>1.520000241567043</v>
      </c>
      <c r="V136" s="13" t="n">
        <v>-1.469699421305115</v>
      </c>
      <c r="W136" s="13" t="n">
        <v>0.142363966339798</v>
      </c>
      <c r="X136" s="13" t="n">
        <v>1.101058916871045</v>
      </c>
    </row>
    <row r="137">
      <c r="A137" t="inlineStr">
        <is>
          <t>Hisse</t>
        </is>
      </c>
      <c r="B137" t="inlineStr">
        <is>
          <t>GL1</t>
        </is>
      </c>
      <c r="C137" t="inlineStr">
        <is>
          <t>Azimut Pyş Birinci Hisse Senedi Fonu (Hisse Senedi Yoğun Fon)</t>
        </is>
      </c>
      <c r="D137" s="13" t="n">
        <v>-0.3799743207756667</v>
      </c>
      <c r="E137" s="13" t="n">
        <v>2.63625531230447</v>
      </c>
      <c r="F137" s="13" t="n">
        <v>-0.7763516217953681</v>
      </c>
      <c r="G137" s="13" t="n">
        <v>0.3520146457896667</v>
      </c>
      <c r="H137" s="13" t="n">
        <v>-1.4292200429455</v>
      </c>
      <c r="I137" s="13" t="n">
        <v>-1.070143330845197</v>
      </c>
      <c r="J137" s="13" t="n">
        <v>-1.273243139161906</v>
      </c>
      <c r="K137" s="13" t="n">
        <v>0.03317817421761848</v>
      </c>
      <c r="L137" s="13" t="n">
        <v>-0.4377512032320507</v>
      </c>
      <c r="M137" s="13" t="n">
        <v>-0.1267664746371855</v>
      </c>
      <c r="N137" s="13" t="n">
        <v>0.930711143338625</v>
      </c>
      <c r="O137" s="13" t="n">
        <v>0.8808063750320061</v>
      </c>
      <c r="P137" s="13" t="n">
        <v>0.8492544115434431</v>
      </c>
      <c r="Q137" s="13" t="n">
        <v>-0.05105286000816056</v>
      </c>
      <c r="R137" s="13" t="n">
        <v>0.1322085091272296</v>
      </c>
      <c r="S137" s="13" t="n">
        <v>-2.05241911923284</v>
      </c>
      <c r="T137" s="13" t="n">
        <v>-0.3259797863085279</v>
      </c>
      <c r="U137" s="13" t="n">
        <v>2.078193054563426</v>
      </c>
      <c r="V137" s="13" t="n">
        <v>-1.560193657384767</v>
      </c>
      <c r="W137" s="13" t="n">
        <v>0.2522892907618202</v>
      </c>
      <c r="X137" s="13" t="n">
        <v>1.455462522582462</v>
      </c>
    </row>
    <row r="138">
      <c r="A138" t="inlineStr">
        <is>
          <t>Hisse</t>
        </is>
      </c>
      <c r="B138" t="inlineStr">
        <is>
          <t>TKF</t>
        </is>
      </c>
      <c r="C138" t="inlineStr">
        <is>
          <t>Tacirler Portföy Hisse Senedi Fonu (Hisse Senedi Yoğun Fon)</t>
        </is>
      </c>
      <c r="D138" s="13" t="n">
        <v>-0.4712282992458627</v>
      </c>
      <c r="E138" s="13" t="n">
        <v>2.06686171604118</v>
      </c>
      <c r="F138" s="13" t="n">
        <v>-0.7665937438824044</v>
      </c>
      <c r="G138" s="13" t="n">
        <v>-0.6221375600632073</v>
      </c>
      <c r="H138" s="13" t="n">
        <v>-1.066444822357204</v>
      </c>
      <c r="I138" s="13" t="n">
        <v>-0.1620210430953506</v>
      </c>
      <c r="J138" s="13" t="n">
        <v>-0.8051060311796587</v>
      </c>
      <c r="K138" s="13" t="n">
        <v>0.284614962110652</v>
      </c>
      <c r="L138" s="13" t="n">
        <v>-0.396130873709255</v>
      </c>
      <c r="M138" s="13" t="n">
        <v>-0.06380570092151538</v>
      </c>
      <c r="N138" s="13" t="n">
        <v>0.7124279427547453</v>
      </c>
      <c r="O138" s="13" t="n">
        <v>0.161023018080364</v>
      </c>
      <c r="P138" s="13" t="n">
        <v>-0.4619281708347134</v>
      </c>
      <c r="Q138" s="13" t="n">
        <v>-0.07499489378732793</v>
      </c>
      <c r="R138" s="13" t="n">
        <v>0.4089793091425875</v>
      </c>
      <c r="S138" s="13" t="n">
        <v>-2.343706526650779</v>
      </c>
      <c r="T138" s="13" t="n">
        <v>-0.3338755497519497</v>
      </c>
      <c r="U138" s="13" t="n">
        <v>1.183086279674517</v>
      </c>
      <c r="V138" s="13" t="n">
        <v>-1.60212794589305</v>
      </c>
      <c r="W138" s="13" t="n">
        <v>-0.06875524149264622</v>
      </c>
      <c r="X138" s="13" t="n">
        <v>1.876871276808356</v>
      </c>
    </row>
    <row r="139">
      <c r="A139" t="inlineStr">
        <is>
          <t>Hisse</t>
        </is>
      </c>
      <c r="B139" t="inlineStr">
        <is>
          <t>GHS</t>
        </is>
      </c>
      <c r="C139" t="inlineStr">
        <is>
          <t>Garanti Portföy Hisse Senedi (TL) Fonu (Hisse Senedi Yoğun Fon)</t>
        </is>
      </c>
      <c r="D139" s="13" t="n">
        <v>-0.2906377865014242</v>
      </c>
      <c r="E139" s="13" t="n">
        <v>2.377161195119437</v>
      </c>
      <c r="F139" s="13" t="n">
        <v>-0.7784301788012593</v>
      </c>
      <c r="G139" s="13" t="n">
        <v>-0.1768111191681743</v>
      </c>
      <c r="H139" s="13" t="n">
        <v>-1.540652117438635</v>
      </c>
      <c r="I139" s="13" t="n">
        <v>-1.212850121225428</v>
      </c>
      <c r="J139" s="13" t="n">
        <v>-0.6164651550574773</v>
      </c>
      <c r="K139" s="13" t="n">
        <v>0.04526944887131013</v>
      </c>
      <c r="L139" s="13" t="n">
        <v>-1.035494033482298</v>
      </c>
      <c r="M139" s="13" t="n">
        <v>-0.3437341897223001</v>
      </c>
      <c r="N139" s="13" t="n">
        <v>1.024175064245014</v>
      </c>
      <c r="O139" s="13" t="n">
        <v>0.4250799290542728</v>
      </c>
      <c r="P139" s="13" t="n">
        <v>-0.3259686943469675</v>
      </c>
      <c r="Q139" s="13" t="n">
        <v>0.4530956944821085</v>
      </c>
      <c r="R139" s="13" t="n">
        <v>0.2629910216297437</v>
      </c>
      <c r="S139" s="13" t="n">
        <v>-2.411882010359279</v>
      </c>
      <c r="T139" s="13" t="n">
        <v>-0.492341868087709</v>
      </c>
      <c r="U139" s="13" t="n">
        <v>1.793370649975023</v>
      </c>
      <c r="V139" s="13" t="n">
        <v>-1.738890228753309</v>
      </c>
      <c r="W139" s="13" t="n">
        <v>0.3259742759374795</v>
      </c>
      <c r="X139" s="13" t="n">
        <v>2.07552736600114</v>
      </c>
    </row>
    <row r="140">
      <c r="A140" t="inlineStr">
        <is>
          <t>Hisse</t>
        </is>
      </c>
      <c r="B140" t="inlineStr">
        <is>
          <t>PPB</t>
        </is>
      </c>
      <c r="C140" t="inlineStr">
        <is>
          <t>Phillip Portföy Birinci Hisse Senedi Fonu (Hisse Senedi Yoğun Fon)</t>
        </is>
      </c>
      <c r="D140" s="13" t="n">
        <v>-1.370053937516658</v>
      </c>
      <c r="E140" s="13" t="n">
        <v>1.460408340061714</v>
      </c>
      <c r="F140" s="13" t="n">
        <v>-0.6297667630103421</v>
      </c>
      <c r="G140" s="13" t="n">
        <v>-0.04439926340893408</v>
      </c>
      <c r="H140" s="13" t="n">
        <v>-1.188333882891468</v>
      </c>
      <c r="I140" s="13" t="n">
        <v>-0.1468583887941688</v>
      </c>
      <c r="J140" s="13" t="n">
        <v>-0.9410621941824626</v>
      </c>
      <c r="K140" s="13" t="n">
        <v>0.02450965643212566</v>
      </c>
      <c r="L140" s="13" t="n">
        <v>-0.02220225557728606</v>
      </c>
      <c r="M140" s="13" t="n">
        <v>-0.4638579718162505</v>
      </c>
      <c r="N140" s="13" t="n">
        <v>0.3097777376878774</v>
      </c>
      <c r="O140" s="13" t="n">
        <v>0.2669682747135749</v>
      </c>
      <c r="P140" s="13" t="n">
        <v>-0.8021784509783192</v>
      </c>
      <c r="Q140" s="13" t="n">
        <v>0.3352848011629384</v>
      </c>
      <c r="R140" s="13" t="n">
        <v>0.4135643905367692</v>
      </c>
      <c r="S140" s="13" t="n">
        <v>-2.969136242075765</v>
      </c>
      <c r="T140" s="13" t="n">
        <v>-0.352042524517393</v>
      </c>
      <c r="U140" s="13" t="n">
        <v>0.8492712175382167</v>
      </c>
      <c r="V140" s="13" t="n">
        <v>-1.85821943799056</v>
      </c>
      <c r="W140" s="13" t="n">
        <v>1.045025194664739</v>
      </c>
      <c r="X140" s="13" t="n">
        <v>1.980402993217112</v>
      </c>
    </row>
    <row r="141">
      <c r="A141" t="inlineStr">
        <is>
          <t>Dengeli Değişken</t>
        </is>
      </c>
      <c r="B141" t="inlineStr">
        <is>
          <t>ADE</t>
        </is>
      </c>
      <c r="C141" t="inlineStr">
        <is>
          <t>AK Portföy Mutlak Getiri Hedefli Değişken Fon</t>
        </is>
      </c>
      <c r="D141" s="13" t="n">
        <v>-0.02892124907142302</v>
      </c>
      <c r="E141" s="13" t="n">
        <v>-0.06672475920177501</v>
      </c>
      <c r="F141" s="13" t="n">
        <v>-0.3566088193855177</v>
      </c>
      <c r="G141" s="13" t="n">
        <v>-0.0814173888799119</v>
      </c>
      <c r="H141" s="13" t="n">
        <v>-0.255472013562652</v>
      </c>
      <c r="I141" s="13" t="n">
        <v>-0.2782244414353374</v>
      </c>
      <c r="J141" s="13" t="n">
        <v>-0.3420616819014954</v>
      </c>
      <c r="K141" s="13" t="n">
        <v>0.1690158169945555</v>
      </c>
      <c r="L141" s="13" t="n">
        <v>-0.4495154160054415</v>
      </c>
      <c r="M141" s="13" t="n">
        <v>-0.2166989876705827</v>
      </c>
      <c r="N141" s="13" t="n">
        <v>0.276127510763402</v>
      </c>
      <c r="O141" s="13" t="n">
        <v>0.1876479520531715</v>
      </c>
      <c r="P141" s="13" t="n">
        <v>-0.8472711267605737</v>
      </c>
      <c r="Q141" s="13" t="n">
        <v>0.1141973430323517</v>
      </c>
      <c r="R141" s="13" t="n">
        <v>0.02705666404445584</v>
      </c>
      <c r="S141" s="13" t="n">
        <v>-0.8369806257574108</v>
      </c>
      <c r="T141" s="13" t="n">
        <v>-0.3933029153443401</v>
      </c>
      <c r="U141" s="13" t="n">
        <v>0.4666369087114486</v>
      </c>
      <c r="V141" s="13" t="n">
        <v>0.781720938833641</v>
      </c>
      <c r="W141" s="13" t="n">
        <v>0.6661598879049935</v>
      </c>
      <c r="X141" s="13" t="n">
        <v>0.869473616932126</v>
      </c>
    </row>
    <row r="142">
      <c r="A142" t="inlineStr">
        <is>
          <t>Dengeli Değişken</t>
        </is>
      </c>
      <c r="B142" t="inlineStr">
        <is>
          <t>DID</t>
        </is>
      </c>
      <c r="C142" t="inlineStr">
        <is>
          <t>Deniz Portföy İkinci Değişken Fon</t>
        </is>
      </c>
      <c r="D142" s="13" t="n">
        <v>-0.7937124855666111</v>
      </c>
      <c r="E142" s="13" t="n">
        <v>0.4295920620561278</v>
      </c>
      <c r="F142" s="13" t="n">
        <v>-0.04603094783324213</v>
      </c>
      <c r="G142" s="13" t="n">
        <v>0.1573862249445002</v>
      </c>
      <c r="H142" s="13" t="n">
        <v>-1.427852836364407</v>
      </c>
      <c r="I142" s="13" t="n">
        <v>-0.4581208277511628</v>
      </c>
      <c r="J142" s="13" t="n">
        <v>-0.1020244598768816</v>
      </c>
      <c r="K142" s="13" t="n">
        <v>-0.03671716722717377</v>
      </c>
      <c r="L142" s="13" t="n">
        <v>0.4478536789581877</v>
      </c>
      <c r="M142" s="13" t="n">
        <v>0.474793681414587</v>
      </c>
      <c r="N142" s="13" t="n">
        <v>0.736622126890718</v>
      </c>
      <c r="O142" s="13" t="n">
        <v>0.3484783939839975</v>
      </c>
      <c r="P142" s="13" t="n">
        <v>-0.466260764429538</v>
      </c>
      <c r="Q142" s="13" t="n">
        <v>0.4797662261096125</v>
      </c>
      <c r="R142" s="13" t="n">
        <v>-0.2243525240013255</v>
      </c>
      <c r="S142" s="13" t="n">
        <v>-0.9261324170493745</v>
      </c>
      <c r="T142" s="13" t="n">
        <v>-0.7096230302387263</v>
      </c>
      <c r="U142" s="13" t="n">
        <v>1.246076904582938</v>
      </c>
      <c r="V142" s="13" t="n">
        <v>0.3819368677468793</v>
      </c>
      <c r="W142" s="13" t="n">
        <v>0.4635279843032691</v>
      </c>
      <c r="X142" s="13" t="n">
        <v>-0.5395249776022903</v>
      </c>
    </row>
    <row r="143">
      <c r="A143" t="inlineStr">
        <is>
          <t>Dengeli Değişken</t>
        </is>
      </c>
      <c r="B143" t="inlineStr">
        <is>
          <t>EIB</t>
        </is>
      </c>
      <c r="C143" t="inlineStr">
        <is>
          <t>Astra Portföy Değişken Fon</t>
        </is>
      </c>
      <c r="D143" s="13" t="n">
        <v>0.09836229123343365</v>
      </c>
      <c r="E143" s="13" t="n">
        <v>-0.2342179316874637</v>
      </c>
      <c r="F143" s="13" t="n">
        <v>0.5263544025986944</v>
      </c>
      <c r="G143" s="13" t="n">
        <v>0.3635064945147759</v>
      </c>
      <c r="H143" s="13" t="n">
        <v>0.2351681607065004</v>
      </c>
      <c r="I143" s="13" t="n">
        <v>-0.1361392633661973</v>
      </c>
      <c r="J143" s="13" t="n">
        <v>-0.1860942465346849</v>
      </c>
      <c r="K143" s="13" t="n">
        <v>0.08934931400785828</v>
      </c>
      <c r="L143" s="13" t="n">
        <v>0.5377832993222142</v>
      </c>
      <c r="M143" s="13" t="n">
        <v>0.1546551190844569</v>
      </c>
      <c r="N143" s="13" t="n">
        <v>0.3596901225804139</v>
      </c>
      <c r="O143" s="13" t="n">
        <v>0.2040788206601807</v>
      </c>
      <c r="P143" s="13" t="n">
        <v>0.3416285721270285</v>
      </c>
      <c r="Q143" s="13" t="n">
        <v>0.05192250299963508</v>
      </c>
      <c r="R143" s="13" t="n">
        <v>0.2094084667373819</v>
      </c>
      <c r="S143" s="13" t="n">
        <v>0.2537720304040425</v>
      </c>
      <c r="T143" s="13" t="n">
        <v>0.1869311778179172</v>
      </c>
      <c r="U143" s="13" t="n">
        <v>0.4043122609129535</v>
      </c>
      <c r="V143" s="13" t="n">
        <v>0.2676027492154232</v>
      </c>
      <c r="W143" s="13" t="n">
        <v>0.0488119179178792</v>
      </c>
      <c r="X143" s="13" t="n">
        <v>0.319149255568596</v>
      </c>
    </row>
    <row r="144">
      <c r="A144" t="inlineStr">
        <is>
          <t>Dengeli Değişken</t>
        </is>
      </c>
      <c r="B144" t="inlineStr">
        <is>
          <t>AGC</t>
        </is>
      </c>
      <c r="C144" t="inlineStr">
        <is>
          <t>AK Portföy İkinci Değişken Fon</t>
        </is>
      </c>
      <c r="D144" s="13" t="n">
        <v>0.05787561794685647</v>
      </c>
      <c r="E144" s="13" t="n">
        <v>-0.05180043000931889</v>
      </c>
      <c r="F144" s="13" t="n">
        <v>0.1268859323684701</v>
      </c>
      <c r="G144" s="13" t="n">
        <v>0.1774619729912885</v>
      </c>
      <c r="H144" s="13" t="n">
        <v>0.07715460831723142</v>
      </c>
      <c r="I144" s="13" t="n">
        <v>0.06212940537426714</v>
      </c>
      <c r="J144" s="13" t="n">
        <v>0.09157064813740678</v>
      </c>
      <c r="K144" s="13" t="n">
        <v>0.1624843250937813</v>
      </c>
      <c r="L144" s="13" t="n">
        <v>0.1921574295427497</v>
      </c>
      <c r="M144" s="13" t="n">
        <v>0.0590621357323684</v>
      </c>
      <c r="N144" s="13" t="n">
        <v>0.004319607660319136</v>
      </c>
      <c r="O144" s="13" t="n">
        <v>0.07990376639155361</v>
      </c>
      <c r="P144" s="13" t="n">
        <v>0.1322939382553345</v>
      </c>
      <c r="Q144" s="13" t="n">
        <v>0.2314978894557784</v>
      </c>
      <c r="R144" s="13" t="n">
        <v>0.04829330832478718</v>
      </c>
      <c r="S144" s="13" t="n">
        <v>0.02006211450509277</v>
      </c>
      <c r="T144" s="13" t="n">
        <v>0.0633615842835944</v>
      </c>
      <c r="U144" s="13" t="n">
        <v>0.1329366286708655</v>
      </c>
      <c r="V144" s="13" t="n">
        <v>0.1469981542139065</v>
      </c>
      <c r="W144" s="13" t="n">
        <v>0.0572737184279859</v>
      </c>
      <c r="X144" s="13" t="n">
        <v>0.09965987128071063</v>
      </c>
    </row>
    <row r="145">
      <c r="A145" t="inlineStr">
        <is>
          <t>Dengeli Değişken</t>
        </is>
      </c>
      <c r="B145" t="inlineStr">
        <is>
          <t>TE4</t>
        </is>
      </c>
      <c r="C145" t="inlineStr">
        <is>
          <t>Teb Portföy Birinci Değişken Fon</t>
        </is>
      </c>
      <c r="D145" s="13" t="n">
        <v>0.212490272329191</v>
      </c>
      <c r="E145" s="13" t="n">
        <v>0.04476736892666811</v>
      </c>
      <c r="F145" s="13" t="n">
        <v>0.1322117317284377</v>
      </c>
      <c r="G145" s="13" t="n">
        <v>0.1031479508854183</v>
      </c>
      <c r="H145" s="13" t="n">
        <v>0.04721865282621973</v>
      </c>
      <c r="I145" s="13" t="n">
        <v>-0.1471930632677365</v>
      </c>
      <c r="J145" s="13" t="n">
        <v>0.06439457100240187</v>
      </c>
      <c r="K145" s="13" t="n">
        <v>0.272374222048466</v>
      </c>
      <c r="L145" s="13" t="n">
        <v>0.08876654592411271</v>
      </c>
      <c r="M145" s="13" t="n">
        <v>0.1698975026569238</v>
      </c>
      <c r="N145" s="13" t="n">
        <v>0.130040814918142</v>
      </c>
      <c r="O145" s="13" t="n">
        <v>0.08919536409550677</v>
      </c>
      <c r="P145" s="13" t="n">
        <v>0.2368110835116788</v>
      </c>
      <c r="Q145" s="13" t="n">
        <v>0.09469967522826028</v>
      </c>
      <c r="R145" s="13" t="n">
        <v>0.09165952814906841</v>
      </c>
      <c r="S145" s="13" t="n">
        <v>0.01099035252116742</v>
      </c>
      <c r="T145" s="13" t="n">
        <v>0.04525413118154908</v>
      </c>
      <c r="U145" s="13" t="n">
        <v>0.357273868922281</v>
      </c>
      <c r="V145" s="13" t="n">
        <v>0.1289795142112027</v>
      </c>
      <c r="W145" s="13" t="n">
        <v>0.2082461591020435</v>
      </c>
      <c r="X145" s="13" t="n">
        <v>0.2274355343574452</v>
      </c>
    </row>
    <row r="146">
      <c r="A146" t="inlineStr">
        <is>
          <t>Dengeli Değişken</t>
        </is>
      </c>
      <c r="B146" t="inlineStr">
        <is>
          <t>TI4</t>
        </is>
      </c>
      <c r="C146" t="inlineStr">
        <is>
          <t>İŞ Portföy Temkinli Değişken Fon</t>
        </is>
      </c>
      <c r="D146" s="13" t="n">
        <v>0.06010396361273429</v>
      </c>
      <c r="E146" s="13" t="n">
        <v>-0.2565059986687657</v>
      </c>
      <c r="F146" s="13" t="n">
        <v>0.1806670030436663</v>
      </c>
      <c r="G146" s="13" t="n">
        <v>0.1494719740048778</v>
      </c>
      <c r="H146" s="13" t="n">
        <v>0.09084714967066976</v>
      </c>
      <c r="I146" s="13" t="n">
        <v>0.293364452656486</v>
      </c>
      <c r="J146" s="13" t="n">
        <v>0.1486772572278028</v>
      </c>
      <c r="K146" s="13" t="n">
        <v>0.2130028561746711</v>
      </c>
      <c r="L146" s="13" t="n">
        <v>0.1578023605945056</v>
      </c>
      <c r="M146" s="13" t="n">
        <v>0.08842301570715083</v>
      </c>
      <c r="N146" s="13" t="n">
        <v>0.363017219223849</v>
      </c>
      <c r="O146" s="13" t="n">
        <v>0.03681060145321879</v>
      </c>
      <c r="P146" s="13" t="n">
        <v>-0.1135909127269796</v>
      </c>
      <c r="Q146" s="13" t="n">
        <v>0.0240253707915361</v>
      </c>
      <c r="R146" s="13" t="n">
        <v>0.09447709330814291</v>
      </c>
      <c r="S146" s="13" t="n">
        <v>0.095987713572665</v>
      </c>
      <c r="T146" s="13" t="n">
        <v>0.06393044367727363</v>
      </c>
      <c r="U146" s="13" t="n">
        <v>0.298683874265282</v>
      </c>
      <c r="V146" s="13" t="n">
        <v>0.1226212278047534</v>
      </c>
      <c r="W146" s="13" t="n">
        <v>0.1495101157908074</v>
      </c>
      <c r="X146" s="13" t="n">
        <v>0.2286948511895481</v>
      </c>
    </row>
    <row r="147">
      <c r="A147" t="inlineStr">
        <is>
          <t>Dengeli Değişken</t>
        </is>
      </c>
      <c r="B147" t="inlineStr">
        <is>
          <t>HPO</t>
        </is>
      </c>
      <c r="C147" t="inlineStr">
        <is>
          <t>Hsbc Portföy Çoklu Varlık Birinci Değişken Fon</t>
        </is>
      </c>
      <c r="D147" s="13" t="n">
        <v>0.1965062795224348</v>
      </c>
      <c r="E147" s="13" t="n">
        <v>-0.1750858415565992</v>
      </c>
      <c r="F147" s="13" t="n">
        <v>0.3551242005057409</v>
      </c>
      <c r="G147" s="13" t="n">
        <v>0.09510575883895367</v>
      </c>
      <c r="H147" s="13" t="n">
        <v>0.03084915380771047</v>
      </c>
      <c r="I147" s="13" t="n">
        <v>-0.34602076124568</v>
      </c>
      <c r="J147" s="13" t="n">
        <v>0.00123786888492905</v>
      </c>
      <c r="K147" s="13" t="n">
        <v>0.2741845639660845</v>
      </c>
      <c r="L147" s="13" t="n">
        <v>-0.1462845574120464</v>
      </c>
      <c r="M147" s="13" t="n">
        <v>0.1273365641380586</v>
      </c>
      <c r="N147" s="13" t="n">
        <v>0.2580533639540139</v>
      </c>
      <c r="O147" s="13" t="n">
        <v>0.1613300492610881</v>
      </c>
      <c r="P147" s="13" t="n">
        <v>0.2735734221883446</v>
      </c>
      <c r="Q147" s="13" t="n">
        <v>-0.04904755773816882</v>
      </c>
      <c r="R147" s="13" t="n">
        <v>0.2177553411398137</v>
      </c>
      <c r="S147" s="13" t="n">
        <v>-0.3152122020785519</v>
      </c>
      <c r="T147" s="13" t="n">
        <v>-0.03008589830967301</v>
      </c>
      <c r="U147" s="13" t="n">
        <v>0.2714687565256835</v>
      </c>
      <c r="V147" s="13" t="n">
        <v>0.1225039813794071</v>
      </c>
      <c r="W147" s="13" t="n">
        <v>0.04465924385170794</v>
      </c>
      <c r="X147" s="13" t="n">
        <v>0.05564626099929804</v>
      </c>
    </row>
    <row r="148">
      <c r="A148" s="14" t="inlineStr">
        <is>
          <t>Dengeli Değişken</t>
        </is>
      </c>
      <c r="B148" s="14" t="inlineStr">
        <is>
          <t>BVD</t>
        </is>
      </c>
      <c r="C148" s="14" t="inlineStr">
        <is>
          <t>BV Portföy Birinci Değişken Fon</t>
        </is>
      </c>
      <c r="D148" s="15" t="n">
        <v>-0.2254168973621407</v>
      </c>
      <c r="E148" s="15" t="n">
        <v>-0.06705606787563712</v>
      </c>
      <c r="F148" s="15" t="n">
        <v>0.2887520289528656</v>
      </c>
      <c r="G148" s="15" t="n">
        <v>0.3487107845566717</v>
      </c>
      <c r="H148" s="15" t="n">
        <v>-0.6124255400588474</v>
      </c>
      <c r="I148" s="15" t="n">
        <v>-0.3757293878771217</v>
      </c>
      <c r="J148" s="15" t="n">
        <v>0.2501059969323149</v>
      </c>
      <c r="K148" s="15" t="n">
        <v>0.2061006091279793</v>
      </c>
      <c r="L148" s="15" t="n">
        <v>0.1405056652256542</v>
      </c>
      <c r="M148" s="15" t="n">
        <v>0.374052762512922</v>
      </c>
      <c r="N148" s="15" t="n">
        <v>-0.06020585772120723</v>
      </c>
      <c r="O148" s="15" t="n">
        <v>0.2737155104168609</v>
      </c>
      <c r="P148" s="15" t="n">
        <v>0.9757232236453417</v>
      </c>
      <c r="Q148" s="15" t="n">
        <v>-0.3414221498763803</v>
      </c>
      <c r="R148" s="15" t="n">
        <v>0.2514330151066391</v>
      </c>
      <c r="S148" s="15" t="n">
        <v>-0.1972826302721886</v>
      </c>
      <c r="T148" s="15" t="n">
        <v>0.2239881518835585</v>
      </c>
      <c r="U148" s="15" t="n">
        <v>0.6211549910696501</v>
      </c>
      <c r="V148" s="15" t="n">
        <v>0.1023304644392153</v>
      </c>
      <c r="W148" s="15" t="n">
        <v>0.0960877581316355</v>
      </c>
      <c r="X148" s="15" t="n">
        <v>0.3679323488998021</v>
      </c>
    </row>
    <row r="149">
      <c r="A149" t="inlineStr">
        <is>
          <t>Dengeli Değişken</t>
        </is>
      </c>
      <c r="B149" t="inlineStr">
        <is>
          <t>MBL</t>
        </is>
      </c>
      <c r="C149" t="inlineStr">
        <is>
          <t>Meksa Portföy İkinci Değişken Fon</t>
        </is>
      </c>
      <c r="D149" s="13" t="n">
        <v>0.1021841395352441</v>
      </c>
      <c r="E149" s="13" t="n">
        <v>0.1013374313745263</v>
      </c>
      <c r="F149" s="13" t="n">
        <v>0.3070419401490776</v>
      </c>
      <c r="G149" s="13" t="n">
        <v>0.1020340261295827</v>
      </c>
      <c r="H149" s="13" t="n">
        <v>0.1015607111465533</v>
      </c>
      <c r="I149" s="13" t="n">
        <v>0.1025644809609982</v>
      </c>
      <c r="J149" s="13" t="n">
        <v>0.1017222760727909</v>
      </c>
      <c r="K149" s="13" t="n">
        <v>0.3066976432513746</v>
      </c>
      <c r="L149" s="13" t="n">
        <v>0.1020423145252414</v>
      </c>
      <c r="M149" s="13" t="n">
        <v>0.117705728345463</v>
      </c>
      <c r="N149" s="13" t="n">
        <v>0.1010859413628218</v>
      </c>
      <c r="O149" s="13" t="n">
        <v>0.1024473950920202</v>
      </c>
      <c r="P149" s="13" t="n">
        <v>0.3048345888570836</v>
      </c>
      <c r="Q149" s="13" t="n">
        <v>0.1005739273025386</v>
      </c>
      <c r="R149" s="13" t="n">
        <v>0.101564974281132</v>
      </c>
      <c r="S149" s="13" t="n">
        <v>0.1018255873154406</v>
      </c>
      <c r="T149" s="13" t="n">
        <v>0.101358715396338</v>
      </c>
      <c r="U149" s="13" t="n">
        <v>0.3059458007759419</v>
      </c>
      <c r="V149" s="13" t="n">
        <v>0.09515815067548949</v>
      </c>
      <c r="W149" s="13" t="n">
        <v>0.199895172513509</v>
      </c>
      <c r="X149" s="13" t="n">
        <v>0.101371582767551</v>
      </c>
    </row>
    <row r="150">
      <c r="A150" t="inlineStr">
        <is>
          <t>Dengeli Değişken</t>
        </is>
      </c>
      <c r="B150" t="inlineStr">
        <is>
          <t>RD1</t>
        </is>
      </c>
      <c r="C150" t="inlineStr">
        <is>
          <t>Rota Portföy Birinci Değişken Fon</t>
        </is>
      </c>
      <c r="D150" s="13" t="n">
        <v>-0.3309066471588462</v>
      </c>
      <c r="E150" s="13" t="n">
        <v>1.255356218452031</v>
      </c>
      <c r="F150" s="13" t="n">
        <v>-0.5551973537447075</v>
      </c>
      <c r="G150" s="13" t="n">
        <v>0.3911994938405439</v>
      </c>
      <c r="H150" s="13" t="n">
        <v>-1.13414229130957</v>
      </c>
      <c r="I150" s="13" t="n">
        <v>-0.3570021513691457</v>
      </c>
      <c r="J150" s="13" t="n">
        <v>-0.4892852193440045</v>
      </c>
      <c r="K150" s="13" t="n">
        <v>-0.01000434848102971</v>
      </c>
      <c r="L150" s="13" t="n">
        <v>-0.1690676662920332</v>
      </c>
      <c r="M150" s="13" t="n">
        <v>0.6580547069190867</v>
      </c>
      <c r="N150" s="13" t="n">
        <v>-0.006618991073403802</v>
      </c>
      <c r="O150" s="13" t="n">
        <v>0.8369334730391031</v>
      </c>
      <c r="P150" s="13" t="n">
        <v>0.8291454326026182</v>
      </c>
      <c r="Q150" s="13" t="n">
        <v>0.04629694033981835</v>
      </c>
      <c r="R150" s="13" t="n">
        <v>0.2270948709263365</v>
      </c>
      <c r="S150" s="13" t="n">
        <v>-0.3348483082779685</v>
      </c>
      <c r="T150" s="13" t="n">
        <v>0.107128380334709</v>
      </c>
      <c r="U150" s="13" t="n">
        <v>0.08776906390788319</v>
      </c>
      <c r="V150" s="13" t="n">
        <v>0.061684555187691</v>
      </c>
      <c r="W150" s="13" t="n">
        <v>0.6075237644591613</v>
      </c>
      <c r="X150" s="13" t="n">
        <v>0.7830410476906913</v>
      </c>
    </row>
    <row r="151">
      <c r="A151" t="inlineStr">
        <is>
          <t>Dengeli Değişken</t>
        </is>
      </c>
      <c r="B151" t="inlineStr">
        <is>
          <t>SUA</t>
        </is>
      </c>
      <c r="C151" t="inlineStr">
        <is>
          <t>Ünlü Portföy Birinci Değişken Fon</t>
        </is>
      </c>
      <c r="D151" s="13" t="n">
        <v>0.05990212420776686</v>
      </c>
      <c r="E151" s="13" t="n">
        <v>0.1751444540855962</v>
      </c>
      <c r="F151" s="13" t="n">
        <v>0.2185922587392586</v>
      </c>
      <c r="G151" s="13" t="n">
        <v>0.05732408339145234</v>
      </c>
      <c r="H151" s="13" t="n">
        <v>-0.06527299365363115</v>
      </c>
      <c r="I151" s="13" t="n">
        <v>0.0152639780766739</v>
      </c>
      <c r="J151" s="13" t="n">
        <v>0.03957380959140888</v>
      </c>
      <c r="K151" s="13" t="n">
        <v>0.305821789625127</v>
      </c>
      <c r="L151" s="13" t="n">
        <v>0.1692454341755578</v>
      </c>
      <c r="M151" s="13" t="n">
        <v>0.03654609398171527</v>
      </c>
      <c r="N151" s="13" t="n">
        <v>0.1835461468545629</v>
      </c>
      <c r="O151" s="13" t="n">
        <v>1.080762082602993</v>
      </c>
      <c r="P151" s="13" t="n">
        <v>1.111382213004752</v>
      </c>
      <c r="Q151" s="13" t="n">
        <v>-1.952541251053574</v>
      </c>
      <c r="R151" s="13" t="n">
        <v>0.05783710329285707</v>
      </c>
      <c r="S151" s="13" t="n">
        <v>-0.2197945070699703</v>
      </c>
      <c r="T151" s="13" t="n">
        <v>0.1197358064646714</v>
      </c>
      <c r="U151" s="13" t="n">
        <v>0.3155134480132604</v>
      </c>
      <c r="V151" s="13" t="n">
        <v>0.04119980855237237</v>
      </c>
      <c r="W151" s="13" t="n">
        <v>0.1750708870609019</v>
      </c>
      <c r="X151" s="13" t="n">
        <v>0.2352941176470447</v>
      </c>
    </row>
    <row r="152">
      <c r="A152" t="inlineStr">
        <is>
          <t>Dengeli Değişken</t>
        </is>
      </c>
      <c r="B152" t="inlineStr">
        <is>
          <t>RPD</t>
        </is>
      </c>
      <c r="C152" t="inlineStr">
        <is>
          <t>Re-pıe Portföy Birinci Değişken Fon</t>
        </is>
      </c>
      <c r="D152" s="13" t="n">
        <v>0.1433140253338294</v>
      </c>
      <c r="E152" s="13" t="n">
        <v>0.9802652528224209</v>
      </c>
      <c r="F152" s="13" t="n">
        <v>0.0951999701657158</v>
      </c>
      <c r="G152" s="13" t="n">
        <v>0.4191180119902826</v>
      </c>
      <c r="H152" s="13" t="n">
        <v>-1.378731793468502</v>
      </c>
      <c r="I152" s="13" t="n">
        <v>-0.1679320919657612</v>
      </c>
      <c r="J152" s="13" t="n">
        <v>0.4956607953099601</v>
      </c>
      <c r="K152" s="13" t="n">
        <v>-0.04990967966895798</v>
      </c>
      <c r="L152" s="13" t="n">
        <v>-0.120413409219533</v>
      </c>
      <c r="M152" s="13" t="n">
        <v>1.174565993277654</v>
      </c>
      <c r="N152" s="13" t="n">
        <v>-0.9511689306598292</v>
      </c>
      <c r="O152" s="13" t="n">
        <v>0.3180954961448101</v>
      </c>
      <c r="P152" s="13" t="n">
        <v>0.2188524567561911</v>
      </c>
      <c r="Q152" s="13" t="n">
        <v>0.3567029468628302</v>
      </c>
      <c r="R152" s="13" t="n">
        <v>-0.8014202324869268</v>
      </c>
      <c r="S152" s="13" t="n">
        <v>-0.1152852326630205</v>
      </c>
      <c r="T152" s="13" t="n">
        <v>0.676661791682065</v>
      </c>
      <c r="U152" s="13" t="n">
        <v>0.3940584308035344</v>
      </c>
      <c r="V152" s="13" t="n">
        <v>0.04022918177486456</v>
      </c>
      <c r="W152" s="13" t="n">
        <v>0.6512002808753081</v>
      </c>
      <c r="X152" s="13" t="n">
        <v>-0.424643270765257</v>
      </c>
    </row>
    <row r="153">
      <c r="A153" t="inlineStr">
        <is>
          <t>Dengeli Değişken</t>
        </is>
      </c>
      <c r="B153" t="inlineStr">
        <is>
          <t>PID</t>
        </is>
      </c>
      <c r="C153" t="inlineStr">
        <is>
          <t>Piramit Portföy Değişken Fon</t>
        </is>
      </c>
      <c r="D153" s="13" t="n">
        <v>-0.1822535578433038</v>
      </c>
      <c r="E153" s="13" t="n">
        <v>0.2952059399289775</v>
      </c>
      <c r="F153" s="13" t="n">
        <v>0.1208731979887023</v>
      </c>
      <c r="G153" s="13" t="n">
        <v>-0.006757547158020571</v>
      </c>
      <c r="H153" s="13" t="n">
        <v>0.2583942642152337</v>
      </c>
      <c r="I153" s="13" t="n">
        <v>-0.1656258408032074</v>
      </c>
      <c r="J153" s="13" t="n">
        <v>-0.093049592595984</v>
      </c>
      <c r="K153" s="13" t="n">
        <v>0.2332381715535847</v>
      </c>
      <c r="L153" s="13" t="n">
        <v>-0.1102002982490413</v>
      </c>
      <c r="M153" s="13" t="n">
        <v>-0.1684606496908936</v>
      </c>
      <c r="N153" s="13" t="n">
        <v>0.2720940789851189</v>
      </c>
      <c r="O153" s="13" t="n">
        <v>0.301500077627348</v>
      </c>
      <c r="P153" s="13" t="n">
        <v>0.2533100059147086</v>
      </c>
      <c r="Q153" s="13" t="n">
        <v>0.1368722906583741</v>
      </c>
      <c r="R153" s="13" t="n">
        <v>0.2692062691747488</v>
      </c>
      <c r="S153" s="13" t="n">
        <v>0.09046726454378096</v>
      </c>
      <c r="T153" s="13" t="n">
        <v>0.02304493706657418</v>
      </c>
      <c r="U153" s="13" t="n">
        <v>0.3572543715030685</v>
      </c>
      <c r="V153" s="13" t="n">
        <v>0.03675452002394053</v>
      </c>
      <c r="W153" s="13" t="n">
        <v>0.34345591133913</v>
      </c>
      <c r="X153" s="13" t="n">
        <v>0.7209533322389605</v>
      </c>
    </row>
    <row r="154">
      <c r="A154" t="inlineStr">
        <is>
          <t>Dengeli Değişken</t>
        </is>
      </c>
      <c r="B154" t="inlineStr">
        <is>
          <t>ICD</t>
        </is>
      </c>
      <c r="C154" t="inlineStr">
        <is>
          <t>Icbc Turkey Portföy Birinci Değişken Fon</t>
        </is>
      </c>
      <c r="D154" s="13" t="n">
        <v>-0.03467696455968783</v>
      </c>
      <c r="E154" s="13" t="n">
        <v>0.03108810643273063</v>
      </c>
      <c r="F154" s="13" t="n">
        <v>0.132467052722296</v>
      </c>
      <c r="G154" s="13" t="n">
        <v>0.215826302349531</v>
      </c>
      <c r="H154" s="13" t="n">
        <v>-0.1782902243656181</v>
      </c>
      <c r="I154" s="13" t="n">
        <v>-0.06087522574245163</v>
      </c>
      <c r="J154" s="13" t="n">
        <v>-0.01798953470156794</v>
      </c>
      <c r="K154" s="13" t="n">
        <v>0.3775395023549732</v>
      </c>
      <c r="L154" s="13" t="n">
        <v>0.02915417265634268</v>
      </c>
      <c r="M154" s="13" t="n">
        <v>0.1656403929054528</v>
      </c>
      <c r="N154" s="13" t="n">
        <v>0.04901258453995361</v>
      </c>
      <c r="O154" s="13" t="n">
        <v>0.1152098248438094</v>
      </c>
      <c r="P154" s="13" t="n">
        <v>0.2496538864783293</v>
      </c>
      <c r="Q154" s="13" t="n">
        <v>0.01607360950528491</v>
      </c>
      <c r="R154" s="13" t="n">
        <v>0.07255936228034443</v>
      </c>
      <c r="S154" s="13" t="n">
        <v>-0.1286962513005863</v>
      </c>
      <c r="T154" s="13" t="n">
        <v>0.08965615075871014</v>
      </c>
      <c r="U154" s="13" t="n">
        <v>0.3385192052807851</v>
      </c>
      <c r="V154" s="13" t="n">
        <v>0.004193755675663269</v>
      </c>
      <c r="W154" s="13" t="n">
        <v>0.1655458155002121</v>
      </c>
      <c r="X154" s="13" t="n">
        <v>0.09855180950204545</v>
      </c>
    </row>
    <row r="155">
      <c r="A155" t="inlineStr">
        <is>
          <t>Dengeli Değişken</t>
        </is>
      </c>
      <c r="B155" t="inlineStr">
        <is>
          <t>GPB</t>
        </is>
      </c>
      <c r="C155" t="inlineStr">
        <is>
          <t>Garanti Portföy Birinci Değişken Fon</t>
        </is>
      </c>
      <c r="D155" s="13" t="n">
        <v>0.1643955770647132</v>
      </c>
      <c r="E155" s="13" t="n">
        <v>0.3219044551796335</v>
      </c>
      <c r="F155" s="13" t="n">
        <v>0.2212694510238977</v>
      </c>
      <c r="G155" s="13" t="n">
        <v>0.09678080054831284</v>
      </c>
      <c r="H155" s="13" t="n">
        <v>-0.008758246157314353</v>
      </c>
      <c r="I155" s="13" t="n">
        <v>0.03065221467015711</v>
      </c>
      <c r="J155" s="13" t="n">
        <v>-0.1219130474849561</v>
      </c>
      <c r="K155" s="13" t="n">
        <v>0.2639297154023224</v>
      </c>
      <c r="L155" s="13" t="n">
        <v>0.06132866021224537</v>
      </c>
      <c r="M155" s="13" t="n">
        <v>0.1238527372025455</v>
      </c>
      <c r="N155" s="13" t="n">
        <v>0.2231149698620039</v>
      </c>
      <c r="O155" s="13" t="n">
        <v>0.09827246668023815</v>
      </c>
      <c r="P155" s="13" t="n">
        <v>0.09061207293574736</v>
      </c>
      <c r="Q155" s="13" t="n">
        <v>0.123715793099044</v>
      </c>
      <c r="R155" s="13" t="n">
        <v>0.09799166881907517</v>
      </c>
      <c r="S155" s="13" t="n">
        <v>-0.2112496032528943</v>
      </c>
      <c r="T155" s="13" t="n">
        <v>0.02229066163119686</v>
      </c>
      <c r="U155" s="13" t="n">
        <v>0.3688355411182176</v>
      </c>
      <c r="V155" s="13" t="n">
        <v>-0.08984275120904606</v>
      </c>
      <c r="W155" s="13" t="n">
        <v>0.2435443519668512</v>
      </c>
      <c r="X155" s="13" t="n">
        <v>0.2423798142732414</v>
      </c>
    </row>
    <row r="156">
      <c r="A156" t="inlineStr">
        <is>
          <t>Dengeli Değişken</t>
        </is>
      </c>
      <c r="B156" t="inlineStr">
        <is>
          <t>RKC</t>
        </is>
      </c>
      <c r="C156" t="inlineStr">
        <is>
          <t>Rota Portföy İkinci Değişken Fon</t>
        </is>
      </c>
      <c r="D156" s="13" t="n">
        <v>0.05567962066013177</v>
      </c>
      <c r="E156" s="13" t="n">
        <v>0.1720919100047791</v>
      </c>
      <c r="F156" s="13" t="n">
        <v>-0.009617245573068089</v>
      </c>
      <c r="G156" s="13" t="n">
        <v>0.1771894032851051</v>
      </c>
      <c r="H156" s="13" t="n">
        <v>-0.1227278500978923</v>
      </c>
      <c r="I156" s="13" t="n">
        <v>-0.6594726726346534</v>
      </c>
      <c r="J156" s="13" t="n">
        <v>-0.3112194054735617</v>
      </c>
      <c r="K156" s="13" t="n">
        <v>0.2021584468829163</v>
      </c>
      <c r="L156" s="13" t="n">
        <v>-0.2399586510569263</v>
      </c>
      <c r="M156" s="13" t="n">
        <v>0.009228180329512448</v>
      </c>
      <c r="N156" s="13" t="n">
        <v>0.5736021199938657</v>
      </c>
      <c r="O156" s="13" t="n">
        <v>0.2502954793901946</v>
      </c>
      <c r="P156" s="13" t="n">
        <v>0.3233634584936196</v>
      </c>
      <c r="Q156" s="13" t="n">
        <v>0.1728466756379277</v>
      </c>
      <c r="R156" s="13" t="n">
        <v>0.3267051879998206</v>
      </c>
      <c r="S156" s="13" t="n">
        <v>-0.4797706687897474</v>
      </c>
      <c r="T156" s="13" t="n">
        <v>-0.2029198037567514</v>
      </c>
      <c r="U156" s="13" t="n">
        <v>0.7433221074412133</v>
      </c>
      <c r="V156" s="13" t="n">
        <v>-0.1051258486258977</v>
      </c>
      <c r="W156" s="13" t="n">
        <v>-0.0325265598948743</v>
      </c>
      <c r="X156" s="13" t="n">
        <v>0.157045152410995</v>
      </c>
    </row>
    <row r="157">
      <c r="A157" t="inlineStr">
        <is>
          <t>Dengeli Değişken</t>
        </is>
      </c>
      <c r="B157" t="inlineStr">
        <is>
          <t>ZDD</t>
        </is>
      </c>
      <c r="C157" t="inlineStr">
        <is>
          <t>Ziraat Portföy Temkinli Değişken Fon</t>
        </is>
      </c>
      <c r="D157" s="13" t="n">
        <v>0.00657839328819243</v>
      </c>
      <c r="E157" s="13" t="n">
        <v>0.553470439818371</v>
      </c>
      <c r="F157" s="13" t="n">
        <v>0.0243475468561849</v>
      </c>
      <c r="G157" s="13" t="n">
        <v>0.03962976853799649</v>
      </c>
      <c r="H157" s="13" t="n">
        <v>-0.2761603112272359</v>
      </c>
      <c r="I157" s="13" t="n">
        <v>-0.06569593499442528</v>
      </c>
      <c r="J157" s="13" t="n">
        <v>-0.2332346085841097</v>
      </c>
      <c r="K157" s="13" t="n">
        <v>0.3620055927916699</v>
      </c>
      <c r="L157" s="13" t="n">
        <v>-0.03672236224940839</v>
      </c>
      <c r="M157" s="13" t="n">
        <v>0.2861778571865869</v>
      </c>
      <c r="N157" s="13" t="n">
        <v>0.06436792199147057</v>
      </c>
      <c r="O157" s="13" t="n">
        <v>0.0863464577083306</v>
      </c>
      <c r="P157" s="13" t="n">
        <v>-0.2385467628131965</v>
      </c>
      <c r="Q157" s="13" t="n">
        <v>0.03635780861015458</v>
      </c>
      <c r="R157" s="13" t="n">
        <v>0.1943422378052562</v>
      </c>
      <c r="S157" s="13" t="n">
        <v>-0.7602180935148417</v>
      </c>
      <c r="T157" s="13" t="n">
        <v>0.1127693997713619</v>
      </c>
      <c r="U157" s="13" t="n">
        <v>0.3567264176559393</v>
      </c>
      <c r="V157" s="13" t="n">
        <v>-0.1214414554631338</v>
      </c>
      <c r="W157" s="13" t="n">
        <v>0.1779244310919248</v>
      </c>
      <c r="X157" s="13" t="n">
        <v>0.4523820403274481</v>
      </c>
    </row>
    <row r="158">
      <c r="A158" t="inlineStr">
        <is>
          <t>Dengeli Değişken</t>
        </is>
      </c>
      <c r="B158" t="inlineStr">
        <is>
          <t>GAH</t>
        </is>
      </c>
      <c r="C158" t="inlineStr">
        <is>
          <t>Garanti Portföy Mutlak Getiri Hedefli Değişken Fon</t>
        </is>
      </c>
      <c r="D158" s="13" t="n">
        <v>0.1549969763863235</v>
      </c>
      <c r="E158" s="13" t="n">
        <v>0.2684563758389213</v>
      </c>
      <c r="F158" s="13" t="n">
        <v>0.08088904337195668</v>
      </c>
      <c r="G158" s="13" t="n">
        <v>0.09655632804281833</v>
      </c>
      <c r="H158" s="13" t="n">
        <v>-0.203742442138144</v>
      </c>
      <c r="I158" s="13" t="n">
        <v>-0.0971471395743384</v>
      </c>
      <c r="J158" s="13" t="n">
        <v>-0.1297298387056833</v>
      </c>
      <c r="K158" s="13" t="n">
        <v>0.209710433640109</v>
      </c>
      <c r="L158" s="13" t="n">
        <v>-0.005275545715577312</v>
      </c>
      <c r="M158" s="13" t="n">
        <v>0.05323711022888755</v>
      </c>
      <c r="N158" s="13" t="n">
        <v>0.4013599267223888</v>
      </c>
      <c r="O158" s="13" t="n">
        <v>0.1869656934226249</v>
      </c>
      <c r="P158" s="13" t="n">
        <v>-0.03641603237359847</v>
      </c>
      <c r="Q158" s="13" t="n">
        <v>0.1739808803219223</v>
      </c>
      <c r="R158" s="13" t="n">
        <v>0.1553769086122925</v>
      </c>
      <c r="S158" s="13" t="n">
        <v>-0.578720735242233</v>
      </c>
      <c r="T158" s="13" t="n">
        <v>-0.009370889951532124</v>
      </c>
      <c r="U158" s="13" t="n">
        <v>0.4989252910452269</v>
      </c>
      <c r="V158" s="13" t="n">
        <v>-0.2696296757206396</v>
      </c>
      <c r="W158" s="13" t="n">
        <v>0.3001832245635105</v>
      </c>
      <c r="X158" s="13" t="n">
        <v>0.430928891985638</v>
      </c>
    </row>
    <row r="159">
      <c r="A159" t="inlineStr">
        <is>
          <t>Dengeli Değişken</t>
        </is>
      </c>
      <c r="B159" t="inlineStr">
        <is>
          <t>GPI</t>
        </is>
      </c>
      <c r="C159" t="inlineStr">
        <is>
          <t>Garanti Portföy İkinci Değişken Fon</t>
        </is>
      </c>
      <c r="D159" s="13" t="n">
        <v>0.1622814414623974</v>
      </c>
      <c r="E159" s="13" t="n">
        <v>0.2483763198953826</v>
      </c>
      <c r="F159" s="13" t="n">
        <v>0.0740166331352432</v>
      </c>
      <c r="G159" s="13" t="n">
        <v>0.09660742851549387</v>
      </c>
      <c r="H159" s="13" t="n">
        <v>-0.1820772520442437</v>
      </c>
      <c r="I159" s="13" t="n">
        <v>-0.07398011672844484</v>
      </c>
      <c r="J159" s="13" t="n">
        <v>-0.1443177404249374</v>
      </c>
      <c r="K159" s="13" t="n">
        <v>0.2174176055689925</v>
      </c>
      <c r="L159" s="13" t="n">
        <v>-0.005759476470368341</v>
      </c>
      <c r="M159" s="13" t="n">
        <v>0.0316845919992037</v>
      </c>
      <c r="N159" s="13" t="n">
        <v>0.4072700981013755</v>
      </c>
      <c r="O159" s="13" t="n">
        <v>0.1903784180071755</v>
      </c>
      <c r="P159" s="13" t="n">
        <v>-0.01747421599186394</v>
      </c>
      <c r="Q159" s="13" t="n">
        <v>0.1593664360534985</v>
      </c>
      <c r="R159" s="13" t="n">
        <v>0.1538791458371103</v>
      </c>
      <c r="S159" s="13" t="n">
        <v>-0.5608650318542518</v>
      </c>
      <c r="T159" s="13" t="n">
        <v>-0.01902319575173284</v>
      </c>
      <c r="U159" s="13" t="n">
        <v>0.5101898978584707</v>
      </c>
      <c r="V159" s="13" t="n">
        <v>-0.2808964700906302</v>
      </c>
      <c r="W159" s="13" t="n">
        <v>0.2986218868029633</v>
      </c>
      <c r="X159" s="13" t="n">
        <v>0.4313024898544793</v>
      </c>
    </row>
    <row r="160">
      <c r="A160" t="inlineStr">
        <is>
          <t>Dengeli Değişken</t>
        </is>
      </c>
      <c r="B160" t="inlineStr">
        <is>
          <t>FNO</t>
        </is>
      </c>
      <c r="C160" t="inlineStr">
        <is>
          <t>Qnb Portföy Birinci Değişken Fon</t>
        </is>
      </c>
      <c r="D160" s="13" t="n">
        <v>0.1523827114887411</v>
      </c>
      <c r="E160" s="13" t="n">
        <v>1.020998867833667</v>
      </c>
      <c r="F160" s="13" t="n">
        <v>-0.1206933273831923</v>
      </c>
      <c r="G160" s="13" t="n">
        <v>0.251832896687576</v>
      </c>
      <c r="H160" s="13" t="n">
        <v>-0.4730263557725323</v>
      </c>
      <c r="I160" s="13" t="n">
        <v>0.1155110473340937</v>
      </c>
      <c r="J160" s="13" t="n">
        <v>-0.2099163892347988</v>
      </c>
      <c r="K160" s="13" t="n">
        <v>0.121732575433442</v>
      </c>
      <c r="L160" s="13" t="n">
        <v>0.2223115312024682</v>
      </c>
      <c r="M160" s="13" t="n">
        <v>-0.07258588483715078</v>
      </c>
      <c r="N160" s="13" t="n">
        <v>-0.1554364666141783</v>
      </c>
      <c r="O160" s="13" t="n">
        <v>0.2146938069485405</v>
      </c>
      <c r="P160" s="13" t="n">
        <v>-0.1451916682319476</v>
      </c>
      <c r="Q160" s="13" t="n">
        <v>0.3548641297440147</v>
      </c>
      <c r="R160" s="13" t="n">
        <v>-0.18035087363788</v>
      </c>
      <c r="S160" s="13" t="n">
        <v>-0.08526317392164584</v>
      </c>
      <c r="T160" s="13" t="n">
        <v>-0.06501785451238362</v>
      </c>
      <c r="U160" s="13" t="n">
        <v>0.5245475015375645</v>
      </c>
      <c r="V160" s="13" t="n">
        <v>-0.3043893756983995</v>
      </c>
      <c r="W160" s="13" t="n">
        <v>-0.2469937262579269</v>
      </c>
      <c r="X160" s="13" t="n">
        <v>0.7082426633584937</v>
      </c>
    </row>
    <row r="161">
      <c r="A161" t="inlineStr">
        <is>
          <t>Dengeli Değişken</t>
        </is>
      </c>
      <c r="B161" t="inlineStr">
        <is>
          <t>DGF</t>
        </is>
      </c>
      <c r="C161" t="inlineStr">
        <is>
          <t>A1 Capital Portföy Değişken Fon</t>
        </is>
      </c>
      <c r="D161" s="13" t="n">
        <v>-0.1320492680372487</v>
      </c>
      <c r="E161" s="13" t="n">
        <v>0.6554200387552722</v>
      </c>
      <c r="F161" s="13" t="n">
        <v>-0.3633618330407873</v>
      </c>
      <c r="G161" s="13" t="n">
        <v>-0.1864730155891725</v>
      </c>
      <c r="H161" s="13" t="n">
        <v>-0.7459191179540636</v>
      </c>
      <c r="I161" s="13" t="n">
        <v>-0.688579131532141</v>
      </c>
      <c r="J161" s="13" t="n">
        <v>-0.4587700004312745</v>
      </c>
      <c r="K161" s="13" t="n">
        <v>-0.4242890798172638</v>
      </c>
      <c r="L161" s="13" t="n">
        <v>-0.2095520620715385</v>
      </c>
      <c r="M161" s="13" t="n">
        <v>-0.3263169860799442</v>
      </c>
      <c r="N161" s="13" t="n">
        <v>0.3182456959886393</v>
      </c>
      <c r="O161" s="13" t="n">
        <v>-0.005139318355062983</v>
      </c>
      <c r="P161" s="13" t="n">
        <v>0.3613282238615234</v>
      </c>
      <c r="Q161" s="13" t="n">
        <v>0.1797808954283386</v>
      </c>
      <c r="R161" s="13" t="n">
        <v>-0.113390978911132</v>
      </c>
      <c r="S161" s="13" t="n">
        <v>-1.227160363635249</v>
      </c>
      <c r="T161" s="13" t="n">
        <v>-1.49840872086906</v>
      </c>
      <c r="U161" s="13" t="n">
        <v>1.078079684011968</v>
      </c>
      <c r="V161" s="13" t="n">
        <v>-0.4145055659022123</v>
      </c>
      <c r="W161" s="13" t="n">
        <v>0.1531273530266386</v>
      </c>
      <c r="X161" s="13" t="n">
        <v>0.2898963187831782</v>
      </c>
    </row>
    <row r="162">
      <c r="A162" t="inlineStr">
        <is>
          <t>Dengeli Değişken</t>
        </is>
      </c>
      <c r="B162" t="inlineStr">
        <is>
          <t>RIK</t>
        </is>
      </c>
      <c r="C162" t="inlineStr">
        <is>
          <t>Re-pıe Portföy İkinci Değişken Fon</t>
        </is>
      </c>
      <c r="D162" s="13" t="n">
        <v>-0.2384345334526694</v>
      </c>
      <c r="E162" s="13" t="n">
        <v>1.172078144319366</v>
      </c>
      <c r="F162" s="13" t="n">
        <v>0.003871028962310064</v>
      </c>
      <c r="G162" s="13" t="n">
        <v>0.4182604783070643</v>
      </c>
      <c r="H162" s="13" t="n">
        <v>-1.438438093724137</v>
      </c>
      <c r="I162" s="13" t="n">
        <v>-0.4834774380368168</v>
      </c>
      <c r="J162" s="13" t="n">
        <v>0.07326172939763342</v>
      </c>
      <c r="K162" s="13" t="n">
        <v>-0.4873994496447209</v>
      </c>
      <c r="L162" s="13" t="n">
        <v>0.1574707178328305</v>
      </c>
      <c r="M162" s="13" t="n">
        <v>1.511158780549593</v>
      </c>
      <c r="N162" s="13" t="n">
        <v>-0.6953573343564945</v>
      </c>
      <c r="O162" s="13" t="n">
        <v>-0.2841064845009234</v>
      </c>
      <c r="P162" s="13" t="n">
        <v>-0.123474562748449</v>
      </c>
      <c r="Q162" s="13" t="n">
        <v>0.1852063779067992</v>
      </c>
      <c r="R162" s="13" t="n">
        <v>-1.070720489448451</v>
      </c>
      <c r="S162" s="13" t="n">
        <v>0.3241267596873154</v>
      </c>
      <c r="T162" s="13" t="n">
        <v>0.2465667010255634</v>
      </c>
      <c r="U162" s="13" t="n">
        <v>0.1378408739306503</v>
      </c>
      <c r="V162" s="13" t="n">
        <v>-0.5126078139635837</v>
      </c>
      <c r="W162" s="13" t="n">
        <v>0.2958344991606188</v>
      </c>
      <c r="X162" s="13" t="n">
        <v>-0.2987803464045591</v>
      </c>
    </row>
    <row r="163">
      <c r="A163" t="inlineStr">
        <is>
          <t>Dengeli Değişken</t>
        </is>
      </c>
      <c r="B163" t="inlineStr">
        <is>
          <t>OPL</t>
        </is>
      </c>
      <c r="C163" t="inlineStr">
        <is>
          <t>Osmanlı Portföy İkinci Değişken Fon</t>
        </is>
      </c>
      <c r="D163" s="13" t="n">
        <v>-0.004710422966813788</v>
      </c>
      <c r="E163" s="13" t="n">
        <v>-0.498096672588455</v>
      </c>
      <c r="F163" s="13" t="n">
        <v>-0.9763906544209555</v>
      </c>
      <c r="G163" s="13" t="n">
        <v>0.06086883101361629</v>
      </c>
      <c r="H163" s="13" t="n">
        <v>-0.9411121622950103</v>
      </c>
      <c r="I163" s="13" t="n">
        <v>-0.876153562179649</v>
      </c>
      <c r="J163" s="13" t="n">
        <v>-1.032657614297172</v>
      </c>
      <c r="K163" s="13" t="n">
        <v>0.5235037650726415</v>
      </c>
      <c r="L163" s="13" t="n">
        <v>0.1518962349029263</v>
      </c>
      <c r="M163" s="13" t="n">
        <v>-0.3858294352742986</v>
      </c>
      <c r="N163" s="13" t="n">
        <v>-0.01982441394006162</v>
      </c>
      <c r="O163" s="13" t="n">
        <v>1.321570989748211</v>
      </c>
      <c r="P163" s="13" t="n">
        <v>1.388006882590687</v>
      </c>
      <c r="Q163" s="13" t="n">
        <v>0.09412230973542268</v>
      </c>
      <c r="R163" s="13" t="n">
        <v>0.2441903746443597</v>
      </c>
      <c r="S163" s="13" t="n">
        <v>-0.7595598018589111</v>
      </c>
      <c r="T163" s="13" t="n">
        <v>0.191904054569636</v>
      </c>
      <c r="U163" s="13" t="n">
        <v>0.3913252648194421</v>
      </c>
      <c r="V163" s="13" t="n">
        <v>-0.5253116322143092</v>
      </c>
      <c r="W163" s="13" t="n">
        <v>-0.3477056121786837</v>
      </c>
      <c r="X163" s="13" t="n">
        <v>0.6191814930333717</v>
      </c>
    </row>
    <row r="164">
      <c r="A164" t="inlineStr">
        <is>
          <t>Dengeli Değişken</t>
        </is>
      </c>
      <c r="B164" t="inlineStr">
        <is>
          <t>HVU</t>
        </is>
      </c>
      <c r="C164" t="inlineStr">
        <is>
          <t>Allbatross Portföy Birinci Değişken Fon</t>
        </is>
      </c>
      <c r="D164" s="13" t="n">
        <v>0.06736357967740414</v>
      </c>
      <c r="E164" s="13" t="n">
        <v>0.2642857194672166</v>
      </c>
      <c r="F164" s="13" t="n">
        <v>-0.07764962384336771</v>
      </c>
      <c r="G164" s="13" t="n">
        <v>0.199080875564861</v>
      </c>
      <c r="H164" s="13" t="n">
        <v>-0.2146733759849861</v>
      </c>
      <c r="I164" s="13" t="n">
        <v>0.006191722897574969</v>
      </c>
      <c r="J164" s="13" t="n">
        <v>-0.2806197494679807</v>
      </c>
      <c r="K164" s="13" t="n">
        <v>-0.003031764174499241</v>
      </c>
      <c r="L164" s="13" t="n">
        <v>0.06049188324921406</v>
      </c>
      <c r="M164" s="13" t="n">
        <v>0.2435449166462211</v>
      </c>
      <c r="N164" s="13" t="n">
        <v>-0.2210705941720237</v>
      </c>
      <c r="O164" s="13" t="n">
        <v>0.002956799168774005</v>
      </c>
      <c r="P164" s="13" t="n">
        <v>-0.001160917494869018</v>
      </c>
      <c r="Q164" s="13" t="n">
        <v>0.1810870921345575</v>
      </c>
      <c r="R164" s="13" t="n">
        <v>2.333254870717738</v>
      </c>
      <c r="S164" s="13" t="n">
        <v>-0.8901807804820527</v>
      </c>
      <c r="T164" s="13" t="n">
        <v>0.06828709716637515</v>
      </c>
      <c r="U164" s="13" t="n">
        <v>0.6248688712004791</v>
      </c>
      <c r="V164" s="13" t="n">
        <v>-0.5254777267689636</v>
      </c>
      <c r="W164" s="13" t="n">
        <v>0.3488776438300478</v>
      </c>
      <c r="X164" s="13" t="n">
        <v>0.894543063516906</v>
      </c>
    </row>
    <row r="165">
      <c r="A165" t="inlineStr">
        <is>
          <t>Dengeli Değişken</t>
        </is>
      </c>
      <c r="B165" t="inlineStr">
        <is>
          <t>IYB</t>
        </is>
      </c>
      <c r="C165" t="inlineStr">
        <is>
          <t>Aura Portföy Değişken Fonu</t>
        </is>
      </c>
      <c r="D165" s="13" t="n">
        <v>0.01645705015611565</v>
      </c>
      <c r="E165" s="13" t="n">
        <v>0.3081156246121042</v>
      </c>
      <c r="F165" s="13" t="n">
        <v>0.6021667235467154</v>
      </c>
      <c r="G165" s="13" t="n">
        <v>0.02872412872245711</v>
      </c>
      <c r="H165" s="13" t="n">
        <v>-0.1084037099504331</v>
      </c>
      <c r="I165" s="13" t="n">
        <v>0.1612832060346348</v>
      </c>
      <c r="J165" s="13" t="n">
        <v>0.1069342668672313</v>
      </c>
      <c r="K165" s="13" t="n">
        <v>-0.2885820630678326</v>
      </c>
      <c r="L165" s="13" t="n">
        <v>-0.2662396321762905</v>
      </c>
      <c r="M165" s="13" t="n">
        <v>0.01803764293946131</v>
      </c>
      <c r="N165" s="13" t="n">
        <v>0.5329432411479873</v>
      </c>
      <c r="O165" s="13" t="n">
        <v>0.2961915351771482</v>
      </c>
      <c r="P165" s="13" t="n">
        <v>-0.1153869213195047</v>
      </c>
      <c r="Q165" s="13" t="n">
        <v>0.1825185888626901</v>
      </c>
      <c r="R165" s="13" t="n">
        <v>0.1968299022126363</v>
      </c>
      <c r="S165" s="13" t="n">
        <v>-0.765161548302129</v>
      </c>
      <c r="T165" s="13" t="n">
        <v>-0.4388536180049751</v>
      </c>
      <c r="U165" s="13" t="n">
        <v>0.4725204426375251</v>
      </c>
      <c r="V165" s="13" t="n">
        <v>-0.5429546302749388</v>
      </c>
      <c r="W165" s="13" t="n">
        <v>0.50304782625612</v>
      </c>
      <c r="X165" s="13" t="n">
        <v>0.5076505293153621</v>
      </c>
    </row>
    <row r="166">
      <c r="A166" t="inlineStr">
        <is>
          <t>Dengeli Değişken</t>
        </is>
      </c>
      <c r="B166" t="inlineStr">
        <is>
          <t>NKP</t>
        </is>
      </c>
      <c r="C166" t="inlineStr">
        <is>
          <t>Neo Portföy Kar Payı Ödeyen Değişken Fon</t>
        </is>
      </c>
      <c r="D166" s="13" t="n">
        <v>-0.6068095421107866</v>
      </c>
      <c r="E166" s="13" t="n">
        <v>0.1385096363132554</v>
      </c>
      <c r="F166" s="13" t="n">
        <v>-0.09731662978184064</v>
      </c>
      <c r="G166" s="13" t="n">
        <v>0.5632061710386438</v>
      </c>
      <c r="H166" s="13" t="n">
        <v>-2.463277836236044</v>
      </c>
      <c r="I166" s="13" t="n">
        <v>-0.1093946660437828</v>
      </c>
      <c r="J166" s="13" t="n">
        <v>-0.20254288896141</v>
      </c>
      <c r="K166" s="13" t="n">
        <v>-0.9330993631561091</v>
      </c>
      <c r="L166" s="13" t="n">
        <v>0.5850749316193227</v>
      </c>
      <c r="M166" s="13" t="n">
        <v>-0.4547138499951808</v>
      </c>
      <c r="N166" s="13" t="n">
        <v>0.07808610033426255</v>
      </c>
      <c r="O166" s="13" t="n">
        <v>-0.4060025895188057</v>
      </c>
      <c r="P166" s="13" t="n">
        <v>-1.714429905809078</v>
      </c>
      <c r="Q166" s="13" t="n">
        <v>1.434082842700168</v>
      </c>
      <c r="R166" s="13" t="n">
        <v>-0.9892549248973426</v>
      </c>
      <c r="S166" s="13" t="n">
        <v>-0.14094517906168</v>
      </c>
      <c r="T166" s="13" t="n">
        <v>1.286729253242114</v>
      </c>
      <c r="U166" s="13" t="n">
        <v>0.123981443769039</v>
      </c>
      <c r="V166" s="13" t="n">
        <v>-0.6329551123789523</v>
      </c>
      <c r="W166" s="13" t="n">
        <v>-0.7707010031986705</v>
      </c>
      <c r="X166" s="13" t="n">
        <v>-1.249877831815271</v>
      </c>
    </row>
    <row r="167">
      <c r="A167" t="inlineStr">
        <is>
          <t>Dengeli Değişken</t>
        </is>
      </c>
      <c r="B167" t="inlineStr">
        <is>
          <t>TE3</t>
        </is>
      </c>
      <c r="C167" t="inlineStr">
        <is>
          <t>Teb Portföy Mutlak Getiri Hedefli Değişken Fon</t>
        </is>
      </c>
      <c r="D167" s="13" t="n">
        <v>-0.2364443425754592</v>
      </c>
      <c r="E167" s="13" t="n">
        <v>1.01395123875534</v>
      </c>
      <c r="F167" s="13" t="n">
        <v>-0.2819577112844307</v>
      </c>
      <c r="G167" s="13" t="n">
        <v>-0.001257638930307614</v>
      </c>
      <c r="H167" s="13" t="n">
        <v>-0.6378472733755802</v>
      </c>
      <c r="I167" s="13" t="n">
        <v>-0.7673654169600863</v>
      </c>
      <c r="J167" s="13" t="n">
        <v>-0.4580352548038458</v>
      </c>
      <c r="K167" s="13" t="n">
        <v>-0.01927459654816888</v>
      </c>
      <c r="L167" s="13" t="n">
        <v>-0.1540163112311643</v>
      </c>
      <c r="M167" s="13" t="n">
        <v>0.05224289531922111</v>
      </c>
      <c r="N167" s="13" t="n">
        <v>0.6957634660803125</v>
      </c>
      <c r="O167" s="13" t="n">
        <v>0.2983907802877717</v>
      </c>
      <c r="P167" s="13" t="n">
        <v>0.1767168320457868</v>
      </c>
      <c r="Q167" s="13" t="n">
        <v>0.2450036943170142</v>
      </c>
      <c r="R167" s="13" t="n">
        <v>0.1273140854223254</v>
      </c>
      <c r="S167" s="13" t="n">
        <v>-0.7457950189961537</v>
      </c>
      <c r="T167" s="13" t="n">
        <v>-0.5412855097458258</v>
      </c>
      <c r="U167" s="13" t="n">
        <v>0.8600545201409737</v>
      </c>
      <c r="V167" s="13" t="n">
        <v>-0.8817187885252431</v>
      </c>
      <c r="W167" s="13" t="n">
        <v>-0.1193900293963823</v>
      </c>
      <c r="X167" s="13" t="n">
        <v>0.3612281850571275</v>
      </c>
    </row>
    <row r="168">
      <c r="A168" t="inlineStr">
        <is>
          <t>Dengeli Değişken</t>
        </is>
      </c>
      <c r="B168" t="inlineStr">
        <is>
          <t>PGD</t>
        </is>
      </c>
      <c r="C168" t="inlineStr">
        <is>
          <t>Astra Portföy Agresif Değişken Fon</t>
        </is>
      </c>
      <c r="D168" s="13" t="n">
        <v>-0.02123533978283243</v>
      </c>
      <c r="E168" s="13" t="n">
        <v>0.4728478112508538</v>
      </c>
      <c r="F168" s="13" t="n">
        <v>0.1313445663549961</v>
      </c>
      <c r="G168" s="13" t="n">
        <v>-0.05601067836950024</v>
      </c>
      <c r="H168" s="13" t="n">
        <v>-0.1477525168429139</v>
      </c>
      <c r="I168" s="13" t="n">
        <v>-0.1483757565458488</v>
      </c>
      <c r="J168" s="13" t="n">
        <v>0.2630969609261902</v>
      </c>
      <c r="K168" s="13" t="n">
        <v>0.012586278070148</v>
      </c>
      <c r="L168" s="13" t="n">
        <v>0.1275210519418701</v>
      </c>
      <c r="M168" s="13" t="n">
        <v>0.1015294568029956</v>
      </c>
      <c r="N168" s="13" t="n">
        <v>0.05097242132825475</v>
      </c>
      <c r="O168" s="13" t="n">
        <v>0.2670515186648181</v>
      </c>
      <c r="P168" s="13" t="n">
        <v>0.2347629433956611</v>
      </c>
      <c r="Q168" s="13" t="n">
        <v>0.01260134055351969</v>
      </c>
      <c r="R168" s="13" t="n">
        <v>0.3176283141645309</v>
      </c>
      <c r="S168" s="13" t="n">
        <v>0.05543465105286582</v>
      </c>
      <c r="T168" s="13" t="n">
        <v>-0.02333698318425226</v>
      </c>
      <c r="U168" s="13" t="n">
        <v>0.1364019783423487</v>
      </c>
      <c r="V168" s="13" t="n">
        <v>-2.603039843516675</v>
      </c>
      <c r="W168" s="13" t="n">
        <v>0.249576918845662</v>
      </c>
      <c r="X168" s="13" t="n">
        <v>0.2311521944573736</v>
      </c>
    </row>
    <row r="169">
      <c r="A169" t="inlineStr">
        <is>
          <t>Altın</t>
        </is>
      </c>
      <c r="B169" t="inlineStr">
        <is>
          <t>NJF</t>
        </is>
      </c>
      <c r="C169" t="inlineStr">
        <is>
          <t>Nurol Portföy Altın Katılım Fonu</t>
        </is>
      </c>
      <c r="D169" s="13" t="n">
        <v>-0.307573080863166</v>
      </c>
      <c r="E169" s="13" t="n">
        <v>-1.365697808667865</v>
      </c>
      <c r="F169" s="13" t="n">
        <v>-0.2808271253609718</v>
      </c>
      <c r="G169" s="13" t="n">
        <v>-0.6867675806134343</v>
      </c>
      <c r="H169" s="13" t="n">
        <v>-1.569141069674584</v>
      </c>
      <c r="I169" s="13" t="n">
        <v>-0.9194510710790582</v>
      </c>
      <c r="J169" s="13" t="n">
        <v>-1.60419629098183</v>
      </c>
      <c r="K169" s="13" t="n">
        <v>0.7882183047270841</v>
      </c>
      <c r="L169" s="13" t="n">
        <v>0.5619015411977513</v>
      </c>
      <c r="M169" s="13" t="n">
        <v>-0.7757899964658921</v>
      </c>
      <c r="N169" s="13" t="n">
        <v>-0.7892649368807625</v>
      </c>
      <c r="O169" s="13" t="n">
        <v>1.740867289039039</v>
      </c>
      <c r="P169" s="13" t="n">
        <v>2.165251770559617</v>
      </c>
      <c r="Q169" s="13" t="n">
        <v>-0.2691234856520786</v>
      </c>
      <c r="R169" s="13" t="n">
        <v>-0.4068172184764851</v>
      </c>
      <c r="S169" s="13" t="n">
        <v>-1.118138660733936</v>
      </c>
      <c r="T169" s="13" t="n">
        <v>0.7683770640160681</v>
      </c>
      <c r="U169" s="13" t="n">
        <v>0.1071973391896908</v>
      </c>
      <c r="V169" s="13" t="n">
        <v>-0.6450463037537268</v>
      </c>
      <c r="W169" s="13" t="n">
        <v>-0.8260872514728956</v>
      </c>
      <c r="X169" s="13" t="n">
        <v>0.4278703572299758</v>
      </c>
    </row>
    <row r="170">
      <c r="A170" t="inlineStr">
        <is>
          <t>Altın</t>
        </is>
      </c>
      <c r="B170" t="inlineStr">
        <is>
          <t>AU1</t>
        </is>
      </c>
      <c r="C170" t="inlineStr">
        <is>
          <t>A1 Capital Portföy Altın Fonu</t>
        </is>
      </c>
      <c r="D170" s="13" t="n">
        <v>-0.3805245020121029</v>
      </c>
      <c r="E170" s="13" t="n">
        <v>-1.652835164835154</v>
      </c>
      <c r="F170" s="13" t="n">
        <v>0.0233306725043958</v>
      </c>
      <c r="G170" s="13" t="n">
        <v>-1.262243511832417</v>
      </c>
      <c r="H170" s="13" t="n">
        <v>-1.902816345593372</v>
      </c>
      <c r="I170" s="13" t="n">
        <v>-1.001095207383562</v>
      </c>
      <c r="J170" s="13" t="n">
        <v>-1.929796274428841</v>
      </c>
      <c r="K170" s="13" t="n">
        <v>0.8848598773873784</v>
      </c>
      <c r="L170" s="13" t="n">
        <v>0.6035411768252175</v>
      </c>
      <c r="M170" s="13" t="n">
        <v>-1.067627987546516</v>
      </c>
      <c r="N170" s="13" t="n">
        <v>-0.8181166847912924</v>
      </c>
      <c r="O170" s="13" t="n">
        <v>1.93629530244892</v>
      </c>
      <c r="P170" s="13" t="n">
        <v>2.482728276946689</v>
      </c>
      <c r="Q170" s="13" t="n">
        <v>-0.3261958764675832</v>
      </c>
      <c r="R170" s="13" t="n">
        <v>-0.5132105904671169</v>
      </c>
      <c r="S170" s="13" t="n">
        <v>-1.254824654329068</v>
      </c>
      <c r="T170" s="13" t="n">
        <v>0.5172825547508086</v>
      </c>
      <c r="U170" s="13" t="n">
        <v>0.05484954426617783</v>
      </c>
      <c r="V170" s="13" t="n">
        <v>-0.6617295127281375</v>
      </c>
      <c r="W170" s="13" t="n">
        <v>-1.03394182734956</v>
      </c>
      <c r="X170" s="13" t="n">
        <v>0.573462769736488</v>
      </c>
    </row>
    <row r="171">
      <c r="A171" t="inlineStr">
        <is>
          <t>Altın</t>
        </is>
      </c>
      <c r="B171" t="inlineStr">
        <is>
          <t>NAU</t>
        </is>
      </c>
      <c r="C171" t="inlineStr">
        <is>
          <t>Neo Portföy Altın Fonu</t>
        </is>
      </c>
      <c r="D171" s="13" t="n">
        <v>-0.4861433709289043</v>
      </c>
      <c r="E171" s="13" t="n">
        <v>-1.574752235660581</v>
      </c>
      <c r="F171" s="13" t="n">
        <v>-0.01494902082238569</v>
      </c>
      <c r="G171" s="13" t="n">
        <v>-1.042665721765168</v>
      </c>
      <c r="H171" s="13" t="n">
        <v>-1.773148631197818</v>
      </c>
      <c r="I171" s="13" t="n">
        <v>-1.191447594860218</v>
      </c>
      <c r="J171" s="13" t="n">
        <v>-1.833974105028391</v>
      </c>
      <c r="K171" s="13" t="n">
        <v>0.7672913442211771</v>
      </c>
      <c r="L171" s="13" t="n">
        <v>0.5994909795838055</v>
      </c>
      <c r="M171" s="13" t="n">
        <v>-0.8727978812098414</v>
      </c>
      <c r="N171" s="13" t="n">
        <v>-0.9273304538250815</v>
      </c>
      <c r="O171" s="13" t="n">
        <v>1.86480636035613</v>
      </c>
      <c r="P171" s="13" t="n">
        <v>2.437816928296677</v>
      </c>
      <c r="Q171" s="13" t="n">
        <v>-0.2167905551330618</v>
      </c>
      <c r="R171" s="13" t="n">
        <v>-0.5191090012279576</v>
      </c>
      <c r="S171" s="13" t="n">
        <v>-1.343610162724129</v>
      </c>
      <c r="T171" s="13" t="n">
        <v>0.7610235705862944</v>
      </c>
      <c r="U171" s="13" t="n">
        <v>0.120740062704372</v>
      </c>
      <c r="V171" s="13" t="n">
        <v>-0.6836226422415215</v>
      </c>
      <c r="W171" s="13" t="n">
        <v>-0.9964765604588588</v>
      </c>
      <c r="X171" s="13" t="n">
        <v>0.3995442236263802</v>
      </c>
    </row>
    <row r="172">
      <c r="A172" t="inlineStr">
        <is>
          <t>Altın</t>
        </is>
      </c>
      <c r="B172" t="inlineStr">
        <is>
          <t>HAI</t>
        </is>
      </c>
      <c r="C172" t="inlineStr">
        <is>
          <t>Ahlatcı Portföy Altın Fonu</t>
        </is>
      </c>
      <c r="D172" s="13" t="n">
        <v>-0.3494528133895947</v>
      </c>
      <c r="E172" s="13" t="n">
        <v>-1.5368342396612</v>
      </c>
      <c r="F172" s="13" t="n">
        <v>0.04699860021484259</v>
      </c>
      <c r="G172" s="13" t="n">
        <v>-0.9910825953003077</v>
      </c>
      <c r="H172" s="13" t="n">
        <v>-1.709726482788221</v>
      </c>
      <c r="I172" s="13" t="n">
        <v>-0.9958467204764454</v>
      </c>
      <c r="J172" s="13" t="n">
        <v>-1.657548356593463</v>
      </c>
      <c r="K172" s="13" t="n">
        <v>0.8268604628701492</v>
      </c>
      <c r="L172" s="13" t="n">
        <v>0.512908935514389</v>
      </c>
      <c r="M172" s="13" t="n">
        <v>-0.7867745631442213</v>
      </c>
      <c r="N172" s="13" t="n">
        <v>-0.7659040357251068</v>
      </c>
      <c r="O172" s="13" t="n">
        <v>1.780359578211921</v>
      </c>
      <c r="P172" s="13" t="n">
        <v>2.153419231984488</v>
      </c>
      <c r="Q172" s="13" t="n">
        <v>-0.3238897388710082</v>
      </c>
      <c r="R172" s="13" t="n">
        <v>-0.4374421414012231</v>
      </c>
      <c r="S172" s="13" t="n">
        <v>-1.230323732645644</v>
      </c>
      <c r="T172" s="13" t="n">
        <v>0.8793314885524373</v>
      </c>
      <c r="U172" s="13" t="n">
        <v>0.0009415506292631548</v>
      </c>
      <c r="V172" s="13" t="n">
        <v>-0.6977870630069383</v>
      </c>
      <c r="W172" s="13" t="n">
        <v>-0.7711684149644626</v>
      </c>
      <c r="X172" s="13" t="n">
        <v>0.3465376493408501</v>
      </c>
    </row>
    <row r="173">
      <c r="A173" t="inlineStr">
        <is>
          <t>Altın</t>
        </is>
      </c>
      <c r="B173" t="inlineStr">
        <is>
          <t>NAK</t>
        </is>
      </c>
      <c r="C173" t="inlineStr">
        <is>
          <t>Neo Portföy Altın Katılım Fonu</t>
        </is>
      </c>
      <c r="D173" s="13" t="n">
        <v>-0.3724498038806923</v>
      </c>
      <c r="E173" s="13" t="n">
        <v>-1.615984631785616</v>
      </c>
      <c r="F173" s="13" t="n">
        <v>0.04320644488007286</v>
      </c>
      <c r="G173" s="13" t="n">
        <v>-1.073357816160414</v>
      </c>
      <c r="H173" s="13" t="n">
        <v>-1.852981493836359</v>
      </c>
      <c r="I173" s="13" t="n">
        <v>-1.069040303632751</v>
      </c>
      <c r="J173" s="13" t="n">
        <v>-1.794390095129061</v>
      </c>
      <c r="K173" s="13" t="n">
        <v>0.84444917544515</v>
      </c>
      <c r="L173" s="13" t="n">
        <v>0.5848630434604374</v>
      </c>
      <c r="M173" s="13" t="n">
        <v>-0.8824329514993012</v>
      </c>
      <c r="N173" s="13" t="n">
        <v>-0.8811405898255575</v>
      </c>
      <c r="O173" s="13" t="n">
        <v>1.926662781122901</v>
      </c>
      <c r="P173" s="13" t="n">
        <v>2.384935024765067</v>
      </c>
      <c r="Q173" s="13" t="n">
        <v>-0.3000170927260348</v>
      </c>
      <c r="R173" s="13" t="n">
        <v>-0.6097141609777035</v>
      </c>
      <c r="S173" s="13" t="n">
        <v>-1.463686142367171</v>
      </c>
      <c r="T173" s="13" t="n">
        <v>0.7756387748143911</v>
      </c>
      <c r="U173" s="13" t="n">
        <v>0.1174550529911222</v>
      </c>
      <c r="V173" s="13" t="n">
        <v>-0.7028948008178881</v>
      </c>
      <c r="W173" s="13" t="n">
        <v>-1.037119512048934</v>
      </c>
      <c r="X173" s="13" t="n">
        <v>0.3895695948886724</v>
      </c>
    </row>
    <row r="174">
      <c r="A174" t="inlineStr">
        <is>
          <t>Altın</t>
        </is>
      </c>
      <c r="B174" t="inlineStr">
        <is>
          <t>TRO</t>
        </is>
      </c>
      <c r="C174" t="inlineStr">
        <is>
          <t>Trıve Portföy Altın Fonu</t>
        </is>
      </c>
      <c r="D174" s="13" t="n">
        <v>-0.3043552357662516</v>
      </c>
      <c r="E174" s="13" t="n">
        <v>-1.555989319749507</v>
      </c>
      <c r="F174" s="13" t="n">
        <v>-0.05620607731845473</v>
      </c>
      <c r="G174" s="13" t="n">
        <v>-0.967678917310244</v>
      </c>
      <c r="H174" s="13" t="n">
        <v>-1.752512718361066</v>
      </c>
      <c r="I174" s="13" t="n">
        <v>-1.140538545401115</v>
      </c>
      <c r="J174" s="13" t="n">
        <v>-1.560113839955113</v>
      </c>
      <c r="K174" s="13" t="n">
        <v>0.8497280317187217</v>
      </c>
      <c r="L174" s="13" t="n">
        <v>0.350312094646954</v>
      </c>
      <c r="M174" s="13" t="n">
        <v>-0.7309705616484252</v>
      </c>
      <c r="N174" s="13" t="n">
        <v>-0.7158599932883924</v>
      </c>
      <c r="O174" s="13" t="n">
        <v>1.789680718143205</v>
      </c>
      <c r="P174" s="13" t="n">
        <v>2.21098744497068</v>
      </c>
      <c r="Q174" s="13" t="n">
        <v>-0.3578687772182176</v>
      </c>
      <c r="R174" s="13" t="n">
        <v>-0.442065178398976</v>
      </c>
      <c r="S174" s="13" t="n">
        <v>-1.27076544418584</v>
      </c>
      <c r="T174" s="13" t="n">
        <v>0.9301518018451915</v>
      </c>
      <c r="U174" s="13" t="n">
        <v>0.03217997506907988</v>
      </c>
      <c r="V174" s="13" t="n">
        <v>-0.7039671732954611</v>
      </c>
      <c r="W174" s="13" t="n">
        <v>-0.8302770218076905</v>
      </c>
      <c r="X174" s="13" t="n">
        <v>0.3091384828320942</v>
      </c>
    </row>
    <row r="175">
      <c r="A175" t="inlineStr">
        <is>
          <t>Altın</t>
        </is>
      </c>
      <c r="B175" t="inlineStr">
        <is>
          <t>KCR</t>
        </is>
      </c>
      <c r="C175" t="inlineStr">
        <is>
          <t>AK Portföy Külçe Altın Katılım Fonu</t>
        </is>
      </c>
      <c r="R175" s="13" t="n">
        <v>-0.5536649162069529</v>
      </c>
      <c r="S175" s="13" t="n">
        <v>-1.398939028479773</v>
      </c>
      <c r="T175" s="13" t="n">
        <v>0.9600629388251791</v>
      </c>
      <c r="U175" s="13" t="n">
        <v>0.04434036353009319</v>
      </c>
      <c r="V175" s="13" t="n">
        <v>-0.7518293703314916</v>
      </c>
      <c r="W175" s="13" t="n">
        <v>-1.018821110545665</v>
      </c>
      <c r="X175" s="13" t="n">
        <v>0.5116599835641056</v>
      </c>
    </row>
    <row r="176">
      <c r="A176" t="inlineStr">
        <is>
          <t>Altın</t>
        </is>
      </c>
      <c r="B176" t="inlineStr">
        <is>
          <t>PKF</t>
        </is>
      </c>
      <c r="C176" t="inlineStr">
        <is>
          <t>Ata Portföy Altın Katılım Fonu</t>
        </is>
      </c>
      <c r="D176" s="13" t="n">
        <v>-0.4014779882344111</v>
      </c>
      <c r="E176" s="13" t="n">
        <v>-1.753782068397447</v>
      </c>
      <c r="F176" s="13" t="n">
        <v>0.0109461515950926</v>
      </c>
      <c r="G176" s="13" t="n">
        <v>-1.110479870720782</v>
      </c>
      <c r="H176" s="13" t="n">
        <v>-2.002182590952339</v>
      </c>
      <c r="I176" s="13" t="n">
        <v>-1.182248969395128</v>
      </c>
      <c r="J176" s="13" t="n">
        <v>-1.884063884301279</v>
      </c>
      <c r="K176" s="13" t="n">
        <v>0.9103608033309563</v>
      </c>
      <c r="L176" s="13" t="n">
        <v>0.5544151257596219</v>
      </c>
      <c r="M176" s="13" t="n">
        <v>-0.8906539433715444</v>
      </c>
      <c r="N176" s="13" t="n">
        <v>-0.9251836599286301</v>
      </c>
      <c r="O176" s="13" t="n">
        <v>2.021931969252933</v>
      </c>
      <c r="P176" s="13" t="n">
        <v>2.507903080341789</v>
      </c>
      <c r="Q176" s="13" t="n">
        <v>-0.3512461301134473</v>
      </c>
      <c r="R176" s="13" t="n">
        <v>-0.5414011941682895</v>
      </c>
      <c r="S176" s="13" t="n">
        <v>-1.414134157421265</v>
      </c>
      <c r="T176" s="13" t="n">
        <v>0.9646029877999673</v>
      </c>
      <c r="U176" s="13" t="n">
        <v>0.04682234425708032</v>
      </c>
      <c r="V176" s="13" t="n">
        <v>-0.752873505120244</v>
      </c>
      <c r="W176" s="13" t="n">
        <v>-1.018391089309445</v>
      </c>
      <c r="X176" s="13" t="n">
        <v>0.5179660331968705</v>
      </c>
    </row>
    <row r="177">
      <c r="A177" t="inlineStr">
        <is>
          <t>Altın</t>
        </is>
      </c>
      <c r="B177" t="inlineStr">
        <is>
          <t>PEA</t>
        </is>
      </c>
      <c r="C177" t="inlineStr">
        <is>
          <t>Perform Portföy Altın Fonu</t>
        </is>
      </c>
      <c r="D177" s="13" t="n">
        <v>-0.3952787663439983</v>
      </c>
      <c r="E177" s="13" t="n">
        <v>-1.700001896774717</v>
      </c>
      <c r="F177" s="13" t="n">
        <v>0.03994940218827736</v>
      </c>
      <c r="G177" s="13" t="n">
        <v>-1.143353938231029</v>
      </c>
      <c r="H177" s="13" t="n">
        <v>-1.948296893246537</v>
      </c>
      <c r="I177" s="13" t="n">
        <v>-1.127600944236806</v>
      </c>
      <c r="J177" s="13" t="n">
        <v>-1.890183316027649</v>
      </c>
      <c r="K177" s="13" t="n">
        <v>0.8818535106613234</v>
      </c>
      <c r="L177" s="13" t="n">
        <v>0.5966206059291546</v>
      </c>
      <c r="M177" s="13" t="n">
        <v>-0.945996732882437</v>
      </c>
      <c r="N177" s="13" t="n">
        <v>-0.9325839809296133</v>
      </c>
      <c r="O177" s="13" t="n">
        <v>2.022034561654751</v>
      </c>
      <c r="P177" s="13" t="n">
        <v>2.502574287929904</v>
      </c>
      <c r="Q177" s="13" t="n">
        <v>-0.5242465870350821</v>
      </c>
      <c r="R177" s="13" t="n">
        <v>-0.1392695353208406</v>
      </c>
      <c r="S177" s="13" t="n">
        <v>-1.378186956355709</v>
      </c>
      <c r="T177" s="13" t="n">
        <v>0.9687402727574623</v>
      </c>
      <c r="U177" s="13" t="n">
        <v>0.02699339989244987</v>
      </c>
      <c r="V177" s="13" t="n">
        <v>-0.7532517900421198</v>
      </c>
      <c r="W177" s="13" t="n">
        <v>-1.035484165739875</v>
      </c>
      <c r="X177" s="13" t="n">
        <v>0.5209072298680617</v>
      </c>
    </row>
    <row r="178">
      <c r="A178" t="inlineStr">
        <is>
          <t>Altın</t>
        </is>
      </c>
      <c r="B178" t="inlineStr">
        <is>
          <t>PAF</t>
        </is>
      </c>
      <c r="C178" t="inlineStr">
        <is>
          <t>Pardus Portföy Altın Fonu</t>
        </is>
      </c>
      <c r="D178" s="13" t="n">
        <v>-0.3555445306173133</v>
      </c>
      <c r="E178" s="13" t="n">
        <v>-1.687855407346317</v>
      </c>
      <c r="F178" s="13" t="n">
        <v>-0.194264591889437</v>
      </c>
      <c r="G178" s="13" t="n">
        <v>-0.909964387636597</v>
      </c>
      <c r="H178" s="13" t="n">
        <v>-1.830315791376169</v>
      </c>
      <c r="I178" s="13" t="n">
        <v>-1.295553565165675</v>
      </c>
      <c r="J178" s="13" t="n">
        <v>-1.720887187804165</v>
      </c>
      <c r="K178" s="13" t="n">
        <v>1.013660343124934</v>
      </c>
      <c r="L178" s="13" t="n">
        <v>0.4098062916084722</v>
      </c>
      <c r="M178" s="13" t="n">
        <v>-0.6028291492374827</v>
      </c>
      <c r="N178" s="13" t="n">
        <v>-0.74033239657042</v>
      </c>
      <c r="O178" s="13" t="n">
        <v>1.996920617229447</v>
      </c>
      <c r="P178" s="13" t="n">
        <v>2.40734152391413</v>
      </c>
      <c r="Q178" s="13" t="n">
        <v>-0.3334568022282491</v>
      </c>
      <c r="R178" s="13" t="n">
        <v>-0.391321338034778</v>
      </c>
      <c r="S178" s="13" t="n">
        <v>-1.396556511995317</v>
      </c>
      <c r="T178" s="13" t="n">
        <v>0.9911109160078313</v>
      </c>
      <c r="U178" s="13" t="n">
        <v>-0.0940365750850769</v>
      </c>
      <c r="V178" s="13" t="n">
        <v>-0.7660838387348101</v>
      </c>
      <c r="W178" s="13" t="n">
        <v>-0.8220174580291895</v>
      </c>
      <c r="X178" s="13" t="n">
        <v>0.2318409422324752</v>
      </c>
    </row>
    <row r="179">
      <c r="A179" t="inlineStr">
        <is>
          <t>Altın</t>
        </is>
      </c>
      <c r="B179" t="inlineStr">
        <is>
          <t>GGK</t>
        </is>
      </c>
      <c r="C179" t="inlineStr">
        <is>
          <t>Inveo Portföy Altın Fon</t>
        </is>
      </c>
      <c r="D179" s="13" t="n">
        <v>-0.3423061916235537</v>
      </c>
      <c r="E179" s="13" t="n">
        <v>-1.664586363578002</v>
      </c>
      <c r="F179" s="13" t="n">
        <v>-0.2961221605618736</v>
      </c>
      <c r="G179" s="13" t="n">
        <v>-0.8934879703090703</v>
      </c>
      <c r="H179" s="13" t="n">
        <v>-1.878004201757688</v>
      </c>
      <c r="I179" s="13" t="n">
        <v>-1.162667772708936</v>
      </c>
      <c r="J179" s="13" t="n">
        <v>-1.814909177747992</v>
      </c>
      <c r="K179" s="13" t="n">
        <v>0.8919527557273987</v>
      </c>
      <c r="L179" s="13" t="n">
        <v>0.5724003972264358</v>
      </c>
      <c r="M179" s="13" t="n">
        <v>-0.8704422618913132</v>
      </c>
      <c r="N179" s="13" t="n">
        <v>-0.9055276543815105</v>
      </c>
      <c r="O179" s="13" t="n">
        <v>1.969578335869637</v>
      </c>
      <c r="P179" s="13" t="n">
        <v>2.435115108706332</v>
      </c>
      <c r="Q179" s="13" t="n">
        <v>-0.331933103317561</v>
      </c>
      <c r="R179" s="13" t="n">
        <v>-0.4916920478992282</v>
      </c>
      <c r="S179" s="13" t="n">
        <v>-1.353714826639096</v>
      </c>
      <c r="T179" s="13" t="n">
        <v>0.8912666780753975</v>
      </c>
      <c r="U179" s="13" t="n">
        <v>0.04170616705649888</v>
      </c>
      <c r="V179" s="13" t="n">
        <v>-0.766151300856921</v>
      </c>
      <c r="W179" s="13" t="n">
        <v>-0.9377188054446317</v>
      </c>
      <c r="X179" s="13" t="n">
        <v>0.3880801438596704</v>
      </c>
    </row>
    <row r="180">
      <c r="A180" t="inlineStr">
        <is>
          <t>Altın</t>
        </is>
      </c>
      <c r="B180" t="inlineStr">
        <is>
          <t>KZU</t>
        </is>
      </c>
      <c r="C180" t="inlineStr">
        <is>
          <t>Kuveyt Türk Portföy İkinci Altın Katılım Fonu</t>
        </is>
      </c>
      <c r="D180" s="13" t="n">
        <v>-0.355783651113839</v>
      </c>
      <c r="E180" s="13" t="n">
        <v>-1.662285171505795</v>
      </c>
      <c r="F180" s="13" t="n">
        <v>-1.705786110272556</v>
      </c>
      <c r="G180" s="13" t="n">
        <v>0.5518250384231482</v>
      </c>
      <c r="H180" s="13" t="n">
        <v>-1.939666207332558</v>
      </c>
      <c r="I180" s="13" t="n">
        <v>-1.292475617951017</v>
      </c>
      <c r="J180" s="13" t="n">
        <v>-1.54270474255902</v>
      </c>
      <c r="K180" s="13" t="n">
        <v>1.029182839384135</v>
      </c>
      <c r="L180" s="13" t="n">
        <v>0.2468479258623812</v>
      </c>
      <c r="M180" s="13" t="n">
        <v>-0.662698593922062</v>
      </c>
      <c r="N180" s="13" t="n">
        <v>-0.5508867916730331</v>
      </c>
      <c r="O180" s="13" t="n">
        <v>1.863302412151069</v>
      </c>
      <c r="P180" s="13" t="n">
        <v>2.31787806248791</v>
      </c>
      <c r="Q180" s="13" t="n">
        <v>-0.3713639797100599</v>
      </c>
      <c r="R180" s="13" t="n">
        <v>-0.4690269108124867</v>
      </c>
      <c r="S180" s="13" t="n">
        <v>-1.52178421314918</v>
      </c>
      <c r="T180" s="13" t="n">
        <v>1.093253430266716</v>
      </c>
      <c r="U180" s="13" t="n">
        <v>-0.03689634984819223</v>
      </c>
      <c r="V180" s="13" t="n">
        <v>-0.7663925885873168</v>
      </c>
      <c r="W180" s="13" t="n">
        <v>-0.9802925825885267</v>
      </c>
      <c r="X180" s="13" t="n">
        <v>-0.05391921543153044</v>
      </c>
    </row>
    <row r="181">
      <c r="A181" t="inlineStr">
        <is>
          <t>Altın</t>
        </is>
      </c>
      <c r="B181" t="inlineStr">
        <is>
          <t>LKF</t>
        </is>
      </c>
      <c r="C181" t="inlineStr">
        <is>
          <t>İŞ Portföy Altın Katılım Fonu</t>
        </is>
      </c>
      <c r="D181" s="13" t="n">
        <v>-0.104797218865893</v>
      </c>
      <c r="E181" s="13" t="n">
        <v>-1.761727015525061</v>
      </c>
      <c r="F181" s="13" t="n">
        <v>0.001714262665375443</v>
      </c>
      <c r="G181" s="13" t="n">
        <v>-1.05405179202922</v>
      </c>
      <c r="H181" s="13" t="n">
        <v>-1.855603703054487</v>
      </c>
      <c r="I181" s="13" t="n">
        <v>-1.165688510086849</v>
      </c>
      <c r="J181" s="13" t="n">
        <v>-1.720301320641726</v>
      </c>
      <c r="K181" s="13" t="n">
        <v>0.8756344635014957</v>
      </c>
      <c r="L181" s="13" t="n">
        <v>0.4649082741379873</v>
      </c>
      <c r="M181" s="13" t="n">
        <v>-0.8128571940920648</v>
      </c>
      <c r="N181" s="13" t="n">
        <v>-0.8048426685724253</v>
      </c>
      <c r="O181" s="13" t="n">
        <v>1.885198447584524</v>
      </c>
      <c r="P181" s="13" t="n">
        <v>2.265437892760791</v>
      </c>
      <c r="Q181" s="13" t="n">
        <v>-0.3082770748251029</v>
      </c>
      <c r="R181" s="13" t="n">
        <v>-0.4603362518927012</v>
      </c>
      <c r="S181" s="13" t="n">
        <v>-1.326839465489826</v>
      </c>
      <c r="T181" s="13" t="n">
        <v>0.9433575626759616</v>
      </c>
      <c r="U181" s="13" t="n">
        <v>-0.04278673881767947</v>
      </c>
      <c r="V181" s="13" t="n">
        <v>-0.7685121442415732</v>
      </c>
      <c r="W181" s="13" t="n">
        <v>-0.8128775761239604</v>
      </c>
      <c r="X181" s="13" t="n">
        <v>0.340831052132029</v>
      </c>
    </row>
    <row r="182">
      <c r="A182" t="inlineStr">
        <is>
          <t>Altın</t>
        </is>
      </c>
      <c r="B182" t="inlineStr">
        <is>
          <t>GOL</t>
        </is>
      </c>
      <c r="C182" t="inlineStr">
        <is>
          <t>Garanti Portföy Altın Katılım Fonu</t>
        </is>
      </c>
      <c r="D182" s="13" t="n">
        <v>-0.4059826872368499</v>
      </c>
      <c r="E182" s="13" t="n">
        <v>-1.741600917478348</v>
      </c>
      <c r="F182" s="13" t="n">
        <v>0.04505805427665877</v>
      </c>
      <c r="G182" s="13" t="n">
        <v>-1.17247557933835</v>
      </c>
      <c r="H182" s="13" t="n">
        <v>-2.012237955801122</v>
      </c>
      <c r="I182" s="13" t="n">
        <v>-1.160345932638318</v>
      </c>
      <c r="J182" s="13" t="n">
        <v>-1.950396739467586</v>
      </c>
      <c r="K182" s="13" t="n">
        <v>0.9104156420063791</v>
      </c>
      <c r="L182" s="13" t="n">
        <v>0.6087368345921274</v>
      </c>
      <c r="M182" s="13" t="n">
        <v>-0.9713703836095711</v>
      </c>
      <c r="N182" s="13" t="n">
        <v>-0.9638002011429836</v>
      </c>
      <c r="O182" s="13" t="n">
        <v>2.090671846088066</v>
      </c>
      <c r="P182" s="13" t="n">
        <v>2.573709455737916</v>
      </c>
      <c r="Q182" s="13" t="n">
        <v>-0.3498877405335055</v>
      </c>
      <c r="R182" s="13" t="n">
        <v>-0.5589596112904105</v>
      </c>
      <c r="S182" s="13" t="n">
        <v>-1.421987855988016</v>
      </c>
      <c r="T182" s="13" t="n">
        <v>0.9892232487779262</v>
      </c>
      <c r="U182" s="13" t="n">
        <v>0.03868615623636718</v>
      </c>
      <c r="V182" s="13" t="n">
        <v>-0.7814288542807524</v>
      </c>
      <c r="W182" s="13" t="n">
        <v>-1.061543900156581</v>
      </c>
      <c r="X182" s="13" t="n">
        <v>0.5299667790838791</v>
      </c>
    </row>
    <row r="183">
      <c r="A183" t="inlineStr">
        <is>
          <t>Altın</t>
        </is>
      </c>
      <c r="B183" t="inlineStr">
        <is>
          <t>VLT</t>
        </is>
      </c>
      <c r="C183" t="inlineStr">
        <is>
          <t>Vakıf Katılım Portföy Altın Katılım Fonu</t>
        </is>
      </c>
      <c r="D183" s="13" t="n">
        <v>-0.3596539217474159</v>
      </c>
      <c r="E183" s="13" t="n">
        <v>-1.587477504041646</v>
      </c>
      <c r="F183" s="13" t="n">
        <v>0.04587264967244042</v>
      </c>
      <c r="G183" s="13" t="n">
        <v>-1.096514554273753</v>
      </c>
      <c r="H183" s="13" t="n">
        <v>-1.84677615552723</v>
      </c>
      <c r="I183" s="13" t="n">
        <v>-0.9089013612244679</v>
      </c>
      <c r="J183" s="13" t="n">
        <v>-1.925835111842078</v>
      </c>
      <c r="K183" s="13" t="n">
        <v>0.925726257808801</v>
      </c>
      <c r="L183" s="13" t="n">
        <v>0.5613821975900324</v>
      </c>
      <c r="M183" s="13" t="n">
        <v>-0.9324989807870221</v>
      </c>
      <c r="N183" s="13" t="n">
        <v>-0.9236396890717979</v>
      </c>
      <c r="O183" s="13" t="n">
        <v>2.026688467522875</v>
      </c>
      <c r="P183" s="13" t="n">
        <v>2.511793214862679</v>
      </c>
      <c r="Q183" s="13" t="n">
        <v>-0.3622526060544806</v>
      </c>
      <c r="R183" s="13" t="n">
        <v>-0.5414530554401553</v>
      </c>
      <c r="S183" s="13" t="n">
        <v>-1.384802791233186</v>
      </c>
      <c r="T183" s="13" t="n">
        <v>0.9764808203169828</v>
      </c>
      <c r="U183" s="13" t="n">
        <v>0.03630517641548536</v>
      </c>
      <c r="V183" s="13" t="n">
        <v>-0.7828855013989999</v>
      </c>
      <c r="W183" s="13" t="n">
        <v>-0.979141749218293</v>
      </c>
      <c r="X183" s="13" t="n">
        <v>0.4217233568442502</v>
      </c>
    </row>
    <row r="184">
      <c r="A184" t="inlineStr">
        <is>
          <t>Altın</t>
        </is>
      </c>
      <c r="B184" t="inlineStr">
        <is>
          <t>ICA</t>
        </is>
      </c>
      <c r="C184" t="inlineStr">
        <is>
          <t>Icbc Turkey Portföy Altın Fonu</t>
        </is>
      </c>
      <c r="D184" s="13" t="n">
        <v>-0.3929071968463149</v>
      </c>
      <c r="E184" s="13" t="n">
        <v>-1.730304242048275</v>
      </c>
      <c r="F184" s="13" t="n">
        <v>0.02433895030671263</v>
      </c>
      <c r="G184" s="13" t="n">
        <v>-1.16817544113117</v>
      </c>
      <c r="H184" s="13" t="n">
        <v>-2.010044451796456</v>
      </c>
      <c r="I184" s="13" t="n">
        <v>-1.121429651047523</v>
      </c>
      <c r="J184" s="13" t="n">
        <v>-1.886740013419996</v>
      </c>
      <c r="K184" s="13" t="n">
        <v>0.8830039941564616</v>
      </c>
      <c r="L184" s="13" t="n">
        <v>0.5980914024862338</v>
      </c>
      <c r="M184" s="13" t="n">
        <v>-0.9338713793543452</v>
      </c>
      <c r="N184" s="13" t="n">
        <v>-0.9308007502757176</v>
      </c>
      <c r="O184" s="13" t="n">
        <v>2.047702530578421</v>
      </c>
      <c r="P184" s="13" t="n">
        <v>2.533548062165192</v>
      </c>
      <c r="Q184" s="13" t="n">
        <v>-0.3424803811550303</v>
      </c>
      <c r="R184" s="13" t="n">
        <v>-0.5495790002766565</v>
      </c>
      <c r="S184" s="13" t="n">
        <v>-1.412589303029876</v>
      </c>
      <c r="T184" s="13" t="n">
        <v>0.9905219862101911</v>
      </c>
      <c r="U184" s="13" t="n">
        <v>0.03561204513482519</v>
      </c>
      <c r="V184" s="13" t="n">
        <v>-0.783579447560756</v>
      </c>
      <c r="W184" s="13" t="n">
        <v>-1.066900319554687</v>
      </c>
      <c r="X184" s="13" t="n">
        <v>0.5217704931171907</v>
      </c>
    </row>
    <row r="185">
      <c r="A185" t="inlineStr">
        <is>
          <t>Altın</t>
        </is>
      </c>
      <c r="B185" t="inlineStr">
        <is>
          <t>KAN</t>
        </is>
      </c>
      <c r="C185" t="inlineStr">
        <is>
          <t>Kuveyt Türk Portföy Altın Katılım Serbest Fon</t>
        </is>
      </c>
      <c r="D185" s="13" t="n">
        <v>-0.4020555766796607</v>
      </c>
      <c r="E185" s="13" t="n">
        <v>-1.754972451462744</v>
      </c>
      <c r="F185" s="13" t="n">
        <v>-1.790798933904192</v>
      </c>
      <c r="G185" s="13" t="n">
        <v>0.6898799497681241</v>
      </c>
      <c r="H185" s="13" t="n">
        <v>-2.014978305804738</v>
      </c>
      <c r="I185" s="13" t="n">
        <v>-1.163899688468883</v>
      </c>
      <c r="J185" s="13" t="n">
        <v>-1.956677172089905</v>
      </c>
      <c r="K185" s="13" t="n">
        <v>0.9475527833969322</v>
      </c>
      <c r="L185" s="13" t="n">
        <v>0.619849799374439</v>
      </c>
      <c r="M185" s="13" t="n">
        <v>-0.9618791962473838</v>
      </c>
      <c r="N185" s="13" t="n">
        <v>-0.961556326766777</v>
      </c>
      <c r="O185" s="13" t="n">
        <v>2.108718229460149</v>
      </c>
      <c r="P185" s="13" t="n">
        <v>2.62927746502537</v>
      </c>
      <c r="Q185" s="13" t="n">
        <v>-0.3444102053927089</v>
      </c>
      <c r="R185" s="13" t="n">
        <v>-0.5545520328041897</v>
      </c>
      <c r="S185" s="13" t="n">
        <v>-1.426243255242099</v>
      </c>
      <c r="T185" s="13" t="n">
        <v>1.015679993849639</v>
      </c>
      <c r="U185" s="13" t="n">
        <v>0.06776654625375578</v>
      </c>
      <c r="V185" s="13" t="n">
        <v>-0.7886575064400603</v>
      </c>
      <c r="W185" s="13" t="n">
        <v>-1.05863743879302</v>
      </c>
      <c r="X185" s="13" t="n">
        <v>0.546136836124389</v>
      </c>
    </row>
    <row r="186">
      <c r="A186" t="inlineStr">
        <is>
          <t>Altın</t>
        </is>
      </c>
      <c r="B186" t="inlineStr">
        <is>
          <t>UP1</t>
        </is>
      </c>
      <c r="C186" t="inlineStr">
        <is>
          <t>Ünlü Portföy Altın Fonu</t>
        </is>
      </c>
      <c r="D186" s="13" t="n">
        <v>-0.05494576508332516</v>
      </c>
      <c r="E186" s="13" t="n">
        <v>-1.365148217939605</v>
      </c>
      <c r="F186" s="13" t="n">
        <v>-0.6089874178570431</v>
      </c>
      <c r="G186" s="13" t="n">
        <v>-0.694976098200073</v>
      </c>
      <c r="H186" s="13" t="n">
        <v>-1.50230123748778</v>
      </c>
      <c r="I186" s="13" t="n">
        <v>-1.387555192551937</v>
      </c>
      <c r="J186" s="13" t="n">
        <v>-1.261276235239994</v>
      </c>
      <c r="K186" s="13" t="n">
        <v>0.6399722994149037</v>
      </c>
      <c r="L186" s="13" t="n">
        <v>0.3222829190935084</v>
      </c>
      <c r="M186" s="13" t="n">
        <v>-0.4737636953638602</v>
      </c>
      <c r="N186" s="13" t="n">
        <v>-0.4285371722554721</v>
      </c>
      <c r="O186" s="13" t="n">
        <v>1.348094544442646</v>
      </c>
      <c r="P186" s="13" t="n">
        <v>1.971691885275617</v>
      </c>
      <c r="Q186" s="13" t="n">
        <v>-0.106073365608117</v>
      </c>
      <c r="R186" s="13" t="n">
        <v>-0.1713553593503003</v>
      </c>
      <c r="S186" s="13" t="n">
        <v>-1.356199727131047</v>
      </c>
      <c r="T186" s="13" t="n">
        <v>0.8656479109619308</v>
      </c>
      <c r="U186" s="13" t="n">
        <v>0.007442003428859145</v>
      </c>
      <c r="V186" s="13" t="n">
        <v>-0.790801122239837</v>
      </c>
      <c r="W186" s="13" t="n">
        <v>-0.4288519223241694</v>
      </c>
      <c r="X186" s="13" t="n">
        <v>-0.3029696243782798</v>
      </c>
    </row>
    <row r="187">
      <c r="A187" t="inlineStr">
        <is>
          <t>Altın</t>
        </is>
      </c>
      <c r="B187" t="inlineStr">
        <is>
          <t>YKT</t>
        </is>
      </c>
      <c r="C187" t="inlineStr">
        <is>
          <t>Yapı Kredi Portföy Altın Fonu</t>
        </is>
      </c>
      <c r="D187" s="13" t="n">
        <v>-0.2262593378484445</v>
      </c>
      <c r="E187" s="13" t="n">
        <v>-1.683779478376801</v>
      </c>
      <c r="F187" s="13" t="n">
        <v>-1.777806751374922</v>
      </c>
      <c r="G187" s="13" t="n">
        <v>0.1129505805008257</v>
      </c>
      <c r="H187" s="13" t="n">
        <v>-1.929565088468532</v>
      </c>
      <c r="I187" s="13" t="n">
        <v>-1.334056039203113</v>
      </c>
      <c r="J187" s="13" t="n">
        <v>-1.708740524817653</v>
      </c>
      <c r="K187" s="13" t="n">
        <v>0.9958962686207773</v>
      </c>
      <c r="L187" s="13" t="n">
        <v>0.5178843914387832</v>
      </c>
      <c r="M187" s="13" t="n">
        <v>-0.7517886502634852</v>
      </c>
      <c r="N187" s="13" t="n">
        <v>-0.7483009455333978</v>
      </c>
      <c r="O187" s="13" t="n">
        <v>2.009880210683201</v>
      </c>
      <c r="P187" s="13" t="n">
        <v>2.480771166004692</v>
      </c>
      <c r="Q187" s="13" t="n">
        <v>-0.399573755665994</v>
      </c>
      <c r="R187" s="13" t="n">
        <v>-0.3670962033050729</v>
      </c>
      <c r="S187" s="13" t="n">
        <v>-1.423585363201796</v>
      </c>
      <c r="T187" s="13" t="n">
        <v>0.6683487955345901</v>
      </c>
      <c r="U187" s="13" t="n">
        <v>0.1119035044632177</v>
      </c>
      <c r="V187" s="13" t="n">
        <v>-0.7946228308346237</v>
      </c>
      <c r="W187" s="13" t="n">
        <v>-0.9389479320833893</v>
      </c>
      <c r="X187" s="13" t="n">
        <v>0.1268802108163491</v>
      </c>
    </row>
    <row r="188">
      <c r="A188" t="inlineStr">
        <is>
          <t>Altın</t>
        </is>
      </c>
      <c r="B188" t="inlineStr">
        <is>
          <t>KZL</t>
        </is>
      </c>
      <c r="C188" t="inlineStr">
        <is>
          <t>Kuveyt Türk Portföy Altın Katılım Fonu</t>
        </is>
      </c>
      <c r="D188" s="13" t="n">
        <v>-0.4062967855989363</v>
      </c>
      <c r="E188" s="13" t="n">
        <v>-1.760185338928788</v>
      </c>
      <c r="F188" s="13" t="n">
        <v>-1.804026096067701</v>
      </c>
      <c r="G188" s="13" t="n">
        <v>0.685532245180509</v>
      </c>
      <c r="H188" s="13" t="n">
        <v>-2.021033107714398</v>
      </c>
      <c r="I188" s="13" t="n">
        <v>-1.168768071582704</v>
      </c>
      <c r="J188" s="13" t="n">
        <v>-1.963016451137811</v>
      </c>
      <c r="K188" s="13" t="n">
        <v>0.9364821772140264</v>
      </c>
      <c r="L188" s="13" t="n">
        <v>0.6159973196179891</v>
      </c>
      <c r="M188" s="13" t="n">
        <v>-0.9666123409610927</v>
      </c>
      <c r="N188" s="13" t="n">
        <v>-0.965998771230947</v>
      </c>
      <c r="O188" s="13" t="n">
        <v>2.107025661569417</v>
      </c>
      <c r="P188" s="13" t="n">
        <v>2.615334604224673</v>
      </c>
      <c r="Q188" s="13" t="n">
        <v>-0.3475838297884337</v>
      </c>
      <c r="R188" s="13" t="n">
        <v>-0.5589969518282722</v>
      </c>
      <c r="S188" s="13" t="n">
        <v>-1.429637393788896</v>
      </c>
      <c r="T188" s="13" t="n">
        <v>1.011933873487125</v>
      </c>
      <c r="U188" s="13" t="n">
        <v>0.05494492518456351</v>
      </c>
      <c r="V188" s="13" t="n">
        <v>-0.7950682590139091</v>
      </c>
      <c r="W188" s="13" t="n">
        <v>-1.066236350747929</v>
      </c>
      <c r="X188" s="13" t="n">
        <v>0.5428259117911782</v>
      </c>
    </row>
    <row r="189">
      <c r="A189" t="inlineStr">
        <is>
          <t>Altın</t>
        </is>
      </c>
      <c r="B189" t="inlineStr">
        <is>
          <t>TTA</t>
        </is>
      </c>
      <c r="C189" t="inlineStr">
        <is>
          <t>İŞ Portföy Altın Fonu</t>
        </is>
      </c>
      <c r="D189" s="13" t="n">
        <v>-0.2934016572033293</v>
      </c>
      <c r="E189" s="13" t="n">
        <v>-2.105038323461528</v>
      </c>
      <c r="F189" s="13" t="n">
        <v>-0.3769575863972974</v>
      </c>
      <c r="G189" s="13" t="n">
        <v>-0.8881745754973802</v>
      </c>
      <c r="H189" s="13" t="n">
        <v>-1.809095622168766</v>
      </c>
      <c r="I189" s="13" t="n">
        <v>-1.389740020981134</v>
      </c>
      <c r="J189" s="13" t="n">
        <v>-1.284860103153951</v>
      </c>
      <c r="K189" s="13" t="n">
        <v>0.9937490552448525</v>
      </c>
      <c r="L189" s="13" t="n">
        <v>0.05599547810100081</v>
      </c>
      <c r="M189" s="13" t="n">
        <v>-0.376438040832705</v>
      </c>
      <c r="N189" s="13" t="n">
        <v>-0.3633749174147827</v>
      </c>
      <c r="O189" s="13" t="n">
        <v>1.616595009086463</v>
      </c>
      <c r="P189" s="13" t="n">
        <v>1.990253741212933</v>
      </c>
      <c r="Q189" s="13" t="n">
        <v>-0.3122059704045776</v>
      </c>
      <c r="R189" s="13" t="n">
        <v>-0.2666781071689162</v>
      </c>
      <c r="S189" s="13" t="n">
        <v>-1.458434780813223</v>
      </c>
      <c r="T189" s="13" t="n">
        <v>1.039122045766083</v>
      </c>
      <c r="U189" s="13" t="n">
        <v>-0.09729610158887292</v>
      </c>
      <c r="V189" s="13" t="n">
        <v>-0.8175296626954931</v>
      </c>
      <c r="W189" s="13" t="n">
        <v>-0.6470663129603316</v>
      </c>
      <c r="X189" s="13" t="n">
        <v>-0.4655514731052746</v>
      </c>
    </row>
    <row r="190">
      <c r="A190" t="inlineStr">
        <is>
          <t>Altın</t>
        </is>
      </c>
      <c r="B190" t="inlineStr">
        <is>
          <t>RJG</t>
        </is>
      </c>
      <c r="C190" t="inlineStr">
        <is>
          <t>Re-pıe Portföy Altın Katılım Fonu</t>
        </is>
      </c>
      <c r="D190" s="13" t="n">
        <v>-0.3503821822005149</v>
      </c>
      <c r="E190" s="13" t="n">
        <v>-1.573877762260301</v>
      </c>
      <c r="F190" s="13" t="n">
        <v>-0.904380774095892</v>
      </c>
      <c r="G190" s="13" t="n">
        <v>-0.4778887041026691</v>
      </c>
      <c r="H190" s="13" t="n">
        <v>-1.833046235282165</v>
      </c>
      <c r="I190" s="13" t="n">
        <v>-1.087016990906908</v>
      </c>
      <c r="J190" s="13" t="n">
        <v>-1.905493956577853</v>
      </c>
      <c r="K190" s="13" t="n">
        <v>0.852938899436384</v>
      </c>
      <c r="L190" s="13" t="n">
        <v>0.7219708732064012</v>
      </c>
      <c r="M190" s="13" t="n">
        <v>-0.9480531904716316</v>
      </c>
      <c r="N190" s="13" t="n">
        <v>-1.009571272660548</v>
      </c>
      <c r="O190" s="13" t="n">
        <v>2.133887253558031</v>
      </c>
      <c r="P190" s="13" t="n">
        <v>2.507050003439026</v>
      </c>
      <c r="Q190" s="13" t="n">
        <v>-0.3715570168081328</v>
      </c>
      <c r="R190" s="13" t="n">
        <v>-0.4397924042660262</v>
      </c>
      <c r="S190" s="13" t="n">
        <v>-1.330623314720225</v>
      </c>
      <c r="T190" s="13" t="n">
        <v>0.7550620484592985</v>
      </c>
      <c r="U190" s="13" t="n">
        <v>0.1486269334810997</v>
      </c>
      <c r="V190" s="13" t="n">
        <v>-0.8485710933472279</v>
      </c>
      <c r="W190" s="13" t="n">
        <v>-1.078317786184069</v>
      </c>
      <c r="X190" s="13" t="n">
        <v>0.4926972536850371</v>
      </c>
    </row>
    <row r="191">
      <c r="A191" t="inlineStr">
        <is>
          <t>Altın</t>
        </is>
      </c>
      <c r="B191" t="inlineStr">
        <is>
          <t>KMF</t>
        </is>
      </c>
      <c r="C191" t="inlineStr">
        <is>
          <t>Azimut Portföy Altın Katılım Fonu</t>
        </is>
      </c>
      <c r="D191" s="13" t="n">
        <v>-0.07645382849691407</v>
      </c>
      <c r="E191" s="13" t="n">
        <v>-1.043553032158417</v>
      </c>
      <c r="F191" s="13" t="n">
        <v>-1.35410955418922</v>
      </c>
      <c r="G191" s="13" t="n">
        <v>-0.2286709826839428</v>
      </c>
      <c r="H191" s="13" t="n">
        <v>-1.353603168839257</v>
      </c>
      <c r="I191" s="13" t="n">
        <v>-1.308819990423571</v>
      </c>
      <c r="J191" s="13" t="n">
        <v>-1.480118653334939</v>
      </c>
      <c r="K191" s="13" t="n">
        <v>0.465859954319825</v>
      </c>
      <c r="L191" s="13" t="n">
        <v>0.4794781266478809</v>
      </c>
      <c r="M191" s="13" t="n">
        <v>-0.4790858474571391</v>
      </c>
      <c r="N191" s="13" t="n">
        <v>-0.7652176011160083</v>
      </c>
      <c r="O191" s="13" t="n">
        <v>1.30261187822327</v>
      </c>
      <c r="P191" s="13" t="n">
        <v>2.239489444915344</v>
      </c>
      <c r="Q191" s="13" t="n">
        <v>-0.007876817691510052</v>
      </c>
      <c r="R191" s="13" t="n">
        <v>-0.2432738262385548</v>
      </c>
      <c r="S191" s="13" t="n">
        <v>-1.255443268308298</v>
      </c>
      <c r="T191" s="13" t="n">
        <v>0.4392103684380588</v>
      </c>
      <c r="U191" s="13" t="n">
        <v>0.2525695651332205</v>
      </c>
      <c r="V191" s="13" t="n">
        <v>-0.8508236806673453</v>
      </c>
      <c r="W191" s="13" t="n">
        <v>-0.5470789108556029</v>
      </c>
      <c r="X191" s="13" t="n">
        <v>0.17807751457104</v>
      </c>
    </row>
    <row r="192">
      <c r="A192" t="inlineStr">
        <is>
          <t>Altın</t>
        </is>
      </c>
      <c r="B192" t="inlineStr">
        <is>
          <t>OJK</t>
        </is>
      </c>
      <c r="C192" t="inlineStr">
        <is>
          <t>Qnb Portföy Altın Fonu</t>
        </is>
      </c>
      <c r="D192" s="13" t="n">
        <v>-0.3348614397102767</v>
      </c>
      <c r="E192" s="13" t="n">
        <v>-1.486183347288383</v>
      </c>
      <c r="F192" s="13" t="n">
        <v>-1.12313584606667</v>
      </c>
      <c r="G192" s="13" t="n">
        <v>-0.3152617603931374</v>
      </c>
      <c r="H192" s="13" t="n">
        <v>-1.786760861830083</v>
      </c>
      <c r="I192" s="13" t="n">
        <v>-0.9955060751655864</v>
      </c>
      <c r="J192" s="13" t="n">
        <v>-1.916584812353284</v>
      </c>
      <c r="K192" s="13" t="n">
        <v>0.8077758576647165</v>
      </c>
      <c r="L192" s="13" t="n">
        <v>0.8105823287891667</v>
      </c>
      <c r="M192" s="13" t="n">
        <v>-0.8860774862698095</v>
      </c>
      <c r="N192" s="13" t="n">
        <v>-1.032184841738526</v>
      </c>
      <c r="O192" s="13" t="n">
        <v>2.082295399968537</v>
      </c>
      <c r="P192" s="13" t="n">
        <v>2.54058101743182</v>
      </c>
      <c r="Q192" s="13" t="n">
        <v>-0.348260205055495</v>
      </c>
      <c r="R192" s="13" t="n">
        <v>-0.3913218857630629</v>
      </c>
      <c r="S192" s="13" t="n">
        <v>-1.300451224265176</v>
      </c>
      <c r="T192" s="13" t="n">
        <v>0.6777376428522386</v>
      </c>
      <c r="U192" s="13" t="n">
        <v>0.1436848181412431</v>
      </c>
      <c r="V192" s="13" t="n">
        <v>-0.8527023054783478</v>
      </c>
      <c r="W192" s="13" t="n">
        <v>-1.004960596851079</v>
      </c>
      <c r="X192" s="13" t="n">
        <v>0.447882326782767</v>
      </c>
    </row>
    <row r="193">
      <c r="A193" t="inlineStr">
        <is>
          <t>Altın</t>
        </is>
      </c>
      <c r="B193" t="inlineStr">
        <is>
          <t>AFO</t>
        </is>
      </c>
      <c r="C193" t="inlineStr">
        <is>
          <t>AK Portföy Altın Fonu</t>
        </is>
      </c>
      <c r="D193" s="13" t="n">
        <v>-0.3417688474442127</v>
      </c>
      <c r="E193" s="13" t="n">
        <v>-1.617076778500748</v>
      </c>
      <c r="F193" s="13" t="n">
        <v>-0.9743109625784618</v>
      </c>
      <c r="G193" s="13" t="n">
        <v>-0.5478772250780417</v>
      </c>
      <c r="H193" s="13" t="n">
        <v>-1.851159551903059</v>
      </c>
      <c r="I193" s="13" t="n">
        <v>-1.18444616454737</v>
      </c>
      <c r="J193" s="13" t="n">
        <v>-1.96732701931428</v>
      </c>
      <c r="K193" s="13" t="n">
        <v>0.8062161756243302</v>
      </c>
      <c r="L193" s="13" t="n">
        <v>0.7237673063418271</v>
      </c>
      <c r="M193" s="13" t="n">
        <v>-0.8978134701936646</v>
      </c>
      <c r="N193" s="13" t="n">
        <v>-1.035499981552346</v>
      </c>
      <c r="O193" s="13" t="n">
        <v>2.034120901700098</v>
      </c>
      <c r="P193" s="13" t="n">
        <v>2.626924271438336</v>
      </c>
      <c r="Q193" s="13" t="n">
        <v>-0.3014914358954512</v>
      </c>
      <c r="R193" s="13" t="n">
        <v>-0.4420799753272808</v>
      </c>
      <c r="S193" s="13" t="n">
        <v>-1.347699446393236</v>
      </c>
      <c r="T193" s="13" t="n">
        <v>0.7413950821013149</v>
      </c>
      <c r="U193" s="13" t="n">
        <v>0.1471549630349012</v>
      </c>
      <c r="V193" s="13" t="n">
        <v>-0.8595178869652886</v>
      </c>
      <c r="W193" s="13" t="n">
        <v>-1.077639800301222</v>
      </c>
      <c r="X193" s="13" t="n">
        <v>0.4124007519757722</v>
      </c>
    </row>
    <row r="194">
      <c r="A194" t="inlineStr">
        <is>
          <t>Altın</t>
        </is>
      </c>
      <c r="B194" t="inlineStr">
        <is>
          <t>DBA</t>
        </is>
      </c>
      <c r="C194" t="inlineStr">
        <is>
          <t>Deniz Portföy Altın Fonu</t>
        </is>
      </c>
      <c r="D194" s="13" t="n">
        <v>-0.3431579092786574</v>
      </c>
      <c r="E194" s="13" t="n">
        <v>-1.518753612862012</v>
      </c>
      <c r="F194" s="13" t="n">
        <v>-1.312453812858505</v>
      </c>
      <c r="G194" s="13" t="n">
        <v>-0.1995432897685112</v>
      </c>
      <c r="H194" s="13" t="n">
        <v>-1.785474387667907</v>
      </c>
      <c r="I194" s="13" t="n">
        <v>-1.068088456350258</v>
      </c>
      <c r="J194" s="13" t="n">
        <v>-1.915074815883633</v>
      </c>
      <c r="K194" s="13" t="n">
        <v>0.832572291478284</v>
      </c>
      <c r="L194" s="13" t="n">
        <v>0.7849482674773034</v>
      </c>
      <c r="M194" s="13" t="n">
        <v>-0.8903920587770897</v>
      </c>
      <c r="N194" s="13" t="n">
        <v>-1.045343894468065</v>
      </c>
      <c r="O194" s="13" t="n">
        <v>2.047022075639759</v>
      </c>
      <c r="P194" s="13" t="n">
        <v>2.537048695941935</v>
      </c>
      <c r="Q194" s="13" t="n">
        <v>-0.369120954336577</v>
      </c>
      <c r="R194" s="13" t="n">
        <v>-0.415518662257941</v>
      </c>
      <c r="S194" s="13" t="n">
        <v>-1.285091088276635</v>
      </c>
      <c r="T194" s="13" t="n">
        <v>0.6991395093103536</v>
      </c>
      <c r="U194" s="13" t="n">
        <v>0.1350080552862343</v>
      </c>
      <c r="V194" s="13" t="n">
        <v>-0.862828347245459</v>
      </c>
      <c r="W194" s="13" t="n">
        <v>-1.000168897831499</v>
      </c>
      <c r="X194" s="13" t="n">
        <v>0.4097466899084079</v>
      </c>
    </row>
    <row r="195">
      <c r="A195" t="inlineStr">
        <is>
          <t>Altın</t>
        </is>
      </c>
      <c r="B195" t="inlineStr">
        <is>
          <t>BLT</t>
        </is>
      </c>
      <c r="C195" t="inlineStr">
        <is>
          <t>Bulls Portföy Altın Fonu</t>
        </is>
      </c>
      <c r="D195" s="13" t="n">
        <v>-0.4432813186735385</v>
      </c>
      <c r="E195" s="13" t="n">
        <v>-1.074553590978444</v>
      </c>
      <c r="F195" s="13" t="n">
        <v>0.4360336432049694</v>
      </c>
      <c r="G195" s="13" t="n">
        <v>-1.356443822891584</v>
      </c>
      <c r="H195" s="13" t="n">
        <v>-1.258019231059515</v>
      </c>
      <c r="I195" s="13" t="n">
        <v>-1.735724681106077</v>
      </c>
      <c r="J195" s="13" t="n">
        <v>-2.569144748919538</v>
      </c>
      <c r="K195" s="13" t="n">
        <v>1.053031609470723</v>
      </c>
      <c r="L195" s="13" t="n">
        <v>0.4906592708561863</v>
      </c>
      <c r="M195" s="13" t="n">
        <v>-0.7746930663177998</v>
      </c>
      <c r="N195" s="13" t="n">
        <v>-0.1696244238886591</v>
      </c>
      <c r="O195" s="13" t="n">
        <v>2.83651242248053</v>
      </c>
      <c r="P195" s="13" t="n">
        <v>3.19128179797481</v>
      </c>
      <c r="Q195" s="13" t="n">
        <v>0.8470722545393272</v>
      </c>
      <c r="R195" s="13" t="n">
        <v>1.414286926345176</v>
      </c>
      <c r="S195" s="13" t="n">
        <v>-0.1508237386501854</v>
      </c>
      <c r="T195" s="13" t="n">
        <v>1.091754741015127</v>
      </c>
      <c r="U195" s="13" t="n">
        <v>0.0104327565371376</v>
      </c>
      <c r="V195" s="13" t="n">
        <v>-0.8671613981912518</v>
      </c>
      <c r="W195" s="13" t="n">
        <v>-0.4079969506919467</v>
      </c>
      <c r="X195" s="13" t="n">
        <v>-0.0345743915875607</v>
      </c>
    </row>
    <row r="196">
      <c r="A196" t="inlineStr">
        <is>
          <t>Altın</t>
        </is>
      </c>
      <c r="B196" t="inlineStr">
        <is>
          <t>IAY</t>
        </is>
      </c>
      <c r="C196" t="inlineStr">
        <is>
          <t>Inveo Portföy Altın Katılım Fonu</t>
        </is>
      </c>
      <c r="D196" s="13" t="n">
        <v>-0.2795517893906863</v>
      </c>
      <c r="E196" s="13" t="n">
        <v>-1.635085030988759</v>
      </c>
      <c r="F196" s="13" t="n">
        <v>-0.3412572900540867</v>
      </c>
      <c r="G196" s="13" t="n">
        <v>-0.971869720469698</v>
      </c>
      <c r="H196" s="13" t="n">
        <v>-1.841469567692966</v>
      </c>
      <c r="I196" s="13" t="n">
        <v>-1.378008718175505</v>
      </c>
      <c r="J196" s="13" t="n">
        <v>-1.560028447534756</v>
      </c>
      <c r="K196" s="13" t="n">
        <v>0.9457778671710937</v>
      </c>
      <c r="L196" s="13" t="n">
        <v>0.2325809674782242</v>
      </c>
      <c r="M196" s="13" t="n">
        <v>-0.6813609093387241</v>
      </c>
      <c r="N196" s="13" t="n">
        <v>-0.6829447050997417</v>
      </c>
      <c r="O196" s="13" t="n">
        <v>1.789007377265994</v>
      </c>
      <c r="P196" s="13" t="n">
        <v>2.17282595482855</v>
      </c>
      <c r="Q196" s="13" t="n">
        <v>-0.3955306180023377</v>
      </c>
      <c r="R196" s="13" t="n">
        <v>-0.4358672857784351</v>
      </c>
      <c r="S196" s="13" t="n">
        <v>-1.382864548237928</v>
      </c>
      <c r="T196" s="13" t="n">
        <v>0.9424616182542422</v>
      </c>
      <c r="U196" s="13" t="n">
        <v>-0.03745329163196143</v>
      </c>
      <c r="V196" s="13" t="n">
        <v>-0.8804460272002768</v>
      </c>
      <c r="W196" s="13" t="n">
        <v>-0.6673653743487828</v>
      </c>
      <c r="X196" s="13" t="n">
        <v>0.071562226875721</v>
      </c>
    </row>
    <row r="197">
      <c r="A197" t="inlineStr">
        <is>
          <t>Altın</t>
        </is>
      </c>
      <c r="B197" t="inlineStr">
        <is>
          <t>OGD</t>
        </is>
      </c>
      <c r="C197" t="inlineStr">
        <is>
          <t>Oyak Portföy Altın Katılım Fonu</t>
        </is>
      </c>
      <c r="D197" s="13" t="n">
        <v>-0.3188538342791092</v>
      </c>
      <c r="E197" s="13" t="n">
        <v>-1.650332658978548</v>
      </c>
      <c r="F197" s="13" t="n">
        <v>-0.1416878656996245</v>
      </c>
      <c r="G197" s="13" t="n">
        <v>-0.9382836435275599</v>
      </c>
      <c r="H197" s="13" t="n">
        <v>-1.874909080719755</v>
      </c>
      <c r="I197" s="13" t="n">
        <v>-1.317231305405564</v>
      </c>
      <c r="J197" s="13" t="n">
        <v>-1.584773234122516</v>
      </c>
      <c r="K197" s="13" t="n">
        <v>0.9742863328983997</v>
      </c>
      <c r="L197" s="13" t="n">
        <v>0.2401034157821336</v>
      </c>
      <c r="M197" s="13" t="n">
        <v>-0.5047014832815444</v>
      </c>
      <c r="N197" s="13" t="n">
        <v>-0.6349894596584305</v>
      </c>
      <c r="O197" s="13" t="n">
        <v>1.816874990280981</v>
      </c>
      <c r="P197" s="13" t="n">
        <v>2.163691687029057</v>
      </c>
      <c r="Q197" s="13" t="n">
        <v>-0.3078588616568401</v>
      </c>
      <c r="R197" s="13" t="n">
        <v>-0.4443777561439544</v>
      </c>
      <c r="S197" s="13" t="n">
        <v>-1.62514393795391</v>
      </c>
      <c r="T197" s="13" t="n">
        <v>1.145267197701072</v>
      </c>
      <c r="U197" s="13" t="n">
        <v>-0.0365263844851027</v>
      </c>
      <c r="V197" s="13" t="n">
        <v>-0.8909822767903752</v>
      </c>
      <c r="W197" s="13" t="n">
        <v>-0.7620182149444377</v>
      </c>
      <c r="X197" s="13" t="n">
        <v>-0.1131636961039129</v>
      </c>
    </row>
    <row r="198">
      <c r="A198" t="inlineStr">
        <is>
          <t>Altın</t>
        </is>
      </c>
      <c r="B198" t="inlineStr">
        <is>
          <t>PIR</t>
        </is>
      </c>
      <c r="C198" t="inlineStr">
        <is>
          <t>Piramit Portföy Altın Fonu</t>
        </is>
      </c>
      <c r="D198" s="13" t="n">
        <v>-0.285378176552753</v>
      </c>
      <c r="E198" s="13" t="n">
        <v>-1.643366167528004</v>
      </c>
      <c r="F198" s="13" t="n">
        <v>-0.4530255030342101</v>
      </c>
      <c r="G198" s="13" t="n">
        <v>-0.8254603191312104</v>
      </c>
      <c r="H198" s="13" t="n">
        <v>-1.930269701993448</v>
      </c>
      <c r="I198" s="13" t="n">
        <v>-1.505831602492413</v>
      </c>
      <c r="J198" s="13" t="n">
        <v>-1.294495630071602</v>
      </c>
      <c r="K198" s="13" t="n">
        <v>1.184307920059213</v>
      </c>
      <c r="L198" s="13" t="n">
        <v>-0.08081527814798317</v>
      </c>
      <c r="M198" s="13" t="n">
        <v>-0.4775497229149939</v>
      </c>
      <c r="N198" s="13" t="n">
        <v>-0.2855601780536121</v>
      </c>
      <c r="O198" s="13" t="n">
        <v>1.79844830171132</v>
      </c>
      <c r="P198" s="13" t="n">
        <v>2.112030457149205</v>
      </c>
      <c r="Q198" s="13" t="n">
        <v>-0.4699256480538927</v>
      </c>
      <c r="R198" s="13" t="n">
        <v>-0.3479160149891136</v>
      </c>
      <c r="S198" s="13" t="n">
        <v>-1.54136397996183</v>
      </c>
      <c r="T198" s="13" t="n">
        <v>1.255010706206217</v>
      </c>
      <c r="U198" s="13" t="n">
        <v>-0.159550405847908</v>
      </c>
      <c r="V198" s="13" t="n">
        <v>-0.8973042899022787</v>
      </c>
      <c r="W198" s="13" t="n">
        <v>-0.6862477050933791</v>
      </c>
      <c r="X198" s="13" t="n">
        <v>-0.4093493829679273</v>
      </c>
    </row>
    <row r="199">
      <c r="A199" t="inlineStr">
        <is>
          <t>Altın</t>
        </is>
      </c>
      <c r="B199" t="inlineStr">
        <is>
          <t>GTA</t>
        </is>
      </c>
      <c r="C199" t="inlineStr">
        <is>
          <t>Garanti Portföy Altın Fonu</t>
        </is>
      </c>
      <c r="D199" s="13" t="n">
        <v>-0.3190462980781961</v>
      </c>
      <c r="E199" s="13" t="n">
        <v>-1.684147588743323</v>
      </c>
      <c r="F199" s="13" t="n">
        <v>-0.8148934786848971</v>
      </c>
      <c r="G199" s="13" t="n">
        <v>-0.5720263930686809</v>
      </c>
      <c r="H199" s="13" t="n">
        <v>-1.847422026816625</v>
      </c>
      <c r="I199" s="13" t="n">
        <v>-1.284920939163348</v>
      </c>
      <c r="J199" s="13" t="n">
        <v>-1.818235554086212</v>
      </c>
      <c r="K199" s="13" t="n">
        <v>0.903762269220354</v>
      </c>
      <c r="L199" s="13" t="n">
        <v>0.6135079989149306</v>
      </c>
      <c r="M199" s="13" t="n">
        <v>-0.8628310346111556</v>
      </c>
      <c r="N199" s="13" t="n">
        <v>-0.9163859546376774</v>
      </c>
      <c r="O199" s="13" t="n">
        <v>2.046277459779944</v>
      </c>
      <c r="P199" s="13" t="n">
        <v>2.529084645398449</v>
      </c>
      <c r="Q199" s="13" t="n">
        <v>-0.3287591088078634</v>
      </c>
      <c r="R199" s="13" t="n">
        <v>-0.4125736341954678</v>
      </c>
      <c r="S199" s="13" t="n">
        <v>-1.36046190949991</v>
      </c>
      <c r="T199" s="13" t="n">
        <v>0.7744139815267115</v>
      </c>
      <c r="U199" s="13" t="n">
        <v>0.1121992549969475</v>
      </c>
      <c r="V199" s="13" t="n">
        <v>-0.9024974053284507</v>
      </c>
      <c r="W199" s="13" t="n">
        <v>-0.9940635836050427</v>
      </c>
      <c r="X199" s="13" t="n">
        <v>0.3793810550393184</v>
      </c>
    </row>
    <row r="200">
      <c r="A200" t="inlineStr">
        <is>
          <t>Altın</t>
        </is>
      </c>
      <c r="B200" t="inlineStr">
        <is>
          <t>VFO</t>
        </is>
      </c>
      <c r="C200" t="inlineStr">
        <is>
          <t>V Portföy Altın Katılım Fonu</t>
        </is>
      </c>
      <c r="D200" s="13" t="n">
        <v>-0.1720514061429368</v>
      </c>
      <c r="E200" s="13" t="n">
        <v>-1.773470311304715</v>
      </c>
      <c r="F200" s="13" t="n">
        <v>-0.5601370021845242</v>
      </c>
      <c r="G200" s="13" t="n">
        <v>-0.4635113772850419</v>
      </c>
      <c r="H200" s="13" t="n">
        <v>-1.95318007281533</v>
      </c>
      <c r="I200" s="13" t="n">
        <v>-1.627209394041607</v>
      </c>
      <c r="J200" s="13" t="n">
        <v>-1.294065677057532</v>
      </c>
      <c r="K200" s="13" t="n">
        <v>1.192014904814132</v>
      </c>
      <c r="L200" s="13" t="n">
        <v>-0.17270915562978</v>
      </c>
      <c r="M200" s="13" t="n">
        <v>-0.2208681011056424</v>
      </c>
      <c r="N200" s="13" t="n">
        <v>-0.4130052913939752</v>
      </c>
      <c r="O200" s="13" t="n">
        <v>1.708664603381749</v>
      </c>
      <c r="P200" s="13" t="n">
        <v>1.874822682176069</v>
      </c>
      <c r="Q200" s="13" t="n">
        <v>-0.6825034549185482</v>
      </c>
      <c r="R200" s="13" t="n">
        <v>-0.2457199298786295</v>
      </c>
      <c r="S200" s="13" t="n">
        <v>-1.383584660417836</v>
      </c>
      <c r="T200" s="13" t="n">
        <v>1.014876497106254</v>
      </c>
      <c r="U200" s="13" t="n">
        <v>-0.09239536304693763</v>
      </c>
      <c r="V200" s="13" t="n">
        <v>-0.9072887832774379</v>
      </c>
      <c r="W200" s="13" t="n">
        <v>-0.1953342648231216</v>
      </c>
      <c r="X200" s="13" t="n">
        <v>-1.065973553034028</v>
      </c>
    </row>
    <row r="201">
      <c r="A201" t="inlineStr">
        <is>
          <t>Altın</t>
        </is>
      </c>
      <c r="B201" t="inlineStr">
        <is>
          <t>TUA</t>
        </is>
      </c>
      <c r="C201" t="inlineStr">
        <is>
          <t>Teb Portföy Altın Fonu</t>
        </is>
      </c>
      <c r="D201" s="13" t="n">
        <v>-0.2298248573652906</v>
      </c>
      <c r="E201" s="13" t="n">
        <v>-1.563098038522082</v>
      </c>
      <c r="F201" s="13" t="n">
        <v>-1.326308178708779</v>
      </c>
      <c r="G201" s="13" t="n">
        <v>-0.2716823254258927</v>
      </c>
      <c r="H201" s="13" t="n">
        <v>-1.813252585274427</v>
      </c>
      <c r="I201" s="13" t="n">
        <v>-1.281269293423692</v>
      </c>
      <c r="J201" s="13" t="n">
        <v>-1.813140237125554</v>
      </c>
      <c r="K201" s="13" t="n">
        <v>0.7766203508297931</v>
      </c>
      <c r="L201" s="13" t="n">
        <v>0.6526794811460901</v>
      </c>
      <c r="M201" s="13" t="n">
        <v>-0.8312319891539688</v>
      </c>
      <c r="N201" s="13" t="n">
        <v>-0.886491006159662</v>
      </c>
      <c r="O201" s="13" t="n">
        <v>1.967800881488579</v>
      </c>
      <c r="P201" s="13" t="n">
        <v>2.470312840871092</v>
      </c>
      <c r="Q201" s="13" t="n">
        <v>-0.2172446105067172</v>
      </c>
      <c r="R201" s="13" t="n">
        <v>-0.3396807842262817</v>
      </c>
      <c r="S201" s="13" t="n">
        <v>-1.353649809690449</v>
      </c>
      <c r="T201" s="13" t="n">
        <v>0.6645224322316956</v>
      </c>
      <c r="U201" s="13" t="n">
        <v>0.09056443876158671</v>
      </c>
      <c r="V201" s="13" t="n">
        <v>-0.9171228057622605</v>
      </c>
      <c r="W201" s="13" t="n">
        <v>-0.9162842233774726</v>
      </c>
      <c r="X201" s="13" t="n">
        <v>0.1147880747944585</v>
      </c>
    </row>
    <row r="202">
      <c r="A202" t="inlineStr">
        <is>
          <t>Altın</t>
        </is>
      </c>
      <c r="B202" t="inlineStr">
        <is>
          <t>HBF</t>
        </is>
      </c>
      <c r="C202" t="inlineStr">
        <is>
          <t>Hsbc Portföy Altın Fonu</t>
        </is>
      </c>
      <c r="D202" s="13" t="n">
        <v>-0.2171042395663791</v>
      </c>
      <c r="E202" s="13" t="n">
        <v>-1.623412097603172</v>
      </c>
      <c r="F202" s="13" t="n">
        <v>-0.9069427858448886</v>
      </c>
      <c r="G202" s="13" t="n">
        <v>-0.4170732864178461</v>
      </c>
      <c r="H202" s="13" t="n">
        <v>-1.707192998223273</v>
      </c>
      <c r="I202" s="13" t="n">
        <v>-1.31232200174195</v>
      </c>
      <c r="J202" s="13" t="n">
        <v>-1.553743788114947</v>
      </c>
      <c r="K202" s="13" t="n">
        <v>0.9169676315385233</v>
      </c>
      <c r="L202" s="13" t="n">
        <v>0.4690018700706178</v>
      </c>
      <c r="M202" s="13" t="n">
        <v>-0.7361966815432996</v>
      </c>
      <c r="N202" s="13" t="n">
        <v>-0.6867002881199347</v>
      </c>
      <c r="O202" s="13" t="n">
        <v>1.902044414062454</v>
      </c>
      <c r="P202" s="13" t="n">
        <v>2.142969528369632</v>
      </c>
      <c r="Q202" s="13" t="n">
        <v>-0.2774861688829233</v>
      </c>
      <c r="R202" s="13" t="n">
        <v>-0.3200924114720727</v>
      </c>
      <c r="S202" s="13" t="n">
        <v>-1.447208565107949</v>
      </c>
      <c r="T202" s="13" t="n">
        <v>0.8907481992665556</v>
      </c>
      <c r="U202" s="13" t="n">
        <v>-0.01166806951438115</v>
      </c>
      <c r="V202" s="13" t="n">
        <v>-0.9192946865679619</v>
      </c>
      <c r="W202" s="13" t="n">
        <v>-0.6057027693292527</v>
      </c>
      <c r="X202" s="13" t="n">
        <v>0.04549965363984665</v>
      </c>
    </row>
    <row r="203">
      <c r="A203" s="14" t="inlineStr">
        <is>
          <t>Altın</t>
        </is>
      </c>
      <c r="B203" s="14" t="inlineStr">
        <is>
          <t>BAI</t>
        </is>
      </c>
      <c r="C203" s="14" t="inlineStr">
        <is>
          <t>BV Portföy Altın Katılım Fonu</t>
        </is>
      </c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  <c r="Q203" s="14" t="n"/>
      <c r="R203" s="14" t="n"/>
      <c r="S203" s="14" t="n"/>
      <c r="T203" s="14" t="n"/>
      <c r="U203" s="15" t="n">
        <v>0.0499946612487312</v>
      </c>
      <c r="V203" s="15" t="n">
        <v>-0.9211975168759823</v>
      </c>
      <c r="W203" s="15" t="n">
        <v>-0.9312724739573897</v>
      </c>
      <c r="X203" s="15" t="n">
        <v>0.3635731785014196</v>
      </c>
    </row>
    <row r="204">
      <c r="A204" t="inlineStr">
        <is>
          <t>Altın</t>
        </is>
      </c>
      <c r="B204" t="inlineStr">
        <is>
          <t>HAM</t>
        </is>
      </c>
      <c r="C204" t="inlineStr">
        <is>
          <t>Hedef Portföy Altın Katılım Fonu</t>
        </is>
      </c>
      <c r="D204" s="13" t="n">
        <v>-0.4055758899346174</v>
      </c>
      <c r="E204" s="13" t="n">
        <v>-1.724346696241275</v>
      </c>
      <c r="F204" s="13" t="n">
        <v>-0.1381693742606216</v>
      </c>
      <c r="G204" s="13" t="n">
        <v>-1.120679749568099</v>
      </c>
      <c r="H204" s="13" t="n">
        <v>-1.963320992732742</v>
      </c>
      <c r="I204" s="13" t="n">
        <v>-1.22555618571949</v>
      </c>
      <c r="J204" s="13" t="n">
        <v>-2.034213183162725</v>
      </c>
      <c r="K204" s="13" t="n">
        <v>0.870416114405792</v>
      </c>
      <c r="L204" s="13" t="n">
        <v>0.6333512448504441</v>
      </c>
      <c r="M204" s="13" t="n">
        <v>-0.9736293153162046</v>
      </c>
      <c r="N204" s="13" t="n">
        <v>-0.9477577521839087</v>
      </c>
      <c r="O204" s="13" t="n">
        <v>2.062955640139008</v>
      </c>
      <c r="P204" s="13" t="n">
        <v>2.621725643137229</v>
      </c>
      <c r="Q204" s="13" t="n">
        <v>-0.3085543889046471</v>
      </c>
      <c r="R204" s="13" t="n">
        <v>-0.2431934000988401</v>
      </c>
      <c r="S204" s="13" t="n">
        <v>-1.257500948560997</v>
      </c>
      <c r="T204" s="13" t="n">
        <v>0.4012639178276878</v>
      </c>
      <c r="U204" s="13" t="n">
        <v>0.1575164554088238</v>
      </c>
      <c r="V204" s="13" t="n">
        <v>-0.9352261255574312</v>
      </c>
      <c r="W204" s="13" t="n">
        <v>-0.9894284805504028</v>
      </c>
      <c r="X204" s="13" t="n">
        <v>0.2839754560492569</v>
      </c>
    </row>
    <row r="205">
      <c r="A205" t="inlineStr">
        <is>
          <t>Altın</t>
        </is>
      </c>
      <c r="B205" t="inlineStr">
        <is>
          <t>PA2</t>
        </is>
      </c>
      <c r="C205" t="inlineStr">
        <is>
          <t>Pusula Portföy Altın Katılım Fonu</t>
        </is>
      </c>
      <c r="J205" s="13" t="n">
        <v>0.4474386907098671</v>
      </c>
      <c r="K205" s="13" t="n">
        <v>0.8357947708128366</v>
      </c>
      <c r="L205" s="13" t="n">
        <v>-0.1995238254920872</v>
      </c>
      <c r="M205" s="13" t="n">
        <v>0</v>
      </c>
      <c r="N205" s="13" t="n">
        <v>0.0471394646261114</v>
      </c>
      <c r="O205" s="13" t="n">
        <v>0.7327375025682592</v>
      </c>
      <c r="P205" s="13" t="n">
        <v>1.188386583067436</v>
      </c>
      <c r="Q205" s="13" t="n">
        <v>-0.2572911266056521</v>
      </c>
      <c r="R205" s="13" t="n">
        <v>-0.01292203060480057</v>
      </c>
      <c r="S205" s="13" t="n">
        <v>-1.513627702195175</v>
      </c>
      <c r="T205" s="13" t="n">
        <v>0.8628174517039344</v>
      </c>
      <c r="U205" s="13" t="n">
        <v>-0.08432090855291507</v>
      </c>
      <c r="V205" s="13" t="n">
        <v>-0.9522009980194146</v>
      </c>
      <c r="W205" s="13" t="n">
        <v>-0.4322440414471829</v>
      </c>
      <c r="X205" s="13" t="n">
        <v>-0.6364387227942747</v>
      </c>
    </row>
    <row r="206">
      <c r="A206" t="inlineStr">
        <is>
          <t>Altın</t>
        </is>
      </c>
      <c r="B206" t="inlineStr">
        <is>
          <t>RBA</t>
        </is>
      </c>
      <c r="C206" t="inlineStr">
        <is>
          <t>Albaraka Portföy Bereket Vakfı NA Destek Altın Katılım Fonu</t>
        </is>
      </c>
      <c r="D206" s="13" t="n">
        <v>-0.5099765045882831</v>
      </c>
      <c r="E206" s="13" t="n">
        <v>-1.619611835823842</v>
      </c>
      <c r="F206" s="13" t="n">
        <v>-0.2745717136119485</v>
      </c>
      <c r="G206" s="13" t="n">
        <v>-1.116065352352835</v>
      </c>
      <c r="H206" s="13" t="n">
        <v>-1.981851462078899</v>
      </c>
      <c r="I206" s="13" t="n">
        <v>-1.303765746632202</v>
      </c>
      <c r="J206" s="13" t="n">
        <v>-1.662342972504782</v>
      </c>
      <c r="K206" s="13" t="n">
        <v>1.150813711562249</v>
      </c>
      <c r="L206" s="13" t="n">
        <v>0.08949675624982945</v>
      </c>
      <c r="M206" s="13" t="n">
        <v>-0.8347774527330154</v>
      </c>
      <c r="N206" s="13" t="n">
        <v>-0.7182586074411579</v>
      </c>
      <c r="O206" s="13" t="n">
        <v>1.882307655641946</v>
      </c>
      <c r="P206" s="13" t="n">
        <v>2.265053313753751</v>
      </c>
      <c r="Q206" s="13" t="n">
        <v>-0.6274525962115196</v>
      </c>
      <c r="R206" s="13" t="n">
        <v>-0.5659278530109946</v>
      </c>
      <c r="S206" s="13" t="n">
        <v>-1.442714346549345</v>
      </c>
      <c r="T206" s="13" t="n">
        <v>0.9908698252928394</v>
      </c>
      <c r="U206" s="13" t="n">
        <v>-0.03444519080435526</v>
      </c>
      <c r="V206" s="13" t="n">
        <v>-0.9773955759386554</v>
      </c>
      <c r="W206" s="13" t="n">
        <v>-0.9125971524480359</v>
      </c>
      <c r="X206" s="13" t="n">
        <v>0.144987694483123</v>
      </c>
    </row>
    <row r="207">
      <c r="A207" t="inlineStr">
        <is>
          <t>Altın</t>
        </is>
      </c>
      <c r="B207" t="inlineStr">
        <is>
          <t>FIB</t>
        </is>
      </c>
      <c r="C207" t="inlineStr">
        <is>
          <t>Fiba Portföy Altın Fonu</t>
        </is>
      </c>
      <c r="D207" s="13" t="n">
        <v>-0.3356271587298676</v>
      </c>
      <c r="E207" s="13" t="n">
        <v>-1.48365225560072</v>
      </c>
      <c r="F207" s="13" t="n">
        <v>-2.178874597070923</v>
      </c>
      <c r="G207" s="13" t="n">
        <v>0.3485952353706523</v>
      </c>
      <c r="H207" s="13" t="n">
        <v>-1.763740684505388</v>
      </c>
      <c r="I207" s="13" t="n">
        <v>-1.173506568326288</v>
      </c>
      <c r="J207" s="13" t="n">
        <v>-1.913740298611355</v>
      </c>
      <c r="K207" s="13" t="n">
        <v>0.8839509458230754</v>
      </c>
      <c r="L207" s="13" t="n">
        <v>0.7473907270792779</v>
      </c>
      <c r="M207" s="13" t="n">
        <v>-0.9194529538571583</v>
      </c>
      <c r="N207" s="13" t="n">
        <v>-1.025100087645514</v>
      </c>
      <c r="O207" s="13" t="n">
        <v>2.200926916855606</v>
      </c>
      <c r="P207" s="13" t="n">
        <v>2.559329819588574</v>
      </c>
      <c r="Q207" s="13" t="n">
        <v>-0.4610535030089458</v>
      </c>
      <c r="R207" s="13" t="n">
        <v>-0.3621063586132456</v>
      </c>
      <c r="S207" s="13" t="n">
        <v>-1.313499919738881</v>
      </c>
      <c r="T207" s="13" t="n">
        <v>0.6155007287112157</v>
      </c>
      <c r="U207" s="13" t="n">
        <v>0.1179067351258611</v>
      </c>
      <c r="V207" s="13" t="n">
        <v>-1.000704023699983</v>
      </c>
      <c r="W207" s="13" t="n">
        <v>-0.9273093024520174</v>
      </c>
      <c r="X207" s="13" t="n">
        <v>0.1824124540950711</v>
      </c>
    </row>
    <row r="208">
      <c r="A208" t="inlineStr">
        <is>
          <t>Altın</t>
        </is>
      </c>
      <c r="B208" t="inlineStr">
        <is>
          <t>PTN</t>
        </is>
      </c>
      <c r="C208" t="inlineStr">
        <is>
          <t>Phillip Portföy Altın Fonu</t>
        </is>
      </c>
      <c r="D208" s="13" t="n">
        <v>-0.08763879324500401</v>
      </c>
      <c r="E208" s="13" t="n">
        <v>-1.642072943507156</v>
      </c>
      <c r="F208" s="13" t="n">
        <v>-0.7235437322344329</v>
      </c>
      <c r="G208" s="13" t="n">
        <v>-0.5502007639140216</v>
      </c>
      <c r="H208" s="13" t="n">
        <v>-1.701519422274511</v>
      </c>
      <c r="I208" s="13" t="n">
        <v>-1.598708594201492</v>
      </c>
      <c r="J208" s="13" t="n">
        <v>-0.9119299590048535</v>
      </c>
      <c r="K208" s="13" t="n">
        <v>1.156580098253523</v>
      </c>
      <c r="L208" s="13" t="n">
        <v>-0.289983132805649</v>
      </c>
      <c r="M208" s="13" t="n">
        <v>-0.1321136625340613</v>
      </c>
      <c r="N208" s="13" t="n">
        <v>-0.08187342707897116</v>
      </c>
      <c r="O208" s="13" t="n">
        <v>1.573869883902868</v>
      </c>
      <c r="P208" s="13" t="n">
        <v>1.744833717607808</v>
      </c>
      <c r="Q208" s="13" t="n">
        <v>-0.4907924597328472</v>
      </c>
      <c r="R208" s="13" t="n">
        <v>-0.119286292391596</v>
      </c>
      <c r="S208" s="13" t="n">
        <v>-1.51761905140203</v>
      </c>
      <c r="T208" s="13" t="n">
        <v>1.231110513578915</v>
      </c>
      <c r="U208" s="13" t="n">
        <v>-0.2664162760954381</v>
      </c>
      <c r="V208" s="13" t="n">
        <v>-1.00825486616305</v>
      </c>
      <c r="W208" s="13" t="n">
        <v>-0.1050607395011505</v>
      </c>
      <c r="X208" s="13" t="n">
        <v>-0.9117982328270324</v>
      </c>
    </row>
    <row r="209">
      <c r="A209" t="inlineStr">
        <is>
          <t>Altın</t>
        </is>
      </c>
      <c r="B209" t="inlineStr">
        <is>
          <t>MKG</t>
        </is>
      </c>
      <c r="C209" t="inlineStr">
        <is>
          <t>Aktif Portföy Altın Katılım Fonu</t>
        </is>
      </c>
      <c r="D209" s="13" t="n">
        <v>-0.08236248848699779</v>
      </c>
      <c r="E209" s="13" t="n">
        <v>-1.63114304205384</v>
      </c>
      <c r="F209" s="13" t="n">
        <v>-1.885832277847677</v>
      </c>
      <c r="G209" s="13" t="n">
        <v>0.2479009785228525</v>
      </c>
      <c r="H209" s="13" t="n">
        <v>-1.636404666113567</v>
      </c>
      <c r="I209" s="13" t="n">
        <v>-1.341386827993596</v>
      </c>
      <c r="J209" s="13" t="n">
        <v>-1.624615433946819</v>
      </c>
      <c r="K209" s="13" t="n">
        <v>0.9614564354078148</v>
      </c>
      <c r="L209" s="13" t="n">
        <v>0.4094844777070783</v>
      </c>
      <c r="M209" s="13" t="n">
        <v>-0.5399366549850737</v>
      </c>
      <c r="N209" s="13" t="n">
        <v>-0.6089117981735725</v>
      </c>
      <c r="O209" s="13" t="n">
        <v>1.778561326512551</v>
      </c>
      <c r="P209" s="13" t="n">
        <v>2.04540672606659</v>
      </c>
      <c r="Q209" s="13" t="n">
        <v>-0.2230634069768644</v>
      </c>
      <c r="R209" s="13" t="n">
        <v>-0.09390846171700717</v>
      </c>
      <c r="S209" s="13" t="n">
        <v>-1.458989561202328</v>
      </c>
      <c r="T209" s="13" t="n">
        <v>0.6973462224894922</v>
      </c>
      <c r="U209" s="13" t="n">
        <v>0.09937798938619569</v>
      </c>
      <c r="V209" s="13" t="n">
        <v>-1.019202281243869</v>
      </c>
      <c r="W209" s="13" t="n">
        <v>-0.6663057198626254</v>
      </c>
      <c r="X209" s="13" t="n">
        <v>-0.1011566095948546</v>
      </c>
    </row>
    <row r="210">
      <c r="A210" t="inlineStr">
        <is>
          <t>Altın</t>
        </is>
      </c>
      <c r="B210" t="inlineStr">
        <is>
          <t>TAL</t>
        </is>
      </c>
      <c r="C210" t="inlineStr">
        <is>
          <t>Atlas Portföy Altın Katılım Fonu</t>
        </is>
      </c>
      <c r="D210" s="13" t="n">
        <v>-0.4247632210910401</v>
      </c>
      <c r="E210" s="13" t="n">
        <v>-1.489816409710232</v>
      </c>
      <c r="F210" s="13" t="n">
        <v>-0.6362784109133268</v>
      </c>
      <c r="G210" s="13" t="n">
        <v>-1.190019541691456</v>
      </c>
      <c r="H210" s="13" t="n">
        <v>-1.681774553946713</v>
      </c>
      <c r="I210" s="13" t="n">
        <v>-1.657999635467799</v>
      </c>
      <c r="J210" s="13" t="n">
        <v>-1.784431364893402</v>
      </c>
      <c r="K210" s="13" t="n">
        <v>0.8778667572242549</v>
      </c>
      <c r="L210" s="13" t="n">
        <v>0.1709503298751081</v>
      </c>
      <c r="M210" s="13" t="n">
        <v>-0.5295751811605021</v>
      </c>
      <c r="N210" s="13" t="n">
        <v>-0.477033577287489</v>
      </c>
      <c r="O210" s="13" t="n">
        <v>1.761663241132161</v>
      </c>
      <c r="P210" s="13" t="n">
        <v>2.208433183967462</v>
      </c>
      <c r="Q210" s="13" t="n">
        <v>-0.4887267619860469</v>
      </c>
      <c r="R210" s="13" t="n">
        <v>-0.4924871709676149</v>
      </c>
      <c r="S210" s="13" t="n">
        <v>-1.391240775570657</v>
      </c>
      <c r="T210" s="13" t="n">
        <v>0.6785036483630824</v>
      </c>
      <c r="U210" s="13" t="n">
        <v>0.06396286534753326</v>
      </c>
      <c r="V210" s="13" t="n">
        <v>-1.020274982447</v>
      </c>
      <c r="W210" s="13" t="n">
        <v>-0.8926539445772153</v>
      </c>
      <c r="X210" s="13" t="n">
        <v>0.162225112992509</v>
      </c>
    </row>
    <row r="211">
      <c r="A211" t="inlineStr">
        <is>
          <t>Altın</t>
        </is>
      </c>
      <c r="B211" t="inlineStr">
        <is>
          <t>TCA</t>
        </is>
      </c>
      <c r="C211" t="inlineStr">
        <is>
          <t>Ziraat Portföy Altın Katılım Fonu</t>
        </is>
      </c>
      <c r="D211" s="13" t="n">
        <v>-0.4756992353221912</v>
      </c>
      <c r="E211" s="13" t="n">
        <v>-1.38882950397835</v>
      </c>
      <c r="F211" s="13" t="n">
        <v>-2.015025976176021</v>
      </c>
      <c r="G211" s="13" t="n">
        <v>0.009252480066934687</v>
      </c>
      <c r="H211" s="13" t="n">
        <v>-1.816134027875549</v>
      </c>
      <c r="I211" s="13" t="n">
        <v>-1.329017985169401</v>
      </c>
      <c r="J211" s="13" t="n">
        <v>-1.582615724017278</v>
      </c>
      <c r="K211" s="13" t="n">
        <v>1.100825056285792</v>
      </c>
      <c r="L211" s="13" t="n">
        <v>0.08623915229695189</v>
      </c>
      <c r="M211" s="13" t="n">
        <v>-0.7556100957402667</v>
      </c>
      <c r="N211" s="13" t="n">
        <v>-0.4867570163867407</v>
      </c>
      <c r="O211" s="13" t="n">
        <v>1.789237276925815</v>
      </c>
      <c r="P211" s="13" t="n">
        <v>2.097730983351154</v>
      </c>
      <c r="Q211" s="13" t="n">
        <v>-0.6919178310339391</v>
      </c>
      <c r="R211" s="13" t="n">
        <v>-0.4642652133779235</v>
      </c>
      <c r="S211" s="13" t="n">
        <v>-1.37942937924308</v>
      </c>
      <c r="T211" s="13" t="n">
        <v>0.8646529859349883</v>
      </c>
      <c r="U211" s="13" t="n">
        <v>-0.01927931178365982</v>
      </c>
      <c r="V211" s="13" t="n">
        <v>-1.037564718667494</v>
      </c>
      <c r="W211" s="13" t="n">
        <v>-0.8172650015170646</v>
      </c>
      <c r="X211" s="13" t="n">
        <v>-0.1411688103931663</v>
      </c>
    </row>
    <row r="212">
      <c r="A212" t="inlineStr">
        <is>
          <t>Altın</t>
        </is>
      </c>
      <c r="B212" t="inlineStr">
        <is>
          <t>OIL</t>
        </is>
      </c>
      <c r="C212" t="inlineStr">
        <is>
          <t>Osmanlı Portföy Altın Fon Sepeti Fonu</t>
        </is>
      </c>
      <c r="D212" s="13" t="n">
        <v>-0.1471262201058088</v>
      </c>
      <c r="E212" s="13" t="n">
        <v>-1.653837016422244</v>
      </c>
      <c r="F212" s="13" t="n">
        <v>-1.387021858144488</v>
      </c>
      <c r="G212" s="13" t="n">
        <v>-0.0414746946948541</v>
      </c>
      <c r="H212" s="13" t="n">
        <v>-1.780924391468031</v>
      </c>
      <c r="I212" s="13" t="n">
        <v>-1.420988231205489</v>
      </c>
      <c r="J212" s="13" t="n">
        <v>-1.558364223216202</v>
      </c>
      <c r="K212" s="13" t="n">
        <v>1.010379852319843</v>
      </c>
      <c r="L212" s="13" t="n">
        <v>0.3774106984072434</v>
      </c>
      <c r="M212" s="13" t="n">
        <v>-0.6559830505164732</v>
      </c>
      <c r="N212" s="13" t="n">
        <v>-0.6337914815484846</v>
      </c>
      <c r="O212" s="13" t="n">
        <v>1.91975224046117</v>
      </c>
      <c r="P212" s="13" t="n">
        <v>2.224449534819528</v>
      </c>
      <c r="Q212" s="13" t="n">
        <v>-0.3860005123924926</v>
      </c>
      <c r="R212" s="13" t="n">
        <v>-0.2710291372206908</v>
      </c>
      <c r="S212" s="13" t="n">
        <v>-1.536026060256024</v>
      </c>
      <c r="T212" s="13" t="n">
        <v>0.969323783007181</v>
      </c>
      <c r="U212" s="13" t="n">
        <v>-0.03842189920089112</v>
      </c>
      <c r="V212" s="13" t="n">
        <v>-1.06853377632592</v>
      </c>
      <c r="W212" s="13" t="n">
        <v>-0.4450913172539206</v>
      </c>
      <c r="X212" s="13" t="n">
        <v>-0.1184066271487372</v>
      </c>
    </row>
    <row r="213">
      <c r="A213" t="inlineStr">
        <is>
          <t>Altın</t>
        </is>
      </c>
      <c r="B213" t="inlineStr">
        <is>
          <t>FAL</t>
        </is>
      </c>
      <c r="C213" t="inlineStr">
        <is>
          <t>One Portföy Altın Fonu</t>
        </is>
      </c>
      <c r="D213" s="13" t="n">
        <v>0.164388352429512</v>
      </c>
      <c r="E213" s="13" t="n">
        <v>-1.478878690608931</v>
      </c>
      <c r="F213" s="13" t="n">
        <v>-1.229013203700746</v>
      </c>
      <c r="G213" s="13" t="n">
        <v>-0.4122863359067419</v>
      </c>
      <c r="H213" s="13" t="n">
        <v>-1.625891908013977</v>
      </c>
      <c r="I213" s="13" t="n">
        <v>-1.900929172313648</v>
      </c>
      <c r="J213" s="13" t="n">
        <v>-1.29427924873865</v>
      </c>
      <c r="K213" s="13" t="n">
        <v>0.7026818234936671</v>
      </c>
      <c r="L213" s="13" t="n">
        <v>0.07839711994670484</v>
      </c>
      <c r="M213" s="13" t="n">
        <v>-0.149678735086356</v>
      </c>
      <c r="N213" s="13" t="n">
        <v>-0.382869026702426</v>
      </c>
      <c r="O213" s="13" t="n">
        <v>1.492601066258037</v>
      </c>
      <c r="P213" s="13" t="n">
        <v>2.140259321219506</v>
      </c>
      <c r="Q213" s="13" t="n">
        <v>-0.07717228390472508</v>
      </c>
      <c r="R213" s="13" t="n">
        <v>-0.1297220768934015</v>
      </c>
      <c r="S213" s="13" t="n">
        <v>-1.484537430420374</v>
      </c>
      <c r="T213" s="13" t="n">
        <v>1.038978955851899</v>
      </c>
      <c r="U213" s="13" t="n">
        <v>-0.06809787427473069</v>
      </c>
      <c r="V213" s="13" t="n">
        <v>-1.180504509802216</v>
      </c>
      <c r="W213" s="13" t="n">
        <v>-0.3226515005001263</v>
      </c>
      <c r="X213" s="13" t="n">
        <v>-0.3098244825430863</v>
      </c>
    </row>
    <row r="214">
      <c r="A214" t="inlineStr">
        <is>
          <t>Altın</t>
        </is>
      </c>
      <c r="B214" t="inlineStr">
        <is>
          <t>RPG</t>
        </is>
      </c>
      <c r="C214" t="inlineStr">
        <is>
          <t>Rota Portföy Altın Fonu</t>
        </is>
      </c>
      <c r="D214" s="13" t="n">
        <v>0.04185283105229143</v>
      </c>
      <c r="E214" s="13" t="n">
        <v>-1.750477937876649</v>
      </c>
      <c r="F214" s="13" t="n">
        <v>-1.197408617037787</v>
      </c>
      <c r="G214" s="13" t="n">
        <v>-0.1723349805553998</v>
      </c>
      <c r="H214" s="13" t="n">
        <v>-1.630356259822563</v>
      </c>
      <c r="I214" s="13" t="n">
        <v>-1.738238856866781</v>
      </c>
      <c r="J214" s="13" t="n">
        <v>-0.9689840758233648</v>
      </c>
      <c r="K214" s="13" t="n">
        <v>1.158466614493925</v>
      </c>
      <c r="L214" s="13" t="n">
        <v>-0.15680357155331</v>
      </c>
      <c r="M214" s="13" t="n">
        <v>-0.2289009364324968</v>
      </c>
      <c r="N214" s="13" t="n">
        <v>-0.1139308517410065</v>
      </c>
      <c r="O214" s="13" t="n">
        <v>1.648319007325383</v>
      </c>
      <c r="P214" s="13" t="n">
        <v>1.558843140744837</v>
      </c>
      <c r="Q214" s="13" t="n">
        <v>-0.2891962092696598</v>
      </c>
      <c r="R214" s="13" t="n">
        <v>-0.09613617233226179</v>
      </c>
      <c r="S214" s="13" t="n">
        <v>-1.651957816930583</v>
      </c>
      <c r="T214" s="13" t="n">
        <v>1.233698352120038</v>
      </c>
      <c r="U214" s="13" t="n">
        <v>-0.2549505686013087</v>
      </c>
      <c r="V214" s="13" t="n">
        <v>-1.251340369269416</v>
      </c>
      <c r="W214" s="13" t="n">
        <v>0.2694983300278952</v>
      </c>
      <c r="X214" s="13" t="n">
        <v>-0.7622770001070034</v>
      </c>
    </row>
    <row r="215">
      <c r="A215" t="inlineStr">
        <is>
          <t>Altın</t>
        </is>
      </c>
      <c r="B215" t="inlineStr">
        <is>
          <t>FAK</t>
        </is>
      </c>
      <c r="C215" t="inlineStr">
        <is>
          <t>Fonmap Portföy Altın Katılım Fonu</t>
        </is>
      </c>
      <c r="D215" s="13" t="n">
        <v>-0.4266129112068251</v>
      </c>
      <c r="E215" s="13" t="n">
        <v>-1.201835781220018</v>
      </c>
      <c r="F215" s="13" t="n">
        <v>-1.504706027104052</v>
      </c>
      <c r="G215" s="13" t="n">
        <v>-0.481288211974229</v>
      </c>
      <c r="H215" s="13" t="n">
        <v>-1.759521531402652</v>
      </c>
      <c r="I215" s="13" t="n">
        <v>-2.075022902235579</v>
      </c>
      <c r="J215" s="13" t="n">
        <v>-0.1429511619090218</v>
      </c>
      <c r="K215" s="13" t="n">
        <v>1.900553557692941</v>
      </c>
      <c r="L215" s="13" t="n">
        <v>-1.858170636210343</v>
      </c>
      <c r="M215" s="13" t="n">
        <v>0.2630363649212653</v>
      </c>
      <c r="N215" s="13" t="n">
        <v>0.6090269747070609</v>
      </c>
      <c r="O215" s="13" t="n">
        <v>1.115696487543727</v>
      </c>
      <c r="P215" s="13" t="n">
        <v>0.842363063636431</v>
      </c>
      <c r="Q215" s="13" t="n">
        <v>-1.385367085128841</v>
      </c>
      <c r="R215" s="13" t="n">
        <v>-0.1767681882070882</v>
      </c>
      <c r="S215" s="13" t="n">
        <v>-1.650539724379829</v>
      </c>
      <c r="T215" s="13" t="n">
        <v>1.20178402709874</v>
      </c>
      <c r="U215" s="13" t="n">
        <v>-0.5492368494221855</v>
      </c>
      <c r="V215" s="13" t="n">
        <v>-1.612372949586494</v>
      </c>
      <c r="W215" s="13" t="n">
        <v>0.2618274422158784</v>
      </c>
      <c r="X215" s="13" t="n">
        <v>-1.988249364802452</v>
      </c>
    </row>
    <row r="216">
      <c r="A216" t="inlineStr">
        <is>
          <t>RUT</t>
        </is>
      </c>
      <c r="B216" t="inlineStr">
        <is>
          <t>KIB</t>
        </is>
      </c>
      <c r="C216" t="inlineStr">
        <is>
          <t>Trıve Portföy Robotik Teknolojileri Değişken Fon</t>
        </is>
      </c>
      <c r="D216" s="13" t="n">
        <v>-0.6281486589599372</v>
      </c>
      <c r="E216" s="13" t="n">
        <v>0.1840046774115089</v>
      </c>
      <c r="F216" s="13" t="n">
        <v>0.1767979639453188</v>
      </c>
      <c r="G216" s="13" t="n">
        <v>0.124481738533766</v>
      </c>
      <c r="H216" s="13" t="n">
        <v>-1.245439917591173</v>
      </c>
      <c r="I216" s="13" t="n">
        <v>-1.187406894285137</v>
      </c>
      <c r="J216" s="13" t="n">
        <v>-0.2134747305866713</v>
      </c>
      <c r="K216" s="13" t="n">
        <v>-0.5789941583028257</v>
      </c>
      <c r="L216" s="13" t="n">
        <v>0.8068338651534113</v>
      </c>
      <c r="M216" s="13" t="n">
        <v>-0.008005491173945778</v>
      </c>
      <c r="N216" s="13" t="n">
        <v>1.191875851578184</v>
      </c>
      <c r="O216" s="13" t="n">
        <v>0.3279503566673725</v>
      </c>
      <c r="P216" s="13" t="n">
        <v>0.859497799960196</v>
      </c>
      <c r="Q216" s="13" t="n">
        <v>-0.2693131428916251</v>
      </c>
      <c r="R216" s="13" t="n">
        <v>-0.8728160543371555</v>
      </c>
      <c r="S216" s="13" t="n">
        <v>-0.9344478065460571</v>
      </c>
      <c r="T216" s="13" t="n">
        <v>-0.3549460706200991</v>
      </c>
      <c r="U216" s="13" t="n">
        <v>1.761393169760916</v>
      </c>
      <c r="V216" s="13" t="n">
        <v>0.005248848898276037</v>
      </c>
      <c r="W216" s="13" t="n">
        <v>1.629341858053301</v>
      </c>
      <c r="X216" s="13" t="n">
        <v>-0.4296516546011708</v>
      </c>
    </row>
    <row r="217">
      <c r="A217" t="inlineStr">
        <is>
          <t>RUT</t>
        </is>
      </c>
      <c r="B217" t="inlineStr">
        <is>
          <t>DTZ</t>
        </is>
      </c>
      <c r="C217" t="inlineStr">
        <is>
          <t>AK Portföy Robotik Teknolojiler Değişken Fon</t>
        </is>
      </c>
      <c r="D217" s="13" t="n">
        <v>-1.143886243708703</v>
      </c>
      <c r="E217" s="13" t="n">
        <v>-1.063452370130735</v>
      </c>
      <c r="F217" s="13" t="n">
        <v>0.1047180678851678</v>
      </c>
      <c r="G217" s="13" t="n">
        <v>0.5370578223268918</v>
      </c>
      <c r="H217" s="13" t="n">
        <v>-2.269829683410463</v>
      </c>
      <c r="I217" s="13" t="n">
        <v>-0.7785942370185928</v>
      </c>
      <c r="J217" s="13" t="n">
        <v>-1.305514989509771</v>
      </c>
      <c r="K217" s="13" t="n">
        <v>-0.7040811322986062</v>
      </c>
      <c r="L217" s="13" t="n">
        <v>1.532058741021958</v>
      </c>
      <c r="M217" s="13" t="n">
        <v>0.6341647038051068</v>
      </c>
      <c r="N217" s="13" t="n">
        <v>1.577614157101026</v>
      </c>
      <c r="O217" s="13" t="n">
        <v>0.385199294854166</v>
      </c>
      <c r="P217" s="13" t="n">
        <v>-0.3999718004346953</v>
      </c>
      <c r="Q217" s="13" t="n">
        <v>0.1208892941193085</v>
      </c>
      <c r="R217" s="13" t="n">
        <v>-0.2570638641539835</v>
      </c>
      <c r="S217" s="13" t="n">
        <v>-0.3806229482200552</v>
      </c>
      <c r="T217" s="13" t="n">
        <v>0.6127706648304532</v>
      </c>
      <c r="U217" s="13" t="n">
        <v>1.481605186816748</v>
      </c>
      <c r="V217" s="13" t="n">
        <v>-0.169741087264208</v>
      </c>
      <c r="W217" s="13" t="n">
        <v>-0.3998448575136204</v>
      </c>
      <c r="X217" s="13" t="n">
        <v>0.3408108467135129</v>
      </c>
    </row>
    <row r="218">
      <c r="A218" t="inlineStr">
        <is>
          <t>RUT</t>
        </is>
      </c>
      <c r="B218" t="inlineStr">
        <is>
          <t>GPT</t>
        </is>
      </c>
      <c r="C218" t="inlineStr">
        <is>
          <t>Aktif Portföy Robotik Teknolojileri Değişken Fon</t>
        </is>
      </c>
      <c r="D218" s="13" t="n">
        <v>-0.2065269081606091</v>
      </c>
      <c r="E218" s="13" t="n">
        <v>0.1048096367358919</v>
      </c>
      <c r="F218" s="13" t="n">
        <v>1.240881230589896</v>
      </c>
      <c r="G218" s="13" t="n">
        <v>-0.08694746580832913</v>
      </c>
      <c r="H218" s="13" t="n">
        <v>-2.155424072405465</v>
      </c>
      <c r="I218" s="13" t="n">
        <v>-1.657408701838081</v>
      </c>
      <c r="J218" s="13" t="n">
        <v>0.9850413777839462</v>
      </c>
      <c r="K218" s="13" t="n">
        <v>-1.193070937079932</v>
      </c>
      <c r="L218" s="13" t="n">
        <v>1.058841690597645</v>
      </c>
      <c r="M218" s="13" t="n">
        <v>1.95755403001161</v>
      </c>
      <c r="N218" s="13" t="n">
        <v>0.6952271871250248</v>
      </c>
      <c r="O218" s="13" t="n">
        <v>-1.391665580324175</v>
      </c>
      <c r="P218" s="13" t="n">
        <v>-1.13520026849121</v>
      </c>
      <c r="Q218" s="13" t="n">
        <v>0.4078603875137254</v>
      </c>
      <c r="R218" s="13" t="n">
        <v>-1.43208270104469</v>
      </c>
      <c r="S218" s="13" t="n">
        <v>-1.259482962373693</v>
      </c>
      <c r="T218" s="13" t="n">
        <v>1.160388783699018</v>
      </c>
      <c r="U218" s="13" t="n">
        <v>0.7249089941089526</v>
      </c>
      <c r="V218" s="13" t="n">
        <v>-0.6335666414199692</v>
      </c>
      <c r="W218" s="13" t="n">
        <v>0.03784120604608532</v>
      </c>
      <c r="X218" s="13" t="n">
        <v>-0.4789605026005006</v>
      </c>
    </row>
    <row r="219">
      <c r="A219" t="inlineStr">
        <is>
          <t>RUT</t>
        </is>
      </c>
      <c r="B219" t="inlineStr">
        <is>
          <t>JET</t>
        </is>
      </c>
      <c r="C219" t="inlineStr">
        <is>
          <t>Ata Portföy Havacılık VE Savunma Teknolojileri Değişken Fon</t>
        </is>
      </c>
      <c r="D219" s="13" t="n">
        <v>0.4470951431744696</v>
      </c>
      <c r="E219" s="13" t="n">
        <v>-0.3000713490254214</v>
      </c>
      <c r="F219" s="13" t="n">
        <v>0.2878463593535496</v>
      </c>
      <c r="G219" s="13" t="n">
        <v>-0.9984000564167372</v>
      </c>
      <c r="H219" s="13" t="n">
        <v>-0.2985515840685737</v>
      </c>
      <c r="I219" s="13" t="n">
        <v>-2.201054534283098</v>
      </c>
      <c r="J219" s="13" t="n">
        <v>0.9310193682711132</v>
      </c>
      <c r="K219" s="13" t="n">
        <v>-1.681511247546441</v>
      </c>
      <c r="L219" s="13" t="n">
        <v>1.209487439035617</v>
      </c>
      <c r="M219" s="13" t="n">
        <v>0.4421992765334393</v>
      </c>
      <c r="N219" s="13" t="n">
        <v>2.242268764477795</v>
      </c>
      <c r="O219" s="13" t="n">
        <v>2.273484863576325</v>
      </c>
      <c r="P219" s="13" t="n">
        <v>0.1840444061234958</v>
      </c>
      <c r="Q219" s="13" t="n">
        <v>1.386999884211471</v>
      </c>
      <c r="R219" s="13" t="n">
        <v>-2.079204250113043</v>
      </c>
      <c r="S219" s="13" t="n">
        <v>-2.834401349072513</v>
      </c>
      <c r="T219" s="13" t="n">
        <v>-0.7252958691189026</v>
      </c>
      <c r="U219" s="13" t="n">
        <v>0.2084320227380365</v>
      </c>
      <c r="V219" s="13" t="n">
        <v>-1.127333792550755</v>
      </c>
      <c r="W219" s="13" t="n">
        <v>0.2220724638340998</v>
      </c>
      <c r="X219" s="13" t="n">
        <v>-0.1432980449403543</v>
      </c>
    </row>
    <row r="220">
      <c r="A220" t="inlineStr">
        <is>
          <t>RUT</t>
        </is>
      </c>
      <c r="B220" t="inlineStr">
        <is>
          <t>YJK</t>
        </is>
      </c>
      <c r="C220" t="inlineStr">
        <is>
          <t>Yapı Kredi Portföy Robotik VE Yarı İletken Teknolojileri Fon Sepeti Fonu</t>
        </is>
      </c>
      <c r="D220" s="13" t="n">
        <v>-0.9238090310141001</v>
      </c>
      <c r="E220" s="13" t="n">
        <v>1.084977693147238</v>
      </c>
      <c r="F220" s="13" t="n">
        <v>0.06048594054532952</v>
      </c>
      <c r="G220" s="13" t="n">
        <v>1.576864211064288</v>
      </c>
      <c r="H220" s="13" t="n">
        <v>-3.514892791631341</v>
      </c>
      <c r="I220" s="13" t="n">
        <v>-1.107759602995029</v>
      </c>
      <c r="J220" s="13" t="n">
        <v>0.943433424723783</v>
      </c>
      <c r="K220" s="13" t="n">
        <v>-1.428616070498523</v>
      </c>
      <c r="L220" s="13" t="n">
        <v>0.1625621055931559</v>
      </c>
      <c r="M220" s="13" t="n">
        <v>3.281853892872588</v>
      </c>
      <c r="N220" s="13" t="n">
        <v>0.2589849227939922</v>
      </c>
      <c r="O220" s="13" t="n">
        <v>-0.9494621503153389</v>
      </c>
      <c r="P220" s="13" t="n">
        <v>0.04447111263501391</v>
      </c>
      <c r="Q220" s="13" t="n">
        <v>-0.534787032819628</v>
      </c>
      <c r="R220" s="13" t="n">
        <v>-3.110130856218041</v>
      </c>
      <c r="S220" s="13" t="n">
        <v>-0.552485107209244</v>
      </c>
      <c r="T220" s="13" t="n">
        <v>2.453140122704389</v>
      </c>
      <c r="U220" s="13" t="n">
        <v>-0.365951773039741</v>
      </c>
      <c r="V220" s="13" t="n">
        <v>-1.235027862045002</v>
      </c>
      <c r="W220" s="13" t="n">
        <v>0.3293953565417063</v>
      </c>
      <c r="X220" s="13" t="n">
        <v>-2.022702147359967</v>
      </c>
    </row>
    <row r="221">
      <c r="A221" t="inlineStr">
        <is>
          <t>RUT</t>
        </is>
      </c>
      <c r="B221" t="inlineStr">
        <is>
          <t>RTG</t>
        </is>
      </c>
      <c r="C221" t="inlineStr">
        <is>
          <t>Ata Portföy Robotik Teknolojileri Değişken Fon</t>
        </is>
      </c>
      <c r="D221" s="13" t="n">
        <v>-1.047418604605044</v>
      </c>
      <c r="E221" s="13" t="n">
        <v>2.030601536338383</v>
      </c>
      <c r="F221" s="13" t="n">
        <v>-0.1357820914271501</v>
      </c>
      <c r="G221" s="13" t="n">
        <v>0.2527273230814586</v>
      </c>
      <c r="H221" s="13" t="n">
        <v>-3.400782424495952</v>
      </c>
      <c r="I221" s="13" t="n">
        <v>-1.401498543980018</v>
      </c>
      <c r="J221" s="13" t="n">
        <v>0.9834934560769337</v>
      </c>
      <c r="K221" s="13" t="n">
        <v>-1.33607836459223</v>
      </c>
      <c r="L221" s="13" t="n">
        <v>0.08640127328192193</v>
      </c>
      <c r="M221" s="13" t="n">
        <v>3.947380649398347</v>
      </c>
      <c r="N221" s="13" t="n">
        <v>-0.7543070620320225</v>
      </c>
      <c r="O221" s="13" t="n">
        <v>-1.816745905978179</v>
      </c>
      <c r="P221" s="13" t="n">
        <v>-1.417085840389798</v>
      </c>
      <c r="Q221" s="13" t="n">
        <v>2.49206004770437</v>
      </c>
      <c r="R221" s="13" t="n">
        <v>-4.558051557736764</v>
      </c>
      <c r="S221" s="13" t="n">
        <v>0.0631306902194817</v>
      </c>
      <c r="T221" s="13" t="n">
        <v>2.013818712118853</v>
      </c>
      <c r="U221" s="13" t="n">
        <v>0.05730581871545848</v>
      </c>
      <c r="V221" s="13" t="n">
        <v>-1.246826265120837</v>
      </c>
      <c r="W221" s="13" t="n">
        <v>0.2000167000842934</v>
      </c>
      <c r="X221" s="13" t="n">
        <v>-2.068524741752586</v>
      </c>
    </row>
    <row r="222">
      <c r="A222" t="inlineStr">
        <is>
          <t>RUT</t>
        </is>
      </c>
      <c r="B222" t="inlineStr">
        <is>
          <t>IRO</t>
        </is>
      </c>
      <c r="C222" t="inlineStr">
        <is>
          <t>İstanbul Portföy Robotik Teknolojileri Serbest Fon</t>
        </is>
      </c>
      <c r="D222" s="13" t="n">
        <v>-0.7513212802103708</v>
      </c>
      <c r="E222" s="13" t="n">
        <v>0.2030339231889888</v>
      </c>
      <c r="F222" s="13" t="n">
        <v>-0.1055286192478078</v>
      </c>
      <c r="G222" s="13" t="n">
        <v>0.8996248282221897</v>
      </c>
      <c r="H222" s="13" t="n">
        <v>-1.834686840934885</v>
      </c>
      <c r="I222" s="13" t="n">
        <v>-2.373612395542035</v>
      </c>
      <c r="J222" s="13" t="n">
        <v>10.05955911245591</v>
      </c>
      <c r="K222" s="13" t="n">
        <v>-1.621098076656491</v>
      </c>
      <c r="L222" s="13" t="n">
        <v>0.1906965975903008</v>
      </c>
      <c r="M222" s="13" t="n">
        <v>2.613164630230891</v>
      </c>
      <c r="N222" s="13" t="n">
        <v>0.6080204762364483</v>
      </c>
      <c r="O222" s="13" t="n">
        <v>-0.4050874214398648</v>
      </c>
      <c r="P222" s="13" t="n">
        <v>1.07885065681026</v>
      </c>
      <c r="Q222" s="13" t="n">
        <v>-1.15235705838278</v>
      </c>
      <c r="R222" s="13" t="n">
        <v>-2.79082932102922</v>
      </c>
      <c r="S222" s="13" t="n">
        <v>-1.600372402881589</v>
      </c>
      <c r="T222" s="13" t="n">
        <v>0.4656655095974793</v>
      </c>
      <c r="U222" s="13" t="n">
        <v>0.3551768142920686</v>
      </c>
      <c r="V222" s="13" t="n">
        <v>-1.33648760413565</v>
      </c>
      <c r="W222" s="13" t="n">
        <v>0.09432779533411484</v>
      </c>
      <c r="X222" s="13" t="n">
        <v>-0.8110831234257043</v>
      </c>
    </row>
    <row r="223">
      <c r="A223" s="14" t="inlineStr">
        <is>
          <t>RUT</t>
        </is>
      </c>
      <c r="B223" s="14" t="inlineStr">
        <is>
          <t>RUT</t>
        </is>
      </c>
      <c r="C223" s="14" t="inlineStr">
        <is>
          <t>BV Portföy Robotik VE Uzay Teknolojileri Değişken Fon</t>
        </is>
      </c>
      <c r="D223" s="15" t="n">
        <v>-0.3622821712958024</v>
      </c>
      <c r="E223" s="15" t="n">
        <v>0.5309396105486863</v>
      </c>
      <c r="F223" s="15" t="n">
        <v>0.5091957156396987</v>
      </c>
      <c r="G223" s="15" t="n">
        <v>-0.1452711958953468</v>
      </c>
      <c r="H223" s="15" t="n">
        <v>-2.559308316389985</v>
      </c>
      <c r="I223" s="15" t="n">
        <v>-1.971780996416705</v>
      </c>
      <c r="J223" s="15" t="n">
        <v>0.3020511205402254</v>
      </c>
      <c r="K223" s="15" t="n">
        <v>-1.1624936232006</v>
      </c>
      <c r="L223" s="15" t="n">
        <v>1.65182787136422</v>
      </c>
      <c r="M223" s="15" t="n">
        <v>1.777435992084242</v>
      </c>
      <c r="N223" s="15" t="n">
        <v>0.9438197357095168</v>
      </c>
      <c r="O223" s="15" t="n">
        <v>0.4820488212658791</v>
      </c>
      <c r="P223" s="15" t="n">
        <v>-1.054505984883647</v>
      </c>
      <c r="Q223" s="15" t="n">
        <v>1.058115228234402</v>
      </c>
      <c r="R223" s="15" t="n">
        <v>-1.569879109256211</v>
      </c>
      <c r="S223" s="15" t="n">
        <v>-1.517010205033142</v>
      </c>
      <c r="T223" s="15" t="n">
        <v>0.2161718160154091</v>
      </c>
      <c r="U223" s="15" t="n">
        <v>0.2605316973415039</v>
      </c>
      <c r="V223" s="15" t="n">
        <v>-1.605020865883156</v>
      </c>
      <c r="W223" s="15" t="n">
        <v>-0.004519024471127953</v>
      </c>
      <c r="X223" s="15" t="n">
        <v>-1.585420056088205</v>
      </c>
    </row>
    <row r="224">
      <c r="A224" t="inlineStr">
        <is>
          <t>RUT</t>
        </is>
      </c>
      <c r="B224" t="inlineStr">
        <is>
          <t>RBL</t>
        </is>
      </c>
      <c r="C224" t="inlineStr">
        <is>
          <t>Qnb Portföy Robotik VE Blockchain Teknolojileri Serbest Fon</t>
        </is>
      </c>
      <c r="D224" s="13" t="n">
        <v>-0.6419636737033607</v>
      </c>
      <c r="E224" s="13" t="n">
        <v>0.6489075629348307</v>
      </c>
      <c r="F224" s="13" t="n">
        <v>0.3352371956754086</v>
      </c>
      <c r="G224" s="13" t="n">
        <v>1.293978331107648</v>
      </c>
      <c r="H224" s="13" t="n">
        <v>-3.443149812919144</v>
      </c>
      <c r="I224" s="13" t="n">
        <v>-1.167847289213697</v>
      </c>
      <c r="J224" s="13" t="n">
        <v>-0.01498265977463165</v>
      </c>
      <c r="K224" s="13" t="n">
        <v>-1.849258467573112</v>
      </c>
      <c r="L224" s="13" t="n">
        <v>0.6928069429998907</v>
      </c>
      <c r="M224" s="13" t="n">
        <v>1.107564595392474</v>
      </c>
      <c r="N224" s="13" t="n">
        <v>0.4244116649805285</v>
      </c>
      <c r="O224" s="13" t="n">
        <v>-0.1995055731448203</v>
      </c>
      <c r="P224" s="13" t="n">
        <v>-0.924819115128761</v>
      </c>
      <c r="Q224" s="13" t="n">
        <v>1.059488955652155</v>
      </c>
      <c r="R224" s="13" t="n">
        <v>-1.769040716121129</v>
      </c>
      <c r="S224" s="13" t="n">
        <v>-1.522813964674441</v>
      </c>
      <c r="T224" s="13" t="n">
        <v>1.621218222390586</v>
      </c>
      <c r="U224" s="13" t="n">
        <v>0.4969657813462369</v>
      </c>
      <c r="V224" s="13" t="n">
        <v>-2.141979256458026</v>
      </c>
      <c r="W224" s="13" t="n">
        <v>0.1373012796979323</v>
      </c>
      <c r="X224" s="13" t="n">
        <v>-1.315967197298595</v>
      </c>
    </row>
    <row r="225">
      <c r="A225" t="inlineStr">
        <is>
          <t>Oyun</t>
        </is>
      </c>
      <c r="B225" t="inlineStr">
        <is>
          <t>IJB</t>
        </is>
      </c>
      <c r="C225" t="inlineStr">
        <is>
          <t>İŞ Portföy Dijital Oyun Sektörü Karma Fon</t>
        </is>
      </c>
      <c r="D225" s="13" t="n">
        <v>0.4287161012165086</v>
      </c>
      <c r="E225" s="13" t="n">
        <v>-0.8363935674985057</v>
      </c>
      <c r="F225" s="13" t="n">
        <v>-0.1077068716063612</v>
      </c>
      <c r="G225" s="13" t="n">
        <v>0.4503376764603217</v>
      </c>
      <c r="H225" s="13" t="n">
        <v>-0.8095832970182792</v>
      </c>
      <c r="I225" s="13" t="n">
        <v>-0.7768990461156866</v>
      </c>
      <c r="J225" s="13" t="n">
        <v>-0.4341633435359094</v>
      </c>
      <c r="K225" s="13" t="n">
        <v>0.0883001059323707</v>
      </c>
      <c r="L225" s="13" t="n">
        <v>2.601766903871749</v>
      </c>
      <c r="M225" s="13" t="n">
        <v>-0.1450248948147381</v>
      </c>
      <c r="N225" s="13" t="n">
        <v>0.8762994056502382</v>
      </c>
      <c r="O225" s="13" t="n">
        <v>1.277344980859341</v>
      </c>
      <c r="P225" s="13" t="n">
        <v>0.6439973977964142</v>
      </c>
      <c r="Q225" s="13" t="n">
        <v>0.5223724139745478</v>
      </c>
      <c r="R225" s="13" t="n">
        <v>0.5482678371073524</v>
      </c>
      <c r="S225" s="13" t="n">
        <v>-0.738648102987427</v>
      </c>
      <c r="T225" s="13" t="n">
        <v>-0.3359574993603842</v>
      </c>
      <c r="U225" s="13" t="n">
        <v>0.2724775028043025</v>
      </c>
      <c r="V225" s="13" t="n">
        <v>-0.3704998722414254</v>
      </c>
      <c r="W225" s="13" t="n">
        <v>-0.3906271219670354</v>
      </c>
      <c r="X225" s="13" t="n">
        <v>0.9029737815348771</v>
      </c>
    </row>
    <row r="226">
      <c r="A226" s="14" t="inlineStr">
        <is>
          <t>Oyun</t>
        </is>
      </c>
      <c r="B226" s="14" t="inlineStr">
        <is>
          <t>BTE</t>
        </is>
      </c>
      <c r="C226" s="14" t="inlineStr">
        <is>
          <t>BV Portföy Oyun VE Teknoloji Değişken Fon</t>
        </is>
      </c>
      <c r="D226" s="15" t="n">
        <v>-0.4911978916795512</v>
      </c>
      <c r="E226" s="15" t="n">
        <v>0.8118388814972066</v>
      </c>
      <c r="F226" s="15" t="n">
        <v>0.5569380110296507</v>
      </c>
      <c r="G226" s="15" t="n">
        <v>0.2898464904743436</v>
      </c>
      <c r="H226" s="15" t="n">
        <v>-2.195591598904745</v>
      </c>
      <c r="I226" s="15" t="n">
        <v>-1.093479251588469</v>
      </c>
      <c r="J226" s="15" t="n">
        <v>-0.4078841670429934</v>
      </c>
      <c r="K226" s="15" t="n">
        <v>-0.497821508563534</v>
      </c>
      <c r="L226" s="15" t="n">
        <v>2.499493356127469</v>
      </c>
      <c r="M226" s="15" t="n">
        <v>1.199404962011696</v>
      </c>
      <c r="N226" s="15" t="n">
        <v>0.8763311688042119</v>
      </c>
      <c r="O226" s="15" t="n">
        <v>0.3888527105871953</v>
      </c>
      <c r="P226" s="15" t="n">
        <v>-0.8825546458310352</v>
      </c>
      <c r="Q226" s="15" t="n">
        <v>1.38843784814886</v>
      </c>
      <c r="R226" s="15" t="n">
        <v>-0.08911335880243954</v>
      </c>
      <c r="S226" s="15" t="n">
        <v>-1.124956965679136</v>
      </c>
      <c r="T226" s="15" t="n">
        <v>0.8077177095685784</v>
      </c>
      <c r="U226" s="15" t="n">
        <v>0.1583808158240663</v>
      </c>
      <c r="V226" s="15" t="n">
        <v>-1.319062123900905</v>
      </c>
      <c r="W226" s="15" t="n">
        <v>-0.3335050258937988</v>
      </c>
      <c r="X226" s="15" t="n">
        <v>-0.09366892485584977</v>
      </c>
    </row>
    <row r="227">
      <c r="A227" t="inlineStr">
        <is>
          <t>Teknoloji</t>
        </is>
      </c>
      <c r="B227" t="inlineStr">
        <is>
          <t>HTJ</t>
        </is>
      </c>
      <c r="C227" t="inlineStr">
        <is>
          <t>Hedef Portföy Teknoloji Değişken Fon</t>
        </is>
      </c>
      <c r="D227" s="13" t="n">
        <v>-0.8169288048676115</v>
      </c>
      <c r="E227" s="13" t="n">
        <v>0.9193241801338292</v>
      </c>
      <c r="F227" s="13" t="n">
        <v>0.08547726692498259</v>
      </c>
      <c r="G227" s="13" t="n">
        <v>-0.1792036576919398</v>
      </c>
      <c r="H227" s="13" t="n">
        <v>-2.340299241303134</v>
      </c>
      <c r="I227" s="13" t="n">
        <v>-0.8743122340228671</v>
      </c>
      <c r="J227" s="13" t="n">
        <v>-0.8350212152415715</v>
      </c>
      <c r="K227" s="13" t="n">
        <v>-0.1643221095229852</v>
      </c>
      <c r="L227" s="13" t="n">
        <v>0.2704020817641428</v>
      </c>
      <c r="M227" s="13" t="n">
        <v>1.953908209118493</v>
      </c>
      <c r="N227" s="13" t="n">
        <v>0.4729940534588861</v>
      </c>
      <c r="O227" s="13" t="n">
        <v>-0.5488087055814606</v>
      </c>
      <c r="P227" s="13" t="n">
        <v>0.4724841321325668</v>
      </c>
      <c r="Q227" s="13" t="n">
        <v>1.565677215959971</v>
      </c>
      <c r="R227" s="13" t="n">
        <v>-0.8545772443715349</v>
      </c>
      <c r="S227" s="13" t="n">
        <v>-0.4602545987359319</v>
      </c>
      <c r="T227" s="13" t="n">
        <v>0.9157977851998123</v>
      </c>
      <c r="U227" s="13" t="n">
        <v>0.5487294747975602</v>
      </c>
      <c r="V227" s="13" t="n">
        <v>-0.007598362418181903</v>
      </c>
      <c r="W227" s="13" t="n">
        <v>-0.1549429217222897</v>
      </c>
      <c r="X227" s="13" t="n">
        <v>-0.6409747782497033</v>
      </c>
    </row>
    <row r="228">
      <c r="A228" t="inlineStr">
        <is>
          <t>Teknoloji</t>
        </is>
      </c>
      <c r="B228" t="inlineStr">
        <is>
          <t>KTJ</t>
        </is>
      </c>
      <c r="C228" t="inlineStr">
        <is>
          <t>Kuveyt Türk Portföy Teknoloji Katılım Fonu</t>
        </is>
      </c>
      <c r="D228" s="13" t="n">
        <v>0.1567988956140187</v>
      </c>
      <c r="E228" s="13" t="n">
        <v>1.786662532219618</v>
      </c>
      <c r="F228" s="13" t="n">
        <v>0.2534990832221196</v>
      </c>
      <c r="G228" s="13" t="n">
        <v>0.6555242484717283</v>
      </c>
      <c r="H228" s="13" t="n">
        <v>-2.955063472656205</v>
      </c>
      <c r="I228" s="13" t="n">
        <v>-2.050199638209216</v>
      </c>
      <c r="J228" s="13" t="n">
        <v>1.161089161738649</v>
      </c>
      <c r="K228" s="13" t="n">
        <v>-0.3131260608082331</v>
      </c>
      <c r="L228" s="13" t="n">
        <v>0.2557282981313413</v>
      </c>
      <c r="M228" s="13" t="n">
        <v>4.075051085879244</v>
      </c>
      <c r="N228" s="13" t="n">
        <v>-1.715053664046873</v>
      </c>
      <c r="O228" s="13" t="n">
        <v>-1.322104219017639</v>
      </c>
      <c r="P228" s="13" t="n">
        <v>-1.307490586729099</v>
      </c>
      <c r="Q228" s="13" t="n">
        <v>3.133746924964997</v>
      </c>
      <c r="R228" s="13" t="n">
        <v>-4.115743952240902</v>
      </c>
      <c r="S228" s="13" t="n">
        <v>0.5472385360522081</v>
      </c>
      <c r="T228" s="13" t="n">
        <v>2.191113840318382</v>
      </c>
      <c r="U228" s="13" t="n">
        <v>-0.9863921563455058</v>
      </c>
      <c r="V228" s="13" t="n">
        <v>-0.2179950955021326</v>
      </c>
      <c r="W228" s="13" t="n">
        <v>0.8379970527570446</v>
      </c>
      <c r="X228" s="13" t="n">
        <v>-1.941802767695866</v>
      </c>
    </row>
    <row r="229">
      <c r="A229" t="inlineStr">
        <is>
          <t>Teknoloji</t>
        </is>
      </c>
      <c r="B229" t="inlineStr">
        <is>
          <t>FBZ</t>
        </is>
      </c>
      <c r="C229" t="inlineStr">
        <is>
          <t>Fiba Portföy Teknoloji Serbest Fon</t>
        </is>
      </c>
      <c r="D229" s="13" t="n">
        <v>-0.3762086007676135</v>
      </c>
      <c r="E229" s="13" t="n">
        <v>-0.07538341845350072</v>
      </c>
      <c r="F229" s="13" t="n">
        <v>0.61546575576783</v>
      </c>
      <c r="G229" s="13" t="n">
        <v>0.6550182252408332</v>
      </c>
      <c r="H229" s="13" t="n">
        <v>-1.33324404947236</v>
      </c>
      <c r="I229" s="13" t="n">
        <v>-1.914669935845537</v>
      </c>
      <c r="J229" s="13" t="n">
        <v>-0.170932034628879</v>
      </c>
      <c r="K229" s="13" t="n">
        <v>-1.007614500042375</v>
      </c>
      <c r="L229" s="13" t="n">
        <v>0.2708568951553803</v>
      </c>
      <c r="M229" s="13" t="n">
        <v>1.374420894133022</v>
      </c>
      <c r="N229" s="13" t="n">
        <v>0.863487275062913</v>
      </c>
      <c r="O229" s="13" t="n">
        <v>-0.01939986137364791</v>
      </c>
      <c r="P229" s="13" t="n">
        <v>-1.259016867014895</v>
      </c>
      <c r="Q229" s="13" t="n">
        <v>0.7824504797209864</v>
      </c>
      <c r="R229" s="13" t="n">
        <v>-1.245519395949657</v>
      </c>
      <c r="S229" s="13" t="n">
        <v>-0.6210850161994741</v>
      </c>
      <c r="T229" s="13" t="n">
        <v>1.293054293401763</v>
      </c>
      <c r="U229" s="13" t="n">
        <v>0.3421044414646746</v>
      </c>
      <c r="V229" s="13" t="n">
        <v>-0.4837954704629777</v>
      </c>
      <c r="W229" s="13" t="n">
        <v>-0.248788044609205</v>
      </c>
      <c r="X229" s="13" t="n">
        <v>-0.7944516422707215</v>
      </c>
    </row>
    <row r="230">
      <c r="A230" t="inlineStr">
        <is>
          <t>Teknoloji</t>
        </is>
      </c>
      <c r="B230" t="inlineStr">
        <is>
          <t>TFF</t>
        </is>
      </c>
      <c r="C230" t="inlineStr">
        <is>
          <t>Teb Portföy Amerika Teknoloji Yabancı Byf Fon Sepeti Fonu</t>
        </is>
      </c>
      <c r="D230" s="13" t="n">
        <v>-1.113038163668956</v>
      </c>
      <c r="E230" s="13" t="n">
        <v>0.5560816301022564</v>
      </c>
      <c r="F230" s="13" t="n">
        <v>0.4775260797514447</v>
      </c>
      <c r="G230" s="13" t="n">
        <v>1.104498593652958</v>
      </c>
      <c r="H230" s="13" t="n">
        <v>-3.518575331849516</v>
      </c>
      <c r="I230" s="13" t="n">
        <v>-0.7177678204539961</v>
      </c>
      <c r="J230" s="13" t="n">
        <v>0.08529764948235208</v>
      </c>
      <c r="K230" s="13" t="n">
        <v>-1.220426651569984</v>
      </c>
      <c r="L230" s="13" t="n">
        <v>0.6451411750868941</v>
      </c>
      <c r="M230" s="13" t="n">
        <v>2.85596763122109</v>
      </c>
      <c r="N230" s="13" t="n">
        <v>0.07199472231951276</v>
      </c>
      <c r="O230" s="13" t="n">
        <v>-0.5862021524426941</v>
      </c>
      <c r="P230" s="13" t="n">
        <v>-1.626092045304128</v>
      </c>
      <c r="Q230" s="13" t="n">
        <v>1.32655321100581</v>
      </c>
      <c r="R230" s="13" t="n">
        <v>-2.072165130980042</v>
      </c>
      <c r="S230" s="13" t="n">
        <v>-0.2969415786694629</v>
      </c>
      <c r="T230" s="13" t="n">
        <v>2.565442468530921</v>
      </c>
      <c r="U230" s="13" t="n">
        <v>0.1165739725361492</v>
      </c>
      <c r="V230" s="13" t="n">
        <v>-0.5957450621306148</v>
      </c>
      <c r="W230" s="13" t="n">
        <v>0.1762668666864808</v>
      </c>
      <c r="X230" s="13" t="n">
        <v>-1.402214494706522</v>
      </c>
    </row>
    <row r="231">
      <c r="A231" t="inlineStr">
        <is>
          <t>Teknoloji</t>
        </is>
      </c>
      <c r="B231" t="inlineStr">
        <is>
          <t>ITP</t>
        </is>
      </c>
      <c r="C231" t="inlineStr">
        <is>
          <t>İŞ Portföy Teknoloji Karma Fon</t>
        </is>
      </c>
      <c r="D231" s="13" t="n">
        <v>-0.7340194837981318</v>
      </c>
      <c r="E231" s="13" t="n">
        <v>0.3421048227931545</v>
      </c>
      <c r="F231" s="13" t="n">
        <v>0.03509996054991138</v>
      </c>
      <c r="G231" s="13" t="n">
        <v>1.017895563850679</v>
      </c>
      <c r="H231" s="13" t="n">
        <v>-2.386703585582328</v>
      </c>
      <c r="I231" s="13" t="n">
        <v>-0.3050981811975939</v>
      </c>
      <c r="J231" s="13" t="n">
        <v>0.2014428565577875</v>
      </c>
      <c r="K231" s="13" t="n">
        <v>-0.7272106044029059</v>
      </c>
      <c r="L231" s="13" t="n">
        <v>0.8611302522532283</v>
      </c>
      <c r="M231" s="13" t="n">
        <v>1.51536944111399</v>
      </c>
      <c r="N231" s="13" t="n">
        <v>0.3223705917219544</v>
      </c>
      <c r="O231" s="13" t="n">
        <v>-0.07239934060860875</v>
      </c>
      <c r="P231" s="13" t="n">
        <v>0.2241634101355361</v>
      </c>
      <c r="Q231" s="13" t="n">
        <v>-0.1472997418424216</v>
      </c>
      <c r="R231" s="13" t="n">
        <v>-1.037887703871221</v>
      </c>
      <c r="S231" s="13" t="n">
        <v>-0.6070859896229353</v>
      </c>
      <c r="T231" s="13" t="n">
        <v>1.094160571858249</v>
      </c>
      <c r="U231" s="13" t="n">
        <v>0.4754819039839431</v>
      </c>
      <c r="V231" s="13" t="n">
        <v>-0.6886804545883418</v>
      </c>
      <c r="W231" s="13" t="n">
        <v>0.2762179428209333</v>
      </c>
      <c r="X231" s="13" t="n">
        <v>-0.3033961867487389</v>
      </c>
    </row>
    <row r="232">
      <c r="A232" t="inlineStr">
        <is>
          <t>Teknoloji</t>
        </is>
      </c>
      <c r="B232" t="inlineStr">
        <is>
          <t>CPU</t>
        </is>
      </c>
      <c r="C232" t="inlineStr">
        <is>
          <t>Aktif Portföy Teknoloji Katılım Fonu</t>
        </is>
      </c>
      <c r="D232" s="13" t="n">
        <v>-0.6948058311702532</v>
      </c>
      <c r="E232" s="13" t="n">
        <v>1.159242620062995</v>
      </c>
      <c r="F232" s="13" t="n">
        <v>0.4428318597920811</v>
      </c>
      <c r="G232" s="13" t="n">
        <v>1.127895308711735</v>
      </c>
      <c r="H232" s="13" t="n">
        <v>-2.745096226539123</v>
      </c>
      <c r="I232" s="13" t="n">
        <v>-1.362599630443861</v>
      </c>
      <c r="J232" s="13" t="n">
        <v>0.9096698531791514</v>
      </c>
      <c r="K232" s="13" t="n">
        <v>-1.221077014863292</v>
      </c>
      <c r="L232" s="13" t="n">
        <v>0.4491360897928454</v>
      </c>
      <c r="M232" s="13" t="n">
        <v>2.869890439767531</v>
      </c>
      <c r="N232" s="13" t="n">
        <v>-0.4729367979499188</v>
      </c>
      <c r="O232" s="13" t="n">
        <v>-0.8675890066048408</v>
      </c>
      <c r="P232" s="13" t="n">
        <v>-1.438555370196659</v>
      </c>
      <c r="Q232" s="13" t="n">
        <v>1.04275465118393</v>
      </c>
      <c r="R232" s="13" t="n">
        <v>-2.049359844513265</v>
      </c>
      <c r="S232" s="13" t="n">
        <v>-0.6140423124543326</v>
      </c>
      <c r="T232" s="13" t="n">
        <v>2.235203207454783</v>
      </c>
      <c r="U232" s="13" t="n">
        <v>-0.1189042629330839</v>
      </c>
      <c r="V232" s="13" t="n">
        <v>-0.74077680985426</v>
      </c>
      <c r="W232" s="13" t="n">
        <v>0.2640483790244286</v>
      </c>
      <c r="X232" s="13" t="n">
        <v>-1.450286306152015</v>
      </c>
    </row>
    <row r="233">
      <c r="A233" t="inlineStr">
        <is>
          <t>Teknoloji</t>
        </is>
      </c>
      <c r="B233" t="inlineStr">
        <is>
          <t>OJT</t>
        </is>
      </c>
      <c r="C233" t="inlineStr">
        <is>
          <t>Qnb Portföy Teknoloji Fon Sepeti Fonu</t>
        </is>
      </c>
      <c r="D233" s="13" t="n">
        <v>-0.9559033581897802</v>
      </c>
      <c r="E233" s="13" t="n">
        <v>0.9096638421400183</v>
      </c>
      <c r="F233" s="13" t="n">
        <v>0.2686030318348243</v>
      </c>
      <c r="G233" s="13" t="n">
        <v>0.7457446959238778</v>
      </c>
      <c r="H233" s="13" t="n">
        <v>-3.29737623746863</v>
      </c>
      <c r="I233" s="13" t="n">
        <v>-1.303274757327899</v>
      </c>
      <c r="J233" s="13" t="n">
        <v>0.08486316465365906</v>
      </c>
      <c r="K233" s="13" t="n">
        <v>-1.154527075976342</v>
      </c>
      <c r="L233" s="13" t="n">
        <v>0.4383465436588407</v>
      </c>
      <c r="M233" s="13" t="n">
        <v>2.184391703194621</v>
      </c>
      <c r="N233" s="13" t="n">
        <v>0.5506422213721551</v>
      </c>
      <c r="O233" s="13" t="n">
        <v>-0.2392131318721957</v>
      </c>
      <c r="P233" s="13" t="n">
        <v>-1.421154700184812</v>
      </c>
      <c r="Q233" s="13" t="n">
        <v>1.346294626897526</v>
      </c>
      <c r="R233" s="13" t="n">
        <v>-2.441639053758327</v>
      </c>
      <c r="S233" s="13" t="n">
        <v>-0.3490785048684608</v>
      </c>
      <c r="T233" s="13" t="n">
        <v>1.764297582320928</v>
      </c>
      <c r="U233" s="13" t="n">
        <v>0.275328403302888</v>
      </c>
      <c r="V233" s="13" t="n">
        <v>-0.888008959581521</v>
      </c>
      <c r="W233" s="13" t="n">
        <v>0.05647108620352448</v>
      </c>
      <c r="X233" s="13" t="n">
        <v>-1.313741712715366</v>
      </c>
    </row>
    <row r="234">
      <c r="A234" t="inlineStr">
        <is>
          <t>Teknoloji</t>
        </is>
      </c>
      <c r="B234" t="inlineStr">
        <is>
          <t>HOA</t>
        </is>
      </c>
      <c r="C234" t="inlineStr">
        <is>
          <t>Hsbc Portföy Teknoloji Değişken Fon</t>
        </is>
      </c>
      <c r="D234" s="13" t="n">
        <v>-1.07638987875851</v>
      </c>
      <c r="E234" s="13" t="n">
        <v>0.6233017702758303</v>
      </c>
      <c r="F234" s="13" t="n">
        <v>0.2393479915225871</v>
      </c>
      <c r="G234" s="13" t="n">
        <v>-0.04775529696039449</v>
      </c>
      <c r="H234" s="13" t="n">
        <v>-2.791548582582626</v>
      </c>
      <c r="I234" s="13" t="n">
        <v>-1.093486132932286</v>
      </c>
      <c r="J234" s="13" t="n">
        <v>-0.26927961332468</v>
      </c>
      <c r="K234" s="13" t="n">
        <v>-1.593209800305773</v>
      </c>
      <c r="L234" s="13" t="n">
        <v>1.063323350701961</v>
      </c>
      <c r="M234" s="13" t="n">
        <v>2.496948934803545</v>
      </c>
      <c r="N234" s="13" t="n">
        <v>-0.07645515466502273</v>
      </c>
      <c r="O234" s="13" t="n">
        <v>-0.6627002211788136</v>
      </c>
      <c r="P234" s="13" t="n">
        <v>-1.157886761957672</v>
      </c>
      <c r="Q234" s="13" t="n">
        <v>1.207220327290837</v>
      </c>
      <c r="R234" s="13" t="n">
        <v>-2.293917668046719</v>
      </c>
      <c r="S234" s="13" t="n">
        <v>0.1240203255533423</v>
      </c>
      <c r="T234" s="13" t="n">
        <v>1.899719579541359</v>
      </c>
      <c r="U234" s="13" t="n">
        <v>0.5672681228236831</v>
      </c>
      <c r="V234" s="13" t="n">
        <v>-0.9577410405885778</v>
      </c>
      <c r="W234" s="13" t="n">
        <v>-0.1881459571925537</v>
      </c>
      <c r="X234" s="13" t="n">
        <v>-1.24648153415724</v>
      </c>
    </row>
    <row r="235">
      <c r="A235" t="inlineStr">
        <is>
          <t>Teknoloji</t>
        </is>
      </c>
      <c r="B235" t="inlineStr">
        <is>
          <t>RTD</t>
        </is>
      </c>
      <c r="C235" t="inlineStr">
        <is>
          <t>Re-pıe Portföy Teknoloji Değişken Fon</t>
        </is>
      </c>
      <c r="D235" s="13" t="n">
        <v>0.09922463909932677</v>
      </c>
      <c r="E235" s="13" t="n">
        <v>0.9701057992416606</v>
      </c>
      <c r="F235" s="13" t="n">
        <v>-0.0008886631372662102</v>
      </c>
      <c r="G235" s="13" t="n">
        <v>0.3731950623566238</v>
      </c>
      <c r="H235" s="13" t="n">
        <v>-3.258895723817712</v>
      </c>
      <c r="I235" s="13" t="n">
        <v>-1.411081626941724</v>
      </c>
      <c r="J235" s="13" t="n">
        <v>0.3912990797216409</v>
      </c>
      <c r="K235" s="13" t="n">
        <v>-1.983179715989203</v>
      </c>
      <c r="L235" s="13" t="n">
        <v>0.6529194436431185</v>
      </c>
      <c r="M235" s="13" t="n">
        <v>4.282893338088689</v>
      </c>
      <c r="N235" s="13" t="n">
        <v>-1.611965545933469</v>
      </c>
      <c r="O235" s="13" t="n">
        <v>-1.943146054234623</v>
      </c>
      <c r="P235" s="13" t="n">
        <v>-0.2372628719643499</v>
      </c>
      <c r="Q235" s="13" t="n">
        <v>1.95456661052329</v>
      </c>
      <c r="R235" s="13" t="n">
        <v>-4.230683943618518</v>
      </c>
      <c r="S235" s="13" t="n">
        <v>0.02219787111845672</v>
      </c>
      <c r="T235" s="13" t="n">
        <v>2.221257117091202</v>
      </c>
      <c r="U235" s="13" t="n">
        <v>-0.8008833938787707</v>
      </c>
      <c r="V235" s="13" t="n">
        <v>-1.008541485834413</v>
      </c>
      <c r="W235" s="13" t="n">
        <v>0.3466744073070904</v>
      </c>
      <c r="X235" s="13" t="n">
        <v>-2.435573461392038</v>
      </c>
    </row>
    <row r="236">
      <c r="A236" t="inlineStr">
        <is>
          <t>Teknoloji</t>
        </is>
      </c>
      <c r="B236" t="inlineStr">
        <is>
          <t>AFT</t>
        </is>
      </c>
      <c r="C236" t="inlineStr">
        <is>
          <t>AK Portföy Yeni Teknolojiler Yabancı Hisse Senedi Fonu</t>
        </is>
      </c>
      <c r="D236" s="13" t="n">
        <v>-1.019823070997905</v>
      </c>
      <c r="E236" s="13" t="n">
        <v>-1.077084602150269</v>
      </c>
      <c r="F236" s="13" t="n">
        <v>-0.04809222097961197</v>
      </c>
      <c r="G236" s="13" t="n">
        <v>0.9585741261721736</v>
      </c>
      <c r="H236" s="13" t="n">
        <v>-2.963250557471142</v>
      </c>
      <c r="I236" s="13" t="n">
        <v>-0.3164881877928738</v>
      </c>
      <c r="J236" s="13" t="n">
        <v>-1.392190946033622</v>
      </c>
      <c r="K236" s="13" t="n">
        <v>-1.222968592848472</v>
      </c>
      <c r="L236" s="13" t="n">
        <v>2.265490005832427</v>
      </c>
      <c r="M236" s="13" t="n">
        <v>1.264623171503931</v>
      </c>
      <c r="N236" s="13" t="n">
        <v>0.8920666702458835</v>
      </c>
      <c r="O236" s="13" t="n">
        <v>-0.5281702999677562</v>
      </c>
      <c r="P236" s="13" t="n">
        <v>0.3580041139529255</v>
      </c>
      <c r="Q236" s="13" t="n">
        <v>0.005748604134403479</v>
      </c>
      <c r="R236" s="13" t="n">
        <v>-1.588613819477036</v>
      </c>
      <c r="S236" s="13" t="n">
        <v>0.1080066142103542</v>
      </c>
      <c r="T236" s="13" t="n">
        <v>1.970134496608411</v>
      </c>
      <c r="U236" s="13" t="n">
        <v>0.549523146659836</v>
      </c>
      <c r="V236" s="13" t="n">
        <v>-1.075967506795283</v>
      </c>
      <c r="W236" s="13" t="n">
        <v>0.1454899171617452</v>
      </c>
      <c r="X236" s="13" t="n">
        <v>-0.9163724018795283</v>
      </c>
    </row>
    <row r="237">
      <c r="A237" t="inlineStr">
        <is>
          <t>Teknoloji</t>
        </is>
      </c>
      <c r="B237" t="inlineStr">
        <is>
          <t>IRT</t>
        </is>
      </c>
      <c r="C237" t="inlineStr">
        <is>
          <t>Inveo Portföy Teknoloji Değişken Fon</t>
        </is>
      </c>
      <c r="D237" s="13" t="n">
        <v>-1.789175894439377</v>
      </c>
      <c r="E237" s="13" t="n">
        <v>1.845825510436172</v>
      </c>
      <c r="F237" s="13" t="n">
        <v>0.3075294011625207</v>
      </c>
      <c r="G237" s="13" t="n">
        <v>1.166418510458045</v>
      </c>
      <c r="H237" s="13" t="n">
        <v>-2.839900551514329</v>
      </c>
      <c r="I237" s="13" t="n">
        <v>-0.9974252985665566</v>
      </c>
      <c r="J237" s="13" t="n">
        <v>1.260347651674665</v>
      </c>
      <c r="K237" s="13" t="n">
        <v>-1.170732147180109</v>
      </c>
      <c r="L237" s="13" t="n">
        <v>0.1818212461953239</v>
      </c>
      <c r="M237" s="13" t="n">
        <v>1.29258761019857</v>
      </c>
      <c r="N237" s="13" t="n">
        <v>-0.2833611520364765</v>
      </c>
      <c r="O237" s="13" t="n">
        <v>-0.7571090746265163</v>
      </c>
      <c r="P237" s="13" t="n">
        <v>-1.765780339964329</v>
      </c>
      <c r="Q237" s="13" t="n">
        <v>1.351005038971853</v>
      </c>
      <c r="R237" s="13" t="n">
        <v>-2.668248436766274</v>
      </c>
      <c r="S237" s="13" t="n">
        <v>-1.2084580342692</v>
      </c>
      <c r="T237" s="13" t="n">
        <v>1.559545148921693</v>
      </c>
      <c r="U237" s="13" t="n">
        <v>0.02676223544875178</v>
      </c>
      <c r="V237" s="13" t="n">
        <v>-1.224622091050565</v>
      </c>
      <c r="W237" s="13" t="n">
        <v>0.5083829793047556</v>
      </c>
      <c r="X237" s="13" t="n">
        <v>-1.663841645091813</v>
      </c>
    </row>
    <row r="238">
      <c r="A238" s="14" t="inlineStr">
        <is>
          <t>Teknoloji</t>
        </is>
      </c>
      <c r="B238" s="14" t="inlineStr">
        <is>
          <t>MTD</t>
        </is>
      </c>
      <c r="C238" s="14" t="inlineStr">
        <is>
          <t>BV Portföy Malzeme Teknolojileri Değişken Fon</t>
        </is>
      </c>
      <c r="D238" s="15" t="n">
        <v>0.01119595841239107</v>
      </c>
      <c r="E238" s="15" t="n">
        <v>0.6203093419047123</v>
      </c>
      <c r="F238" s="15" t="n">
        <v>-0.7683585337862953</v>
      </c>
      <c r="G238" s="15" t="n">
        <v>-0.09100019582320984</v>
      </c>
      <c r="H238" s="15" t="n">
        <v>-2.656705175210028</v>
      </c>
      <c r="I238" s="15" t="n">
        <v>-2.677018996467284</v>
      </c>
      <c r="J238" s="15" t="n">
        <v>-1.265351391391611</v>
      </c>
      <c r="K238" s="15" t="n">
        <v>-0.4447194495733942</v>
      </c>
      <c r="L238" s="15" t="n">
        <v>-0.2484451542877353</v>
      </c>
      <c r="M238" s="15" t="n">
        <v>1.091330340704566</v>
      </c>
      <c r="N238" s="15" t="n">
        <v>1.404256642716706</v>
      </c>
      <c r="O238" s="15" t="n">
        <v>0.5312906116057503</v>
      </c>
      <c r="P238" s="15" t="n">
        <v>-0.8157680906209164</v>
      </c>
      <c r="Q238" s="15" t="n">
        <v>0.5955676876398419</v>
      </c>
      <c r="R238" s="15" t="n">
        <v>-2.246974004726998</v>
      </c>
      <c r="S238" s="15" t="n">
        <v>-1.55104809558031</v>
      </c>
      <c r="T238" s="15" t="n">
        <v>1.570467419135269</v>
      </c>
      <c r="U238" s="15" t="n">
        <v>1.268660464143689</v>
      </c>
      <c r="V238" s="15" t="n">
        <v>-1.293333669355667</v>
      </c>
      <c r="W238" s="15" t="n">
        <v>0.9268898537929005</v>
      </c>
      <c r="X238" s="15" t="n">
        <v>-2.470985505401413</v>
      </c>
    </row>
    <row r="239">
      <c r="A239" t="inlineStr">
        <is>
          <t>Teknoloji</t>
        </is>
      </c>
      <c r="B239" t="inlineStr">
        <is>
          <t>TEJ</t>
        </is>
      </c>
      <c r="C239" t="inlineStr">
        <is>
          <t>Azimut Portföy Teknoloji Fon Sepeti Fonu</t>
        </is>
      </c>
      <c r="D239" s="13" t="n">
        <v>-1.327215536514781</v>
      </c>
      <c r="E239" s="13" t="n">
        <v>0.7320944024456599</v>
      </c>
      <c r="F239" s="13" t="n">
        <v>0.03517892176054804</v>
      </c>
      <c r="G239" s="13" t="n">
        <v>1.636696093389434</v>
      </c>
      <c r="H239" s="13" t="n">
        <v>-3.488912735061156</v>
      </c>
      <c r="I239" s="13" t="n">
        <v>-0.8099642725624578</v>
      </c>
      <c r="J239" s="13" t="n">
        <v>0.2088938708853849</v>
      </c>
      <c r="K239" s="13" t="n">
        <v>-1.040445304258453</v>
      </c>
      <c r="L239" s="13" t="n">
        <v>0.4813608355318078</v>
      </c>
      <c r="M239" s="13" t="n">
        <v>2.373480093392755</v>
      </c>
      <c r="N239" s="13" t="n">
        <v>-0.09996519730167686</v>
      </c>
      <c r="O239" s="13" t="n">
        <v>-0.5746338353889935</v>
      </c>
      <c r="P239" s="13" t="n">
        <v>0.05837326459749992</v>
      </c>
      <c r="Q239" s="13" t="n">
        <v>-0.8037101651416911</v>
      </c>
      <c r="R239" s="13" t="n">
        <v>-1.8760466243817</v>
      </c>
      <c r="S239" s="13" t="n">
        <v>-0.3434282274043632</v>
      </c>
      <c r="T239" s="13" t="n">
        <v>2.463207619632835</v>
      </c>
      <c r="U239" s="13" t="n">
        <v>-0.1363600414852173</v>
      </c>
      <c r="V239" s="13" t="n">
        <v>-1.309237439191324</v>
      </c>
      <c r="W239" s="13" t="n">
        <v>0.0006845623953921631</v>
      </c>
      <c r="X239" s="13" t="n">
        <v>-1.46963130862714</v>
      </c>
    </row>
    <row r="240">
      <c r="A240" s="14" t="inlineStr">
        <is>
          <t>Teknoloji</t>
        </is>
      </c>
      <c r="B240" s="14" t="inlineStr">
        <is>
          <t>BVV</t>
        </is>
      </c>
      <c r="C240" s="14" t="inlineStr">
        <is>
          <t>BV Portföy Teknoloji Değişken Fon</t>
        </is>
      </c>
      <c r="D240" s="15" t="n">
        <v>-1.103419287653506</v>
      </c>
      <c r="E240" s="15" t="n">
        <v>0.9454418705323153</v>
      </c>
      <c r="F240" s="15" t="n">
        <v>0.6240664482763503</v>
      </c>
      <c r="G240" s="15" t="n">
        <v>0.6896294072148201</v>
      </c>
      <c r="H240" s="15" t="n">
        <v>-3.515145851742019</v>
      </c>
      <c r="I240" s="15" t="n">
        <v>-1.512095797876012</v>
      </c>
      <c r="J240" s="15" t="n">
        <v>0.9967967953492085</v>
      </c>
      <c r="K240" s="15" t="n">
        <v>-1.280921573945015</v>
      </c>
      <c r="L240" s="15" t="n">
        <v>1.711093899124205</v>
      </c>
      <c r="M240" s="15" t="n">
        <v>2.406084088306559</v>
      </c>
      <c r="N240" s="15" t="n">
        <v>0.1552962395528157</v>
      </c>
      <c r="O240" s="15" t="n">
        <v>-1.229793225111531</v>
      </c>
      <c r="P240" s="15" t="n">
        <v>-2.218328853112195</v>
      </c>
      <c r="Q240" s="15" t="n">
        <v>1.93653247876906</v>
      </c>
      <c r="R240" s="15" t="n">
        <v>-2.858258155284776</v>
      </c>
      <c r="S240" s="15" t="n">
        <v>-0.2365970958193575</v>
      </c>
      <c r="T240" s="15" t="n">
        <v>2.048298432867202</v>
      </c>
      <c r="U240" s="15" t="n">
        <v>-0.005854933038129673</v>
      </c>
      <c r="V240" s="15" t="n">
        <v>-1.782374534291353</v>
      </c>
      <c r="W240" s="15" t="n">
        <v>0.8062900276935014</v>
      </c>
      <c r="X240" s="15" t="n">
        <v>-1.205675334255119</v>
      </c>
    </row>
    <row r="241">
      <c r="A241" t="inlineStr">
        <is>
          <t>Teknoloji</t>
        </is>
      </c>
      <c r="B241" t="inlineStr">
        <is>
          <t>NTI</t>
        </is>
      </c>
      <c r="C241" t="inlineStr">
        <is>
          <t>Neo Portföy Teknoloji VE İnovasyon Değişken Fon</t>
        </is>
      </c>
      <c r="D241" s="13" t="n">
        <v>-1.552638441174681</v>
      </c>
      <c r="E241" s="13" t="n">
        <v>0.6416041010027351</v>
      </c>
      <c r="F241" s="13" t="n">
        <v>0.628665690182495</v>
      </c>
      <c r="G241" s="13" t="n">
        <v>0.7847450754614238</v>
      </c>
      <c r="H241" s="13" t="n">
        <v>-4.273711351663733</v>
      </c>
      <c r="I241" s="13" t="n">
        <v>-1.824628537859074</v>
      </c>
      <c r="J241" s="13" t="n">
        <v>1.128711817504535</v>
      </c>
      <c r="K241" s="13" t="n">
        <v>-1.787922533296626</v>
      </c>
      <c r="L241" s="13" t="n">
        <v>-0.01381174355402637</v>
      </c>
      <c r="M241" s="13" t="n">
        <v>2.903129387471748</v>
      </c>
      <c r="N241" s="13" t="n">
        <v>0.01122518886091939</v>
      </c>
      <c r="O241" s="13" t="n">
        <v>-1.377187653678147</v>
      </c>
      <c r="P241" s="13" t="n">
        <v>-3.384867004644954</v>
      </c>
      <c r="Q241" s="13" t="n">
        <v>2.272569956756332</v>
      </c>
      <c r="R241" s="13" t="n">
        <v>-4.494251276735461</v>
      </c>
      <c r="S241" s="13" t="n">
        <v>-0.1445911353077034</v>
      </c>
      <c r="T241" s="13" t="n">
        <v>3.294242592514185</v>
      </c>
      <c r="U241" s="13" t="n">
        <v>-0.3999963839410814</v>
      </c>
      <c r="V241" s="13" t="n">
        <v>-1.838405255145137</v>
      </c>
      <c r="W241" s="13" t="n">
        <v>0.4707054293861646</v>
      </c>
      <c r="X241" s="13" t="n">
        <v>-3.937033478497221</v>
      </c>
    </row>
    <row r="242">
      <c r="A242" t="inlineStr">
        <is>
          <t>Teknoloji</t>
        </is>
      </c>
      <c r="B242" t="inlineStr">
        <is>
          <t>GUH</t>
        </is>
      </c>
      <c r="C242" t="inlineStr">
        <is>
          <t>Garanti Portföy Yabancı Teknoloji Hisse Senedi Fonu</t>
        </is>
      </c>
      <c r="D242" s="13" t="n">
        <v>-1.110843932224348</v>
      </c>
      <c r="E242" s="13" t="n">
        <v>1.061011988762428</v>
      </c>
      <c r="F242" s="13" t="n">
        <v>0.5493195269450135</v>
      </c>
      <c r="G242" s="13" t="n">
        <v>0.7659569013037215</v>
      </c>
      <c r="H242" s="13" t="n">
        <v>-4.248696533489394</v>
      </c>
      <c r="I242" s="13" t="n">
        <v>-0.5292422977530409</v>
      </c>
      <c r="J242" s="13" t="n">
        <v>0.6460388380205462</v>
      </c>
      <c r="K242" s="13" t="n">
        <v>-2.04180039415971</v>
      </c>
      <c r="L242" s="13" t="n">
        <v>0.7595908505882099</v>
      </c>
      <c r="M242" s="13" t="n">
        <v>4.092471662849539</v>
      </c>
      <c r="N242" s="13" t="n">
        <v>-0.5797681788433096</v>
      </c>
      <c r="O242" s="13" t="n">
        <v>-1.648538446047343</v>
      </c>
      <c r="P242" s="13" t="n">
        <v>-2.390849644421944</v>
      </c>
      <c r="Q242" s="13" t="n">
        <v>2.811443368498945</v>
      </c>
      <c r="R242" s="13" t="n">
        <v>-3.184106890158955</v>
      </c>
      <c r="S242" s="13" t="n">
        <v>0.2032713774865025</v>
      </c>
      <c r="T242" s="13" t="n">
        <v>3.234889038149724</v>
      </c>
      <c r="U242" s="13" t="n">
        <v>0.1211436132342314</v>
      </c>
      <c r="V242" s="13" t="n">
        <v>-1.913634812137333</v>
      </c>
      <c r="W242" s="13" t="n">
        <v>1.325035133507324</v>
      </c>
      <c r="X242" s="13" t="n">
        <v>-2.439953327609368</v>
      </c>
    </row>
    <row r="243">
      <c r="A243" t="inlineStr">
        <is>
          <t>Teknoloji</t>
        </is>
      </c>
      <c r="B243" t="inlineStr">
        <is>
          <t>YAY</t>
        </is>
      </c>
      <c r="C243" t="inlineStr">
        <is>
          <t>Yapı Kredi Portföy Yabancı Teknoloji Sektörü Hisse Senedi Fonu</t>
        </is>
      </c>
      <c r="D243" s="13" t="n">
        <v>-0.7705250870252867</v>
      </c>
      <c r="E243" s="13" t="n">
        <v>1.154661501781984</v>
      </c>
      <c r="F243" s="13" t="n">
        <v>-0.04082926837126744</v>
      </c>
      <c r="G243" s="13" t="n">
        <v>1.184409091398431</v>
      </c>
      <c r="H243" s="13" t="n">
        <v>-4.630208889776122</v>
      </c>
      <c r="I243" s="13" t="n">
        <v>-0.6570091646969423</v>
      </c>
      <c r="J243" s="13" t="n">
        <v>0.6273949125599199</v>
      </c>
      <c r="K243" s="13" t="n">
        <v>-1.337944543302583</v>
      </c>
      <c r="L243" s="13" t="n">
        <v>1.036736481524492</v>
      </c>
      <c r="M243" s="13" t="n">
        <v>3.499027202894034</v>
      </c>
      <c r="N243" s="13" t="n">
        <v>-0.3315838551075978</v>
      </c>
      <c r="O243" s="13" t="n">
        <v>-1.183881362242734</v>
      </c>
      <c r="P243" s="13" t="n">
        <v>0.1996196840750031</v>
      </c>
      <c r="Q243" s="13" t="n">
        <v>-0.7624329888596071</v>
      </c>
      <c r="R243" s="13" t="n">
        <v>-2.883522476900358</v>
      </c>
      <c r="S243" s="13" t="n">
        <v>0.5514859108109116</v>
      </c>
      <c r="T243" s="13" t="n">
        <v>3.680139917326386</v>
      </c>
      <c r="U243" s="13" t="n">
        <v>-0.7786709223718491</v>
      </c>
      <c r="V243" s="13" t="n">
        <v>-2.009680094330346</v>
      </c>
      <c r="W243" s="13" t="n">
        <v>0.892945679929591</v>
      </c>
      <c r="X243" s="13" t="n">
        <v>-3.677435189487921</v>
      </c>
    </row>
    <row r="244">
      <c r="A244" s="14" t="inlineStr">
        <is>
          <t>Teknoloji</t>
        </is>
      </c>
      <c r="B244" s="14" t="inlineStr">
        <is>
          <t>BTK</t>
        </is>
      </c>
      <c r="C244" s="14" t="inlineStr">
        <is>
          <t>BV Portföy Teknoloji Katılım Fonu</t>
        </is>
      </c>
      <c r="D244" s="15" t="n">
        <v>-1.665440020579068</v>
      </c>
      <c r="E244" s="15" t="n">
        <v>1.080290927675609</v>
      </c>
      <c r="F244" s="15" t="n">
        <v>0.8168952827232845</v>
      </c>
      <c r="G244" s="15" t="n">
        <v>0.8235866664527469</v>
      </c>
      <c r="H244" s="15" t="n">
        <v>-4.035201559694068</v>
      </c>
      <c r="I244" s="15" t="n">
        <v>-0.9661752675836355</v>
      </c>
      <c r="J244" s="15" t="n">
        <v>1.104341959041122</v>
      </c>
      <c r="K244" s="15" t="n">
        <v>-1.139569859760359</v>
      </c>
      <c r="L244" s="15" t="n">
        <v>0.8641415385417295</v>
      </c>
      <c r="M244" s="15" t="n">
        <v>1.896351174047384</v>
      </c>
      <c r="N244" s="15" t="n">
        <v>-0.0529419932026598</v>
      </c>
      <c r="O244" s="15" t="n">
        <v>-1.546036518521698</v>
      </c>
      <c r="P244" s="15" t="n">
        <v>-1.556694984712181</v>
      </c>
      <c r="Q244" s="15" t="n">
        <v>1.940323341523964</v>
      </c>
      <c r="R244" s="15" t="n">
        <v>-2.722676191774509</v>
      </c>
      <c r="S244" s="15" t="n">
        <v>-0.6935930154297387</v>
      </c>
      <c r="T244" s="15" t="n">
        <v>1.840351034841503</v>
      </c>
      <c r="U244" s="15" t="n">
        <v>-0.2045579386127372</v>
      </c>
      <c r="V244" s="15" t="n">
        <v>-2.052823355948064</v>
      </c>
      <c r="W244" s="15" t="n">
        <v>0.4294805738867424</v>
      </c>
      <c r="X244" s="15" t="n">
        <v>-1.56644526999612</v>
      </c>
    </row>
    <row r="245">
      <c r="A245" s="14" t="inlineStr">
        <is>
          <t>Tüm Teknoloji</t>
        </is>
      </c>
      <c r="B245" s="14" t="inlineStr">
        <is>
          <t>SPR</t>
        </is>
      </c>
      <c r="C245" s="14" t="inlineStr">
        <is>
          <t>BV Portföy Spor Endüstrisi Değişken Fon</t>
        </is>
      </c>
      <c r="D245" s="15" t="n">
        <v>-0.7952212342361875</v>
      </c>
      <c r="E245" s="15" t="n">
        <v>-0.7997594524329465</v>
      </c>
      <c r="F245" s="15" t="n">
        <v>0.1114483269253785</v>
      </c>
      <c r="G245" s="15" t="n">
        <v>-0.89852928713956</v>
      </c>
      <c r="H245" s="15" t="n">
        <v>-1.204029705825871</v>
      </c>
      <c r="I245" s="15" t="n">
        <v>-0.1329809207787802</v>
      </c>
      <c r="J245" s="15" t="n">
        <v>1.160129186893144</v>
      </c>
      <c r="K245" s="15" t="n">
        <v>-0.2896658833719035</v>
      </c>
      <c r="L245" s="15" t="n">
        <v>1.561350253949856</v>
      </c>
      <c r="M245" s="15" t="n">
        <v>-1.03125610500846</v>
      </c>
      <c r="N245" s="15" t="n">
        <v>0.4756931006237419</v>
      </c>
      <c r="O245" s="15" t="n">
        <v>1.537348931644589</v>
      </c>
      <c r="P245" s="15" t="n">
        <v>0.9916579762651034</v>
      </c>
      <c r="Q245" s="15" t="n">
        <v>0.1634523057938431</v>
      </c>
      <c r="R245" s="15" t="n">
        <v>1.598872234806481</v>
      </c>
      <c r="S245" s="15" t="n">
        <v>-1.434513715119234</v>
      </c>
      <c r="T245" s="15" t="n">
        <v>0.1372372376888809</v>
      </c>
      <c r="U245" s="15" t="n">
        <v>0.8825214641505763</v>
      </c>
      <c r="V245" s="15" t="n">
        <v>1.31108515689029</v>
      </c>
      <c r="W245" s="15" t="n">
        <v>-0.7808206294764863</v>
      </c>
      <c r="X245" s="15" t="n">
        <v>0.2154953764763379</v>
      </c>
    </row>
    <row r="246">
      <c r="A246" t="inlineStr">
        <is>
          <t>Tüm Teknoloji</t>
        </is>
      </c>
      <c r="B246" t="inlineStr">
        <is>
          <t>TAR</t>
        </is>
      </c>
      <c r="C246" t="inlineStr">
        <is>
          <t>AK Portföy Tarım VE Gıda Teknolojileri Değişken Fon</t>
        </is>
      </c>
      <c r="D246" s="13" t="n">
        <v>0.6252565524863529</v>
      </c>
      <c r="E246" s="13" t="n">
        <v>0.1539096797349426</v>
      </c>
      <c r="F246" s="13" t="n">
        <v>-0.1187908058238873</v>
      </c>
      <c r="G246" s="13" t="n">
        <v>-0.1143641639020476</v>
      </c>
      <c r="H246" s="13" t="n">
        <v>-0.09524629127736217</v>
      </c>
      <c r="I246" s="13" t="n">
        <v>-0.06150511932326852</v>
      </c>
      <c r="J246" s="13" t="n">
        <v>1.353279141096619</v>
      </c>
      <c r="K246" s="13" t="n">
        <v>0.6936518774696365</v>
      </c>
      <c r="L246" s="13" t="n">
        <v>0.3840539087164974</v>
      </c>
      <c r="M246" s="13" t="n">
        <v>0.6205568184635579</v>
      </c>
      <c r="N246" s="13" t="n">
        <v>-0.5513324034723932</v>
      </c>
      <c r="O246" s="13" t="n">
        <v>0.9582086036092674</v>
      </c>
      <c r="P246" s="13" t="n">
        <v>0.6339362909516977</v>
      </c>
      <c r="Q246" s="13" t="n">
        <v>-0.3016385630410623</v>
      </c>
      <c r="R246" s="13" t="n">
        <v>0.9050871503769375</v>
      </c>
      <c r="S246" s="13" t="n">
        <v>-0.8472939527031875</v>
      </c>
      <c r="T246" s="13" t="n">
        <v>-0.5310529718325352</v>
      </c>
      <c r="U246" s="13" t="n">
        <v>0.2109764996516716</v>
      </c>
      <c r="V246" s="13" t="n">
        <v>0.5964144366631841</v>
      </c>
      <c r="W246" s="13" t="n">
        <v>0.2978581552459669</v>
      </c>
      <c r="X246" s="13" t="n">
        <v>0.8915185584586149</v>
      </c>
    </row>
    <row r="247">
      <c r="A247" t="inlineStr">
        <is>
          <t>Tüm Teknoloji</t>
        </is>
      </c>
      <c r="B247" t="inlineStr">
        <is>
          <t>ZMY</t>
        </is>
      </c>
      <c r="C247" t="inlineStr">
        <is>
          <t>Ziraat Portföy Metaverse VE Yeni Teknolojiler Değişken Fon</t>
        </is>
      </c>
      <c r="D247" s="13" t="n">
        <v>0.2842269744017356</v>
      </c>
      <c r="E247" s="13" t="n">
        <v>-0.5113497981887316</v>
      </c>
      <c r="F247" s="13" t="n">
        <v>0.5929985206773569</v>
      </c>
      <c r="G247" s="13" t="n">
        <v>-1.254381892229595</v>
      </c>
      <c r="H247" s="13" t="n">
        <v>-0.820060372852538</v>
      </c>
      <c r="I247" s="13" t="n">
        <v>-0.581994227464866</v>
      </c>
      <c r="J247" s="13" t="n">
        <v>-1.106188140952646</v>
      </c>
      <c r="K247" s="13" t="n">
        <v>-0.5894089551910509</v>
      </c>
      <c r="L247" s="13" t="n">
        <v>0.902628847924225</v>
      </c>
      <c r="M247" s="13" t="n">
        <v>0.8527430892063759</v>
      </c>
      <c r="N247" s="13" t="n">
        <v>1.023375631302637</v>
      </c>
      <c r="O247" s="13" t="n">
        <v>-0.1338001800151534</v>
      </c>
      <c r="P247" s="13" t="n">
        <v>-0.3995602823476885</v>
      </c>
      <c r="Q247" s="13" t="n">
        <v>1.033158715481997</v>
      </c>
      <c r="R247" s="13" t="n">
        <v>-0.4055368278200744</v>
      </c>
      <c r="S247" s="13" t="n">
        <v>-0.1146852845966717</v>
      </c>
      <c r="T247" s="13" t="n">
        <v>0.09519513974254323</v>
      </c>
      <c r="U247" s="13" t="n">
        <v>0.9346547035168129</v>
      </c>
      <c r="V247" s="13" t="n">
        <v>0.09815842443658962</v>
      </c>
      <c r="W247" s="13" t="n">
        <v>-0.6505897119286841</v>
      </c>
      <c r="X247" s="13" t="n">
        <v>-1.253822388953685</v>
      </c>
    </row>
    <row r="248">
      <c r="A248" t="inlineStr">
        <is>
          <t>Tüm Teknoloji</t>
        </is>
      </c>
      <c r="B248" t="inlineStr">
        <is>
          <t>YHZ</t>
        </is>
      </c>
      <c r="C248" t="inlineStr">
        <is>
          <t>Yapı Kredi Portföy Bıst Teknoloji Ağırlık Sınırlamalı Endeksi Hisse Senedi Fonu ( Hisse Senedi Yoğun Fon)</t>
        </is>
      </c>
      <c r="D248" s="13" t="n">
        <v>0.2898893414338355</v>
      </c>
      <c r="E248" s="13" t="n">
        <v>-0.2846614626134225</v>
      </c>
      <c r="F248" s="13" t="n">
        <v>-0.2630214404082731</v>
      </c>
      <c r="G248" s="13" t="n">
        <v>-0.470660608666662</v>
      </c>
      <c r="H248" s="13" t="n">
        <v>-0.5327475140666782</v>
      </c>
      <c r="I248" s="13" t="n">
        <v>-2.18398937041363</v>
      </c>
      <c r="J248" s="13" t="n">
        <v>0.7237978893647634</v>
      </c>
      <c r="K248" s="13" t="n">
        <v>-0.2851626773878069</v>
      </c>
      <c r="L248" s="13" t="n">
        <v>1.055744879346765</v>
      </c>
      <c r="M248" s="13" t="n">
        <v>-1.059568656063936</v>
      </c>
      <c r="N248" s="13" t="n">
        <v>2.578629512153263</v>
      </c>
      <c r="O248" s="13" t="n">
        <v>0.6211236434303657</v>
      </c>
      <c r="P248" s="13" t="n">
        <v>-0.6461428361809074</v>
      </c>
      <c r="Q248" s="13" t="n">
        <v>-0.2954189975014065</v>
      </c>
      <c r="R248" s="13" t="n">
        <v>-0.1544922955250883</v>
      </c>
      <c r="S248" s="13" t="n">
        <v>-1.099581570356134</v>
      </c>
      <c r="T248" s="13" t="n">
        <v>-1.878099728610971</v>
      </c>
      <c r="U248" s="13" t="n">
        <v>1.099036796449693</v>
      </c>
      <c r="V248" s="13" t="n">
        <v>0.06743806856310819</v>
      </c>
      <c r="W248" s="13" t="n">
        <v>-0.3248896488646791</v>
      </c>
      <c r="X248" s="13" t="n">
        <v>1.224401862335567</v>
      </c>
    </row>
    <row r="249">
      <c r="A249" t="inlineStr">
        <is>
          <t>Tüm Teknoloji</t>
        </is>
      </c>
      <c r="B249" t="inlineStr">
        <is>
          <t>KIB</t>
        </is>
      </c>
      <c r="C249" t="inlineStr">
        <is>
          <t>Trıve Portföy Robotik Teknolojileri Değişken Fon</t>
        </is>
      </c>
      <c r="D249" s="13" t="n">
        <v>-0.6281486589599372</v>
      </c>
      <c r="E249" s="13" t="n">
        <v>0.1840046774115089</v>
      </c>
      <c r="F249" s="13" t="n">
        <v>0.1767979639453188</v>
      </c>
      <c r="G249" s="13" t="n">
        <v>0.124481738533766</v>
      </c>
      <c r="H249" s="13" t="n">
        <v>-1.245439917591173</v>
      </c>
      <c r="I249" s="13" t="n">
        <v>-1.187406894285137</v>
      </c>
      <c r="J249" s="13" t="n">
        <v>-0.2134747305866713</v>
      </c>
      <c r="K249" s="13" t="n">
        <v>-0.5789941583028257</v>
      </c>
      <c r="L249" s="13" t="n">
        <v>0.8068338651534113</v>
      </c>
      <c r="M249" s="13" t="n">
        <v>-0.008005491173945778</v>
      </c>
      <c r="N249" s="13" t="n">
        <v>1.191875851578184</v>
      </c>
      <c r="O249" s="13" t="n">
        <v>0.3279503566673725</v>
      </c>
      <c r="P249" s="13" t="n">
        <v>0.859497799960196</v>
      </c>
      <c r="Q249" s="13" t="n">
        <v>-0.2693131428916251</v>
      </c>
      <c r="R249" s="13" t="n">
        <v>-0.8728160543371555</v>
      </c>
      <c r="S249" s="13" t="n">
        <v>-0.9344478065460571</v>
      </c>
      <c r="T249" s="13" t="n">
        <v>-0.3549460706200991</v>
      </c>
      <c r="U249" s="13" t="n">
        <v>1.761393169760916</v>
      </c>
      <c r="V249" s="13" t="n">
        <v>0.005248848898276037</v>
      </c>
      <c r="W249" s="13" t="n">
        <v>1.629341858053301</v>
      </c>
      <c r="X249" s="13" t="n">
        <v>-0.4296516546011708</v>
      </c>
    </row>
    <row r="250">
      <c r="A250" t="inlineStr">
        <is>
          <t>Tüm Teknoloji</t>
        </is>
      </c>
      <c r="B250" t="inlineStr">
        <is>
          <t>HTJ</t>
        </is>
      </c>
      <c r="C250" t="inlineStr">
        <is>
          <t>Hedef Portföy Teknoloji Değişken Fon</t>
        </is>
      </c>
      <c r="D250" s="13" t="n">
        <v>-0.8169288048676115</v>
      </c>
      <c r="E250" s="13" t="n">
        <v>0.9193241801338292</v>
      </c>
      <c r="F250" s="13" t="n">
        <v>0.08547726692498259</v>
      </c>
      <c r="G250" s="13" t="n">
        <v>-0.1792036576919398</v>
      </c>
      <c r="H250" s="13" t="n">
        <v>-2.340299241303134</v>
      </c>
      <c r="I250" s="13" t="n">
        <v>-0.8743122340228671</v>
      </c>
      <c r="J250" s="13" t="n">
        <v>-0.8350212152415715</v>
      </c>
      <c r="K250" s="13" t="n">
        <v>-0.1643221095229852</v>
      </c>
      <c r="L250" s="13" t="n">
        <v>0.2704020817641428</v>
      </c>
      <c r="M250" s="13" t="n">
        <v>1.953908209118493</v>
      </c>
      <c r="N250" s="13" t="n">
        <v>0.4729940534588861</v>
      </c>
      <c r="O250" s="13" t="n">
        <v>-0.5488087055814606</v>
      </c>
      <c r="P250" s="13" t="n">
        <v>0.4724841321325668</v>
      </c>
      <c r="Q250" s="13" t="n">
        <v>1.565677215959971</v>
      </c>
      <c r="R250" s="13" t="n">
        <v>-0.8545772443715349</v>
      </c>
      <c r="S250" s="13" t="n">
        <v>-0.4602545987359319</v>
      </c>
      <c r="T250" s="13" t="n">
        <v>0.9157977851998123</v>
      </c>
      <c r="U250" s="13" t="n">
        <v>0.5487294747975602</v>
      </c>
      <c r="V250" s="13" t="n">
        <v>-0.007598362418181903</v>
      </c>
      <c r="W250" s="13" t="n">
        <v>-0.1549429217222897</v>
      </c>
      <c r="X250" s="13" t="n">
        <v>-0.6409747782497033</v>
      </c>
    </row>
    <row r="251">
      <c r="A251" t="inlineStr">
        <is>
          <t>Tüm Teknoloji</t>
        </is>
      </c>
      <c r="B251" t="inlineStr">
        <is>
          <t>MTV</t>
        </is>
      </c>
      <c r="C251" t="inlineStr">
        <is>
          <t>AK Portföy Metaverse VE Dijital Yaşam Teknolojileri Değişken Fon</t>
        </is>
      </c>
      <c r="D251" s="13" t="n">
        <v>-0.4957318585584236</v>
      </c>
      <c r="E251" s="13" t="n">
        <v>0.3451291507315046</v>
      </c>
      <c r="F251" s="13" t="n">
        <v>-0.2008865399401261</v>
      </c>
      <c r="G251" s="13" t="n">
        <v>0.7381803158103883</v>
      </c>
      <c r="H251" s="13" t="n">
        <v>-2.470977708284949</v>
      </c>
      <c r="I251" s="13" t="n">
        <v>-0.7259821717612303</v>
      </c>
      <c r="J251" s="13" t="n">
        <v>-0.3830184596990582</v>
      </c>
      <c r="K251" s="13" t="n">
        <v>-0.6723769412941727</v>
      </c>
      <c r="L251" s="13" t="n">
        <v>1.669522614988717</v>
      </c>
      <c r="M251" s="13" t="n">
        <v>0.6141491974609892</v>
      </c>
      <c r="N251" s="13" t="n">
        <v>1.457623404561126</v>
      </c>
      <c r="O251" s="13" t="n">
        <v>0.574415584341903</v>
      </c>
      <c r="P251" s="13" t="n">
        <v>0.04285580235408037</v>
      </c>
      <c r="Q251" s="13" t="n">
        <v>0.305313121227524</v>
      </c>
      <c r="R251" s="13" t="n">
        <v>-0.5129531299922885</v>
      </c>
      <c r="S251" s="13" t="n">
        <v>-0.3032408096316885</v>
      </c>
      <c r="T251" s="13" t="n">
        <v>0.1308927478653965</v>
      </c>
      <c r="U251" s="13" t="n">
        <v>1.35748237059774</v>
      </c>
      <c r="V251" s="13" t="n">
        <v>-0.1502674637990808</v>
      </c>
      <c r="W251" s="13" t="n">
        <v>-0.1925356140547452</v>
      </c>
      <c r="X251" s="13" t="n">
        <v>0.4781299805206363</v>
      </c>
    </row>
    <row r="252">
      <c r="A252" t="inlineStr">
        <is>
          <t>Tüm Teknoloji</t>
        </is>
      </c>
      <c r="B252" t="inlineStr">
        <is>
          <t>DTZ</t>
        </is>
      </c>
      <c r="C252" t="inlineStr">
        <is>
          <t>AK Portföy Robotik Teknolojiler Değişken Fon</t>
        </is>
      </c>
      <c r="D252" s="13" t="n">
        <v>-1.143886243708703</v>
      </c>
      <c r="E252" s="13" t="n">
        <v>-1.063452370130735</v>
      </c>
      <c r="F252" s="13" t="n">
        <v>0.1047180678851678</v>
      </c>
      <c r="G252" s="13" t="n">
        <v>0.5370578223268918</v>
      </c>
      <c r="H252" s="13" t="n">
        <v>-2.269829683410463</v>
      </c>
      <c r="I252" s="13" t="n">
        <v>-0.7785942370185928</v>
      </c>
      <c r="J252" s="13" t="n">
        <v>-1.305514989509771</v>
      </c>
      <c r="K252" s="13" t="n">
        <v>-0.7040811322986062</v>
      </c>
      <c r="L252" s="13" t="n">
        <v>1.532058741021958</v>
      </c>
      <c r="M252" s="13" t="n">
        <v>0.6341647038051068</v>
      </c>
      <c r="N252" s="13" t="n">
        <v>1.577614157101026</v>
      </c>
      <c r="O252" s="13" t="n">
        <v>0.385199294854166</v>
      </c>
      <c r="P252" s="13" t="n">
        <v>-0.3999718004346953</v>
      </c>
      <c r="Q252" s="13" t="n">
        <v>0.1208892941193085</v>
      </c>
      <c r="R252" s="13" t="n">
        <v>-0.2570638641539835</v>
      </c>
      <c r="S252" s="13" t="n">
        <v>-0.3806229482200552</v>
      </c>
      <c r="T252" s="13" t="n">
        <v>0.6127706648304532</v>
      </c>
      <c r="U252" s="13" t="n">
        <v>1.481605186816748</v>
      </c>
      <c r="V252" s="13" t="n">
        <v>-0.169741087264208</v>
      </c>
      <c r="W252" s="13" t="n">
        <v>-0.3998448575136204</v>
      </c>
      <c r="X252" s="13" t="n">
        <v>0.3408108467135129</v>
      </c>
    </row>
    <row r="253">
      <c r="A253" t="inlineStr">
        <is>
          <t>Tüm Teknoloji</t>
        </is>
      </c>
      <c r="B253" t="inlineStr">
        <is>
          <t>KTJ</t>
        </is>
      </c>
      <c r="C253" t="inlineStr">
        <is>
          <t>Kuveyt Türk Portföy Teknoloji Katılım Fonu</t>
        </is>
      </c>
      <c r="D253" s="13" t="n">
        <v>0.1567988956140187</v>
      </c>
      <c r="E253" s="13" t="n">
        <v>1.786662532219618</v>
      </c>
      <c r="F253" s="13" t="n">
        <v>0.2534990832221196</v>
      </c>
      <c r="G253" s="13" t="n">
        <v>0.6555242484717283</v>
      </c>
      <c r="H253" s="13" t="n">
        <v>-2.955063472656205</v>
      </c>
      <c r="I253" s="13" t="n">
        <v>-2.050199638209216</v>
      </c>
      <c r="J253" s="13" t="n">
        <v>1.161089161738649</v>
      </c>
      <c r="K253" s="13" t="n">
        <v>-0.3131260608082331</v>
      </c>
      <c r="L253" s="13" t="n">
        <v>0.2557282981313413</v>
      </c>
      <c r="M253" s="13" t="n">
        <v>4.075051085879244</v>
      </c>
      <c r="N253" s="13" t="n">
        <v>-1.715053664046873</v>
      </c>
      <c r="O253" s="13" t="n">
        <v>-1.322104219017639</v>
      </c>
      <c r="P253" s="13" t="n">
        <v>-1.307490586729099</v>
      </c>
      <c r="Q253" s="13" t="n">
        <v>3.133746924964997</v>
      </c>
      <c r="R253" s="13" t="n">
        <v>-4.115743952240902</v>
      </c>
      <c r="S253" s="13" t="n">
        <v>0.5472385360522081</v>
      </c>
      <c r="T253" s="13" t="n">
        <v>2.191113840318382</v>
      </c>
      <c r="U253" s="13" t="n">
        <v>-0.9863921563455058</v>
      </c>
      <c r="V253" s="13" t="n">
        <v>-0.2179950955021326</v>
      </c>
      <c r="W253" s="13" t="n">
        <v>0.8379970527570446</v>
      </c>
      <c r="X253" s="13" t="n">
        <v>-1.941802767695866</v>
      </c>
    </row>
    <row r="254">
      <c r="A254" t="inlineStr">
        <is>
          <t>Tüm Teknoloji</t>
        </is>
      </c>
      <c r="B254" t="inlineStr">
        <is>
          <t>GRT</t>
        </is>
      </c>
      <c r="C254" t="inlineStr">
        <is>
          <t>Garanti Portföy Teknoloji Şirketleri Hisse Senedi (TL) Fonu (Hisse Senedi Yoğun Fon)</t>
        </is>
      </c>
      <c r="D254" s="13" t="n">
        <v>-0.4129107563280554</v>
      </c>
      <c r="E254" s="13" t="n">
        <v>0.8341006244188209</v>
      </c>
      <c r="F254" s="13" t="n">
        <v>-1.054237939084068</v>
      </c>
      <c r="G254" s="13" t="n">
        <v>-0.6928335069901648</v>
      </c>
      <c r="H254" s="13" t="n">
        <v>-1.22630773683039</v>
      </c>
      <c r="I254" s="13" t="n">
        <v>-2.332834899256775</v>
      </c>
      <c r="J254" s="13" t="n">
        <v>-0.3477359812023018</v>
      </c>
      <c r="K254" s="13" t="n">
        <v>-0.7011370389493288</v>
      </c>
      <c r="L254" s="13" t="n">
        <v>1.617684802990538</v>
      </c>
      <c r="M254" s="13" t="n">
        <v>-1.507364477450146</v>
      </c>
      <c r="N254" s="13" t="n">
        <v>1.780115705710705</v>
      </c>
      <c r="O254" s="13" t="n">
        <v>0.03142025480049604</v>
      </c>
      <c r="P254" s="13" t="n">
        <v>0.4449607073855777</v>
      </c>
      <c r="Q254" s="13" t="n">
        <v>-0.9554249112604718</v>
      </c>
      <c r="R254" s="13" t="n">
        <v>-0.4909883210070021</v>
      </c>
      <c r="S254" s="13" t="n">
        <v>-2.22483900688033</v>
      </c>
      <c r="T254" s="13" t="n">
        <v>-2.428900920802635</v>
      </c>
      <c r="U254" s="13" t="n">
        <v>1.200693533235575</v>
      </c>
      <c r="V254" s="13" t="n">
        <v>-0.2691117390385078</v>
      </c>
      <c r="W254" s="13" t="n">
        <v>-0.340468286896134</v>
      </c>
      <c r="X254" s="13" t="n">
        <v>0.7132086465942544</v>
      </c>
    </row>
    <row r="255">
      <c r="A255" t="inlineStr">
        <is>
          <t>Tüm Teknoloji</t>
        </is>
      </c>
      <c r="B255" t="inlineStr">
        <is>
          <t>TTE</t>
        </is>
      </c>
      <c r="C255" t="inlineStr">
        <is>
          <t>İŞ Portföy Bıst Teknoloji Ağırlık Sınırlamalı Endeksi Hisse Senedi (TL) Fonu (Hisse Senedi Yoğun Fon)</t>
        </is>
      </c>
      <c r="D255" s="13" t="n">
        <v>0.3353302058727525</v>
      </c>
      <c r="E255" s="13" t="n">
        <v>-0.5997135010140764</v>
      </c>
      <c r="F255" s="13" t="n">
        <v>0.02604608555218935</v>
      </c>
      <c r="G255" s="13" t="n">
        <v>-0.2123478495035025</v>
      </c>
      <c r="H255" s="13" t="n">
        <v>-0.4964534369830575</v>
      </c>
      <c r="I255" s="13" t="n">
        <v>-1.95271033542197</v>
      </c>
      <c r="J255" s="13" t="n">
        <v>0.8446998799117589</v>
      </c>
      <c r="K255" s="13" t="n">
        <v>-0.03685450987428451</v>
      </c>
      <c r="L255" s="13" t="n">
        <v>1.067059442856566</v>
      </c>
      <c r="M255" s="13" t="n">
        <v>-0.8119832412591177</v>
      </c>
      <c r="N255" s="13" t="n">
        <v>2.424238404846424</v>
      </c>
      <c r="O255" s="13" t="n">
        <v>0.7893654055460386</v>
      </c>
      <c r="P255" s="13" t="n">
        <v>-0.7671808265532376</v>
      </c>
      <c r="Q255" s="13" t="n">
        <v>-0.4903163838416269</v>
      </c>
      <c r="R255" s="13" t="n">
        <v>-0.06807525065414266</v>
      </c>
      <c r="S255" s="13" t="n">
        <v>-1.044314566841753</v>
      </c>
      <c r="T255" s="13" t="n">
        <v>-2.014737018385393</v>
      </c>
      <c r="U255" s="13" t="n">
        <v>1.1574845540544</v>
      </c>
      <c r="V255" s="13" t="n">
        <v>-0.3214950970187536</v>
      </c>
      <c r="W255" s="13" t="n">
        <v>-0.3989880921032363</v>
      </c>
      <c r="X255" s="13" t="n">
        <v>1.190819150837097</v>
      </c>
    </row>
    <row r="256">
      <c r="A256" t="inlineStr">
        <is>
          <t>Tüm Teknoloji</t>
        </is>
      </c>
      <c r="B256" t="inlineStr">
        <is>
          <t>ICZ</t>
        </is>
      </c>
      <c r="C256" t="inlineStr">
        <is>
          <t>AK Portföy Teknoloji Şirketleri Hisse Senedi (TL) Fonu (Hisse Senedi Yoğun Fon)</t>
        </is>
      </c>
      <c r="D256" s="13" t="n">
        <v>0.5635546336634212</v>
      </c>
      <c r="E256" s="13" t="n">
        <v>-0.2980008671883749</v>
      </c>
      <c r="F256" s="13" t="n">
        <v>-0.311481365769728</v>
      </c>
      <c r="G256" s="13" t="n">
        <v>-0.4846902793047891</v>
      </c>
      <c r="H256" s="13" t="n">
        <v>-0.2987766350248111</v>
      </c>
      <c r="I256" s="13" t="n">
        <v>-2.282594082037537</v>
      </c>
      <c r="J256" s="13" t="n">
        <v>0.5690236491869394</v>
      </c>
      <c r="K256" s="13" t="n">
        <v>-0.5201750951505102</v>
      </c>
      <c r="L256" s="13" t="n">
        <v>1.257451480639782</v>
      </c>
      <c r="M256" s="13" t="n">
        <v>-0.7510833269399275</v>
      </c>
      <c r="N256" s="13" t="n">
        <v>2.255775113532743</v>
      </c>
      <c r="O256" s="13" t="n">
        <v>0.07736624763010624</v>
      </c>
      <c r="P256" s="13" t="n">
        <v>-0.2808685643697073</v>
      </c>
      <c r="Q256" s="13" t="n">
        <v>-0.2289690979851433</v>
      </c>
      <c r="R256" s="13" t="n">
        <v>0.04716468986087907</v>
      </c>
      <c r="S256" s="13" t="n">
        <v>-1.615651742208801</v>
      </c>
      <c r="T256" s="13" t="n">
        <v>-1.511497887431379</v>
      </c>
      <c r="U256" s="13" t="n">
        <v>0.9745624348235893</v>
      </c>
      <c r="V256" s="13" t="n">
        <v>-0.3920390933342177</v>
      </c>
      <c r="W256" s="13" t="n">
        <v>-0.224337203518965</v>
      </c>
      <c r="X256" s="13" t="n">
        <v>1.161539878811735</v>
      </c>
    </row>
    <row r="257">
      <c r="A257" t="inlineStr">
        <is>
          <t>Tüm Teknoloji</t>
        </is>
      </c>
      <c r="B257" t="inlineStr">
        <is>
          <t>RPM</t>
        </is>
      </c>
      <c r="C257" t="inlineStr">
        <is>
          <t>Rota Portföy İlaç VE Medikal Teknolojileri Değişken Fon</t>
        </is>
      </c>
      <c r="D257" s="13" t="n">
        <v>0.9515703908965722</v>
      </c>
      <c r="E257" s="13" t="n">
        <v>-0.8356567168497087</v>
      </c>
      <c r="F257" s="13" t="n">
        <v>-0.07700682235916023</v>
      </c>
      <c r="G257" s="13" t="n">
        <v>0.5533448228259186</v>
      </c>
      <c r="H257" s="13" t="n">
        <v>0.8635923915230714</v>
      </c>
      <c r="I257" s="13" t="n">
        <v>1.560323913426109</v>
      </c>
      <c r="J257" s="13" t="n">
        <v>0.5710968027480723</v>
      </c>
      <c r="K257" s="13" t="n">
        <v>-0.2716145042046314</v>
      </c>
      <c r="L257" s="13" t="n">
        <v>1.039909344160717</v>
      </c>
      <c r="M257" s="13" t="n">
        <v>0.7251333770399215</v>
      </c>
      <c r="N257" s="13" t="n">
        <v>0.5648421106991153</v>
      </c>
      <c r="O257" s="13" t="n">
        <v>0.9718520901287331</v>
      </c>
      <c r="P257" s="13" t="n">
        <v>0.2390292208664491</v>
      </c>
      <c r="Q257" s="13" t="n">
        <v>-0.753214317509765</v>
      </c>
      <c r="R257" s="13" t="n">
        <v>1.015741668895176</v>
      </c>
      <c r="S257" s="13" t="n">
        <v>-0.9791026420207238</v>
      </c>
      <c r="T257" s="13" t="n">
        <v>1.313436477098318</v>
      </c>
      <c r="U257" s="13" t="n">
        <v>-0.6031967285084039</v>
      </c>
      <c r="V257" s="13" t="n">
        <v>-0.4000948947623373</v>
      </c>
      <c r="W257" s="13" t="n">
        <v>-0.7226215020817106</v>
      </c>
      <c r="X257" s="13" t="n">
        <v>1.404606388456942</v>
      </c>
    </row>
    <row r="258">
      <c r="A258" t="inlineStr">
        <is>
          <t>Tüm Teknoloji</t>
        </is>
      </c>
      <c r="B258" t="inlineStr">
        <is>
          <t>DVT</t>
        </is>
      </c>
      <c r="C258" t="inlineStr">
        <is>
          <t>Deniz Portföy Metaverse VE Dijital Yaşam Teknolojileri Değişken Fon</t>
        </is>
      </c>
      <c r="D258" s="13" t="n">
        <v>-1.436367688496998</v>
      </c>
      <c r="E258" s="13" t="n">
        <v>0.09072663817641935</v>
      </c>
      <c r="F258" s="13" t="n">
        <v>0.5472405160013682</v>
      </c>
      <c r="G258" s="13" t="n">
        <v>0.4923666392148585</v>
      </c>
      <c r="H258" s="13" t="n">
        <v>-1.98046943752922</v>
      </c>
      <c r="I258" s="13" t="n">
        <v>-0.8257308781712269</v>
      </c>
      <c r="J258" s="13" t="n">
        <v>-0.8706356969196971</v>
      </c>
      <c r="K258" s="13" t="n">
        <v>-0.8294906504104471</v>
      </c>
      <c r="L258" s="13" t="n">
        <v>1.753946842719345</v>
      </c>
      <c r="M258" s="13" t="n">
        <v>1.132852718263266</v>
      </c>
      <c r="N258" s="13" t="n">
        <v>1.094941416418438</v>
      </c>
      <c r="O258" s="13" t="n">
        <v>-0.03729848586129236</v>
      </c>
      <c r="P258" s="13" t="n">
        <v>-0.5808183646911602</v>
      </c>
      <c r="Q258" s="13" t="n">
        <v>1.01206213509526</v>
      </c>
      <c r="R258" s="13" t="n">
        <v>-0.4901925458612899</v>
      </c>
      <c r="S258" s="13" t="n">
        <v>-1.515407491168708</v>
      </c>
      <c r="T258" s="13" t="n">
        <v>0.7935553331567924</v>
      </c>
      <c r="U258" s="13" t="n">
        <v>0.7143736322924754</v>
      </c>
      <c r="V258" s="13" t="n">
        <v>-0.4352036001776916</v>
      </c>
      <c r="W258" s="13" t="n">
        <v>-0.4272529334663933</v>
      </c>
      <c r="X258" s="13" t="n">
        <v>-0.08273176401843996</v>
      </c>
    </row>
    <row r="259">
      <c r="A259" t="inlineStr">
        <is>
          <t>Tüm Teknoloji</t>
        </is>
      </c>
      <c r="B259" t="inlineStr">
        <is>
          <t>FBZ</t>
        </is>
      </c>
      <c r="C259" t="inlineStr">
        <is>
          <t>Fiba Portföy Teknoloji Serbest Fon</t>
        </is>
      </c>
      <c r="D259" s="13" t="n">
        <v>-0.3762086007676135</v>
      </c>
      <c r="E259" s="13" t="n">
        <v>-0.07538341845350072</v>
      </c>
      <c r="F259" s="13" t="n">
        <v>0.61546575576783</v>
      </c>
      <c r="G259" s="13" t="n">
        <v>0.6550182252408332</v>
      </c>
      <c r="H259" s="13" t="n">
        <v>-1.33324404947236</v>
      </c>
      <c r="I259" s="13" t="n">
        <v>-1.914669935845537</v>
      </c>
      <c r="J259" s="13" t="n">
        <v>-0.170932034628879</v>
      </c>
      <c r="K259" s="13" t="n">
        <v>-1.007614500042375</v>
      </c>
      <c r="L259" s="13" t="n">
        <v>0.2708568951553803</v>
      </c>
      <c r="M259" s="13" t="n">
        <v>1.374420894133022</v>
      </c>
      <c r="N259" s="13" t="n">
        <v>0.863487275062913</v>
      </c>
      <c r="O259" s="13" t="n">
        <v>-0.01939986137364791</v>
      </c>
      <c r="P259" s="13" t="n">
        <v>-1.259016867014895</v>
      </c>
      <c r="Q259" s="13" t="n">
        <v>0.7824504797209864</v>
      </c>
      <c r="R259" s="13" t="n">
        <v>-1.245519395949657</v>
      </c>
      <c r="S259" s="13" t="n">
        <v>-0.6210850161994741</v>
      </c>
      <c r="T259" s="13" t="n">
        <v>1.293054293401763</v>
      </c>
      <c r="U259" s="13" t="n">
        <v>0.3421044414646746</v>
      </c>
      <c r="V259" s="13" t="n">
        <v>-0.4837954704629777</v>
      </c>
      <c r="W259" s="13" t="n">
        <v>-0.248788044609205</v>
      </c>
      <c r="X259" s="13" t="n">
        <v>-0.7944516422707215</v>
      </c>
    </row>
    <row r="260">
      <c r="A260" t="inlineStr">
        <is>
          <t>Tüm Teknoloji</t>
        </is>
      </c>
      <c r="B260" t="inlineStr">
        <is>
          <t>TFF</t>
        </is>
      </c>
      <c r="C260" t="inlineStr">
        <is>
          <t>Teb Portföy Amerika Teknoloji Yabancı Byf Fon Sepeti Fonu</t>
        </is>
      </c>
      <c r="D260" s="13" t="n">
        <v>-1.113038163668956</v>
      </c>
      <c r="E260" s="13" t="n">
        <v>0.5560816301022564</v>
      </c>
      <c r="F260" s="13" t="n">
        <v>0.4775260797514447</v>
      </c>
      <c r="G260" s="13" t="n">
        <v>1.104498593652958</v>
      </c>
      <c r="H260" s="13" t="n">
        <v>-3.518575331849516</v>
      </c>
      <c r="I260" s="13" t="n">
        <v>-0.7177678204539961</v>
      </c>
      <c r="J260" s="13" t="n">
        <v>0.08529764948235208</v>
      </c>
      <c r="K260" s="13" t="n">
        <v>-1.220426651569984</v>
      </c>
      <c r="L260" s="13" t="n">
        <v>0.6451411750868941</v>
      </c>
      <c r="M260" s="13" t="n">
        <v>2.85596763122109</v>
      </c>
      <c r="N260" s="13" t="n">
        <v>0.07199472231951276</v>
      </c>
      <c r="O260" s="13" t="n">
        <v>-0.5862021524426941</v>
      </c>
      <c r="P260" s="13" t="n">
        <v>-1.626092045304128</v>
      </c>
      <c r="Q260" s="13" t="n">
        <v>1.32655321100581</v>
      </c>
      <c r="R260" s="13" t="n">
        <v>-2.072165130980042</v>
      </c>
      <c r="S260" s="13" t="n">
        <v>-0.2969415786694629</v>
      </c>
      <c r="T260" s="13" t="n">
        <v>2.565442468530921</v>
      </c>
      <c r="U260" s="13" t="n">
        <v>0.1165739725361492</v>
      </c>
      <c r="V260" s="13" t="n">
        <v>-0.5957450621306148</v>
      </c>
      <c r="W260" s="13" t="n">
        <v>0.1762668666864808</v>
      </c>
      <c r="X260" s="13" t="n">
        <v>-1.402214494706522</v>
      </c>
    </row>
    <row r="261">
      <c r="A261" t="inlineStr">
        <is>
          <t>Tüm Teknoloji</t>
        </is>
      </c>
      <c r="B261" t="inlineStr">
        <is>
          <t>VCY</t>
        </is>
      </c>
      <c r="C261" t="inlineStr">
        <is>
          <t>AK Portföy Elektrikli VE Otonom Araç Teknolojileri Değişken Fon</t>
        </is>
      </c>
      <c r="D261" s="13" t="n">
        <v>-1.308702606604595</v>
      </c>
      <c r="E261" s="13" t="n">
        <v>0.445773016792117</v>
      </c>
      <c r="F261" s="13" t="n">
        <v>-0.3895201385139768</v>
      </c>
      <c r="G261" s="13" t="n">
        <v>1.166792973025998</v>
      </c>
      <c r="H261" s="13" t="n">
        <v>-2.375174689363269</v>
      </c>
      <c r="I261" s="13" t="n">
        <v>-0.9486795979684493</v>
      </c>
      <c r="J261" s="13" t="n">
        <v>-0.2947244500907331</v>
      </c>
      <c r="K261" s="13" t="n">
        <v>-1.056270861015751</v>
      </c>
      <c r="L261" s="13" t="n">
        <v>0.8355680711534141</v>
      </c>
      <c r="M261" s="13" t="n">
        <v>0.7213617025325636</v>
      </c>
      <c r="N261" s="13" t="n">
        <v>0.6912200237117805</v>
      </c>
      <c r="O261" s="13" t="n">
        <v>0.2960045831454483</v>
      </c>
      <c r="P261" s="13" t="n">
        <v>0.3651135067442191</v>
      </c>
      <c r="Q261" s="13" t="n">
        <v>0.01762130447751087</v>
      </c>
      <c r="R261" s="13" t="n">
        <v>-0.6599107907543256</v>
      </c>
      <c r="S261" s="13" t="n">
        <v>-0.8628998782864383</v>
      </c>
      <c r="T261" s="13" t="n">
        <v>0.3600098407618102</v>
      </c>
      <c r="U261" s="13" t="n">
        <v>1.814864760946211</v>
      </c>
      <c r="V261" s="13" t="n">
        <v>-0.6024961049002853</v>
      </c>
      <c r="W261" s="13" t="n">
        <v>-0.2033594930016425</v>
      </c>
      <c r="X261" s="13" t="n">
        <v>0.2764148282041745</v>
      </c>
    </row>
    <row r="262">
      <c r="A262" t="inlineStr">
        <is>
          <t>Tüm Teknoloji</t>
        </is>
      </c>
      <c r="B262" t="inlineStr">
        <is>
          <t>FJB</t>
        </is>
      </c>
      <c r="C262" t="inlineStr">
        <is>
          <t>Fiba Portföy Blok Zinciri Teknolojileri Serbest Fon</t>
        </is>
      </c>
      <c r="D262" s="13" t="n">
        <v>-0.7067017209647974</v>
      </c>
      <c r="E262" s="13" t="n">
        <v>0.07058019273842309</v>
      </c>
      <c r="F262" s="13" t="n">
        <v>0.4783177141906236</v>
      </c>
      <c r="G262" s="13" t="n">
        <v>1.089474492059117</v>
      </c>
      <c r="H262" s="13" t="n">
        <v>-2.059284334395473</v>
      </c>
      <c r="I262" s="13" t="n">
        <v>-1.736963215501741</v>
      </c>
      <c r="J262" s="13" t="n">
        <v>-1.325477222476845</v>
      </c>
      <c r="K262" s="13" t="n">
        <v>-1.463418924894788</v>
      </c>
      <c r="L262" s="13" t="n">
        <v>0.5221957301727143</v>
      </c>
      <c r="M262" s="13" t="n">
        <v>1.777563186531061</v>
      </c>
      <c r="N262" s="13" t="n">
        <v>0.518122100454077</v>
      </c>
      <c r="O262" s="13" t="n">
        <v>0.004550118576096551</v>
      </c>
      <c r="P262" s="13" t="n">
        <v>-1.158239483824441</v>
      </c>
      <c r="Q262" s="13" t="n">
        <v>0.5472883942142071</v>
      </c>
      <c r="R262" s="13" t="n">
        <v>-0.6302945680480398</v>
      </c>
      <c r="S262" s="13" t="n">
        <v>-1.374210589809499</v>
      </c>
      <c r="T262" s="13" t="n">
        <v>1.100971364999226</v>
      </c>
      <c r="U262" s="13" t="n">
        <v>0.5818888947494605</v>
      </c>
      <c r="V262" s="13" t="n">
        <v>-0.6163330810745715</v>
      </c>
      <c r="W262" s="13" t="n">
        <v>-1.048208100476422</v>
      </c>
      <c r="X262" s="13" t="n">
        <v>0.2784357064615994</v>
      </c>
    </row>
    <row r="263">
      <c r="A263" t="inlineStr">
        <is>
          <t>Tüm Teknoloji</t>
        </is>
      </c>
      <c r="B263" t="inlineStr">
        <is>
          <t>GPT</t>
        </is>
      </c>
      <c r="C263" t="inlineStr">
        <is>
          <t>Aktif Portföy Robotik Teknolojileri Değişken Fon</t>
        </is>
      </c>
      <c r="D263" s="13" t="n">
        <v>-0.2065269081606091</v>
      </c>
      <c r="E263" s="13" t="n">
        <v>0.1048096367358919</v>
      </c>
      <c r="F263" s="13" t="n">
        <v>1.240881230589896</v>
      </c>
      <c r="G263" s="13" t="n">
        <v>-0.08694746580832913</v>
      </c>
      <c r="H263" s="13" t="n">
        <v>-2.155424072405465</v>
      </c>
      <c r="I263" s="13" t="n">
        <v>-1.657408701838081</v>
      </c>
      <c r="J263" s="13" t="n">
        <v>0.9850413777839462</v>
      </c>
      <c r="K263" s="13" t="n">
        <v>-1.193070937079932</v>
      </c>
      <c r="L263" s="13" t="n">
        <v>1.058841690597645</v>
      </c>
      <c r="M263" s="13" t="n">
        <v>1.95755403001161</v>
      </c>
      <c r="N263" s="13" t="n">
        <v>0.6952271871250248</v>
      </c>
      <c r="O263" s="13" t="n">
        <v>-1.391665580324175</v>
      </c>
      <c r="P263" s="13" t="n">
        <v>-1.13520026849121</v>
      </c>
      <c r="Q263" s="13" t="n">
        <v>0.4078603875137254</v>
      </c>
      <c r="R263" s="13" t="n">
        <v>-1.43208270104469</v>
      </c>
      <c r="S263" s="13" t="n">
        <v>-1.259482962373693</v>
      </c>
      <c r="T263" s="13" t="n">
        <v>1.160388783699018</v>
      </c>
      <c r="U263" s="13" t="n">
        <v>0.7249089941089526</v>
      </c>
      <c r="V263" s="13" t="n">
        <v>-0.6335666414199692</v>
      </c>
      <c r="W263" s="13" t="n">
        <v>0.03784120604608532</v>
      </c>
      <c r="X263" s="13" t="n">
        <v>-0.4789605026005006</v>
      </c>
    </row>
    <row r="264">
      <c r="A264" t="inlineStr">
        <is>
          <t>Tüm Teknoloji</t>
        </is>
      </c>
      <c r="B264" t="inlineStr">
        <is>
          <t>MET</t>
        </is>
      </c>
      <c r="C264" t="inlineStr">
        <is>
          <t>Garanti Portföy Metaverse VE Yeni Teknolojiler Değişken Fon</t>
        </is>
      </c>
      <c r="D264" s="13" t="n">
        <v>-0.7891198927326815</v>
      </c>
      <c r="E264" s="13" t="n">
        <v>0.1210981367318675</v>
      </c>
      <c r="F264" s="13" t="n">
        <v>0.3730952890565353</v>
      </c>
      <c r="G264" s="13" t="n">
        <v>-0.390682217197369</v>
      </c>
      <c r="H264" s="13" t="n">
        <v>-1.867097102933646</v>
      </c>
      <c r="I264" s="13" t="n">
        <v>-0.4467571425385342</v>
      </c>
      <c r="J264" s="13" t="n">
        <v>-1.111911166123158</v>
      </c>
      <c r="K264" s="13" t="n">
        <v>-0.351364884078087</v>
      </c>
      <c r="L264" s="13" t="n">
        <v>1.8261261093246</v>
      </c>
      <c r="M264" s="13" t="n">
        <v>0.6350507105618464</v>
      </c>
      <c r="N264" s="13" t="n">
        <v>1.740859215143509</v>
      </c>
      <c r="O264" s="13" t="n">
        <v>0.2616626781521747</v>
      </c>
      <c r="P264" s="13" t="n">
        <v>-0.5245083795939909</v>
      </c>
      <c r="Q264" s="13" t="n">
        <v>1.143816248743201</v>
      </c>
      <c r="R264" s="13" t="n">
        <v>-0.3072675514386836</v>
      </c>
      <c r="S264" s="13" t="n">
        <v>-0.7458711881864089</v>
      </c>
      <c r="T264" s="13" t="n">
        <v>0.1641576780751386</v>
      </c>
      <c r="U264" s="13" t="n">
        <v>1.877085563060077</v>
      </c>
      <c r="V264" s="13" t="n">
        <v>-0.6570907968149964</v>
      </c>
      <c r="W264" s="13" t="n">
        <v>0.09088319337746675</v>
      </c>
      <c r="X264" s="13" t="n">
        <v>0.8635315371688934</v>
      </c>
    </row>
    <row r="265">
      <c r="A265" t="inlineStr">
        <is>
          <t>Tüm Teknoloji</t>
        </is>
      </c>
      <c r="B265" t="inlineStr">
        <is>
          <t>ITP</t>
        </is>
      </c>
      <c r="C265" t="inlineStr">
        <is>
          <t>İŞ Portföy Teknoloji Karma Fon</t>
        </is>
      </c>
      <c r="D265" s="13" t="n">
        <v>-0.7340194837981318</v>
      </c>
      <c r="E265" s="13" t="n">
        <v>0.3421048227931545</v>
      </c>
      <c r="F265" s="13" t="n">
        <v>0.03509996054991138</v>
      </c>
      <c r="G265" s="13" t="n">
        <v>1.017895563850679</v>
      </c>
      <c r="H265" s="13" t="n">
        <v>-2.386703585582328</v>
      </c>
      <c r="I265" s="13" t="n">
        <v>-0.3050981811975939</v>
      </c>
      <c r="J265" s="13" t="n">
        <v>0.2014428565577875</v>
      </c>
      <c r="K265" s="13" t="n">
        <v>-0.7272106044029059</v>
      </c>
      <c r="L265" s="13" t="n">
        <v>0.8611302522532283</v>
      </c>
      <c r="M265" s="13" t="n">
        <v>1.51536944111399</v>
      </c>
      <c r="N265" s="13" t="n">
        <v>0.3223705917219544</v>
      </c>
      <c r="O265" s="13" t="n">
        <v>-0.07239934060860875</v>
      </c>
      <c r="P265" s="13" t="n">
        <v>0.2241634101355361</v>
      </c>
      <c r="Q265" s="13" t="n">
        <v>-0.1472997418424216</v>
      </c>
      <c r="R265" s="13" t="n">
        <v>-1.037887703871221</v>
      </c>
      <c r="S265" s="13" t="n">
        <v>-0.6070859896229353</v>
      </c>
      <c r="T265" s="13" t="n">
        <v>1.094160571858249</v>
      </c>
      <c r="U265" s="13" t="n">
        <v>0.4754819039839431</v>
      </c>
      <c r="V265" s="13" t="n">
        <v>-0.6886804545883418</v>
      </c>
      <c r="W265" s="13" t="n">
        <v>0.2762179428209333</v>
      </c>
      <c r="X265" s="13" t="n">
        <v>-0.3033961867487389</v>
      </c>
    </row>
    <row r="266">
      <c r="A266" t="inlineStr">
        <is>
          <t>Tüm Teknoloji</t>
        </is>
      </c>
      <c r="B266" t="inlineStr">
        <is>
          <t>DYN</t>
        </is>
      </c>
      <c r="C266" t="inlineStr">
        <is>
          <t>Deniz Portföy Elektrikli VE Otonom Araç Teknolojileri Değişken Fon</t>
        </is>
      </c>
      <c r="D266" s="13" t="n">
        <v>-1.265721114657847</v>
      </c>
      <c r="E266" s="13" t="n">
        <v>0.5041524040981127</v>
      </c>
      <c r="F266" s="13" t="n">
        <v>-0.08172090697768919</v>
      </c>
      <c r="G266" s="13" t="n">
        <v>0.4878363671305452</v>
      </c>
      <c r="H266" s="13" t="n">
        <v>-2.255196030435125</v>
      </c>
      <c r="I266" s="13" t="n">
        <v>-0.5992673139864735</v>
      </c>
      <c r="J266" s="13" t="n">
        <v>-0.5799118734465813</v>
      </c>
      <c r="K266" s="13" t="n">
        <v>-1.050642886606723</v>
      </c>
      <c r="L266" s="13" t="n">
        <v>0.2633685743372194</v>
      </c>
      <c r="M266" s="13" t="n">
        <v>1.1149359266722</v>
      </c>
      <c r="N266" s="13" t="n">
        <v>0.4636877245266513</v>
      </c>
      <c r="O266" s="13" t="n">
        <v>-0.1425852745984835</v>
      </c>
      <c r="P266" s="13" t="n">
        <v>-1.03608312765503</v>
      </c>
      <c r="Q266" s="13" t="n">
        <v>0.3524608980508104</v>
      </c>
      <c r="R266" s="13" t="n">
        <v>-0.7239516150777003</v>
      </c>
      <c r="S266" s="13" t="n">
        <v>-1.675787619962354</v>
      </c>
      <c r="T266" s="13" t="n">
        <v>0.4245278500472294</v>
      </c>
      <c r="U266" s="13" t="n">
        <v>0.9221737853490453</v>
      </c>
      <c r="V266" s="13" t="n">
        <v>-0.7129173099444053</v>
      </c>
      <c r="W266" s="13" t="n">
        <v>-0.02497132614344144</v>
      </c>
      <c r="X266" s="13" t="n">
        <v>0.2539828474112271</v>
      </c>
    </row>
    <row r="267">
      <c r="A267" t="inlineStr">
        <is>
          <t>Tüm Teknoloji</t>
        </is>
      </c>
      <c r="B267" t="inlineStr">
        <is>
          <t>CPU</t>
        </is>
      </c>
      <c r="C267" t="inlineStr">
        <is>
          <t>Aktif Portföy Teknoloji Katılım Fonu</t>
        </is>
      </c>
      <c r="D267" s="13" t="n">
        <v>-0.6948058311702532</v>
      </c>
      <c r="E267" s="13" t="n">
        <v>1.159242620062995</v>
      </c>
      <c r="F267" s="13" t="n">
        <v>0.4428318597920811</v>
      </c>
      <c r="G267" s="13" t="n">
        <v>1.127895308711735</v>
      </c>
      <c r="H267" s="13" t="n">
        <v>-2.745096226539123</v>
      </c>
      <c r="I267" s="13" t="n">
        <v>-1.362599630443861</v>
      </c>
      <c r="J267" s="13" t="n">
        <v>0.9096698531791514</v>
      </c>
      <c r="K267" s="13" t="n">
        <v>-1.221077014863292</v>
      </c>
      <c r="L267" s="13" t="n">
        <v>0.4491360897928454</v>
      </c>
      <c r="M267" s="13" t="n">
        <v>2.869890439767531</v>
      </c>
      <c r="N267" s="13" t="n">
        <v>-0.4729367979499188</v>
      </c>
      <c r="O267" s="13" t="n">
        <v>-0.8675890066048408</v>
      </c>
      <c r="P267" s="13" t="n">
        <v>-1.438555370196659</v>
      </c>
      <c r="Q267" s="13" t="n">
        <v>1.04275465118393</v>
      </c>
      <c r="R267" s="13" t="n">
        <v>-2.049359844513265</v>
      </c>
      <c r="S267" s="13" t="n">
        <v>-0.6140423124543326</v>
      </c>
      <c r="T267" s="13" t="n">
        <v>2.235203207454783</v>
      </c>
      <c r="U267" s="13" t="n">
        <v>-0.1189042629330839</v>
      </c>
      <c r="V267" s="13" t="n">
        <v>-0.74077680985426</v>
      </c>
      <c r="W267" s="13" t="n">
        <v>0.2640483790244286</v>
      </c>
      <c r="X267" s="13" t="n">
        <v>-1.450286306152015</v>
      </c>
    </row>
    <row r="268">
      <c r="A268" t="inlineStr">
        <is>
          <t>Tüm Teknoloji</t>
        </is>
      </c>
      <c r="B268" t="inlineStr">
        <is>
          <t>IUH</t>
        </is>
      </c>
      <c r="C268" t="inlineStr">
        <is>
          <t>Inveo Portföy Dönüştürücü Teknolojiler Fon Sepeti Fonu</t>
        </is>
      </c>
      <c r="D268" s="13" t="n">
        <v>-0.6641717166643524</v>
      </c>
      <c r="E268" s="13" t="n">
        <v>0.5978546826053588</v>
      </c>
      <c r="F268" s="13" t="n">
        <v>0.0668685677745362</v>
      </c>
      <c r="G268" s="13" t="n">
        <v>0.6299162053534646</v>
      </c>
      <c r="H268" s="13" t="n">
        <v>-2.041158385132291</v>
      </c>
      <c r="I268" s="13" t="n">
        <v>-0.8731043139144634</v>
      </c>
      <c r="J268" s="13" t="n">
        <v>0.6535298296877601</v>
      </c>
      <c r="K268" s="13" t="n">
        <v>-0.9774786835830662</v>
      </c>
      <c r="L268" s="13" t="n">
        <v>0.5231165201802002</v>
      </c>
      <c r="M268" s="13" t="n">
        <v>1.189086194775024</v>
      </c>
      <c r="N268" s="13" t="n">
        <v>0.00928219626159521</v>
      </c>
      <c r="O268" s="13" t="n">
        <v>-0.09649024625665303</v>
      </c>
      <c r="P268" s="13" t="n">
        <v>-0.6150891317445395</v>
      </c>
      <c r="Q268" s="13" t="n">
        <v>0.8325248495583804</v>
      </c>
      <c r="R268" s="13" t="n">
        <v>-1.561637705294383</v>
      </c>
      <c r="S268" s="13" t="n">
        <v>-0.8335720626392873</v>
      </c>
      <c r="T268" s="13" t="n">
        <v>1.071304267118367</v>
      </c>
      <c r="U268" s="13" t="n">
        <v>0.1663764726023143</v>
      </c>
      <c r="V268" s="13" t="n">
        <v>-0.7495132903016288</v>
      </c>
      <c r="W268" s="13" t="n">
        <v>0.1438001405671852</v>
      </c>
      <c r="X268" s="13" t="n">
        <v>-0.6072835483806549</v>
      </c>
    </row>
    <row r="269">
      <c r="A269" t="inlineStr">
        <is>
          <t>Tüm Teknoloji</t>
        </is>
      </c>
      <c r="B269" t="inlineStr">
        <is>
          <t>OJT</t>
        </is>
      </c>
      <c r="C269" t="inlineStr">
        <is>
          <t>Qnb Portföy Teknoloji Fon Sepeti Fonu</t>
        </is>
      </c>
      <c r="D269" s="13" t="n">
        <v>-0.9559033581897802</v>
      </c>
      <c r="E269" s="13" t="n">
        <v>0.9096638421400183</v>
      </c>
      <c r="F269" s="13" t="n">
        <v>0.2686030318348243</v>
      </c>
      <c r="G269" s="13" t="n">
        <v>0.7457446959238778</v>
      </c>
      <c r="H269" s="13" t="n">
        <v>-3.29737623746863</v>
      </c>
      <c r="I269" s="13" t="n">
        <v>-1.303274757327899</v>
      </c>
      <c r="J269" s="13" t="n">
        <v>0.08486316465365906</v>
      </c>
      <c r="K269" s="13" t="n">
        <v>-1.154527075976342</v>
      </c>
      <c r="L269" s="13" t="n">
        <v>0.4383465436588407</v>
      </c>
      <c r="M269" s="13" t="n">
        <v>2.184391703194621</v>
      </c>
      <c r="N269" s="13" t="n">
        <v>0.5506422213721551</v>
      </c>
      <c r="O269" s="13" t="n">
        <v>-0.2392131318721957</v>
      </c>
      <c r="P269" s="13" t="n">
        <v>-1.421154700184812</v>
      </c>
      <c r="Q269" s="13" t="n">
        <v>1.346294626897526</v>
      </c>
      <c r="R269" s="13" t="n">
        <v>-2.441639053758327</v>
      </c>
      <c r="S269" s="13" t="n">
        <v>-0.3490785048684608</v>
      </c>
      <c r="T269" s="13" t="n">
        <v>1.764297582320928</v>
      </c>
      <c r="U269" s="13" t="n">
        <v>0.275328403302888</v>
      </c>
      <c r="V269" s="13" t="n">
        <v>-0.888008959581521</v>
      </c>
      <c r="W269" s="13" t="n">
        <v>0.05647108620352448</v>
      </c>
      <c r="X269" s="13" t="n">
        <v>-1.313741712715366</v>
      </c>
    </row>
    <row r="270">
      <c r="A270" t="inlineStr">
        <is>
          <t>Tüm Teknoloji</t>
        </is>
      </c>
      <c r="B270" t="inlineStr">
        <is>
          <t>ZFB</t>
        </is>
      </c>
      <c r="C270" t="inlineStr">
        <is>
          <t>AK Portföy Fintek VE Blokzinciri Teknolojileri Değişken Fon</t>
        </is>
      </c>
      <c r="D270" s="13" t="n">
        <v>-0.6805594397133352</v>
      </c>
      <c r="E270" s="13" t="n">
        <v>0.4599068945334572</v>
      </c>
      <c r="F270" s="13" t="n">
        <v>-0.1779144638078933</v>
      </c>
      <c r="G270" s="13" t="n">
        <v>0.7701740501414367</v>
      </c>
      <c r="H270" s="13" t="n">
        <v>-3.009450476167774</v>
      </c>
      <c r="I270" s="13" t="n">
        <v>-1.450045027892433</v>
      </c>
      <c r="J270" s="13" t="n">
        <v>0.129733287165168</v>
      </c>
      <c r="K270" s="13" t="n">
        <v>-1.729935858642817</v>
      </c>
      <c r="L270" s="13" t="n">
        <v>0.7850316571804683</v>
      </c>
      <c r="M270" s="13" t="n">
        <v>0.9458369704081759</v>
      </c>
      <c r="N270" s="13" t="n">
        <v>0.07513321184315913</v>
      </c>
      <c r="O270" s="13" t="n">
        <v>0.458572210280872</v>
      </c>
      <c r="P270" s="13" t="n">
        <v>0.3183604068792922</v>
      </c>
      <c r="Q270" s="13" t="n">
        <v>0.2483041586829993</v>
      </c>
      <c r="R270" s="13" t="n">
        <v>-2.212394142347329</v>
      </c>
      <c r="S270" s="13" t="n">
        <v>0.4974632329144191</v>
      </c>
      <c r="T270" s="13" t="n">
        <v>1.689809401499165</v>
      </c>
      <c r="U270" s="13" t="n">
        <v>0.3102246174158552</v>
      </c>
      <c r="V270" s="13" t="n">
        <v>-0.9455231905817429</v>
      </c>
      <c r="W270" s="13" t="n">
        <v>0.2672257125353461</v>
      </c>
      <c r="X270" s="13" t="n">
        <v>-0.1225401828971906</v>
      </c>
    </row>
    <row r="271">
      <c r="A271" t="inlineStr">
        <is>
          <t>Tüm Teknoloji</t>
        </is>
      </c>
      <c r="B271" t="inlineStr">
        <is>
          <t>HOA</t>
        </is>
      </c>
      <c r="C271" t="inlineStr">
        <is>
          <t>Hsbc Portföy Teknoloji Değişken Fon</t>
        </is>
      </c>
      <c r="D271" s="13" t="n">
        <v>-1.07638987875851</v>
      </c>
      <c r="E271" s="13" t="n">
        <v>0.6233017702758303</v>
      </c>
      <c r="F271" s="13" t="n">
        <v>0.2393479915225871</v>
      </c>
      <c r="G271" s="13" t="n">
        <v>-0.04775529696039449</v>
      </c>
      <c r="H271" s="13" t="n">
        <v>-2.791548582582626</v>
      </c>
      <c r="I271" s="13" t="n">
        <v>-1.093486132932286</v>
      </c>
      <c r="J271" s="13" t="n">
        <v>-0.26927961332468</v>
      </c>
      <c r="K271" s="13" t="n">
        <v>-1.593209800305773</v>
      </c>
      <c r="L271" s="13" t="n">
        <v>1.063323350701961</v>
      </c>
      <c r="M271" s="13" t="n">
        <v>2.496948934803545</v>
      </c>
      <c r="N271" s="13" t="n">
        <v>-0.07645515466502273</v>
      </c>
      <c r="O271" s="13" t="n">
        <v>-0.6627002211788136</v>
      </c>
      <c r="P271" s="13" t="n">
        <v>-1.157886761957672</v>
      </c>
      <c r="Q271" s="13" t="n">
        <v>1.207220327290837</v>
      </c>
      <c r="R271" s="13" t="n">
        <v>-2.293917668046719</v>
      </c>
      <c r="S271" s="13" t="n">
        <v>0.1240203255533423</v>
      </c>
      <c r="T271" s="13" t="n">
        <v>1.899719579541359</v>
      </c>
      <c r="U271" s="13" t="n">
        <v>0.5672681228236831</v>
      </c>
      <c r="V271" s="13" t="n">
        <v>-0.9577410405885778</v>
      </c>
      <c r="W271" s="13" t="n">
        <v>-0.1881459571925537</v>
      </c>
      <c r="X271" s="13" t="n">
        <v>-1.24648153415724</v>
      </c>
    </row>
    <row r="272">
      <c r="A272" t="inlineStr">
        <is>
          <t>Tüm Teknoloji</t>
        </is>
      </c>
      <c r="B272" t="inlineStr">
        <is>
          <t>MTX</t>
        </is>
      </c>
      <c r="C272" t="inlineStr">
        <is>
          <t>Teb Portföy Üçüncü Değişken Fon</t>
        </is>
      </c>
      <c r="D272" s="13" t="n">
        <v>-1.142553366240751</v>
      </c>
      <c r="E272" s="13" t="n">
        <v>1.003799879119649</v>
      </c>
      <c r="F272" s="13" t="n">
        <v>0.2973354427210362</v>
      </c>
      <c r="G272" s="13" t="n">
        <v>0.6330852519237151</v>
      </c>
      <c r="H272" s="13" t="n">
        <v>-3.553498609089367</v>
      </c>
      <c r="I272" s="13" t="n">
        <v>-0.3218599572116343</v>
      </c>
      <c r="J272" s="13" t="n">
        <v>0.3369845112327408</v>
      </c>
      <c r="K272" s="13" t="n">
        <v>-1.639860838460172</v>
      </c>
      <c r="L272" s="13" t="n">
        <v>0.007022733077821641</v>
      </c>
      <c r="M272" s="13" t="n">
        <v>1.948822595000821</v>
      </c>
      <c r="N272" s="13" t="n">
        <v>-0.3523436714510608</v>
      </c>
      <c r="O272" s="13" t="n">
        <v>-1.306417494663359</v>
      </c>
      <c r="P272" s="13" t="n">
        <v>-0.6537877231750699</v>
      </c>
      <c r="Q272" s="13" t="n">
        <v>1.482271266974844</v>
      </c>
      <c r="R272" s="13" t="n">
        <v>-1.959514802106355</v>
      </c>
      <c r="S272" s="13" t="n">
        <v>-1.298630054532302</v>
      </c>
      <c r="T272" s="13" t="n">
        <v>1.786870819454478</v>
      </c>
      <c r="U272" s="13" t="n">
        <v>0.8268347208394866</v>
      </c>
      <c r="V272" s="13" t="n">
        <v>-0.9719927317734522</v>
      </c>
      <c r="W272" s="13" t="n">
        <v>0.3337858374012237</v>
      </c>
      <c r="X272" s="13" t="n">
        <v>-1.461402327743766</v>
      </c>
    </row>
    <row r="273">
      <c r="A273" t="inlineStr">
        <is>
          <t>Tüm Teknoloji</t>
        </is>
      </c>
      <c r="B273" t="inlineStr">
        <is>
          <t>YZC</t>
        </is>
      </c>
      <c r="C273" t="inlineStr">
        <is>
          <t>Yapı Kredi Portföy Fintech VE Blockchain Teknolojileri Değişken Fon</t>
        </is>
      </c>
      <c r="D273" s="13" t="n">
        <v>-0.7747359388441954</v>
      </c>
      <c r="E273" s="13" t="n">
        <v>1.045498959514934</v>
      </c>
      <c r="F273" s="13" t="n">
        <v>-0.2608437109116513</v>
      </c>
      <c r="G273" s="13" t="n">
        <v>0.8631826796712039</v>
      </c>
      <c r="H273" s="13" t="n">
        <v>-2.717727138206572</v>
      </c>
      <c r="I273" s="13" t="n">
        <v>-0.8711044481653052</v>
      </c>
      <c r="J273" s="13" t="n">
        <v>0.768198371455453</v>
      </c>
      <c r="K273" s="13" t="n">
        <v>-1.583421110548933</v>
      </c>
      <c r="L273" s="13" t="n">
        <v>-0.3186271122068707</v>
      </c>
      <c r="M273" s="13" t="n">
        <v>1.403853628189555</v>
      </c>
      <c r="N273" s="13" t="n">
        <v>0.2818921058577173</v>
      </c>
      <c r="O273" s="13" t="n">
        <v>-0.2412507919412499</v>
      </c>
      <c r="P273" s="13" t="n">
        <v>0.7497391213873605</v>
      </c>
      <c r="Q273" s="13" t="n">
        <v>0.06649853041083009</v>
      </c>
      <c r="R273" s="13" t="n">
        <v>-1.607308682227049</v>
      </c>
      <c r="S273" s="13" t="n">
        <v>-1.20837626560214</v>
      </c>
      <c r="T273" s="13" t="n">
        <v>1.167905853060902</v>
      </c>
      <c r="U273" s="13" t="n">
        <v>0.5226090077157686</v>
      </c>
      <c r="V273" s="13" t="n">
        <v>-1.00784986365553</v>
      </c>
      <c r="W273" s="13" t="n">
        <v>0.4840958687659658</v>
      </c>
      <c r="X273" s="13" t="n">
        <v>-0.4535493182148964</v>
      </c>
    </row>
    <row r="274">
      <c r="A274" t="inlineStr">
        <is>
          <t>Tüm Teknoloji</t>
        </is>
      </c>
      <c r="B274" t="inlineStr">
        <is>
          <t>RTD</t>
        </is>
      </c>
      <c r="C274" t="inlineStr">
        <is>
          <t>Re-pıe Portföy Teknoloji Değişken Fon</t>
        </is>
      </c>
      <c r="D274" s="13" t="n">
        <v>0.09922463909932677</v>
      </c>
      <c r="E274" s="13" t="n">
        <v>0.9701057992416606</v>
      </c>
      <c r="F274" s="13" t="n">
        <v>-0.0008886631372662102</v>
      </c>
      <c r="G274" s="13" t="n">
        <v>0.3731950623566238</v>
      </c>
      <c r="H274" s="13" t="n">
        <v>-3.258895723817712</v>
      </c>
      <c r="I274" s="13" t="n">
        <v>-1.411081626941724</v>
      </c>
      <c r="J274" s="13" t="n">
        <v>0.3912990797216409</v>
      </c>
      <c r="K274" s="13" t="n">
        <v>-1.983179715989203</v>
      </c>
      <c r="L274" s="13" t="n">
        <v>0.6529194436431185</v>
      </c>
      <c r="M274" s="13" t="n">
        <v>4.282893338088689</v>
      </c>
      <c r="N274" s="13" t="n">
        <v>-1.611965545933469</v>
      </c>
      <c r="O274" s="13" t="n">
        <v>-1.943146054234623</v>
      </c>
      <c r="P274" s="13" t="n">
        <v>-0.2372628719643499</v>
      </c>
      <c r="Q274" s="13" t="n">
        <v>1.95456661052329</v>
      </c>
      <c r="R274" s="13" t="n">
        <v>-4.230683943618518</v>
      </c>
      <c r="S274" s="13" t="n">
        <v>0.02219787111845672</v>
      </c>
      <c r="T274" s="13" t="n">
        <v>2.221257117091202</v>
      </c>
      <c r="U274" s="13" t="n">
        <v>-0.8008833938787707</v>
      </c>
      <c r="V274" s="13" t="n">
        <v>-1.008541485834413</v>
      </c>
      <c r="W274" s="13" t="n">
        <v>0.3466744073070904</v>
      </c>
      <c r="X274" s="13" t="n">
        <v>-2.435573461392038</v>
      </c>
    </row>
    <row r="275">
      <c r="A275" t="inlineStr">
        <is>
          <t>Tüm Teknoloji</t>
        </is>
      </c>
      <c r="B275" t="inlineStr">
        <is>
          <t>DHJ</t>
        </is>
      </c>
      <c r="C275" t="inlineStr">
        <is>
          <t>Deniz Portföy Teknoloji Şirketleri Hisse Senedi Fonu (Hisse Senedi Yoğun Fon)</t>
        </is>
      </c>
      <c r="D275" s="13" t="n">
        <v>-0.5850003374003765</v>
      </c>
      <c r="E275" s="13" t="n">
        <v>0.9540823758236394</v>
      </c>
      <c r="F275" s="13" t="n">
        <v>-0.6987205330051593</v>
      </c>
      <c r="G275" s="13" t="n">
        <v>-0.3171227593339321</v>
      </c>
      <c r="H275" s="13" t="n">
        <v>-1.465072105459042</v>
      </c>
      <c r="I275" s="13" t="n">
        <v>-2.586320591174529</v>
      </c>
      <c r="J275" s="13" t="n">
        <v>-0.262023300575176</v>
      </c>
      <c r="K275" s="13" t="n">
        <v>-0.7032466504717449</v>
      </c>
      <c r="L275" s="13" t="n">
        <v>1.965456358613027</v>
      </c>
      <c r="M275" s="13" t="n">
        <v>-1.641712963186925</v>
      </c>
      <c r="N275" s="13" t="n">
        <v>2.645467031538651</v>
      </c>
      <c r="O275" s="13" t="n">
        <v>-0.2428761818840219</v>
      </c>
      <c r="P275" s="13" t="n">
        <v>1.04104625292516</v>
      </c>
      <c r="Q275" s="13" t="n">
        <v>-0.6086792238080285</v>
      </c>
      <c r="R275" s="13" t="n">
        <v>-1.093244899320123</v>
      </c>
      <c r="S275" s="13" t="n">
        <v>-2.207687204176489</v>
      </c>
      <c r="T275" s="13" t="n">
        <v>-2.242889538753357</v>
      </c>
      <c r="U275" s="13" t="n">
        <v>1.167169414727254</v>
      </c>
      <c r="V275" s="13" t="n">
        <v>-1.012405029439734</v>
      </c>
      <c r="W275" s="13" t="n">
        <v>-0.4497492132924608</v>
      </c>
      <c r="X275" s="13" t="n">
        <v>0.9964002771225777</v>
      </c>
    </row>
    <row r="276">
      <c r="A276" t="inlineStr">
        <is>
          <t>Tüm Teknoloji</t>
        </is>
      </c>
      <c r="B276" t="inlineStr">
        <is>
          <t>AFT</t>
        </is>
      </c>
      <c r="C276" t="inlineStr">
        <is>
          <t>AK Portföy Yeni Teknolojiler Yabancı Hisse Senedi Fonu</t>
        </is>
      </c>
      <c r="D276" s="13" t="n">
        <v>-1.019823070997905</v>
      </c>
      <c r="E276" s="13" t="n">
        <v>-1.077084602150269</v>
      </c>
      <c r="F276" s="13" t="n">
        <v>-0.04809222097961197</v>
      </c>
      <c r="G276" s="13" t="n">
        <v>0.9585741261721736</v>
      </c>
      <c r="H276" s="13" t="n">
        <v>-2.963250557471142</v>
      </c>
      <c r="I276" s="13" t="n">
        <v>-0.3164881877928738</v>
      </c>
      <c r="J276" s="13" t="n">
        <v>-1.392190946033622</v>
      </c>
      <c r="K276" s="13" t="n">
        <v>-1.222968592848472</v>
      </c>
      <c r="L276" s="13" t="n">
        <v>2.265490005832427</v>
      </c>
      <c r="M276" s="13" t="n">
        <v>1.264623171503931</v>
      </c>
      <c r="N276" s="13" t="n">
        <v>0.8920666702458835</v>
      </c>
      <c r="O276" s="13" t="n">
        <v>-0.5281702999677562</v>
      </c>
      <c r="P276" s="13" t="n">
        <v>0.3580041139529255</v>
      </c>
      <c r="Q276" s="13" t="n">
        <v>0.005748604134403479</v>
      </c>
      <c r="R276" s="13" t="n">
        <v>-1.588613819477036</v>
      </c>
      <c r="S276" s="13" t="n">
        <v>0.1080066142103542</v>
      </c>
      <c r="T276" s="13" t="n">
        <v>1.970134496608411</v>
      </c>
      <c r="U276" s="13" t="n">
        <v>0.549523146659836</v>
      </c>
      <c r="V276" s="13" t="n">
        <v>-1.075967506795283</v>
      </c>
      <c r="W276" s="13" t="n">
        <v>0.1454899171617452</v>
      </c>
      <c r="X276" s="13" t="n">
        <v>-0.9163724018795283</v>
      </c>
    </row>
    <row r="277">
      <c r="A277" t="inlineStr">
        <is>
          <t>Tüm Teknoloji</t>
        </is>
      </c>
      <c r="B277" t="inlineStr">
        <is>
          <t>BCK</t>
        </is>
      </c>
      <c r="C277" t="inlineStr">
        <is>
          <t>Deniz Portföy Blockchain VE Fıntech Teknolojileri Değişken Fon</t>
        </is>
      </c>
      <c r="D277" s="13" t="n">
        <v>-0.8693437221923173</v>
      </c>
      <c r="E277" s="13" t="n">
        <v>0.6177966906537824</v>
      </c>
      <c r="F277" s="13" t="n">
        <v>0.3120565065195091</v>
      </c>
      <c r="G277" s="13" t="n">
        <v>0.9287674308081417</v>
      </c>
      <c r="H277" s="13" t="n">
        <v>-2.597204081246329</v>
      </c>
      <c r="I277" s="13" t="n">
        <v>-0.8354391387810467</v>
      </c>
      <c r="J277" s="13" t="n">
        <v>-1.366239360628396</v>
      </c>
      <c r="K277" s="13" t="n">
        <v>-0.6443732337730657</v>
      </c>
      <c r="L277" s="13" t="n">
        <v>0.969928710239798</v>
      </c>
      <c r="M277" s="13" t="n">
        <v>0.5976092658402932</v>
      </c>
      <c r="N277" s="13" t="n">
        <v>0.5948958858366993</v>
      </c>
      <c r="O277" s="13" t="n">
        <v>0.07001999313009932</v>
      </c>
      <c r="P277" s="13" t="n">
        <v>-1.161000287022884</v>
      </c>
      <c r="Q277" s="13" t="n">
        <v>0.8860244119266447</v>
      </c>
      <c r="R277" s="13" t="n">
        <v>-0.9571916624291021</v>
      </c>
      <c r="S277" s="13" t="n">
        <v>-1.348365340960578</v>
      </c>
      <c r="T277" s="13" t="n">
        <v>0.835012509127786</v>
      </c>
      <c r="U277" s="13" t="n">
        <v>0.3911540163339833</v>
      </c>
      <c r="V277" s="13" t="n">
        <v>-1.101960197160001</v>
      </c>
      <c r="W277" s="13" t="n">
        <v>0.2454362935911281</v>
      </c>
      <c r="X277" s="13" t="n">
        <v>0.03365486312771893</v>
      </c>
    </row>
    <row r="278">
      <c r="A278" t="inlineStr">
        <is>
          <t>Tüm Teknoloji</t>
        </is>
      </c>
      <c r="B278" t="inlineStr">
        <is>
          <t>JET</t>
        </is>
      </c>
      <c r="C278" t="inlineStr">
        <is>
          <t>Ata Portföy Havacılık VE Savunma Teknolojileri Değişken Fon</t>
        </is>
      </c>
      <c r="D278" s="13" t="n">
        <v>0.4470951431744696</v>
      </c>
      <c r="E278" s="13" t="n">
        <v>-0.3000713490254214</v>
      </c>
      <c r="F278" s="13" t="n">
        <v>0.2878463593535496</v>
      </c>
      <c r="G278" s="13" t="n">
        <v>-0.9984000564167372</v>
      </c>
      <c r="H278" s="13" t="n">
        <v>-0.2985515840685737</v>
      </c>
      <c r="I278" s="13" t="n">
        <v>-2.201054534283098</v>
      </c>
      <c r="J278" s="13" t="n">
        <v>0.9310193682711132</v>
      </c>
      <c r="K278" s="13" t="n">
        <v>-1.681511247546441</v>
      </c>
      <c r="L278" s="13" t="n">
        <v>1.209487439035617</v>
      </c>
      <c r="M278" s="13" t="n">
        <v>0.4421992765334393</v>
      </c>
      <c r="N278" s="13" t="n">
        <v>2.242268764477795</v>
      </c>
      <c r="O278" s="13" t="n">
        <v>2.273484863576325</v>
      </c>
      <c r="P278" s="13" t="n">
        <v>0.1840444061234958</v>
      </c>
      <c r="Q278" s="13" t="n">
        <v>1.386999884211471</v>
      </c>
      <c r="R278" s="13" t="n">
        <v>-2.079204250113043</v>
      </c>
      <c r="S278" s="13" t="n">
        <v>-2.834401349072513</v>
      </c>
      <c r="T278" s="13" t="n">
        <v>-0.7252958691189026</v>
      </c>
      <c r="U278" s="13" t="n">
        <v>0.2084320227380365</v>
      </c>
      <c r="V278" s="13" t="n">
        <v>-1.127333792550755</v>
      </c>
      <c r="W278" s="13" t="n">
        <v>0.2220724638340998</v>
      </c>
      <c r="X278" s="13" t="n">
        <v>-0.1432980449403543</v>
      </c>
    </row>
    <row r="279">
      <c r="A279" t="inlineStr">
        <is>
          <t>Tüm Teknoloji</t>
        </is>
      </c>
      <c r="B279" t="inlineStr">
        <is>
          <t>IJP</t>
        </is>
      </c>
      <c r="C279" t="inlineStr">
        <is>
          <t>İŞ Portföy Blockchain Teknolojileri Karma Fon</t>
        </is>
      </c>
      <c r="D279" s="13" t="n">
        <v>-0.555883337851415</v>
      </c>
      <c r="E279" s="13" t="n">
        <v>0.1588269147147381</v>
      </c>
      <c r="F279" s="13" t="n">
        <v>-0.03736373663866255</v>
      </c>
      <c r="G279" s="13" t="n">
        <v>1.643249271057501</v>
      </c>
      <c r="H279" s="13" t="n">
        <v>-2.761853615260035</v>
      </c>
      <c r="I279" s="13" t="n">
        <v>-0.6939092620771414</v>
      </c>
      <c r="J279" s="13" t="n">
        <v>0.4196126693834401</v>
      </c>
      <c r="K279" s="13" t="n">
        <v>-1.494619895086369</v>
      </c>
      <c r="L279" s="13" t="n">
        <v>0.4502291191243124</v>
      </c>
      <c r="M279" s="13" t="n">
        <v>0.8073123595057741</v>
      </c>
      <c r="N279" s="13" t="n">
        <v>-0.06469062534196768</v>
      </c>
      <c r="O279" s="13" t="n">
        <v>0.4308567399372354</v>
      </c>
      <c r="P279" s="13" t="n">
        <v>0.1146932638024456</v>
      </c>
      <c r="Q279" s="13" t="n">
        <v>0.1147407671530765</v>
      </c>
      <c r="R279" s="13" t="n">
        <v>-1.055015015243077</v>
      </c>
      <c r="S279" s="13" t="n">
        <v>-0.5386573140773288</v>
      </c>
      <c r="T279" s="13" t="n">
        <v>1.359304217091029</v>
      </c>
      <c r="U279" s="13" t="n">
        <v>0.5252761800603967</v>
      </c>
      <c r="V279" s="13" t="n">
        <v>-1.217654757686981</v>
      </c>
      <c r="W279" s="13" t="n">
        <v>0.1086020073556737</v>
      </c>
      <c r="X279" s="13" t="n">
        <v>-0.6630240216121241</v>
      </c>
    </row>
    <row r="280">
      <c r="A280" t="inlineStr">
        <is>
          <t>Tüm Teknoloji</t>
        </is>
      </c>
      <c r="B280" t="inlineStr">
        <is>
          <t>IRT</t>
        </is>
      </c>
      <c r="C280" t="inlineStr">
        <is>
          <t>Inveo Portföy Teknoloji Değişken Fon</t>
        </is>
      </c>
      <c r="D280" s="13" t="n">
        <v>-1.789175894439377</v>
      </c>
      <c r="E280" s="13" t="n">
        <v>1.845825510436172</v>
      </c>
      <c r="F280" s="13" t="n">
        <v>0.3075294011625207</v>
      </c>
      <c r="G280" s="13" t="n">
        <v>1.166418510458045</v>
      </c>
      <c r="H280" s="13" t="n">
        <v>-2.839900551514329</v>
      </c>
      <c r="I280" s="13" t="n">
        <v>-0.9974252985665566</v>
      </c>
      <c r="J280" s="13" t="n">
        <v>1.260347651674665</v>
      </c>
      <c r="K280" s="13" t="n">
        <v>-1.170732147180109</v>
      </c>
      <c r="L280" s="13" t="n">
        <v>0.1818212461953239</v>
      </c>
      <c r="M280" s="13" t="n">
        <v>1.29258761019857</v>
      </c>
      <c r="N280" s="13" t="n">
        <v>-0.2833611520364765</v>
      </c>
      <c r="O280" s="13" t="n">
        <v>-0.7571090746265163</v>
      </c>
      <c r="P280" s="13" t="n">
        <v>-1.765780339964329</v>
      </c>
      <c r="Q280" s="13" t="n">
        <v>1.351005038971853</v>
      </c>
      <c r="R280" s="13" t="n">
        <v>-2.668248436766274</v>
      </c>
      <c r="S280" s="13" t="n">
        <v>-1.2084580342692</v>
      </c>
      <c r="T280" s="13" t="n">
        <v>1.559545148921693</v>
      </c>
      <c r="U280" s="13" t="n">
        <v>0.02676223544875178</v>
      </c>
      <c r="V280" s="13" t="n">
        <v>-1.224622091050565</v>
      </c>
      <c r="W280" s="13" t="n">
        <v>0.5083829793047556</v>
      </c>
      <c r="X280" s="13" t="n">
        <v>-1.663841645091813</v>
      </c>
    </row>
    <row r="281">
      <c r="A281" t="inlineStr">
        <is>
          <t>Tüm Teknoloji</t>
        </is>
      </c>
      <c r="B281" t="inlineStr">
        <is>
          <t>FLY</t>
        </is>
      </c>
      <c r="C281" t="inlineStr">
        <is>
          <t>Aktif Portföy Havacılık VE Savunma Teknolojileri Değişken Fon</t>
        </is>
      </c>
      <c r="D281" s="13" t="n">
        <v>0.8777377625331262</v>
      </c>
      <c r="E281" s="13" t="n">
        <v>-0.4833171264449931</v>
      </c>
      <c r="F281" s="13" t="n">
        <v>0.3997428277686899</v>
      </c>
      <c r="G281" s="13" t="n">
        <v>-2.239408946658006</v>
      </c>
      <c r="H281" s="13" t="n">
        <v>-0.1227973156047946</v>
      </c>
      <c r="I281" s="13" t="n">
        <v>-2.836756824718301</v>
      </c>
      <c r="J281" s="13" t="n">
        <v>-0.1746272296544005</v>
      </c>
      <c r="K281" s="13" t="n">
        <v>-0.3066152234458497</v>
      </c>
      <c r="L281" s="13" t="n">
        <v>0.7046334399577026</v>
      </c>
      <c r="M281" s="13" t="n">
        <v>1.535473370375207</v>
      </c>
      <c r="N281" s="13" t="n">
        <v>1.955548219269376</v>
      </c>
      <c r="O281" s="13" t="n">
        <v>2.17678084442452</v>
      </c>
      <c r="P281" s="13" t="n">
        <v>0.1385568259043124</v>
      </c>
      <c r="Q281" s="13" t="n">
        <v>-0.2781953344995647</v>
      </c>
      <c r="R281" s="13" t="n">
        <v>-1.359008655342475</v>
      </c>
      <c r="S281" s="13" t="n">
        <v>-2.949806462144688</v>
      </c>
      <c r="T281" s="13" t="n">
        <v>-1.211930721909715</v>
      </c>
      <c r="U281" s="13" t="n">
        <v>-0.3436428252287294</v>
      </c>
      <c r="V281" s="13" t="n">
        <v>-1.234708009420715</v>
      </c>
      <c r="W281" s="13" t="n">
        <v>-0.6393719797613273</v>
      </c>
      <c r="X281" s="13" t="n">
        <v>-0.7400060110397289</v>
      </c>
    </row>
    <row r="282">
      <c r="A282" t="inlineStr">
        <is>
          <t>Tüm Teknoloji</t>
        </is>
      </c>
      <c r="B282" t="inlineStr">
        <is>
          <t>YJK</t>
        </is>
      </c>
      <c r="C282" t="inlineStr">
        <is>
          <t>Yapı Kredi Portföy Robotik VE Yarı İletken Teknolojileri Fon Sepeti Fonu</t>
        </is>
      </c>
      <c r="D282" s="13" t="n">
        <v>-0.9238090310141001</v>
      </c>
      <c r="E282" s="13" t="n">
        <v>1.084977693147238</v>
      </c>
      <c r="F282" s="13" t="n">
        <v>0.06048594054532952</v>
      </c>
      <c r="G282" s="13" t="n">
        <v>1.576864211064288</v>
      </c>
      <c r="H282" s="13" t="n">
        <v>-3.514892791631341</v>
      </c>
      <c r="I282" s="13" t="n">
        <v>-1.107759602995029</v>
      </c>
      <c r="J282" s="13" t="n">
        <v>0.943433424723783</v>
      </c>
      <c r="K282" s="13" t="n">
        <v>-1.428616070498523</v>
      </c>
      <c r="L282" s="13" t="n">
        <v>0.1625621055931559</v>
      </c>
      <c r="M282" s="13" t="n">
        <v>3.281853892872588</v>
      </c>
      <c r="N282" s="13" t="n">
        <v>0.2589849227939922</v>
      </c>
      <c r="O282" s="13" t="n">
        <v>-0.9494621503153389</v>
      </c>
      <c r="P282" s="13" t="n">
        <v>0.04447111263501391</v>
      </c>
      <c r="Q282" s="13" t="n">
        <v>-0.534787032819628</v>
      </c>
      <c r="R282" s="13" t="n">
        <v>-3.110130856218041</v>
      </c>
      <c r="S282" s="13" t="n">
        <v>-0.552485107209244</v>
      </c>
      <c r="T282" s="13" t="n">
        <v>2.453140122704389</v>
      </c>
      <c r="U282" s="13" t="n">
        <v>-0.365951773039741</v>
      </c>
      <c r="V282" s="13" t="n">
        <v>-1.235027862045002</v>
      </c>
      <c r="W282" s="13" t="n">
        <v>0.3293953565417063</v>
      </c>
      <c r="X282" s="13" t="n">
        <v>-2.022702147359967</v>
      </c>
    </row>
    <row r="283">
      <c r="A283" t="inlineStr">
        <is>
          <t>Tüm Teknoloji</t>
        </is>
      </c>
      <c r="B283" t="inlineStr">
        <is>
          <t>RTG</t>
        </is>
      </c>
      <c r="C283" t="inlineStr">
        <is>
          <t>Ata Portföy Robotik Teknolojileri Değişken Fon</t>
        </is>
      </c>
      <c r="D283" s="13" t="n">
        <v>-1.047418604605044</v>
      </c>
      <c r="E283" s="13" t="n">
        <v>2.030601536338383</v>
      </c>
      <c r="F283" s="13" t="n">
        <v>-0.1357820914271501</v>
      </c>
      <c r="G283" s="13" t="n">
        <v>0.2527273230814586</v>
      </c>
      <c r="H283" s="13" t="n">
        <v>-3.400782424495952</v>
      </c>
      <c r="I283" s="13" t="n">
        <v>-1.401498543980018</v>
      </c>
      <c r="J283" s="13" t="n">
        <v>0.9834934560769337</v>
      </c>
      <c r="K283" s="13" t="n">
        <v>-1.33607836459223</v>
      </c>
      <c r="L283" s="13" t="n">
        <v>0.08640127328192193</v>
      </c>
      <c r="M283" s="13" t="n">
        <v>3.947380649398347</v>
      </c>
      <c r="N283" s="13" t="n">
        <v>-0.7543070620320225</v>
      </c>
      <c r="O283" s="13" t="n">
        <v>-1.816745905978179</v>
      </c>
      <c r="P283" s="13" t="n">
        <v>-1.417085840389798</v>
      </c>
      <c r="Q283" s="13" t="n">
        <v>2.49206004770437</v>
      </c>
      <c r="R283" s="13" t="n">
        <v>-4.558051557736764</v>
      </c>
      <c r="S283" s="13" t="n">
        <v>0.0631306902194817</v>
      </c>
      <c r="T283" s="13" t="n">
        <v>2.013818712118853</v>
      </c>
      <c r="U283" s="13" t="n">
        <v>0.05730581871545848</v>
      </c>
      <c r="V283" s="13" t="n">
        <v>-1.246826265120837</v>
      </c>
      <c r="W283" s="13" t="n">
        <v>0.2000167000842934</v>
      </c>
      <c r="X283" s="13" t="n">
        <v>-2.068524741752586</v>
      </c>
    </row>
    <row r="284">
      <c r="A284" t="inlineStr">
        <is>
          <t>Tüm Teknoloji</t>
        </is>
      </c>
      <c r="B284" t="inlineStr">
        <is>
          <t>PIL</t>
        </is>
      </c>
      <c r="C284" t="inlineStr">
        <is>
          <t>Rota Portföy Pil Teknolojileri VE Enerji Fon Sepeti Fonu</t>
        </is>
      </c>
      <c r="D284" s="13" t="n">
        <v>-0.110351242256379</v>
      </c>
      <c r="E284" s="13" t="n">
        <v>-0.9038885976046074</v>
      </c>
      <c r="F284" s="13" t="n">
        <v>0.2174923924645134</v>
      </c>
      <c r="G284" s="13" t="n">
        <v>1.179391741877711</v>
      </c>
      <c r="H284" s="13" t="n">
        <v>-3.364607584421697</v>
      </c>
      <c r="I284" s="13" t="n">
        <v>-1.161920957410079</v>
      </c>
      <c r="J284" s="13" t="n">
        <v>-0.3728371922699925</v>
      </c>
      <c r="K284" s="13" t="n">
        <v>-1.976063305141684</v>
      </c>
      <c r="L284" s="13" t="n">
        <v>-0.3200534747098138</v>
      </c>
      <c r="M284" s="13" t="n">
        <v>2.794892960186868</v>
      </c>
      <c r="N284" s="13" t="n">
        <v>-0.2488567134754316</v>
      </c>
      <c r="O284" s="13" t="n">
        <v>-0.06235692736364928</v>
      </c>
      <c r="P284" s="13" t="n">
        <v>-1.11701513485557</v>
      </c>
      <c r="Q284" s="13" t="n">
        <v>0.8054794188886438</v>
      </c>
      <c r="R284" s="13" t="n">
        <v>-3.03102553646083</v>
      </c>
      <c r="S284" s="13" t="n">
        <v>-2.115571719344178</v>
      </c>
      <c r="T284" s="13" t="n">
        <v>2.095900715942145</v>
      </c>
      <c r="U284" s="13" t="n">
        <v>-0.5105078280104425</v>
      </c>
      <c r="V284" s="13" t="n">
        <v>-1.322002354147678</v>
      </c>
      <c r="W284" s="13" t="n">
        <v>1.333743921061981</v>
      </c>
      <c r="X284" s="13" t="n">
        <v>-2.265196137330261</v>
      </c>
    </row>
    <row r="285">
      <c r="A285" s="14" t="inlineStr">
        <is>
          <t>Tüm Teknoloji</t>
        </is>
      </c>
      <c r="B285" s="14" t="inlineStr">
        <is>
          <t>MTD</t>
        </is>
      </c>
      <c r="C285" s="14" t="inlineStr">
        <is>
          <t>BV Portföy Malzeme Teknolojileri Değişken Fon</t>
        </is>
      </c>
      <c r="D285" s="15" t="n">
        <v>0.01119595841239107</v>
      </c>
      <c r="E285" s="15" t="n">
        <v>0.6203093419047123</v>
      </c>
      <c r="F285" s="15" t="n">
        <v>-0.7683585337862953</v>
      </c>
      <c r="G285" s="15" t="n">
        <v>-0.09100019582320984</v>
      </c>
      <c r="H285" s="15" t="n">
        <v>-2.656705175210028</v>
      </c>
      <c r="I285" s="15" t="n">
        <v>-2.677018996467284</v>
      </c>
      <c r="J285" s="15" t="n">
        <v>-1.265351391391611</v>
      </c>
      <c r="K285" s="15" t="n">
        <v>-0.4447194495733942</v>
      </c>
      <c r="L285" s="15" t="n">
        <v>-0.2484451542877353</v>
      </c>
      <c r="M285" s="15" t="n">
        <v>1.091330340704566</v>
      </c>
      <c r="N285" s="15" t="n">
        <v>1.404256642716706</v>
      </c>
      <c r="O285" s="15" t="n">
        <v>0.5312906116057503</v>
      </c>
      <c r="P285" s="15" t="n">
        <v>-0.8157680906209164</v>
      </c>
      <c r="Q285" s="15" t="n">
        <v>0.5955676876398419</v>
      </c>
      <c r="R285" s="15" t="n">
        <v>-2.246974004726998</v>
      </c>
      <c r="S285" s="15" t="n">
        <v>-1.55104809558031</v>
      </c>
      <c r="T285" s="15" t="n">
        <v>1.570467419135269</v>
      </c>
      <c r="U285" s="15" t="n">
        <v>1.268660464143689</v>
      </c>
      <c r="V285" s="15" t="n">
        <v>-1.293333669355667</v>
      </c>
      <c r="W285" s="15" t="n">
        <v>0.9268898537929005</v>
      </c>
      <c r="X285" s="15" t="n">
        <v>-2.470985505401413</v>
      </c>
    </row>
    <row r="286">
      <c r="A286" t="inlineStr">
        <is>
          <t>Tüm Teknoloji</t>
        </is>
      </c>
      <c r="B286" t="inlineStr">
        <is>
          <t>TEJ</t>
        </is>
      </c>
      <c r="C286" t="inlineStr">
        <is>
          <t>Azimut Portföy Teknoloji Fon Sepeti Fonu</t>
        </is>
      </c>
      <c r="D286" s="13" t="n">
        <v>-1.327215536514781</v>
      </c>
      <c r="E286" s="13" t="n">
        <v>0.7320944024456599</v>
      </c>
      <c r="F286" s="13" t="n">
        <v>0.03517892176054804</v>
      </c>
      <c r="G286" s="13" t="n">
        <v>1.636696093389434</v>
      </c>
      <c r="H286" s="13" t="n">
        <v>-3.488912735061156</v>
      </c>
      <c r="I286" s="13" t="n">
        <v>-0.8099642725624578</v>
      </c>
      <c r="J286" s="13" t="n">
        <v>0.2088938708853849</v>
      </c>
      <c r="K286" s="13" t="n">
        <v>-1.040445304258453</v>
      </c>
      <c r="L286" s="13" t="n">
        <v>0.4813608355318078</v>
      </c>
      <c r="M286" s="13" t="n">
        <v>2.373480093392755</v>
      </c>
      <c r="N286" s="13" t="n">
        <v>-0.09996519730167686</v>
      </c>
      <c r="O286" s="13" t="n">
        <v>-0.5746338353889935</v>
      </c>
      <c r="P286" s="13" t="n">
        <v>0.05837326459749992</v>
      </c>
      <c r="Q286" s="13" t="n">
        <v>-0.8037101651416911</v>
      </c>
      <c r="R286" s="13" t="n">
        <v>-1.8760466243817</v>
      </c>
      <c r="S286" s="13" t="n">
        <v>-0.3434282274043632</v>
      </c>
      <c r="T286" s="13" t="n">
        <v>2.463207619632835</v>
      </c>
      <c r="U286" s="13" t="n">
        <v>-0.1363600414852173</v>
      </c>
      <c r="V286" s="13" t="n">
        <v>-1.309237439191324</v>
      </c>
      <c r="W286" s="13" t="n">
        <v>0.0006845623953921631</v>
      </c>
      <c r="X286" s="13" t="n">
        <v>-1.46963130862714</v>
      </c>
    </row>
    <row r="287">
      <c r="A287" s="14" t="inlineStr">
        <is>
          <t>Tüm Teknoloji</t>
        </is>
      </c>
      <c r="B287" s="14" t="inlineStr">
        <is>
          <t>BTE</t>
        </is>
      </c>
      <c r="C287" s="14" t="inlineStr">
        <is>
          <t>BV Portföy Oyun VE Teknoloji Değişken Fon</t>
        </is>
      </c>
      <c r="D287" s="15" t="n">
        <v>-0.4911978916795512</v>
      </c>
      <c r="E287" s="15" t="n">
        <v>0.8118388814972066</v>
      </c>
      <c r="F287" s="15" t="n">
        <v>0.5569380110296507</v>
      </c>
      <c r="G287" s="15" t="n">
        <v>0.2898464904743436</v>
      </c>
      <c r="H287" s="15" t="n">
        <v>-2.195591598904745</v>
      </c>
      <c r="I287" s="15" t="n">
        <v>-1.093479251588469</v>
      </c>
      <c r="J287" s="15" t="n">
        <v>-0.4078841670429934</v>
      </c>
      <c r="K287" s="15" t="n">
        <v>-0.497821508563534</v>
      </c>
      <c r="L287" s="15" t="n">
        <v>2.499493356127469</v>
      </c>
      <c r="M287" s="15" t="n">
        <v>1.199404962011696</v>
      </c>
      <c r="N287" s="15" t="n">
        <v>0.8763311688042119</v>
      </c>
      <c r="O287" s="15" t="n">
        <v>0.3888527105871953</v>
      </c>
      <c r="P287" s="15" t="n">
        <v>-0.8825546458310352</v>
      </c>
      <c r="Q287" s="15" t="n">
        <v>1.38843784814886</v>
      </c>
      <c r="R287" s="15" t="n">
        <v>-0.08911335880243954</v>
      </c>
      <c r="S287" s="15" t="n">
        <v>-1.124956965679136</v>
      </c>
      <c r="T287" s="15" t="n">
        <v>0.8077177095685784</v>
      </c>
      <c r="U287" s="15" t="n">
        <v>0.1583808158240663</v>
      </c>
      <c r="V287" s="15" t="n">
        <v>-1.319062123900905</v>
      </c>
      <c r="W287" s="15" t="n">
        <v>-0.3335050258937988</v>
      </c>
      <c r="X287" s="15" t="n">
        <v>-0.09366892485584977</v>
      </c>
    </row>
    <row r="288">
      <c r="A288" t="inlineStr">
        <is>
          <t>Tüm Teknoloji</t>
        </is>
      </c>
      <c r="B288" t="inlineStr">
        <is>
          <t>IRO</t>
        </is>
      </c>
      <c r="C288" t="inlineStr">
        <is>
          <t>İstanbul Portföy Robotik Teknolojileri Serbest Fon</t>
        </is>
      </c>
      <c r="D288" s="13" t="n">
        <v>-0.7513212802103708</v>
      </c>
      <c r="E288" s="13" t="n">
        <v>0.2030339231889888</v>
      </c>
      <c r="F288" s="13" t="n">
        <v>-0.1055286192478078</v>
      </c>
      <c r="G288" s="13" t="n">
        <v>0.8996248282221897</v>
      </c>
      <c r="H288" s="13" t="n">
        <v>-1.834686840934885</v>
      </c>
      <c r="I288" s="13" t="n">
        <v>-2.373612395542035</v>
      </c>
      <c r="J288" s="13" t="n">
        <v>10.05955911245591</v>
      </c>
      <c r="K288" s="13" t="n">
        <v>-1.621098076656491</v>
      </c>
      <c r="L288" s="13" t="n">
        <v>0.1906965975903008</v>
      </c>
      <c r="M288" s="13" t="n">
        <v>2.613164630230891</v>
      </c>
      <c r="N288" s="13" t="n">
        <v>0.6080204762364483</v>
      </c>
      <c r="O288" s="13" t="n">
        <v>-0.4050874214398648</v>
      </c>
      <c r="P288" s="13" t="n">
        <v>1.07885065681026</v>
      </c>
      <c r="Q288" s="13" t="n">
        <v>-1.15235705838278</v>
      </c>
      <c r="R288" s="13" t="n">
        <v>-2.79082932102922</v>
      </c>
      <c r="S288" s="13" t="n">
        <v>-1.600372402881589</v>
      </c>
      <c r="T288" s="13" t="n">
        <v>0.4656655095974793</v>
      </c>
      <c r="U288" s="13" t="n">
        <v>0.3551768142920686</v>
      </c>
      <c r="V288" s="13" t="n">
        <v>-1.33648760413565</v>
      </c>
      <c r="W288" s="13" t="n">
        <v>0.09432779533411484</v>
      </c>
      <c r="X288" s="13" t="n">
        <v>-0.8110831234257043</v>
      </c>
    </row>
    <row r="289">
      <c r="A289" t="inlineStr">
        <is>
          <t>Tüm Teknoloji</t>
        </is>
      </c>
      <c r="B289" t="inlineStr">
        <is>
          <t>CPT</t>
        </is>
      </c>
      <c r="C289" t="inlineStr">
        <is>
          <t>Rota Portföy Çip Teknolojileri Değişken Fon</t>
        </is>
      </c>
      <c r="D289" s="13" t="n">
        <v>-1.243451240927351</v>
      </c>
      <c r="E289" s="13" t="n">
        <v>3.037703439581829</v>
      </c>
      <c r="F289" s="13" t="n">
        <v>-0.2691386561335718</v>
      </c>
      <c r="G289" s="13" t="n">
        <v>1.14240046143681</v>
      </c>
      <c r="H289" s="13" t="n">
        <v>-4.370996712844766</v>
      </c>
      <c r="I289" s="13" t="n">
        <v>-1.334216151719503</v>
      </c>
      <c r="J289" s="13" t="n">
        <v>2.109526799841044</v>
      </c>
      <c r="K289" s="13" t="n">
        <v>-1.953891709175481</v>
      </c>
      <c r="L289" s="13" t="n">
        <v>-0.1836943310312478</v>
      </c>
      <c r="M289" s="13" t="n">
        <v>3.872453694126077</v>
      </c>
      <c r="N289" s="13" t="n">
        <v>-1.700450521133845</v>
      </c>
      <c r="O289" s="13" t="n">
        <v>-1.792367940477557</v>
      </c>
      <c r="P289" s="13" t="n">
        <v>-1.899325638370419</v>
      </c>
      <c r="Q289" s="13" t="n">
        <v>2.533940734770157</v>
      </c>
      <c r="R289" s="13" t="n">
        <v>-5.587535234412943</v>
      </c>
      <c r="S289" s="13" t="n">
        <v>1.009981051170272</v>
      </c>
      <c r="T289" s="13" t="n">
        <v>3.246261487698865</v>
      </c>
      <c r="U289" s="13" t="n">
        <v>-0.1544006326512193</v>
      </c>
      <c r="V289" s="13" t="n">
        <v>-1.432241517656074</v>
      </c>
      <c r="W289" s="13" t="n">
        <v>0.8166045577869152</v>
      </c>
      <c r="X289" s="13" t="n">
        <v>-2.578078835409814</v>
      </c>
    </row>
    <row r="290">
      <c r="A290" s="14" t="inlineStr">
        <is>
          <t>Tüm Teknoloji</t>
        </is>
      </c>
      <c r="B290" s="14" t="inlineStr">
        <is>
          <t>RUT</t>
        </is>
      </c>
      <c r="C290" s="14" t="inlineStr">
        <is>
          <t>BV Portföy Robotik VE Uzay Teknolojileri Değişken Fon</t>
        </is>
      </c>
      <c r="D290" s="15" t="n">
        <v>-0.3622821712958024</v>
      </c>
      <c r="E290" s="15" t="n">
        <v>0.5309396105486863</v>
      </c>
      <c r="F290" s="15" t="n">
        <v>0.5091957156396987</v>
      </c>
      <c r="G290" s="15" t="n">
        <v>-0.1452711958953468</v>
      </c>
      <c r="H290" s="15" t="n">
        <v>-2.559308316389985</v>
      </c>
      <c r="I290" s="15" t="n">
        <v>-1.971780996416705</v>
      </c>
      <c r="J290" s="15" t="n">
        <v>0.3020511205402254</v>
      </c>
      <c r="K290" s="15" t="n">
        <v>-1.1624936232006</v>
      </c>
      <c r="L290" s="15" t="n">
        <v>1.65182787136422</v>
      </c>
      <c r="M290" s="15" t="n">
        <v>1.777435992084242</v>
      </c>
      <c r="N290" s="15" t="n">
        <v>0.9438197357095168</v>
      </c>
      <c r="O290" s="15" t="n">
        <v>0.4820488212658791</v>
      </c>
      <c r="P290" s="15" t="n">
        <v>-1.054505984883647</v>
      </c>
      <c r="Q290" s="15" t="n">
        <v>1.058115228234402</v>
      </c>
      <c r="R290" s="15" t="n">
        <v>-1.569879109256211</v>
      </c>
      <c r="S290" s="15" t="n">
        <v>-1.517010205033142</v>
      </c>
      <c r="T290" s="15" t="n">
        <v>0.2161718160154091</v>
      </c>
      <c r="U290" s="15" t="n">
        <v>0.2605316973415039</v>
      </c>
      <c r="V290" s="15" t="n">
        <v>-1.605020865883156</v>
      </c>
      <c r="W290" s="15" t="n">
        <v>-0.004519024471127953</v>
      </c>
      <c r="X290" s="15" t="n">
        <v>-1.585420056088205</v>
      </c>
    </row>
    <row r="291">
      <c r="A291" t="inlineStr">
        <is>
          <t>Tüm Teknoloji</t>
        </is>
      </c>
      <c r="B291" t="inlineStr">
        <is>
          <t>YIT</t>
        </is>
      </c>
      <c r="C291" t="inlineStr">
        <is>
          <t>Garanti Portföy Yarı İletken Teknolojileri Değişken Fon</t>
        </is>
      </c>
      <c r="D291" s="13" t="n">
        <v>-1.366933885396981</v>
      </c>
      <c r="E291" s="13" t="n">
        <v>2.669255505103796</v>
      </c>
      <c r="F291" s="13" t="n">
        <v>0.4586409139462733</v>
      </c>
      <c r="G291" s="13" t="n">
        <v>1.306165822087646</v>
      </c>
      <c r="H291" s="13" t="n">
        <v>-4.448143951279226</v>
      </c>
      <c r="I291" s="13" t="n">
        <v>-1.619466951692317</v>
      </c>
      <c r="J291" s="13" t="n">
        <v>1.868463542495347</v>
      </c>
      <c r="K291" s="13" t="n">
        <v>-2.311084369994876</v>
      </c>
      <c r="L291" s="13" t="n">
        <v>-0.5770500099581355</v>
      </c>
      <c r="M291" s="13" t="n">
        <v>4.152221070497775</v>
      </c>
      <c r="N291" s="13" t="n">
        <v>-0.8146435791686057</v>
      </c>
      <c r="O291" s="13" t="n">
        <v>-2.067279040876202</v>
      </c>
      <c r="P291" s="13" t="n">
        <v>-3.225968084150588</v>
      </c>
      <c r="Q291" s="13" t="n">
        <v>3.255127200272812</v>
      </c>
      <c r="R291" s="13" t="n">
        <v>-5.688452846370518</v>
      </c>
      <c r="S291" s="13" t="n">
        <v>0.3226050116347468</v>
      </c>
      <c r="T291" s="13" t="n">
        <v>3.951465877574778</v>
      </c>
      <c r="U291" s="13" t="n">
        <v>-1.349398030929472</v>
      </c>
      <c r="V291" s="13" t="n">
        <v>-1.64899731083632</v>
      </c>
      <c r="W291" s="13" t="n">
        <v>1.412171097096193</v>
      </c>
      <c r="X291" s="13" t="n">
        <v>-3.723046719079814</v>
      </c>
    </row>
    <row r="292">
      <c r="A292" s="14" t="inlineStr">
        <is>
          <t>Tüm Teknoloji</t>
        </is>
      </c>
      <c r="B292" s="14" t="inlineStr">
        <is>
          <t>BVV</t>
        </is>
      </c>
      <c r="C292" s="14" t="inlineStr">
        <is>
          <t>BV Portföy Teknoloji Değişken Fon</t>
        </is>
      </c>
      <c r="D292" s="15" t="n">
        <v>-1.103419287653506</v>
      </c>
      <c r="E292" s="15" t="n">
        <v>0.9454418705323153</v>
      </c>
      <c r="F292" s="15" t="n">
        <v>0.6240664482763503</v>
      </c>
      <c r="G292" s="15" t="n">
        <v>0.6896294072148201</v>
      </c>
      <c r="H292" s="15" t="n">
        <v>-3.515145851742019</v>
      </c>
      <c r="I292" s="15" t="n">
        <v>-1.512095797876012</v>
      </c>
      <c r="J292" s="15" t="n">
        <v>0.9967967953492085</v>
      </c>
      <c r="K292" s="15" t="n">
        <v>-1.280921573945015</v>
      </c>
      <c r="L292" s="15" t="n">
        <v>1.711093899124205</v>
      </c>
      <c r="M292" s="15" t="n">
        <v>2.406084088306559</v>
      </c>
      <c r="N292" s="15" t="n">
        <v>0.1552962395528157</v>
      </c>
      <c r="O292" s="15" t="n">
        <v>-1.229793225111531</v>
      </c>
      <c r="P292" s="15" t="n">
        <v>-2.218328853112195</v>
      </c>
      <c r="Q292" s="15" t="n">
        <v>1.93653247876906</v>
      </c>
      <c r="R292" s="15" t="n">
        <v>-2.858258155284776</v>
      </c>
      <c r="S292" s="15" t="n">
        <v>-0.2365970958193575</v>
      </c>
      <c r="T292" s="15" t="n">
        <v>2.048298432867202</v>
      </c>
      <c r="U292" s="15" t="n">
        <v>-0.005854933038129673</v>
      </c>
      <c r="V292" s="15" t="n">
        <v>-1.782374534291353</v>
      </c>
      <c r="W292" s="15" t="n">
        <v>0.8062900276935014</v>
      </c>
      <c r="X292" s="15" t="n">
        <v>-1.205675334255119</v>
      </c>
    </row>
    <row r="293">
      <c r="A293" t="inlineStr">
        <is>
          <t>Tüm Teknoloji</t>
        </is>
      </c>
      <c r="B293" t="inlineStr">
        <is>
          <t>GBV</t>
        </is>
      </c>
      <c r="C293" t="inlineStr">
        <is>
          <t>Garanti Portföy Blockchain Teknolojileri Değişken Fon</t>
        </is>
      </c>
      <c r="D293" s="13" t="n">
        <v>-0.6336429148221523</v>
      </c>
      <c r="E293" s="13" t="n">
        <v>0.5822683737871426</v>
      </c>
      <c r="F293" s="13" t="n">
        <v>0.6403327283147409</v>
      </c>
      <c r="G293" s="13" t="n">
        <v>1.672830086212063</v>
      </c>
      <c r="H293" s="13" t="n">
        <v>-3.10519787756065</v>
      </c>
      <c r="I293" s="13" t="n">
        <v>-0.8071500701268386</v>
      </c>
      <c r="J293" s="13" t="n">
        <v>-1.168972704723348</v>
      </c>
      <c r="K293" s="13" t="n">
        <v>-1.397100458969236</v>
      </c>
      <c r="L293" s="13" t="n">
        <v>0.1173762598516648</v>
      </c>
      <c r="M293" s="13" t="n">
        <v>0.2887236146468242</v>
      </c>
      <c r="N293" s="13" t="n">
        <v>-0.3798426554192158</v>
      </c>
      <c r="O293" s="13" t="n">
        <v>-0.5934462791247097</v>
      </c>
      <c r="P293" s="13" t="n">
        <v>-2.283095814845482</v>
      </c>
      <c r="Q293" s="13" t="n">
        <v>2.438949738645024</v>
      </c>
      <c r="R293" s="13" t="n">
        <v>-2.410276793524757</v>
      </c>
      <c r="S293" s="13" t="n">
        <v>-0.143031044308306</v>
      </c>
      <c r="T293" s="13" t="n">
        <v>2.15882850054061</v>
      </c>
      <c r="U293" s="13" t="n">
        <v>0.7345210731918517</v>
      </c>
      <c r="V293" s="13" t="n">
        <v>-1.787412873835692</v>
      </c>
      <c r="W293" s="13" t="n">
        <v>-0.01601050779584945</v>
      </c>
      <c r="X293" s="13" t="n">
        <v>-1.333099700831386</v>
      </c>
    </row>
    <row r="294">
      <c r="A294" t="inlineStr">
        <is>
          <t>Tüm Teknoloji</t>
        </is>
      </c>
      <c r="B294" t="inlineStr">
        <is>
          <t>IVY</t>
        </is>
      </c>
      <c r="C294" t="inlineStr">
        <is>
          <t>İstanbul Portföy Blockchaın Teknolojileri Değişken Fon</t>
        </is>
      </c>
      <c r="D294" s="13" t="n">
        <v>-0.7415082642964532</v>
      </c>
      <c r="E294" s="13" t="n">
        <v>0.377214388620839</v>
      </c>
      <c r="F294" s="13" t="n">
        <v>0.00659377741347722</v>
      </c>
      <c r="G294" s="13" t="n">
        <v>3.08017375397136</v>
      </c>
      <c r="H294" s="13" t="n">
        <v>-3.8426234463241</v>
      </c>
      <c r="I294" s="13" t="n">
        <v>-1.252487342169428</v>
      </c>
      <c r="J294" s="13" t="n">
        <v>-2.501728241941659</v>
      </c>
      <c r="K294" s="13" t="n">
        <v>-0.8125367260436112</v>
      </c>
      <c r="L294" s="13" t="n">
        <v>1.474076132942059</v>
      </c>
      <c r="M294" s="13" t="n">
        <v>0.554902375138977</v>
      </c>
      <c r="N294" s="13" t="n">
        <v>-0.06712904052155189</v>
      </c>
      <c r="O294" s="13" t="n">
        <v>1.189193135178557</v>
      </c>
      <c r="P294" s="13" t="n">
        <v>-0.01975656078319066</v>
      </c>
      <c r="Q294" s="13" t="n">
        <v>-0.7873568773037354</v>
      </c>
      <c r="R294" s="13" t="n">
        <v>-1.050511669043452</v>
      </c>
      <c r="S294" s="13" t="n">
        <v>-1.067244657075561</v>
      </c>
      <c r="T294" s="13" t="n">
        <v>1.655036798096976</v>
      </c>
      <c r="U294" s="13" t="n">
        <v>1.231050637350317</v>
      </c>
      <c r="V294" s="13" t="n">
        <v>-1.791631699948792</v>
      </c>
      <c r="W294" s="13" t="n">
        <v>0.1996163131327222</v>
      </c>
      <c r="X294" s="13" t="n">
        <v>-1.013896505588274</v>
      </c>
    </row>
    <row r="295">
      <c r="A295" t="inlineStr">
        <is>
          <t>Tüm Teknoloji</t>
        </is>
      </c>
      <c r="B295" t="inlineStr">
        <is>
          <t>NTI</t>
        </is>
      </c>
      <c r="C295" t="inlineStr">
        <is>
          <t>Neo Portföy Teknoloji VE İnovasyon Değişken Fon</t>
        </is>
      </c>
      <c r="D295" s="13" t="n">
        <v>-1.552638441174681</v>
      </c>
      <c r="E295" s="13" t="n">
        <v>0.6416041010027351</v>
      </c>
      <c r="F295" s="13" t="n">
        <v>0.628665690182495</v>
      </c>
      <c r="G295" s="13" t="n">
        <v>0.7847450754614238</v>
      </c>
      <c r="H295" s="13" t="n">
        <v>-4.273711351663733</v>
      </c>
      <c r="I295" s="13" t="n">
        <v>-1.824628537859074</v>
      </c>
      <c r="J295" s="13" t="n">
        <v>1.128711817504535</v>
      </c>
      <c r="K295" s="13" t="n">
        <v>-1.787922533296626</v>
      </c>
      <c r="L295" s="13" t="n">
        <v>-0.01381174355402637</v>
      </c>
      <c r="M295" s="13" t="n">
        <v>2.903129387471748</v>
      </c>
      <c r="N295" s="13" t="n">
        <v>0.01122518886091939</v>
      </c>
      <c r="O295" s="13" t="n">
        <v>-1.377187653678147</v>
      </c>
      <c r="P295" s="13" t="n">
        <v>-3.384867004644954</v>
      </c>
      <c r="Q295" s="13" t="n">
        <v>2.272569956756332</v>
      </c>
      <c r="R295" s="13" t="n">
        <v>-4.494251276735461</v>
      </c>
      <c r="S295" s="13" t="n">
        <v>-0.1445911353077034</v>
      </c>
      <c r="T295" s="13" t="n">
        <v>3.294242592514185</v>
      </c>
      <c r="U295" s="13" t="n">
        <v>-0.3999963839410814</v>
      </c>
      <c r="V295" s="13" t="n">
        <v>-1.838405255145137</v>
      </c>
      <c r="W295" s="13" t="n">
        <v>0.4707054293861646</v>
      </c>
      <c r="X295" s="13" t="n">
        <v>-3.937033478497221</v>
      </c>
    </row>
    <row r="296">
      <c r="A296" t="inlineStr">
        <is>
          <t>Tüm Teknoloji</t>
        </is>
      </c>
      <c r="B296" t="inlineStr">
        <is>
          <t>SGT</t>
        </is>
      </c>
      <c r="C296" t="inlineStr">
        <is>
          <t>Garanti Portföy Siber Güvenlik Teknolojileri Değişken Fon</t>
        </is>
      </c>
      <c r="D296" s="13" t="n">
        <v>-0.7427117768507463</v>
      </c>
      <c r="E296" s="13" t="n">
        <v>-0.1336418807575068</v>
      </c>
      <c r="F296" s="13" t="n">
        <v>0.56447598667837</v>
      </c>
      <c r="G296" s="13" t="n">
        <v>-0.04297688036608571</v>
      </c>
      <c r="H296" s="13" t="n">
        <v>-1.472449220950189</v>
      </c>
      <c r="I296" s="13" t="n">
        <v>-0.0866425410846916</v>
      </c>
      <c r="J296" s="13" t="n">
        <v>-0.4555414899421906</v>
      </c>
      <c r="K296" s="13" t="n">
        <v>-0.242010498891243</v>
      </c>
      <c r="L296" s="13" t="n">
        <v>3.510615458707345</v>
      </c>
      <c r="M296" s="13" t="n">
        <v>0.3951942141324771</v>
      </c>
      <c r="N296" s="13" t="n">
        <v>2.450609525606895</v>
      </c>
      <c r="O296" s="13" t="n">
        <v>0.4955656331528058</v>
      </c>
      <c r="P296" s="13" t="n">
        <v>-0.228963006910099</v>
      </c>
      <c r="Q296" s="13" t="n">
        <v>1.864063695818552</v>
      </c>
      <c r="R296" s="13" t="n">
        <v>-0.4980688758712604</v>
      </c>
      <c r="S296" s="13" t="n">
        <v>-1.406389432317401</v>
      </c>
      <c r="T296" s="13" t="n">
        <v>0.7777624873604783</v>
      </c>
      <c r="U296" s="13" t="n">
        <v>1.175909903938832</v>
      </c>
      <c r="V296" s="13" t="n">
        <v>-1.873821393229891</v>
      </c>
      <c r="W296" s="13" t="n">
        <v>2.000773061786765</v>
      </c>
      <c r="X296" s="13" t="n">
        <v>-0.4559646356919744</v>
      </c>
    </row>
    <row r="297">
      <c r="A297" t="inlineStr">
        <is>
          <t>Tüm Teknoloji</t>
        </is>
      </c>
      <c r="B297" t="inlineStr">
        <is>
          <t>GUH</t>
        </is>
      </c>
      <c r="C297" t="inlineStr">
        <is>
          <t>Garanti Portföy Yabancı Teknoloji Hisse Senedi Fonu</t>
        </is>
      </c>
      <c r="D297" s="13" t="n">
        <v>-1.110843932224348</v>
      </c>
      <c r="E297" s="13" t="n">
        <v>1.061011988762428</v>
      </c>
      <c r="F297" s="13" t="n">
        <v>0.5493195269450135</v>
      </c>
      <c r="G297" s="13" t="n">
        <v>0.7659569013037215</v>
      </c>
      <c r="H297" s="13" t="n">
        <v>-4.248696533489394</v>
      </c>
      <c r="I297" s="13" t="n">
        <v>-0.5292422977530409</v>
      </c>
      <c r="J297" s="13" t="n">
        <v>0.6460388380205462</v>
      </c>
      <c r="K297" s="13" t="n">
        <v>-2.04180039415971</v>
      </c>
      <c r="L297" s="13" t="n">
        <v>0.7595908505882099</v>
      </c>
      <c r="M297" s="13" t="n">
        <v>4.092471662849539</v>
      </c>
      <c r="N297" s="13" t="n">
        <v>-0.5797681788433096</v>
      </c>
      <c r="O297" s="13" t="n">
        <v>-1.648538446047343</v>
      </c>
      <c r="P297" s="13" t="n">
        <v>-2.390849644421944</v>
      </c>
      <c r="Q297" s="13" t="n">
        <v>2.811443368498945</v>
      </c>
      <c r="R297" s="13" t="n">
        <v>-3.184106890158955</v>
      </c>
      <c r="S297" s="13" t="n">
        <v>0.2032713774865025</v>
      </c>
      <c r="T297" s="13" t="n">
        <v>3.234889038149724</v>
      </c>
      <c r="U297" s="13" t="n">
        <v>0.1211436132342314</v>
      </c>
      <c r="V297" s="13" t="n">
        <v>-1.913634812137333</v>
      </c>
      <c r="W297" s="13" t="n">
        <v>1.325035133507324</v>
      </c>
      <c r="X297" s="13" t="n">
        <v>-2.439953327609368</v>
      </c>
    </row>
    <row r="298">
      <c r="A298" t="inlineStr">
        <is>
          <t>Tüm Teknoloji</t>
        </is>
      </c>
      <c r="B298" t="inlineStr">
        <is>
          <t>YAY</t>
        </is>
      </c>
      <c r="C298" t="inlineStr">
        <is>
          <t>Yapı Kredi Portföy Yabancı Teknoloji Sektörü Hisse Senedi Fonu</t>
        </is>
      </c>
      <c r="D298" s="13" t="n">
        <v>-0.7705250870252867</v>
      </c>
      <c r="E298" s="13" t="n">
        <v>1.154661501781984</v>
      </c>
      <c r="F298" s="13" t="n">
        <v>-0.04082926837126744</v>
      </c>
      <c r="G298" s="13" t="n">
        <v>1.184409091398431</v>
      </c>
      <c r="H298" s="13" t="n">
        <v>-4.630208889776122</v>
      </c>
      <c r="I298" s="13" t="n">
        <v>-0.6570091646969423</v>
      </c>
      <c r="J298" s="13" t="n">
        <v>0.6273949125599199</v>
      </c>
      <c r="K298" s="13" t="n">
        <v>-1.337944543302583</v>
      </c>
      <c r="L298" s="13" t="n">
        <v>1.036736481524492</v>
      </c>
      <c r="M298" s="13" t="n">
        <v>3.499027202894034</v>
      </c>
      <c r="N298" s="13" t="n">
        <v>-0.3315838551075978</v>
      </c>
      <c r="O298" s="13" t="n">
        <v>-1.183881362242734</v>
      </c>
      <c r="P298" s="13" t="n">
        <v>0.1996196840750031</v>
      </c>
      <c r="Q298" s="13" t="n">
        <v>-0.7624329888596071</v>
      </c>
      <c r="R298" s="13" t="n">
        <v>-2.883522476900358</v>
      </c>
      <c r="S298" s="13" t="n">
        <v>0.5514859108109116</v>
      </c>
      <c r="T298" s="13" t="n">
        <v>3.680139917326386</v>
      </c>
      <c r="U298" s="13" t="n">
        <v>-0.7786709223718491</v>
      </c>
      <c r="V298" s="13" t="n">
        <v>-2.009680094330346</v>
      </c>
      <c r="W298" s="13" t="n">
        <v>0.892945679929591</v>
      </c>
      <c r="X298" s="13" t="n">
        <v>-3.677435189487921</v>
      </c>
    </row>
    <row r="299">
      <c r="A299" s="14" t="inlineStr">
        <is>
          <t>Tüm Teknoloji</t>
        </is>
      </c>
      <c r="B299" s="14" t="inlineStr">
        <is>
          <t>BTK</t>
        </is>
      </c>
      <c r="C299" s="14" t="inlineStr">
        <is>
          <t>BV Portföy Teknoloji Katılım Fonu</t>
        </is>
      </c>
      <c r="D299" s="15" t="n">
        <v>-1.665440020579068</v>
      </c>
      <c r="E299" s="15" t="n">
        <v>1.080290927675609</v>
      </c>
      <c r="F299" s="15" t="n">
        <v>0.8168952827232845</v>
      </c>
      <c r="G299" s="15" t="n">
        <v>0.8235866664527469</v>
      </c>
      <c r="H299" s="15" t="n">
        <v>-4.035201559694068</v>
      </c>
      <c r="I299" s="15" t="n">
        <v>-0.9661752675836355</v>
      </c>
      <c r="J299" s="15" t="n">
        <v>1.104341959041122</v>
      </c>
      <c r="K299" s="15" t="n">
        <v>-1.139569859760359</v>
      </c>
      <c r="L299" s="15" t="n">
        <v>0.8641415385417295</v>
      </c>
      <c r="M299" s="15" t="n">
        <v>1.896351174047384</v>
      </c>
      <c r="N299" s="15" t="n">
        <v>-0.0529419932026598</v>
      </c>
      <c r="O299" s="15" t="n">
        <v>-1.546036518521698</v>
      </c>
      <c r="P299" s="15" t="n">
        <v>-1.556694984712181</v>
      </c>
      <c r="Q299" s="15" t="n">
        <v>1.940323341523964</v>
      </c>
      <c r="R299" s="15" t="n">
        <v>-2.722676191774509</v>
      </c>
      <c r="S299" s="15" t="n">
        <v>-0.6935930154297387</v>
      </c>
      <c r="T299" s="15" t="n">
        <v>1.840351034841503</v>
      </c>
      <c r="U299" s="15" t="n">
        <v>-0.2045579386127372</v>
      </c>
      <c r="V299" s="15" t="n">
        <v>-2.052823355948064</v>
      </c>
      <c r="W299" s="15" t="n">
        <v>0.4294805738867424</v>
      </c>
      <c r="X299" s="15" t="n">
        <v>-1.56644526999612</v>
      </c>
    </row>
    <row r="300">
      <c r="A300" t="inlineStr">
        <is>
          <t>Tüm Teknoloji</t>
        </is>
      </c>
      <c r="B300" t="inlineStr">
        <is>
          <t>IJZ</t>
        </is>
      </c>
      <c r="C300" t="inlineStr">
        <is>
          <t>İŞ Portföy Siber Güvenlik Teknolojileri Değişken Fon</t>
        </is>
      </c>
      <c r="D300" s="13" t="n">
        <v>-0.4294241118880437</v>
      </c>
      <c r="E300" s="13" t="n">
        <v>-0.9570528604970763</v>
      </c>
      <c r="F300" s="13" t="n">
        <v>-0.05979365777223355</v>
      </c>
      <c r="G300" s="13" t="n">
        <v>0.8875283696052838</v>
      </c>
      <c r="H300" s="13" t="n">
        <v>-1.390969859649072</v>
      </c>
      <c r="I300" s="13" t="n">
        <v>-0.1082681865450463</v>
      </c>
      <c r="J300" s="13" t="n">
        <v>0.002654965991100156</v>
      </c>
      <c r="K300" s="13" t="n">
        <v>-0.04013803001228222</v>
      </c>
      <c r="L300" s="13" t="n">
        <v>3.357066320050883</v>
      </c>
      <c r="M300" s="13" t="n">
        <v>0.6604562233858191</v>
      </c>
      <c r="N300" s="13" t="n">
        <v>2.172233715717509</v>
      </c>
      <c r="O300" s="13" t="n">
        <v>0.6646892415678174</v>
      </c>
      <c r="P300" s="13" t="n">
        <v>0.0795335961115029</v>
      </c>
      <c r="Q300" s="13" t="n">
        <v>0.6044394466733438</v>
      </c>
      <c r="R300" s="13" t="n">
        <v>-0.3689803963311755</v>
      </c>
      <c r="S300" s="13" t="n">
        <v>-1.67096621296049</v>
      </c>
      <c r="T300" s="13" t="n">
        <v>0.2299857221651935</v>
      </c>
      <c r="U300" s="13" t="n">
        <v>1.620369816088951</v>
      </c>
      <c r="V300" s="13" t="n">
        <v>-2.126881124633351</v>
      </c>
      <c r="W300" s="13" t="n">
        <v>1.261533114487356</v>
      </c>
      <c r="X300" s="13" t="n">
        <v>-0.2547483708719489</v>
      </c>
    </row>
    <row r="301">
      <c r="A301" t="inlineStr">
        <is>
          <t>Tüm Teknoloji</t>
        </is>
      </c>
      <c r="B301" t="inlineStr">
        <is>
          <t>RBL</t>
        </is>
      </c>
      <c r="C301" t="inlineStr">
        <is>
          <t>Qnb Portföy Robotik VE Blockchain Teknolojileri Serbest Fon</t>
        </is>
      </c>
      <c r="D301" s="13" t="n">
        <v>-0.6419636737033607</v>
      </c>
      <c r="E301" s="13" t="n">
        <v>0.6489075629348307</v>
      </c>
      <c r="F301" s="13" t="n">
        <v>0.3352371956754086</v>
      </c>
      <c r="G301" s="13" t="n">
        <v>1.293978331107648</v>
      </c>
      <c r="H301" s="13" t="n">
        <v>-3.443149812919144</v>
      </c>
      <c r="I301" s="13" t="n">
        <v>-1.167847289213697</v>
      </c>
      <c r="J301" s="13" t="n">
        <v>-0.01498265977463165</v>
      </c>
      <c r="K301" s="13" t="n">
        <v>-1.849258467573112</v>
      </c>
      <c r="L301" s="13" t="n">
        <v>0.6928069429998907</v>
      </c>
      <c r="M301" s="13" t="n">
        <v>1.107564595392474</v>
      </c>
      <c r="N301" s="13" t="n">
        <v>0.4244116649805285</v>
      </c>
      <c r="O301" s="13" t="n">
        <v>-0.1995055731448203</v>
      </c>
      <c r="P301" s="13" t="n">
        <v>-0.924819115128761</v>
      </c>
      <c r="Q301" s="13" t="n">
        <v>1.059488955652155</v>
      </c>
      <c r="R301" s="13" t="n">
        <v>-1.769040716121129</v>
      </c>
      <c r="S301" s="13" t="n">
        <v>-1.522813964674441</v>
      </c>
      <c r="T301" s="13" t="n">
        <v>1.621218222390586</v>
      </c>
      <c r="U301" s="13" t="n">
        <v>0.4969657813462369</v>
      </c>
      <c r="V301" s="13" t="n">
        <v>-2.141979256458026</v>
      </c>
      <c r="W301" s="13" t="n">
        <v>0.1373012796979323</v>
      </c>
      <c r="X301" s="13" t="n">
        <v>-1.315967197298595</v>
      </c>
    </row>
    <row r="302">
      <c r="A302" t="inlineStr">
        <is>
          <t>Tüm Teknoloji</t>
        </is>
      </c>
      <c r="B302" t="inlineStr">
        <is>
          <t>IJC</t>
        </is>
      </c>
      <c r="C302" t="inlineStr">
        <is>
          <t>İŞ Portföy Yarı İletken Teknolojileri Değişken Fon</t>
        </is>
      </c>
      <c r="D302" s="13" t="n">
        <v>-2.266976083549099</v>
      </c>
      <c r="E302" s="13" t="n">
        <v>1.23495061707688</v>
      </c>
      <c r="F302" s="13" t="n">
        <v>0.008416458938653726</v>
      </c>
      <c r="G302" s="13" t="n">
        <v>3.162654498375583</v>
      </c>
      <c r="H302" s="13" t="n">
        <v>-3.803938714975774</v>
      </c>
      <c r="I302" s="13" t="n">
        <v>-2.687528847840137</v>
      </c>
      <c r="J302" s="13" t="n">
        <v>0.6020785179647659</v>
      </c>
      <c r="K302" s="13" t="n">
        <v>-2.456565831906721</v>
      </c>
      <c r="L302" s="13" t="n">
        <v>-0.4286880712748187</v>
      </c>
      <c r="M302" s="13" t="n">
        <v>3.642565259757213</v>
      </c>
      <c r="N302" s="13" t="n">
        <v>1.157092339562782</v>
      </c>
      <c r="O302" s="13" t="n">
        <v>-1.165677673418297</v>
      </c>
      <c r="P302" s="13" t="n">
        <v>-0.1344055302392788</v>
      </c>
      <c r="Q302" s="13" t="n">
        <v>-1.848590388175508</v>
      </c>
      <c r="R302" s="13" t="n">
        <v>-4.560176872375887</v>
      </c>
      <c r="S302" s="13" t="n">
        <v>-0.8710881067469312</v>
      </c>
      <c r="T302" s="13" t="n">
        <v>3.336460368921412</v>
      </c>
      <c r="U302" s="13" t="n">
        <v>-0.9894338709790174</v>
      </c>
      <c r="V302" s="13" t="n">
        <v>-2.172611899705801</v>
      </c>
      <c r="W302" s="13" t="n">
        <v>0.7804871599367047</v>
      </c>
      <c r="X302" s="13" t="n">
        <v>-3.647699837500085</v>
      </c>
    </row>
    <row r="303">
      <c r="A303" t="inlineStr">
        <is>
          <t>Döviz</t>
        </is>
      </c>
      <c r="B303" t="inlineStr">
        <is>
          <t>NBZ</t>
        </is>
      </c>
      <c r="C303" t="inlineStr">
        <is>
          <t>Neo Portföy Birinci Serbest (Döviz) Fon</t>
        </is>
      </c>
      <c r="D303" s="13" t="n">
        <v>0.04378049547071328</v>
      </c>
      <c r="E303" s="13" t="n">
        <v>0.03876751585480953</v>
      </c>
      <c r="F303" s="13" t="n">
        <v>0.07290681757774475</v>
      </c>
      <c r="G303" s="13" t="n">
        <v>0.2326384787156854</v>
      </c>
      <c r="H303" s="13" t="n">
        <v>0.04867654143825284</v>
      </c>
      <c r="I303" s="13" t="n">
        <v>0.05048133240246333</v>
      </c>
      <c r="J303" s="13" t="n">
        <v>0.05537751205604291</v>
      </c>
      <c r="K303" s="13" t="n">
        <v>0.06507457937849903</v>
      </c>
      <c r="L303" s="13" t="n">
        <v>0.245451897804605</v>
      </c>
      <c r="M303" s="13" t="n">
        <v>0.05511840361360765</v>
      </c>
      <c r="N303" s="13" t="n">
        <v>0.0407527510244643</v>
      </c>
      <c r="O303" s="13" t="n">
        <v>0.05897881099103941</v>
      </c>
      <c r="P303" s="13" t="n">
        <v>0.07815688421675127</v>
      </c>
      <c r="Q303" s="13" t="n">
        <v>0.2355323058421455</v>
      </c>
      <c r="R303" s="13" t="n">
        <v>0.04740422989470972</v>
      </c>
      <c r="S303" s="13" t="n">
        <v>0.05272837194107982</v>
      </c>
      <c r="T303" s="13" t="n">
        <v>0.04217606310845667</v>
      </c>
      <c r="U303" s="13" t="n">
        <v>0.07321825205470756</v>
      </c>
      <c r="V303" s="13" t="n">
        <v>0.2379795892303749</v>
      </c>
      <c r="W303" s="13" t="n">
        <v>0.04956486283269612</v>
      </c>
      <c r="X303" s="13" t="n">
        <v>0.1077299063863002</v>
      </c>
    </row>
    <row r="304">
      <c r="A304" t="inlineStr">
        <is>
          <t>Döviz</t>
        </is>
      </c>
      <c r="B304" t="inlineStr">
        <is>
          <t>NCS</t>
        </is>
      </c>
      <c r="C304" t="inlineStr">
        <is>
          <t>Nurol Portföy Üçüncü Serbest (Döviz) Fon</t>
        </is>
      </c>
      <c r="D304" s="13" t="n">
        <v>0.0519026580910964</v>
      </c>
      <c r="E304" s="13" t="n">
        <v>0.04592556887317301</v>
      </c>
      <c r="F304" s="13" t="n">
        <v>0.094247276752224</v>
      </c>
      <c r="G304" s="13" t="n">
        <v>0.2356276494737797</v>
      </c>
      <c r="H304" s="13" t="n">
        <v>0.04861823047885849</v>
      </c>
      <c r="I304" s="13" t="n">
        <v>0.0499605226276234</v>
      </c>
      <c r="J304" s="13" t="n">
        <v>0.05662306917280091</v>
      </c>
      <c r="K304" s="13" t="n">
        <v>0.07724338378403139</v>
      </c>
      <c r="L304" s="13" t="n">
        <v>0.2420772514313052</v>
      </c>
      <c r="M304" s="13" t="n">
        <v>0.05473127682351642</v>
      </c>
      <c r="N304" s="13" t="n">
        <v>0.03828304583477493</v>
      </c>
      <c r="O304" s="13" t="n">
        <v>0.05857948941996316</v>
      </c>
      <c r="P304" s="13" t="n">
        <v>0.09247514109111954</v>
      </c>
      <c r="Q304" s="13" t="n">
        <v>0.2321833889524116</v>
      </c>
      <c r="R304" s="13" t="n">
        <v>0.04759240641636353</v>
      </c>
      <c r="S304" s="13" t="n">
        <v>0.04876927463584035</v>
      </c>
      <c r="T304" s="13" t="n">
        <v>0.04659921534764244</v>
      </c>
      <c r="U304" s="13" t="n">
        <v>0.08644096906402776</v>
      </c>
      <c r="V304" s="13" t="n">
        <v>0.2349919889377938</v>
      </c>
      <c r="W304" s="13" t="n">
        <v>0.0488047831958216</v>
      </c>
      <c r="X304" s="13" t="n">
        <v>0.1092366233906628</v>
      </c>
    </row>
    <row r="305">
      <c r="A305" t="inlineStr">
        <is>
          <t>Döviz</t>
        </is>
      </c>
      <c r="B305" t="inlineStr">
        <is>
          <t>PAL</t>
        </is>
      </c>
      <c r="C305" t="inlineStr">
        <is>
          <t>AK Portföy Altıncı Serbest(döviz) Fon</t>
        </is>
      </c>
      <c r="D305" s="13" t="n">
        <v>0.04525912369128804</v>
      </c>
      <c r="E305" s="13" t="n">
        <v>0.04086542749957012</v>
      </c>
      <c r="F305" s="13" t="n">
        <v>0.0808268324129946</v>
      </c>
      <c r="G305" s="13" t="n">
        <v>0.2348036035013434</v>
      </c>
      <c r="H305" s="13" t="n">
        <v>0.04432089800299188</v>
      </c>
      <c r="I305" s="13" t="n">
        <v>0.04598899974115334</v>
      </c>
      <c r="J305" s="13" t="n">
        <v>0.05343556896519885</v>
      </c>
      <c r="K305" s="13" t="n">
        <v>0.06446452979194106</v>
      </c>
      <c r="L305" s="13" t="n">
        <v>0.2433624618885855</v>
      </c>
      <c r="M305" s="13" t="n">
        <v>0.05237543974421222</v>
      </c>
      <c r="N305" s="13" t="n">
        <v>0.03491799187005373</v>
      </c>
      <c r="O305" s="13" t="n">
        <v>0.05450683816596857</v>
      </c>
      <c r="P305" s="13" t="n">
        <v>0.08400466464280054</v>
      </c>
      <c r="Q305" s="13" t="n">
        <v>0.2363598412183698</v>
      </c>
      <c r="R305" s="13" t="n">
        <v>0.04541091650882567</v>
      </c>
      <c r="S305" s="13" t="n">
        <v>0.04670045448333937</v>
      </c>
      <c r="T305" s="13" t="n">
        <v>0.04181516960111153</v>
      </c>
      <c r="U305" s="13" t="n">
        <v>0.0714795626680198</v>
      </c>
      <c r="V305" s="13" t="n">
        <v>0.2344947163255062</v>
      </c>
      <c r="W305" s="13" t="n">
        <v>0.04588488247316835</v>
      </c>
      <c r="X305" s="13" t="n">
        <v>0.1031496769095197</v>
      </c>
    </row>
    <row r="306">
      <c r="A306" t="inlineStr">
        <is>
          <t>Döviz</t>
        </is>
      </c>
      <c r="B306" t="inlineStr">
        <is>
          <t>FBI</t>
        </is>
      </c>
      <c r="C306" t="inlineStr">
        <is>
          <t>Fiba Portföy Birinci Serbest (Döviz) Fon</t>
        </is>
      </c>
      <c r="D306" s="13" t="n">
        <v>0.04790853661185146</v>
      </c>
      <c r="E306" s="13" t="n">
        <v>0.04187313348020805</v>
      </c>
      <c r="F306" s="13" t="n">
        <v>0.07697481383306393</v>
      </c>
      <c r="G306" s="13" t="n">
        <v>0.235839871846677</v>
      </c>
      <c r="H306" s="13" t="n">
        <v>0.04787474120042656</v>
      </c>
      <c r="I306" s="13" t="n">
        <v>0.03735416537873348</v>
      </c>
      <c r="J306" s="13" t="n">
        <v>0.04898190120021795</v>
      </c>
      <c r="K306" s="13" t="n">
        <v>0.06172759751947865</v>
      </c>
      <c r="L306" s="13" t="n">
        <v>0.2485532801994816</v>
      </c>
      <c r="M306" s="13" t="n">
        <v>0.05532445242588668</v>
      </c>
      <c r="N306" s="13" t="n">
        <v>0.03705148327457497</v>
      </c>
      <c r="O306" s="13" t="n">
        <v>0.05055629937154027</v>
      </c>
      <c r="P306" s="13" t="n">
        <v>0.08463302772823145</v>
      </c>
      <c r="Q306" s="13" t="n">
        <v>0.2362180031981964</v>
      </c>
      <c r="R306" s="13" t="n">
        <v>0.04680020905607485</v>
      </c>
      <c r="S306" s="13" t="n">
        <v>0.04437241960992822</v>
      </c>
      <c r="T306" s="13" t="n">
        <v>0.03727389632206535</v>
      </c>
      <c r="U306" s="13" t="n">
        <v>0.0759747739188299</v>
      </c>
      <c r="V306" s="13" t="n">
        <v>0.234218206921466</v>
      </c>
      <c r="W306" s="13" t="n">
        <v>0.04306933854529849</v>
      </c>
      <c r="X306" s="13" t="n">
        <v>0.09881048696798178</v>
      </c>
    </row>
    <row r="307">
      <c r="A307" t="inlineStr">
        <is>
          <t>Döviz</t>
        </is>
      </c>
      <c r="B307" t="inlineStr">
        <is>
          <t>GAG</t>
        </is>
      </c>
      <c r="C307" t="inlineStr">
        <is>
          <t>Inveo Portföy Birinci Serbest (Dövız) Fon</t>
        </is>
      </c>
      <c r="D307" s="13" t="n">
        <v>0.04845494867178335</v>
      </c>
      <c r="E307" s="13" t="n">
        <v>0.03591502784090483</v>
      </c>
      <c r="F307" s="13" t="n">
        <v>0.09359521123868397</v>
      </c>
      <c r="G307" s="13" t="n">
        <v>0.2383612808496416</v>
      </c>
      <c r="H307" s="13" t="n">
        <v>0.04687774495111263</v>
      </c>
      <c r="I307" s="13" t="n">
        <v>0.04742886930402257</v>
      </c>
      <c r="J307" s="13" t="n">
        <v>0.05918924312693363</v>
      </c>
      <c r="K307" s="13" t="n">
        <v>0.07186325863954846</v>
      </c>
      <c r="L307" s="13" t="n">
        <v>0.2403542242905621</v>
      </c>
      <c r="M307" s="13" t="n">
        <v>0.05246978664246171</v>
      </c>
      <c r="N307" s="13" t="n">
        <v>0.03202777329858186</v>
      </c>
      <c r="O307" s="13" t="n">
        <v>0.05929085672036205</v>
      </c>
      <c r="P307" s="13" t="n">
        <v>0.08782361557704288</v>
      </c>
      <c r="Q307" s="13" t="n">
        <v>0.2363594136633118</v>
      </c>
      <c r="R307" s="13" t="n">
        <v>0.0502936875287352</v>
      </c>
      <c r="S307" s="13" t="n">
        <v>0.04370523910450785</v>
      </c>
      <c r="T307" s="13" t="n">
        <v>0.04330592100503239</v>
      </c>
      <c r="U307" s="13" t="n">
        <v>0.08372106109679756</v>
      </c>
      <c r="V307" s="13" t="n">
        <v>0.2335529434942751</v>
      </c>
      <c r="W307" s="13" t="n">
        <v>0.04838068337320589</v>
      </c>
      <c r="X307" s="13" t="n">
        <v>0.1004278455686514</v>
      </c>
    </row>
    <row r="308">
      <c r="A308" t="inlineStr">
        <is>
          <t>Döviz</t>
        </is>
      </c>
      <c r="B308" t="inlineStr">
        <is>
          <t>YP4</t>
        </is>
      </c>
      <c r="C308" t="inlineStr">
        <is>
          <t>Yapı Kredi Portföy Feriköy Serbest (Döviz) Fon</t>
        </is>
      </c>
      <c r="D308" s="13" t="n">
        <v>0.04673414458817859</v>
      </c>
      <c r="E308" s="13" t="n">
        <v>0.04188772056261669</v>
      </c>
      <c r="F308" s="13" t="n">
        <v>0.08496368839279178</v>
      </c>
      <c r="G308" s="13" t="n">
        <v>0.2307904576995812</v>
      </c>
      <c r="H308" s="13" t="n">
        <v>0.04474506867251371</v>
      </c>
      <c r="I308" s="13" t="n">
        <v>0.04691340925870868</v>
      </c>
      <c r="J308" s="13" t="n">
        <v>0.05385125980499339</v>
      </c>
      <c r="K308" s="13" t="n">
        <v>0.06750616326705039</v>
      </c>
      <c r="L308" s="13" t="n">
        <v>0.241002505930199</v>
      </c>
      <c r="M308" s="13" t="n">
        <v>0.05168398203989621</v>
      </c>
      <c r="N308" s="13" t="n">
        <v>0.03723578630354663</v>
      </c>
      <c r="O308" s="13" t="n">
        <v>0.05729307467685629</v>
      </c>
      <c r="P308" s="13" t="n">
        <v>0.08509869886494936</v>
      </c>
      <c r="Q308" s="13" t="n">
        <v>0.2314067703942602</v>
      </c>
      <c r="R308" s="13" t="n">
        <v>0.04394433971226519</v>
      </c>
      <c r="S308" s="13" t="n">
        <v>0.04698044574353855</v>
      </c>
      <c r="T308" s="13" t="n">
        <v>0.04525879806189792</v>
      </c>
      <c r="U308" s="13" t="n">
        <v>0.07907892035148301</v>
      </c>
      <c r="V308" s="13" t="n">
        <v>0.231987023225888</v>
      </c>
      <c r="W308" s="13" t="n">
        <v>0.05007521620394861</v>
      </c>
      <c r="X308" s="13" t="n">
        <v>0.1000702479388549</v>
      </c>
    </row>
    <row r="309">
      <c r="A309" t="inlineStr">
        <is>
          <t>Döviz</t>
        </is>
      </c>
      <c r="B309" t="inlineStr">
        <is>
          <t>GPL</t>
        </is>
      </c>
      <c r="C309" t="inlineStr">
        <is>
          <t>Garanti Portföy Birinci Serbest (Döviz) Fon</t>
        </is>
      </c>
      <c r="D309" s="13" t="n">
        <v>0.0482638657566703</v>
      </c>
      <c r="E309" s="13" t="n">
        <v>0.04182246760817687</v>
      </c>
      <c r="F309" s="13" t="n">
        <v>0.08314431547209455</v>
      </c>
      <c r="G309" s="13" t="n">
        <v>0.2313345249203902</v>
      </c>
      <c r="H309" s="13" t="n">
        <v>0.04711346823214058</v>
      </c>
      <c r="I309" s="13" t="n">
        <v>0.0467286813647716</v>
      </c>
      <c r="J309" s="13" t="n">
        <v>0.05292274532102681</v>
      </c>
      <c r="K309" s="13" t="n">
        <v>0.06387683982838066</v>
      </c>
      <c r="L309" s="13" t="n">
        <v>0.2417592136153557</v>
      </c>
      <c r="M309" s="13" t="n">
        <v>0.05151418142776976</v>
      </c>
      <c r="N309" s="13" t="n">
        <v>0.03414851189178503</v>
      </c>
      <c r="O309" s="13" t="n">
        <v>0.05456814143556254</v>
      </c>
      <c r="P309" s="13" t="n">
        <v>0.08101166650982261</v>
      </c>
      <c r="Q309" s="13" t="n">
        <v>0.2309064584743892</v>
      </c>
      <c r="R309" s="13" t="n">
        <v>0.04388500061704992</v>
      </c>
      <c r="S309" s="13" t="n">
        <v>0.04402030904053778</v>
      </c>
      <c r="T309" s="13" t="n">
        <v>0.04353939812471452</v>
      </c>
      <c r="U309" s="13" t="n">
        <v>0.0737604639164946</v>
      </c>
      <c r="V309" s="13" t="n">
        <v>0.2319334852037835</v>
      </c>
      <c r="W309" s="13" t="n">
        <v>0.0453775813118007</v>
      </c>
      <c r="X309" s="13" t="n">
        <v>0.09870437096439755</v>
      </c>
    </row>
    <row r="310">
      <c r="A310" t="inlineStr">
        <is>
          <t>Döviz</t>
        </is>
      </c>
      <c r="B310" t="inlineStr">
        <is>
          <t>DAS</t>
        </is>
      </c>
      <c r="C310" t="inlineStr">
        <is>
          <t>Deniz Portföy Onikinci Serbest (Döviz) Fon</t>
        </is>
      </c>
      <c r="D310" s="13" t="n">
        <v>0.05086569152408238</v>
      </c>
      <c r="E310" s="13" t="n">
        <v>0.0445538359701958</v>
      </c>
      <c r="F310" s="13" t="n">
        <v>0.08465123812684272</v>
      </c>
      <c r="G310" s="13" t="n">
        <v>0.233597226467297</v>
      </c>
      <c r="H310" s="13" t="n">
        <v>0.04308950995466354</v>
      </c>
      <c r="I310" s="13" t="n">
        <v>0.04807977006640041</v>
      </c>
      <c r="J310" s="13" t="n">
        <v>0.05601311578375956</v>
      </c>
      <c r="K310" s="13" t="n">
        <v>0.06971582977115531</v>
      </c>
      <c r="L310" s="13" t="n">
        <v>0.2397109210796833</v>
      </c>
      <c r="M310" s="13" t="n">
        <v>0.05360826071842961</v>
      </c>
      <c r="N310" s="13" t="n">
        <v>0.03076167665021501</v>
      </c>
      <c r="O310" s="13" t="n">
        <v>0.05570386006716888</v>
      </c>
      <c r="P310" s="13" t="n">
        <v>0.09113267674027981</v>
      </c>
      <c r="Q310" s="13" t="n">
        <v>0.2320136537894868</v>
      </c>
      <c r="R310" s="13" t="n">
        <v>0.04707824633671809</v>
      </c>
      <c r="S310" s="13" t="n">
        <v>0.04484419007848572</v>
      </c>
      <c r="T310" s="13" t="n">
        <v>0.04436177366637928</v>
      </c>
      <c r="U310" s="13" t="n">
        <v>0.08094758274141967</v>
      </c>
      <c r="V310" s="13" t="n">
        <v>0.2311494617323717</v>
      </c>
      <c r="W310" s="13" t="n">
        <v>0.04963367210730762</v>
      </c>
      <c r="X310" s="13" t="n">
        <v>0.1006291344626264</v>
      </c>
    </row>
    <row r="311">
      <c r="A311" t="inlineStr">
        <is>
          <t>Döviz</t>
        </is>
      </c>
      <c r="B311" t="inlineStr">
        <is>
          <t>OJB</t>
        </is>
      </c>
      <c r="C311" t="inlineStr">
        <is>
          <t>Qnb Portföy Beşinci Serbest (Döviz) Fon</t>
        </is>
      </c>
      <c r="D311" s="13" t="n">
        <v>0.04964876303128474</v>
      </c>
      <c r="E311" s="13" t="n">
        <v>0.0442259544288115</v>
      </c>
      <c r="F311" s="13" t="n">
        <v>0.08670332924978208</v>
      </c>
      <c r="G311" s="13" t="n">
        <v>0.2272084868280677</v>
      </c>
      <c r="H311" s="13" t="n">
        <v>0.0462564995070025</v>
      </c>
      <c r="I311" s="13" t="n">
        <v>0.04741150452027831</v>
      </c>
      <c r="J311" s="13" t="n">
        <v>0.05283674489502399</v>
      </c>
      <c r="K311" s="13" t="n">
        <v>0.06765343794090661</v>
      </c>
      <c r="L311" s="13" t="n">
        <v>0.2391990207560202</v>
      </c>
      <c r="M311" s="13" t="n">
        <v>0.05236640737087406</v>
      </c>
      <c r="N311" s="13" t="n">
        <v>0.03192870577042317</v>
      </c>
      <c r="O311" s="13" t="n">
        <v>0.05401922227528111</v>
      </c>
      <c r="P311" s="13" t="n">
        <v>0.0781500180595307</v>
      </c>
      <c r="Q311" s="13" t="n">
        <v>0.2281336331031447</v>
      </c>
      <c r="R311" s="13" t="n">
        <v>0.04417560726421854</v>
      </c>
      <c r="S311" s="13" t="n">
        <v>0.04348353615115652</v>
      </c>
      <c r="T311" s="13" t="n">
        <v>0.04291757198728874</v>
      </c>
      <c r="U311" s="13" t="n">
        <v>0.07254348199625671</v>
      </c>
      <c r="V311" s="13" t="n">
        <v>0.231100802594808</v>
      </c>
      <c r="W311" s="13" t="n">
        <v>0.04460822249823249</v>
      </c>
      <c r="X311" s="13" t="n">
        <v>0.09704553273088834</v>
      </c>
    </row>
    <row r="312">
      <c r="A312" t="inlineStr">
        <is>
          <t>Döviz</t>
        </is>
      </c>
      <c r="B312" t="inlineStr">
        <is>
          <t>GRO</t>
        </is>
      </c>
      <c r="C312" t="inlineStr">
        <is>
          <t>Garanti Portföy Otuzuncu Serbest (Döviz) Fon</t>
        </is>
      </c>
      <c r="D312" s="13" t="n">
        <v>0.04610890198255557</v>
      </c>
      <c r="E312" s="13" t="n">
        <v>0.04339933324328804</v>
      </c>
      <c r="F312" s="13" t="n">
        <v>0.08454829003301523</v>
      </c>
      <c r="G312" s="13" t="n">
        <v>0.231602258701602</v>
      </c>
      <c r="H312" s="13" t="n">
        <v>0.04591472578503453</v>
      </c>
      <c r="I312" s="13" t="n">
        <v>0.05076626612812163</v>
      </c>
      <c r="J312" s="13" t="n">
        <v>0.05577515287140677</v>
      </c>
      <c r="K312" s="13" t="n">
        <v>0.06671966539339991</v>
      </c>
      <c r="L312" s="13" t="n">
        <v>0.2419996279838577</v>
      </c>
      <c r="M312" s="13" t="n">
        <v>0.05254773613332375</v>
      </c>
      <c r="N312" s="13" t="n">
        <v>0.03348823132496292</v>
      </c>
      <c r="O312" s="13" t="n">
        <v>0.05670717817776172</v>
      </c>
      <c r="P312" s="13" t="n">
        <v>0.08071991821314572</v>
      </c>
      <c r="Q312" s="13" t="n">
        <v>0.2316061366041788</v>
      </c>
      <c r="R312" s="13" t="n">
        <v>0.04245496353108003</v>
      </c>
      <c r="S312" s="13" t="n">
        <v>0.04539162197909619</v>
      </c>
      <c r="T312" s="13" t="n">
        <v>0.04435309369368312</v>
      </c>
      <c r="U312" s="13" t="n">
        <v>0.08166195908971829</v>
      </c>
      <c r="V312" s="13" t="n">
        <v>0.2307951808113939</v>
      </c>
      <c r="W312" s="13" t="n">
        <v>0.04748373957217389</v>
      </c>
      <c r="X312" s="13" t="n">
        <v>0.09882102549993999</v>
      </c>
    </row>
    <row r="313">
      <c r="A313" t="inlineStr">
        <is>
          <t>Döviz</t>
        </is>
      </c>
      <c r="B313" t="inlineStr">
        <is>
          <t>KDS</t>
        </is>
      </c>
      <c r="C313" t="inlineStr">
        <is>
          <t>Kuveyt Türk Portföy Yedinci Katılım Serbest (Döviz) Fon</t>
        </is>
      </c>
      <c r="D313" s="13" t="n">
        <v>0.04877396535887257</v>
      </c>
      <c r="E313" s="13" t="n">
        <v>0.04206507985158314</v>
      </c>
      <c r="F313" s="13" t="n">
        <v>0.0848095203179744</v>
      </c>
      <c r="G313" s="13" t="n">
        <v>0.2327224269647266</v>
      </c>
      <c r="H313" s="13" t="n">
        <v>0.04530748271687202</v>
      </c>
      <c r="I313" s="13" t="n">
        <v>0.04677772908368016</v>
      </c>
      <c r="J313" s="13" t="n">
        <v>0.05334252657667182</v>
      </c>
      <c r="K313" s="13" t="n">
        <v>0.06641400117255447</v>
      </c>
      <c r="L313" s="13" t="n">
        <v>0.2394868408883921</v>
      </c>
      <c r="M313" s="13" t="n">
        <v>0.05188986540145546</v>
      </c>
      <c r="N313" s="13" t="n">
        <v>0.03527096743984881</v>
      </c>
      <c r="O313" s="13" t="n">
        <v>0.05505720402869674</v>
      </c>
      <c r="P313" s="13" t="n">
        <v>0.08270751046370872</v>
      </c>
      <c r="Q313" s="13" t="n">
        <v>0.229223608746576</v>
      </c>
      <c r="R313" s="13" t="n">
        <v>0.04410107666275032</v>
      </c>
      <c r="S313" s="13" t="n">
        <v>0.04527669399208012</v>
      </c>
      <c r="T313" s="13" t="n">
        <v>0.04368357956592295</v>
      </c>
      <c r="U313" s="13" t="n">
        <v>0.07682185128139452</v>
      </c>
      <c r="V313" s="13" t="n">
        <v>0.2305460462578957</v>
      </c>
      <c r="W313" s="13" t="n">
        <v>0.0466873588680361</v>
      </c>
      <c r="X313" s="13" t="n">
        <v>0.09852495122280036</v>
      </c>
    </row>
    <row r="314">
      <c r="A314" t="inlineStr">
        <is>
          <t>Döviz</t>
        </is>
      </c>
      <c r="B314" t="inlineStr">
        <is>
          <t>FPZ</t>
        </is>
      </c>
      <c r="C314" t="inlineStr">
        <is>
          <t>Qnb Portföy Birinci Serbest (Döviz) Fon</t>
        </is>
      </c>
      <c r="D314" s="13" t="n">
        <v>0.04988375181773641</v>
      </c>
      <c r="E314" s="13" t="n">
        <v>0.0444991524110927</v>
      </c>
      <c r="F314" s="13" t="n">
        <v>0.08623109738301604</v>
      </c>
      <c r="G314" s="13" t="n">
        <v>0.2281222319344689</v>
      </c>
      <c r="H314" s="13" t="n">
        <v>0.04626921098631609</v>
      </c>
      <c r="I314" s="13" t="n">
        <v>0.04740487071690502</v>
      </c>
      <c r="J314" s="13" t="n">
        <v>0.0535909627579656</v>
      </c>
      <c r="K314" s="13" t="n">
        <v>0.06867728852606447</v>
      </c>
      <c r="L314" s="13" t="n">
        <v>0.2416010984180872</v>
      </c>
      <c r="M314" s="13" t="n">
        <v>0.04976319290308506</v>
      </c>
      <c r="N314" s="13" t="n">
        <v>0.03482557321923263</v>
      </c>
      <c r="O314" s="13" t="n">
        <v>0.05572571033929385</v>
      </c>
      <c r="P314" s="13" t="n">
        <v>0.08408900306517975</v>
      </c>
      <c r="Q314" s="13" t="n">
        <v>0.2294257855131487</v>
      </c>
      <c r="R314" s="13" t="n">
        <v>0.04379360549087163</v>
      </c>
      <c r="S314" s="13" t="n">
        <v>0.04592040110853457</v>
      </c>
      <c r="T314" s="13" t="n">
        <v>0.04352691249587259</v>
      </c>
      <c r="U314" s="13" t="n">
        <v>0.07874286706646139</v>
      </c>
      <c r="V314" s="13" t="n">
        <v>0.2304233055603344</v>
      </c>
      <c r="W314" s="13" t="n">
        <v>0.04826042433536681</v>
      </c>
      <c r="X314" s="13" t="n">
        <v>0.09786302682137649</v>
      </c>
    </row>
    <row r="315">
      <c r="A315" t="inlineStr">
        <is>
          <t>Döviz</t>
        </is>
      </c>
      <c r="B315" t="inlineStr">
        <is>
          <t>ONS</t>
        </is>
      </c>
      <c r="C315" t="inlineStr">
        <is>
          <t>İŞ Portföy Onikinci Serbest (Döviz) Fon</t>
        </is>
      </c>
      <c r="D315" s="13" t="n">
        <v>0.04717872858648331</v>
      </c>
      <c r="E315" s="13" t="n">
        <v>0.04217279098961413</v>
      </c>
      <c r="F315" s="13" t="n">
        <v>0.08901849311975241</v>
      </c>
      <c r="G315" s="13" t="n">
        <v>0.2304808630569255</v>
      </c>
      <c r="H315" s="13" t="n">
        <v>0.04463581890161716</v>
      </c>
      <c r="I315" s="13" t="n">
        <v>0.04803669324189297</v>
      </c>
      <c r="J315" s="13" t="n">
        <v>0.05362026326087843</v>
      </c>
      <c r="K315" s="13" t="n">
        <v>0.06713442965495808</v>
      </c>
      <c r="L315" s="13" t="n">
        <v>0.2493616205530236</v>
      </c>
      <c r="M315" s="13" t="n">
        <v>0.05196050970728283</v>
      </c>
      <c r="N315" s="13" t="n">
        <v>0.03183496267049613</v>
      </c>
      <c r="O315" s="13" t="n">
        <v>0.04973750139340982</v>
      </c>
      <c r="P315" s="13" t="n">
        <v>0.08661427677574274</v>
      </c>
      <c r="Q315" s="13" t="n">
        <v>0.2303957569644632</v>
      </c>
      <c r="R315" s="13" t="n">
        <v>0.04437660052516446</v>
      </c>
      <c r="S315" s="13" t="n">
        <v>0.04287759295118487</v>
      </c>
      <c r="T315" s="13" t="n">
        <v>0.04640313535315688</v>
      </c>
      <c r="U315" s="13" t="n">
        <v>0.07778586937849941</v>
      </c>
      <c r="V315" s="13" t="n">
        <v>0.2301580619524124</v>
      </c>
      <c r="W315" s="13" t="n">
        <v>0.05160527042964436</v>
      </c>
      <c r="X315" s="13" t="n">
        <v>0.0991267491852188</v>
      </c>
    </row>
    <row r="316">
      <c r="A316" t="inlineStr">
        <is>
          <t>Döviz</t>
        </is>
      </c>
      <c r="B316" t="inlineStr">
        <is>
          <t>HME</t>
        </is>
      </c>
      <c r="C316" t="inlineStr">
        <is>
          <t>Hsbc Portföy Dördüncü Serbest (Döviz) Fon</t>
        </is>
      </c>
      <c r="D316" s="13" t="n">
        <v>0.04197119619211431</v>
      </c>
      <c r="E316" s="13" t="n">
        <v>0.03163502985070732</v>
      </c>
      <c r="F316" s="13" t="n">
        <v>0.09028752449093957</v>
      </c>
      <c r="G316" s="13" t="n">
        <v>0.2206307487381709</v>
      </c>
      <c r="H316" s="13" t="n">
        <v>0.0382095597248</v>
      </c>
      <c r="I316" s="13" t="n">
        <v>0.04756879368936762</v>
      </c>
      <c r="J316" s="13" t="n">
        <v>0.05433549311599783</v>
      </c>
      <c r="K316" s="13" t="n">
        <v>0.05749787880040547</v>
      </c>
      <c r="L316" s="13" t="n">
        <v>0.2457925150292972</v>
      </c>
      <c r="M316" s="13" t="n">
        <v>0.05380183358381085</v>
      </c>
      <c r="N316" s="13" t="n">
        <v>0.02566054458423839</v>
      </c>
      <c r="O316" s="13" t="n">
        <v>0.05283137625593515</v>
      </c>
      <c r="P316" s="13" t="n">
        <v>0.08147402239280233</v>
      </c>
      <c r="Q316" s="13" t="n">
        <v>0.2272128647464289</v>
      </c>
      <c r="R316" s="13" t="n">
        <v>0.03623633257086034</v>
      </c>
      <c r="S316" s="13" t="n">
        <v>0.04594181225332505</v>
      </c>
      <c r="T316" s="13" t="n">
        <v>0.04424723099709649</v>
      </c>
      <c r="U316" s="13" t="n">
        <v>0.0818474165691363</v>
      </c>
      <c r="V316" s="13" t="n">
        <v>0.2296123968887231</v>
      </c>
      <c r="W316" s="13" t="n">
        <v>0.0413611990170315</v>
      </c>
      <c r="X316" s="13" t="n">
        <v>0.09828630065851218</v>
      </c>
    </row>
    <row r="317">
      <c r="A317" t="inlineStr">
        <is>
          <t>Döviz</t>
        </is>
      </c>
      <c r="B317" t="inlineStr">
        <is>
          <t>OBR</t>
        </is>
      </c>
      <c r="C317" t="inlineStr">
        <is>
          <t>AK Portföy Onbirinci Serbest (Döviz) Fon</t>
        </is>
      </c>
      <c r="D317" s="13" t="n">
        <v>0.0466256565206713</v>
      </c>
      <c r="E317" s="13" t="n">
        <v>0.0378961939045741</v>
      </c>
      <c r="F317" s="13" t="n">
        <v>0.08122660562688289</v>
      </c>
      <c r="G317" s="13" t="n">
        <v>0.2344012505253401</v>
      </c>
      <c r="H317" s="13" t="n">
        <v>0.04282962476762631</v>
      </c>
      <c r="I317" s="13" t="n">
        <v>0.04406982276998761</v>
      </c>
      <c r="J317" s="13" t="n">
        <v>0.05594071709058568</v>
      </c>
      <c r="K317" s="13" t="n">
        <v>0.06575650491189577</v>
      </c>
      <c r="L317" s="13" t="n">
        <v>0.2402140576460043</v>
      </c>
      <c r="M317" s="13" t="n">
        <v>0.04907166092922299</v>
      </c>
      <c r="N317" s="13" t="n">
        <v>0.03236877148606876</v>
      </c>
      <c r="O317" s="13" t="n">
        <v>0.05271823083650151</v>
      </c>
      <c r="P317" s="13" t="n">
        <v>0.08684149618107817</v>
      </c>
      <c r="Q317" s="13" t="n">
        <v>0.2349871136776427</v>
      </c>
      <c r="R317" s="13" t="n">
        <v>0.04284989725187316</v>
      </c>
      <c r="S317" s="13" t="n">
        <v>0.0420946449164239</v>
      </c>
      <c r="T317" s="13" t="n">
        <v>0.04340355431029508</v>
      </c>
      <c r="U317" s="13" t="n">
        <v>0.07374870344285522</v>
      </c>
      <c r="V317" s="13" t="n">
        <v>0.2295068516130483</v>
      </c>
      <c r="W317" s="13" t="n">
        <v>0.0413320744731438</v>
      </c>
      <c r="X317" s="13" t="n">
        <v>0.1062101271211091</v>
      </c>
    </row>
    <row r="318">
      <c r="A318" t="inlineStr">
        <is>
          <t>Döviz</t>
        </is>
      </c>
      <c r="B318" t="inlineStr">
        <is>
          <t>AL5</t>
        </is>
      </c>
      <c r="C318" t="inlineStr">
        <is>
          <t>Albaraka Portföy Katılım Serbest (Döviz) Fon</t>
        </is>
      </c>
      <c r="D318" s="13" t="n">
        <v>0.04351193301088685</v>
      </c>
      <c r="E318" s="13" t="n">
        <v>0.04483483851573933</v>
      </c>
      <c r="F318" s="13" t="n">
        <v>0.05490186419259135</v>
      </c>
      <c r="G318" s="13" t="n">
        <v>0.2254662833254484</v>
      </c>
      <c r="H318" s="13" t="n">
        <v>0.04025480458496045</v>
      </c>
      <c r="I318" s="13" t="n">
        <v>0.04715539636581667</v>
      </c>
      <c r="J318" s="13" t="n">
        <v>0.04793457247200816</v>
      </c>
      <c r="K318" s="13" t="n">
        <v>0.05066726138736044</v>
      </c>
      <c r="L318" s="13" t="n">
        <v>0.2344568299299077</v>
      </c>
      <c r="M318" s="13" t="n">
        <v>0.05004925433642615</v>
      </c>
      <c r="N318" s="13" t="n">
        <v>0.03059857933667143</v>
      </c>
      <c r="O318" s="13" t="n">
        <v>0.04914208418456134</v>
      </c>
      <c r="P318" s="13" t="n">
        <v>0.06805291692530968</v>
      </c>
      <c r="Q318" s="13" t="n">
        <v>0.22607534254242</v>
      </c>
      <c r="R318" s="13" t="n">
        <v>0.04107917928561911</v>
      </c>
      <c r="S318" s="13" t="n">
        <v>0.0429567047579793</v>
      </c>
      <c r="T318" s="13" t="n">
        <v>0.03960168048009471</v>
      </c>
      <c r="U318" s="13" t="n">
        <v>0.0649396703981564</v>
      </c>
      <c r="V318" s="13" t="n">
        <v>0.2275012397495724</v>
      </c>
      <c r="W318" s="13" t="n">
        <v>0.03644627622005903</v>
      </c>
      <c r="X318" s="13" t="n">
        <v>0.1004152062323849</v>
      </c>
    </row>
    <row r="319">
      <c r="A319" t="inlineStr">
        <is>
          <t>Döviz</t>
        </is>
      </c>
      <c r="B319" t="inlineStr">
        <is>
          <t>HP3</t>
        </is>
      </c>
      <c r="C319" t="inlineStr">
        <is>
          <t>Hedef Portföy Lidya Serbest (Döviz) Fon</t>
        </is>
      </c>
      <c r="D319" s="13" t="n">
        <v>0.06335649902009521</v>
      </c>
      <c r="E319" s="13" t="n">
        <v>0.07562611932123708</v>
      </c>
      <c r="F319" s="13" t="n">
        <v>0.06291918346370551</v>
      </c>
      <c r="G319" s="13" t="n">
        <v>0.2284168999328484</v>
      </c>
      <c r="H319" s="13" t="n">
        <v>0.04287396538167343</v>
      </c>
      <c r="I319" s="13" t="n">
        <v>0.04537995708080445</v>
      </c>
      <c r="J319" s="13" t="n">
        <v>0.0715291298976739</v>
      </c>
      <c r="K319" s="13" t="n">
        <v>0.08687798696311866</v>
      </c>
      <c r="L319" s="13" t="n">
        <v>0.2334266286975195</v>
      </c>
      <c r="M319" s="13" t="n">
        <v>0.04654229023441925</v>
      </c>
      <c r="N319" s="13" t="n">
        <v>0.0314439490658236</v>
      </c>
      <c r="O319" s="13" t="n">
        <v>0.06274264814731811</v>
      </c>
      <c r="P319" s="13" t="n">
        <v>0.1064159942691711</v>
      </c>
      <c r="Q319" s="13" t="n">
        <v>0.2223150316370548</v>
      </c>
      <c r="R319" s="13" t="n">
        <v>0.05373419279404157</v>
      </c>
      <c r="S319" s="13" t="n">
        <v>0.04602686005725776</v>
      </c>
      <c r="T319" s="13" t="n">
        <v>0.1251680344501516</v>
      </c>
      <c r="U319" s="13" t="n">
        <v>0.0848106414134131</v>
      </c>
      <c r="V319" s="13" t="n">
        <v>0.2272734492189343</v>
      </c>
      <c r="W319" s="13" t="n">
        <v>0.04777153795163525</v>
      </c>
      <c r="X319" s="13" t="n">
        <v>0.1490375670054389</v>
      </c>
    </row>
    <row r="320">
      <c r="A320" t="inlineStr">
        <is>
          <t>Döviz</t>
        </is>
      </c>
      <c r="B320" t="inlineStr">
        <is>
          <t>KDL</t>
        </is>
      </c>
      <c r="C320" t="inlineStr">
        <is>
          <t>Kuveyt Türk Portföy Beşinci Katılım Serbest (Döviz) Fon</t>
        </is>
      </c>
      <c r="D320" s="13" t="n">
        <v>0.04471983157929849</v>
      </c>
      <c r="E320" s="13" t="n">
        <v>0.03821650791551168</v>
      </c>
      <c r="F320" s="13" t="n">
        <v>0.07331741238287837</v>
      </c>
      <c r="G320" s="13" t="n">
        <v>0.2288580393869699</v>
      </c>
      <c r="H320" s="13" t="n">
        <v>0.04140010268818273</v>
      </c>
      <c r="I320" s="13" t="n">
        <v>0.04288054203207547</v>
      </c>
      <c r="J320" s="13" t="n">
        <v>0.04931607508720237</v>
      </c>
      <c r="K320" s="13" t="n">
        <v>0.05479877591425542</v>
      </c>
      <c r="L320" s="13" t="n">
        <v>0.2355162932551336</v>
      </c>
      <c r="M320" s="13" t="n">
        <v>0.04780418621170845</v>
      </c>
      <c r="N320" s="13" t="n">
        <v>0.03116319485605423</v>
      </c>
      <c r="O320" s="13" t="n">
        <v>0.05114350964003922</v>
      </c>
      <c r="P320" s="13" t="n">
        <v>0.07112066539309847</v>
      </c>
      <c r="Q320" s="13" t="n">
        <v>0.2252366775268744</v>
      </c>
      <c r="R320" s="13" t="n">
        <v>0.04032558271911402</v>
      </c>
      <c r="S320" s="13" t="n">
        <v>0.04133569556636907</v>
      </c>
      <c r="T320" s="13" t="n">
        <v>0.03962366355223512</v>
      </c>
      <c r="U320" s="13" t="n">
        <v>0.06518791325038631</v>
      </c>
      <c r="V320" s="13" t="n">
        <v>0.2266325027982186</v>
      </c>
      <c r="W320" s="13" t="n">
        <v>0.03891529098773994</v>
      </c>
      <c r="X320" s="13" t="n">
        <v>0.09442488403410554</v>
      </c>
    </row>
    <row r="321">
      <c r="A321" t="inlineStr">
        <is>
          <t>Döviz</t>
        </is>
      </c>
      <c r="B321" t="inlineStr">
        <is>
          <t>ROD</t>
        </is>
      </c>
      <c r="C321" t="inlineStr">
        <is>
          <t>Rota Portföy Odeabank Birinci Serbest (Döviz) Özel Fon</t>
        </is>
      </c>
      <c r="D321" s="13" t="n">
        <v>0.04355859594842304</v>
      </c>
      <c r="E321" s="13" t="n">
        <v>0.04157587068698287</v>
      </c>
      <c r="F321" s="13" t="n">
        <v>0.08762544351137436</v>
      </c>
      <c r="G321" s="13" t="n">
        <v>0.2256989305279955</v>
      </c>
      <c r="H321" s="13" t="n">
        <v>0.04476362583514248</v>
      </c>
      <c r="I321" s="13" t="n">
        <v>0.05044639404132578</v>
      </c>
      <c r="J321" s="13" t="n">
        <v>0.0562413271226081</v>
      </c>
      <c r="K321" s="13" t="n">
        <v>0.06118971209074786</v>
      </c>
      <c r="L321" s="13" t="n">
        <v>0.2326711493789935</v>
      </c>
      <c r="M321" s="13" t="n">
        <v>-0.01655440967280875</v>
      </c>
      <c r="N321" s="13" t="n">
        <v>0.03888945013084122</v>
      </c>
      <c r="O321" s="13" t="n">
        <v>0.05390382054173415</v>
      </c>
      <c r="P321" s="13" t="n">
        <v>0.0817642689609599</v>
      </c>
      <c r="Q321" s="13" t="n">
        <v>0.2247772774656154</v>
      </c>
      <c r="R321" s="13" t="n">
        <v>0.04218734174457062</v>
      </c>
      <c r="S321" s="13" t="n">
        <v>0.04399725425359158</v>
      </c>
      <c r="T321" s="13" t="n">
        <v>0.04262702920869721</v>
      </c>
      <c r="U321" s="13" t="n">
        <v>0.07539820128599217</v>
      </c>
      <c r="V321" s="13" t="n">
        <v>0.2262958780559599</v>
      </c>
      <c r="W321" s="13" t="n">
        <v>0.05669762308655457</v>
      </c>
      <c r="X321" s="13" t="n">
        <v>0.09614004642342078</v>
      </c>
    </row>
    <row r="322">
      <c r="A322" t="inlineStr">
        <is>
          <t>Döviz</t>
        </is>
      </c>
      <c r="B322" t="inlineStr">
        <is>
          <t>TB9</t>
        </is>
      </c>
      <c r="C322" t="inlineStr">
        <is>
          <t>Teb Portföy Dokuzuncu Serbest (Döviz) Fon</t>
        </is>
      </c>
      <c r="D322" s="13" t="n">
        <v>0.04431384020795459</v>
      </c>
      <c r="E322" s="13" t="n">
        <v>0.04279582145774175</v>
      </c>
      <c r="F322" s="13" t="n">
        <v>0.06954978338313822</v>
      </c>
      <c r="G322" s="13" t="n">
        <v>0.2342738339404571</v>
      </c>
      <c r="H322" s="13" t="n">
        <v>0.04039833402853521</v>
      </c>
      <c r="I322" s="13" t="n">
        <v>0.04609007666560583</v>
      </c>
      <c r="J322" s="13" t="n">
        <v>0.05049409441717501</v>
      </c>
      <c r="K322" s="13" t="n">
        <v>0.05447612094757748</v>
      </c>
      <c r="L322" s="13" t="n">
        <v>0.243742853501816</v>
      </c>
      <c r="M322" s="13" t="n">
        <v>0.05158452894662435</v>
      </c>
      <c r="N322" s="13" t="n">
        <v>0.03231779019761127</v>
      </c>
      <c r="O322" s="13" t="n">
        <v>0.0532975517304024</v>
      </c>
      <c r="P322" s="13" t="n">
        <v>0.07180655780387735</v>
      </c>
      <c r="Q322" s="13" t="n">
        <v>0.2318032972465467</v>
      </c>
      <c r="R322" s="13" t="n">
        <v>0.04437313032439327</v>
      </c>
      <c r="S322" s="13" t="n">
        <v>0.04673265748924571</v>
      </c>
      <c r="T322" s="13" t="n">
        <v>0.04223384436548017</v>
      </c>
      <c r="U322" s="13" t="n">
        <v>0.07464841593127769</v>
      </c>
      <c r="V322" s="13" t="n">
        <v>0.225680380051152</v>
      </c>
      <c r="W322" s="13" t="n">
        <v>0.04477038701995451</v>
      </c>
      <c r="X322" s="13" t="n">
        <v>0.0956042456095707</v>
      </c>
    </row>
    <row r="323">
      <c r="A323" t="inlineStr">
        <is>
          <t>Döviz</t>
        </is>
      </c>
      <c r="B323" t="inlineStr">
        <is>
          <t>OFK</t>
        </is>
      </c>
      <c r="C323" t="inlineStr">
        <is>
          <t>Oyak Portföy Türkiye Finans Katılım Serbest (Döviz-abd Doları) Fon</t>
        </is>
      </c>
      <c r="D323" s="13" t="n">
        <v>0.04429723961494325</v>
      </c>
      <c r="E323" s="13" t="n">
        <v>0.03800591123588326</v>
      </c>
      <c r="F323" s="13" t="n">
        <v>0.07180072687900108</v>
      </c>
      <c r="G323" s="13" t="n">
        <v>0.2285416922088279</v>
      </c>
      <c r="H323" s="13" t="n">
        <v>0.04093223218539777</v>
      </c>
      <c r="I323" s="13" t="n">
        <v>0.04243020940146724</v>
      </c>
      <c r="J323" s="13" t="n">
        <v>0.0486714822180323</v>
      </c>
      <c r="K323" s="13" t="n">
        <v>0.05348215906446629</v>
      </c>
      <c r="L323" s="13" t="n">
        <v>0.2352938978457564</v>
      </c>
      <c r="M323" s="13" t="n">
        <v>0.04741707044280119</v>
      </c>
      <c r="N323" s="13" t="n">
        <v>0.03069857055928438</v>
      </c>
      <c r="O323" s="13" t="n">
        <v>0.05068098348808281</v>
      </c>
      <c r="P323" s="13" t="n">
        <v>0.06991419114306119</v>
      </c>
      <c r="Q323" s="13" t="n">
        <v>0.2247925006763074</v>
      </c>
      <c r="R323" s="13" t="n">
        <v>0.03989331165252796</v>
      </c>
      <c r="S323" s="13" t="n">
        <v>0.04116625417185382</v>
      </c>
      <c r="T323" s="13" t="n">
        <v>0.03885282884621422</v>
      </c>
      <c r="U323" s="13" t="n">
        <v>0.06306177582915407</v>
      </c>
      <c r="V323" s="13" t="n">
        <v>0.2253487049332925</v>
      </c>
      <c r="W323" s="13" t="n">
        <v>0.03798659596443432</v>
      </c>
      <c r="X323" s="13" t="n">
        <v>0.09376769471842739</v>
      </c>
    </row>
    <row r="324">
      <c r="A324" t="inlineStr">
        <is>
          <t>Döviz</t>
        </is>
      </c>
      <c r="B324" t="inlineStr">
        <is>
          <t>YDZ</t>
        </is>
      </c>
      <c r="C324" t="inlineStr">
        <is>
          <t>Yapı Kredi Portföy Odeabank Dördüncü Serbest (Döviz) Özel Fon</t>
        </is>
      </c>
      <c r="D324" s="13" t="n">
        <v>0.05234145845685045</v>
      </c>
      <c r="E324" s="13" t="n">
        <v>0.04590238680459713</v>
      </c>
      <c r="F324" s="13" t="n">
        <v>0.1022896844698362</v>
      </c>
      <c r="G324" s="13" t="n">
        <v>0.2290206800313666</v>
      </c>
      <c r="H324" s="13" t="n">
        <v>0.04971721867275125</v>
      </c>
      <c r="I324" s="13" t="n">
        <v>0.05268449030144673</v>
      </c>
      <c r="J324" s="13" t="n">
        <v>0.05529789245197758</v>
      </c>
      <c r="K324" s="13" t="n">
        <v>0.08555105817569242</v>
      </c>
      <c r="L324" s="13" t="n">
        <v>0.2350666665083212</v>
      </c>
      <c r="M324" s="13" t="n">
        <v>0.05618897853421068</v>
      </c>
      <c r="N324" s="13" t="n">
        <v>0.04065139604538803</v>
      </c>
      <c r="O324" s="13" t="n">
        <v>0.05969527675073749</v>
      </c>
      <c r="P324" s="13" t="n">
        <v>0.09691268099463191</v>
      </c>
      <c r="Q324" s="13" t="n">
        <v>0.2242209631010628</v>
      </c>
      <c r="R324" s="13" t="n">
        <v>0.04792488325342514</v>
      </c>
      <c r="S324" s="13" t="n">
        <v>0.0496026196289856</v>
      </c>
      <c r="T324" s="13" t="n">
        <v>0.04818486111588527</v>
      </c>
      <c r="U324" s="13" t="n">
        <v>0.09262805571230714</v>
      </c>
      <c r="V324" s="13" t="n">
        <v>0.2244791685535041</v>
      </c>
      <c r="W324" s="13" t="n">
        <v>0.05838179975434787</v>
      </c>
      <c r="X324" s="13" t="n">
        <v>0.100941917244679</v>
      </c>
    </row>
    <row r="325">
      <c r="A325" t="inlineStr">
        <is>
          <t>Döviz</t>
        </is>
      </c>
      <c r="B325" t="inlineStr">
        <is>
          <t>YPL</t>
        </is>
      </c>
      <c r="C325" t="inlineStr">
        <is>
          <t>Yapı Kredi Portföy Balat Serbest (Döviz) Fon</t>
        </is>
      </c>
      <c r="D325" s="13" t="n">
        <v>0.08648816490517408</v>
      </c>
      <c r="E325" s="13" t="n">
        <v>0.02155620268600167</v>
      </c>
      <c r="F325" s="13" t="n">
        <v>0.09544078655130406</v>
      </c>
      <c r="G325" s="13" t="n">
        <v>0.2565150421002027</v>
      </c>
      <c r="H325" s="13" t="n">
        <v>0.04136516254746869</v>
      </c>
      <c r="I325" s="13" t="n">
        <v>0.06581059693819835</v>
      </c>
      <c r="J325" s="13" t="n">
        <v>0.1413084113626839</v>
      </c>
      <c r="K325" s="13" t="n">
        <v>0.09496716450598797</v>
      </c>
      <c r="L325" s="13" t="n">
        <v>0.2575614725063291</v>
      </c>
      <c r="M325" s="13" t="n">
        <v>0.08713647444846817</v>
      </c>
      <c r="N325" s="13" t="n">
        <v>0.004196993958838213</v>
      </c>
      <c r="O325" s="13" t="n">
        <v>0.06834176150982696</v>
      </c>
      <c r="P325" s="13" t="n">
        <v>0.1123715416532889</v>
      </c>
      <c r="Q325" s="13" t="n">
        <v>0.275920058354151</v>
      </c>
      <c r="R325" s="13" t="n">
        <v>0.07329651392640191</v>
      </c>
      <c r="S325" s="13" t="n">
        <v>-0.05049506603270748</v>
      </c>
      <c r="T325" s="13" t="n">
        <v>0.08633240081548088</v>
      </c>
      <c r="U325" s="13" t="n">
        <v>0.09341690952102688</v>
      </c>
      <c r="V325" s="13" t="n">
        <v>0.2049311866483938</v>
      </c>
      <c r="W325" s="13" t="n">
        <v>0.02210994015419132</v>
      </c>
      <c r="X325" s="13" t="n">
        <v>0.099461611093421</v>
      </c>
    </row>
    <row r="326">
      <c r="A326" s="14" t="inlineStr">
        <is>
          <t>Döviz</t>
        </is>
      </c>
      <c r="B326" s="14" t="inlineStr">
        <is>
          <t>BSD</t>
        </is>
      </c>
      <c r="C326" s="14" t="inlineStr">
        <is>
          <t>BV Portföy Serbest (Döviz) Fon</t>
        </is>
      </c>
      <c r="D326" s="15" t="n">
        <v>-0.04142903965913547</v>
      </c>
      <c r="E326" s="15" t="n">
        <v>0.1670089913793804</v>
      </c>
      <c r="F326" s="15" t="n">
        <v>-0.003666325931150904</v>
      </c>
      <c r="G326" s="15" t="n">
        <v>0.3327749256014201</v>
      </c>
      <c r="H326" s="15" t="n">
        <v>0.1390374052383514</v>
      </c>
      <c r="I326" s="15" t="n">
        <v>0.3163531373351347</v>
      </c>
      <c r="J326" s="15" t="n">
        <v>-0.06201442961449866</v>
      </c>
      <c r="K326" s="15" t="n">
        <v>0.009706600661796294</v>
      </c>
      <c r="L326" s="15" t="n">
        <v>0.256680006170007</v>
      </c>
      <c r="M326" s="15" t="n">
        <v>-0.0536766332909222</v>
      </c>
      <c r="N326" s="15" t="n">
        <v>-0.08302293422076668</v>
      </c>
      <c r="O326" s="15" t="n">
        <v>0.2246943991718542</v>
      </c>
      <c r="P326" s="15" t="n">
        <v>-0.02418081028167096</v>
      </c>
      <c r="Q326" s="15" t="n">
        <v>0.1539308071519807</v>
      </c>
      <c r="R326" s="15" t="n">
        <v>0.13842829974684</v>
      </c>
      <c r="S326" s="15" t="n">
        <v>0.09655053615262865</v>
      </c>
      <c r="T326" s="15" t="n">
        <v>-0.09181092971689564</v>
      </c>
      <c r="U326" s="15" t="n">
        <v>0.1708718598850689</v>
      </c>
      <c r="V326" s="15" t="n">
        <v>0.2019623622632194</v>
      </c>
      <c r="W326" s="15" t="n">
        <v>-0.01235588024064427</v>
      </c>
      <c r="X326" s="15" t="n">
        <v>0.3130543133787134</v>
      </c>
    </row>
    <row r="327">
      <c r="A327" t="inlineStr">
        <is>
          <t>Döviz</t>
        </is>
      </c>
      <c r="B327" t="inlineStr">
        <is>
          <t>TRU</t>
        </is>
      </c>
      <c r="C327" t="inlineStr">
        <is>
          <t>Tera Portföy Katılım Serbest (Döviz) Fon</t>
        </is>
      </c>
      <c r="D327" s="13" t="n">
        <v>0.01439567502070638</v>
      </c>
      <c r="E327" s="13" t="n">
        <v>-0.1583978487361914</v>
      </c>
      <c r="F327" s="13" t="n">
        <v>-0.02862790352875511</v>
      </c>
      <c r="G327" s="13" t="n">
        <v>0.2102942342337322</v>
      </c>
      <c r="H327" s="13" t="n">
        <v>-0.3078570381206625</v>
      </c>
      <c r="I327" s="13" t="n">
        <v>-0.2642720955894684</v>
      </c>
      <c r="J327" s="13" t="n">
        <v>-0.09211955925284565</v>
      </c>
      <c r="K327" s="13" t="n">
        <v>0.05842593260076967</v>
      </c>
      <c r="L327" s="13" t="n">
        <v>0.1540418664522258</v>
      </c>
      <c r="M327" s="13" t="n">
        <v>0.2005287601540395</v>
      </c>
      <c r="N327" s="13" t="n">
        <v>0.07657763604838053</v>
      </c>
      <c r="O327" s="13" t="n">
        <v>0.2870147189838246</v>
      </c>
      <c r="P327" s="13" t="n">
        <v>0.1970857469468124</v>
      </c>
      <c r="Q327" s="13" t="n">
        <v>0.07064269211889407</v>
      </c>
      <c r="R327" s="13" t="n">
        <v>-0.1273252657762125</v>
      </c>
      <c r="S327" s="13" t="n">
        <v>-0.1109563814205461</v>
      </c>
      <c r="T327" s="13" t="n">
        <v>0.2848841802445934</v>
      </c>
      <c r="U327" s="13" t="n">
        <v>0.06859087849975243</v>
      </c>
      <c r="V327" s="13" t="n">
        <v>0.155886390921256</v>
      </c>
      <c r="W327" s="13" t="n">
        <v>0.1321311879745712</v>
      </c>
      <c r="X327" s="13" t="n">
        <v>-0.05873770771359643</v>
      </c>
    </row>
    <row r="328">
      <c r="A328" s="14" t="inlineStr">
        <is>
          <t>Döviz</t>
        </is>
      </c>
      <c r="B328" s="14" t="inlineStr">
        <is>
          <t>BIS</t>
        </is>
      </c>
      <c r="C328" s="14" t="inlineStr">
        <is>
          <t>BV Portföy Birinci Serbest Fon</t>
        </is>
      </c>
      <c r="D328" s="15" t="n">
        <v>0.04470588514684515</v>
      </c>
      <c r="E328" s="15" t="n">
        <v>0.07139063376249144</v>
      </c>
      <c r="F328" s="15" t="n">
        <v>0.3188048612997152</v>
      </c>
      <c r="G328" s="15" t="n">
        <v>0.08754641851800304</v>
      </c>
      <c r="H328" s="15" t="n">
        <v>0.1186542283488468</v>
      </c>
      <c r="I328" s="15" t="n">
        <v>0.05380010429669735</v>
      </c>
      <c r="J328" s="15" t="n">
        <v>0.06296887639469784</v>
      </c>
      <c r="K328" s="15" t="n">
        <v>0.2682742301183705</v>
      </c>
      <c r="L328" s="15" t="n">
        <v>0.03326091542736886</v>
      </c>
      <c r="M328" s="15" t="n">
        <v>0.05557308124537474</v>
      </c>
      <c r="N328" s="15" t="n">
        <v>0.05184331459027192</v>
      </c>
      <c r="O328" s="15" t="n">
        <v>0.06226189665816673</v>
      </c>
      <c r="P328" s="15" t="n">
        <v>0.3270087786843678</v>
      </c>
      <c r="Q328" s="15" t="n">
        <v>0.06412470940750925</v>
      </c>
      <c r="R328" s="15" t="n">
        <v>0.08692472248932326</v>
      </c>
      <c r="S328" s="15" t="n">
        <v>0.1406630658478347</v>
      </c>
      <c r="T328" s="15" t="n">
        <v>0.1096330178979921</v>
      </c>
      <c r="U328" s="15" t="n">
        <v>0.2457491681731261</v>
      </c>
      <c r="V328" s="15" t="n">
        <v>0.1169107679869885</v>
      </c>
      <c r="W328" s="15" t="n">
        <v>0.1175863871277993</v>
      </c>
      <c r="X328" s="15" t="n">
        <v>0.06651733100948576</v>
      </c>
    </row>
    <row r="329">
      <c r="A329" t="inlineStr">
        <is>
          <t>Döviz</t>
        </is>
      </c>
      <c r="B329" t="inlineStr">
        <is>
          <t>DOL</t>
        </is>
      </c>
      <c r="C329" t="inlineStr">
        <is>
          <t>Aktif Portföy Üçüncü Aktif Serbest (Döviz) Fon</t>
        </is>
      </c>
      <c r="D329" s="13" t="n">
        <v>0.04337598744139637</v>
      </c>
      <c r="E329" s="13" t="n">
        <v>0.04621685095773653</v>
      </c>
      <c r="F329" s="13" t="n">
        <v>0.08341128486877292</v>
      </c>
      <c r="G329" s="13" t="n">
        <v>0.2408637264356139</v>
      </c>
      <c r="H329" s="13" t="n">
        <v>0.04874762577911085</v>
      </c>
      <c r="I329" s="13" t="n">
        <v>0.0428081762416932</v>
      </c>
      <c r="J329" s="13" t="n">
        <v>0.0433147308418258</v>
      </c>
      <c r="K329" s="13" t="n">
        <v>0.06702486093765891</v>
      </c>
      <c r="L329" s="13" t="n">
        <v>0.2473290780599102</v>
      </c>
      <c r="M329" s="13" t="n">
        <v>0.05237639042579012</v>
      </c>
      <c r="N329" s="13" t="n">
        <v>0.03578422935879289</v>
      </c>
      <c r="O329" s="13" t="n">
        <v>0.05856744606225206</v>
      </c>
      <c r="P329" s="13" t="n">
        <v>0.08850388186605329</v>
      </c>
      <c r="Q329" s="13" t="n">
        <v>0.2318834858717089</v>
      </c>
      <c r="R329" s="13" t="n">
        <v>0.04438055647717487</v>
      </c>
      <c r="S329" s="13" t="n">
        <v>0.0424783138823992</v>
      </c>
      <c r="T329" s="13" t="n">
        <v>0.04068566111345984</v>
      </c>
      <c r="U329" s="13" t="n">
        <v>0.07667664441834976</v>
      </c>
      <c r="V329" s="13" t="n">
        <v>0.2324453656786574</v>
      </c>
      <c r="W329" s="13" t="n">
        <v>0.0432730271973103</v>
      </c>
      <c r="X329" s="13" t="n">
        <v>0.09753757592034784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2026-07-17T09:35:01Z</dcterms:created>
  <dcterms:modified xsi:type="dcterms:W3CDTF">2026-07-17T09:35:01Z</dcterms:modified>
</cp:coreProperties>
</file>